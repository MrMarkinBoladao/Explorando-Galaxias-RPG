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ício" sheetId="1" state="visible" r:id="rId1"/>
    <sheet xmlns:r="http://schemas.openxmlformats.org/officeDocument/2006/relationships" name="Campanha" sheetId="2" state="visible" r:id="rId2"/>
    <sheet xmlns:r="http://schemas.openxmlformats.org/officeDocument/2006/relationships" name="Grupo" sheetId="3" state="visible" r:id="rId3"/>
    <sheet xmlns:r="http://schemas.openxmlformats.org/officeDocument/2006/relationships" name="Sessões" sheetId="4" state="visible" r:id="rId4"/>
    <sheet xmlns:r="http://schemas.openxmlformats.org/officeDocument/2006/relationships" name="Missões" sheetId="5" state="visible" r:id="rId5"/>
    <sheet xmlns:r="http://schemas.openxmlformats.org/officeDocument/2006/relationships" name="NPCs" sheetId="6" state="visible" r:id="rId6"/>
    <sheet xmlns:r="http://schemas.openxmlformats.org/officeDocument/2006/relationships" name="Inimigos" sheetId="7" state="visible" r:id="rId7"/>
    <sheet xmlns:r="http://schemas.openxmlformats.org/officeDocument/2006/relationships" name="Bestiário" sheetId="8" state="visible" r:id="rId8"/>
    <sheet xmlns:r="http://schemas.openxmlformats.org/officeDocument/2006/relationships" name="Encontros" sheetId="9" state="visible" r:id="rId9"/>
    <sheet xmlns:r="http://schemas.openxmlformats.org/officeDocument/2006/relationships" name="Combate" sheetId="10" state="visible" r:id="rId10"/>
    <sheet xmlns:r="http://schemas.openxmlformats.org/officeDocument/2006/relationships" name="Aventuras" sheetId="11" state="visible" r:id="rId11"/>
    <sheet xmlns:r="http://schemas.openxmlformats.org/officeDocument/2006/relationships" name="Recompensas" sheetId="12" state="visible" r:id="rId12"/>
    <sheet xmlns:r="http://schemas.openxmlformats.org/officeDocument/2006/relationships" name="Mundos" sheetId="13" state="visible" r:id="rId13"/>
    <sheet xmlns:r="http://schemas.openxmlformats.org/officeDocument/2006/relationships" name="Improviso" sheetId="14" state="visible" r:id="rId14"/>
    <sheet xmlns:r="http://schemas.openxmlformats.org/officeDocument/2006/relationships" name="Escudo do Mestre" sheetId="15" state="visible" r:id="rId15"/>
    <sheet xmlns:r="http://schemas.openxmlformats.org/officeDocument/2006/relationships" name="Minhas Tabelas" sheetId="16" state="visible" r:id="rId16"/>
    <sheet xmlns:r="http://schemas.openxmlformats.org/officeDocument/2006/relationships" name="Tabelas" sheetId="17" state="visible" r:id="rId17"/>
    <sheet xmlns:r="http://schemas.openxmlformats.org/officeDocument/2006/relationships" name="Dados" sheetId="18" state="visible" r:id="rId18"/>
  </sheets>
  <definedNames>
    <definedName name="_xlnm.Print_Area" localSheetId="5">'NPCs'!$A$215:$J$233</definedName>
  </definedNames>
  <calcPr calcId="124519" fullCalcOnLoad="1"/>
</workbook>
</file>

<file path=xl/styles.xml><?xml version="1.0" encoding="utf-8"?>
<styleSheet xmlns="http://schemas.openxmlformats.org/spreadsheetml/2006/main">
  <numFmts count="0"/>
  <fonts count="13">
    <font>
      <name val="Arial"/>
      <sz val="10"/>
    </font>
    <font>
      <name val="Arial"/>
      <b val="1"/>
      <color rgb="00FFFFFF"/>
      <sz val="16"/>
    </font>
    <font>
      <name val="Arial"/>
      <b val="1"/>
      <color rgb="00000000"/>
      <sz val="10"/>
    </font>
    <font>
      <name val="Arial"/>
      <i val="1"/>
      <color rgb="00000000"/>
      <sz val="10"/>
    </font>
    <font>
      <name val="Arial"/>
      <b val="1"/>
      <color rgb="00FFFFFF"/>
      <sz val="12"/>
    </font>
    <font>
      <name val="Arial"/>
      <b val="1"/>
      <color rgb="001F3864"/>
      <sz val="10"/>
    </font>
    <font>
      <name val="Arial"/>
      <color rgb="001F1F1F"/>
      <sz val="10"/>
    </font>
    <font>
      <name val="Arial"/>
      <color rgb="00000000"/>
      <sz val="10"/>
    </font>
    <font>
      <name val="Arial"/>
      <color rgb="00595959"/>
      <sz val="10"/>
    </font>
    <font>
      <name val="Arial"/>
      <b val="1"/>
      <color rgb="009C0006"/>
      <sz val="10"/>
    </font>
    <font>
      <name val="Arial"/>
      <b val="1"/>
      <color rgb="001F1F1F"/>
      <sz val="10"/>
    </font>
    <font>
      <name val="Arial"/>
      <b val="1"/>
      <color rgb="00FFFFFF"/>
      <sz val="10"/>
    </font>
    <font>
      <name val="Arial"/>
      <b val="1"/>
      <i val="1"/>
      <color rgb="00000000"/>
      <sz val="10"/>
    </font>
  </fonts>
  <fills count="11">
    <fill>
      <patternFill/>
    </fill>
    <fill>
      <patternFill patternType="gray125"/>
    </fill>
    <fill>
      <patternFill patternType="solid">
        <fgColor rgb="001F3864"/>
      </patternFill>
    </fill>
    <fill>
      <patternFill patternType="solid">
        <fgColor rgb="00B4C6E7"/>
      </patternFill>
    </fill>
    <fill>
      <patternFill patternType="solid">
        <fgColor rgb="00E8EEF7"/>
      </patternFill>
    </fill>
    <fill>
      <patternFill patternType="solid">
        <fgColor rgb="00D9D9D9"/>
      </patternFill>
    </fill>
    <fill>
      <patternFill patternType="solid">
        <fgColor rgb="00FFF2CC"/>
      </patternFill>
    </fill>
    <fill>
      <patternFill patternType="solid">
        <fgColor rgb="00FFC7CE"/>
      </patternFill>
    </fill>
    <fill>
      <patternFill patternType="solid">
        <fgColor rgb="00D6E0F0"/>
      </patternFill>
    </fill>
    <fill>
      <patternFill patternType="solid">
        <fgColor rgb="00F2F2F2"/>
      </patternFill>
    </fill>
    <fill>
      <patternFill patternType="solid">
        <fgColor rgb="00FFE9B0"/>
      </patternFill>
    </fill>
  </fills>
  <borders count="10">
    <border>
      <left/>
      <right/>
      <top/>
      <bottom/>
      <diagonal/>
    </border>
    <border>
      <bottom style="medium">
        <color rgb="001F3864"/>
      </bottom>
    </border>
    <border>
      <left style="thin">
        <color rgb="00BF9000"/>
      </left>
      <right style="thin">
        <color rgb="00BF9000"/>
      </right>
      <top style="thin">
        <color rgb="00BF9000"/>
      </top>
      <bottom style="thin">
        <color rgb="00BF9000"/>
      </bottom>
    </border>
    <border>
      <left/>
      <right/>
      <top style="thin">
        <color rgb="00BF9000"/>
      </top>
      <bottom/>
      <diagonal/>
    </border>
    <border>
      <left/>
      <right style="thin">
        <color rgb="00BF9000"/>
      </right>
      <top style="thin">
        <color rgb="00BF9000"/>
      </top>
      <bottom/>
      <diagonal/>
    </border>
    <border>
      <left/>
      <right style="thin">
        <color rgb="00BF9000"/>
      </right>
      <top style="thin">
        <color rgb="00BF9000"/>
      </top>
      <bottom style="thin">
        <color rgb="00BF9000"/>
      </bottom>
      <diagonal/>
    </border>
    <border>
      <left/>
      <right/>
      <top/>
      <bottom style="medium">
        <color rgb="001F3864"/>
      </bottom>
      <diagonal/>
    </border>
    <border>
      <left/>
      <right/>
      <top style="thin">
        <color rgb="00BF9000"/>
      </top>
      <bottom style="thin">
        <color rgb="00BF9000"/>
      </bottom>
      <diagonal/>
    </border>
    <border>
      <left/>
      <right style="medium">
        <color rgb="001F3864"/>
      </right>
      <top/>
      <bottom/>
    </border>
    <border>
      <left style="thin">
        <color rgb="00BF9000"/>
      </left>
      <right style="medium">
        <color rgb="001F3864"/>
      </right>
      <top style="thin">
        <color rgb="00BF9000"/>
      </top>
      <bottom style="thin">
        <color rgb="00BF9000"/>
      </bottom>
    </border>
  </borders>
  <cellStyleXfs count="1">
    <xf numFmtId="0" fontId="0" fillId="0" borderId="0"/>
  </cellStyleXfs>
  <cellXfs count="49">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7" fillId="6" borderId="2" applyAlignment="1" pivotButton="0" quotePrefix="0" xfId="0">
      <alignment vertical="center" wrapText="1"/>
    </xf>
    <xf numFmtId="0" fontId="6" fillId="4" borderId="0" applyAlignment="1" pivotButton="0" quotePrefix="0" xfId="0">
      <alignment vertical="center" wrapText="1"/>
    </xf>
    <xf numFmtId="0" fontId="9" fillId="7" borderId="0" applyAlignment="1" pivotButton="0" quotePrefix="0" xfId="0">
      <alignment vertical="center" wrapText="1"/>
    </xf>
    <xf numFmtId="0" fontId="11" fillId="2" borderId="0" applyAlignment="1" pivotButton="0" quotePrefix="0" xfId="0">
      <alignment vertical="center" wrapText="1"/>
    </xf>
    <xf numFmtId="0" fontId="5" fillId="3" borderId="1" applyAlignment="1" pivotButton="0" quotePrefix="0" xfId="0">
      <alignment vertical="center" wrapText="1"/>
    </xf>
    <xf numFmtId="0" fontId="2" fillId="0" borderId="8" applyAlignment="1" pivotButton="0" quotePrefix="0" xfId="0">
      <alignment vertical="center" wrapText="1"/>
    </xf>
    <xf numFmtId="0" fontId="6" fillId="8" borderId="0" applyAlignment="1" pivotButton="0" quotePrefix="0" xfId="0">
      <alignment vertical="center" wrapText="1"/>
    </xf>
    <xf numFmtId="0" fontId="8" fillId="5" borderId="0" applyAlignment="1" pivotButton="0" quotePrefix="0" xfId="0">
      <alignment vertical="center" wrapText="1"/>
    </xf>
    <xf numFmtId="0" fontId="3" fillId="0" borderId="0" applyAlignment="1" pivotButton="0" quotePrefix="0" xfId="0">
      <alignment vertical="center" wrapText="1"/>
    </xf>
    <xf numFmtId="0" fontId="4" fillId="2" borderId="0" applyAlignment="1" pivotButton="0" quotePrefix="0" xfId="0">
      <alignment vertical="center"/>
    </xf>
    <xf numFmtId="0" fontId="7" fillId="0" borderId="0" applyAlignment="1" pivotButton="0" quotePrefix="0" xfId="0">
      <alignment vertical="center" wrapText="1"/>
    </xf>
    <xf numFmtId="0" fontId="2" fillId="0" borderId="0" applyAlignment="1" pivotButton="0" quotePrefix="0" xfId="0">
      <alignment vertical="center" wrapText="1"/>
    </xf>
    <xf numFmtId="0" fontId="7" fillId="6" borderId="2" applyAlignment="1" pivotButton="0" quotePrefix="0" xfId="0">
      <alignment horizontal="center" vertical="center"/>
    </xf>
    <xf numFmtId="0" fontId="0" fillId="0" borderId="5" pivotButton="0" quotePrefix="0" xfId="0"/>
    <xf numFmtId="0" fontId="6" fillId="4" borderId="0" applyAlignment="1" pivotButton="0" quotePrefix="0" xfId="0">
      <alignment horizontal="center" vertical="center" wrapText="1"/>
    </xf>
    <xf numFmtId="0" fontId="9" fillId="0" borderId="0" applyAlignment="1" pivotButton="0" quotePrefix="0" xfId="0">
      <alignment vertical="center" wrapText="1"/>
    </xf>
    <xf numFmtId="0" fontId="8" fillId="5" borderId="0" applyAlignment="1" pivotButton="0" quotePrefix="0" xfId="0">
      <alignment vertical="center"/>
    </xf>
    <xf numFmtId="0" fontId="0" fillId="0" borderId="6" pivotButton="0" quotePrefix="0" xfId="0"/>
    <xf numFmtId="0" fontId="2" fillId="9" borderId="8" applyAlignment="1" pivotButton="0" quotePrefix="0" xfId="0">
      <alignment vertical="center" wrapText="1"/>
    </xf>
    <xf numFmtId="0" fontId="7" fillId="9" borderId="0" applyAlignment="1" pivotButton="0" quotePrefix="0" xfId="0">
      <alignment vertical="center" wrapText="1"/>
    </xf>
    <xf numFmtId="0" fontId="10" fillId="4" borderId="0" applyAlignment="1" pivotButton="0" quotePrefix="0" xfId="0">
      <alignment horizontal="center" vertical="center" wrapText="1"/>
    </xf>
    <xf numFmtId="0" fontId="0" fillId="0" borderId="7" pivotButton="0" quotePrefix="0" xfId="0"/>
    <xf numFmtId="0" fontId="7" fillId="10" borderId="2" applyAlignment="1" pivotButton="0" quotePrefix="0" xfId="0">
      <alignment vertical="center"/>
    </xf>
    <xf numFmtId="0" fontId="9" fillId="9" borderId="0" applyAlignment="1" pivotButton="0" quotePrefix="0" xfId="0">
      <alignment vertical="center" wrapText="1"/>
    </xf>
    <xf numFmtId="0" fontId="7" fillId="6" borderId="2" applyAlignment="1" pivotButton="0" quotePrefix="0" xfId="0">
      <alignment vertical="center"/>
    </xf>
    <xf numFmtId="0" fontId="7" fillId="10" borderId="2" applyAlignment="1" pivotButton="0" quotePrefix="0" xfId="0">
      <alignment vertical="center" wrapText="1"/>
    </xf>
    <xf numFmtId="0" fontId="6" fillId="8" borderId="0" applyAlignment="1" pivotButton="0" quotePrefix="0" xfId="0">
      <alignment horizontal="center" vertical="center" wrapText="1"/>
    </xf>
    <xf numFmtId="0" fontId="2" fillId="6" borderId="9" applyAlignment="1" pivotButton="0" quotePrefix="0" xfId="0">
      <alignment vertical="center" wrapText="1"/>
    </xf>
    <xf numFmtId="0" fontId="2" fillId="10" borderId="9" applyAlignment="1" pivotButton="0" quotePrefix="0" xfId="0">
      <alignment vertical="center" wrapText="1"/>
    </xf>
    <xf numFmtId="0" fontId="10" fillId="4" borderId="8" applyAlignment="1" pivotButton="0" quotePrefix="0" xfId="0">
      <alignment vertical="center" wrapText="1"/>
    </xf>
    <xf numFmtId="0" fontId="10" fillId="8" borderId="8" applyAlignment="1" pivotButton="0" quotePrefix="0" xfId="0">
      <alignment vertical="center" wrapText="1"/>
    </xf>
    <xf numFmtId="0" fontId="7" fillId="10" borderId="2" applyAlignment="1" pivotButton="0" quotePrefix="0" xfId="0">
      <alignment horizontal="center" vertical="center"/>
    </xf>
    <xf numFmtId="0" fontId="2" fillId="6" borderId="9" applyAlignment="1" pivotButton="0" quotePrefix="0" xfId="0">
      <alignment horizontal="center" vertical="center"/>
    </xf>
    <xf numFmtId="0" fontId="7" fillId="6" borderId="2" applyAlignment="1" pivotButton="0" quotePrefix="0" xfId="0">
      <alignment horizontal="center" vertical="center" wrapText="1"/>
    </xf>
    <xf numFmtId="0" fontId="3" fillId="9" borderId="0" applyAlignment="1" pivotButton="0" quotePrefix="0" xfId="0">
      <alignment vertical="center" wrapText="1"/>
    </xf>
    <xf numFmtId="0" fontId="0" fillId="9" borderId="0" pivotButton="0" quotePrefix="0" xfId="0"/>
    <xf numFmtId="0" fontId="10" fillId="4" borderId="0" applyAlignment="1" pivotButton="0" quotePrefix="0" xfId="0">
      <alignment vertical="center" wrapText="1"/>
    </xf>
    <xf numFmtId="0" fontId="2" fillId="9" borderId="0" applyAlignment="1" pivotButton="0" quotePrefix="0" xfId="0">
      <alignment vertical="center" wrapText="1"/>
    </xf>
    <xf numFmtId="0" fontId="12" fillId="9" borderId="8" applyAlignment="1" pivotButton="0" quotePrefix="0" xfId="0">
      <alignment vertical="center" wrapText="1"/>
    </xf>
    <xf numFmtId="0" fontId="7" fillId="10" borderId="2" applyAlignment="1" pivotButton="0" quotePrefix="0" xfId="0">
      <alignment horizontal="center" vertical="center" wrapText="1"/>
    </xf>
    <xf numFmtId="0" fontId="12" fillId="0" borderId="8" applyAlignment="1" pivotButton="0" quotePrefix="0" xfId="0">
      <alignment vertical="center" wrapText="1"/>
    </xf>
    <xf numFmtId="0" fontId="10" fillId="4" borderId="8" applyAlignment="1" pivotButton="0" quotePrefix="0" xfId="0">
      <alignment horizontal="center" vertical="center" wrapText="1"/>
    </xf>
    <xf numFmtId="0" fontId="10" fillId="8" borderId="8" applyAlignment="1" pivotButton="0" quotePrefix="0" xfId="0">
      <alignment horizontal="center" vertical="center" wrapText="1"/>
    </xf>
    <xf numFmtId="0" fontId="2" fillId="10" borderId="9" applyAlignment="1" pivotButton="0" quotePrefix="0" xfId="0">
      <alignment horizontal="center" vertical="center"/>
    </xf>
    <xf numFmtId="0" fontId="4" fillId="2" borderId="0" applyAlignment="1" pivotButton="0" quotePrefix="0" xfId="0">
      <alignment vertical="center" wrapText="1"/>
    </xf>
    <xf numFmtId="0" fontId="4" fillId="2" borderId="0" pivotButton="0" quotePrefix="0" xfId="0"/>
  </cellXfs>
  <cellStyles count="1">
    <cellStyle name="Normal" xfId="0" builtinId="0" hidden="0"/>
  </cellStyles>
  <dxfs count="1">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5"/>
  <sheetViews>
    <sheetView showGridLines="1" workbookViewId="0">
      <selection activeCell="A1" sqref="A1"/>
    </sheetView>
  </sheetViews>
  <sheetFormatPr baseColWidth="8" defaultRowHeight="15"/>
  <cols>
    <col width="20.786" customWidth="1" min="1" max="1"/>
    <col width="13.643" customWidth="1" min="2" max="2"/>
    <col width="13.643"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1.5" customWidth="1" min="11" max="11"/>
    <col width="21.5" customWidth="1" min="12" max="12"/>
    <col hidden="1" width="13" customWidth="1" min="13" max="13"/>
    <col width="13" customWidth="1" min="14" max="14"/>
    <col width="13" customWidth="1" min="15" max="15"/>
    <col hidden="1" width="13" customWidth="1" min="16" max="16"/>
    <col hidden="1" width="13" customWidth="1" min="17" max="17"/>
  </cols>
  <sheetData>
    <row r="1" ht="24" customHeight="1">
      <c r="A1" s="1" t="inlineStr">
        <is>
          <t>Início — Explorando Galáxias v1.1</t>
        </is>
      </c>
    </row>
    <row r="2" ht="37" customHeight="1">
      <c r="A2" s="2"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Comece por aqui: semente da campanha, índice das abas e como a planilha se organiza.</t>
        </is>
      </c>
    </row>
    <row r="4"/>
    <row r="5" ht="20" customHeight="1">
      <c r="A5" s="12" t="inlineStr">
        <is>
          <t>Comece por aqui</t>
        </is>
      </c>
    </row>
    <row r="6">
      <c r="A6" s="13" t="inlineStr">
        <is>
          <t>1. Abra no Google Planilhas (Arquivo → Importar) e trabalhe numa cópia por campanha.</t>
        </is>
      </c>
    </row>
    <row r="7">
      <c r="A7" s="13" t="inlineStr">
        <is>
          <t>2. Aba Campanha: nível do grupo e nº de jogadores (uma vez; todas as abas leem daqui).</t>
        </is>
      </c>
    </row>
    <row r="8">
      <c r="A8" s="13" t="inlineStr">
        <is>
          <t>3. Aba Grupo: copie da ficha de cada jogador os números de combate.</t>
        </is>
      </c>
    </row>
    <row r="9">
      <c r="A9" s="13" t="inlineStr">
        <is>
          <t>4. Prepare o combate: Inimigos (criar), Bestiário (consultar) e Encontros (montar e conferir o contrato).</t>
        </is>
      </c>
    </row>
    <row r="10">
      <c r="A10" s="13" t="inlineStr">
        <is>
          <t>5. Jogue com a aba Combate: carregue o encontro, siga a Fila e registre o estado (sem macro: tudo é digitado).</t>
        </is>
      </c>
    </row>
    <row r="11">
      <c r="A11" s="13" t="inlineStr">
        <is>
          <t>Amarelo = você preenche; azul = automático; vermelho = aviso; 'Sugestão da planilha' = não é regra do livro.</t>
        </is>
      </c>
    </row>
    <row r="12">
      <c r="A12" s="14" t="inlineStr">
        <is>
          <t>Não comece um texto com +, - ou =: o Google entende como fórmula. Se precisar, digite um apóstrofo (') antes.</t>
        </is>
      </c>
    </row>
    <row r="13"/>
    <row r="14" ht="20" customHeight="1">
      <c r="A14" s="12" t="inlineStr">
        <is>
          <t>Semente da campanha (geradores determinísticos, sem sorteio escondido)</t>
        </is>
      </c>
    </row>
    <row r="15" ht="26" customHeight="1">
      <c r="A15" s="14" t="inlineStr">
        <is>
          <t>Semente da campanha</t>
        </is>
      </c>
      <c r="B15" s="15" t="n"/>
      <c r="C15" s="16" t="n"/>
      <c r="D15" s="14" t="inlineStr">
        <is>
          <t>Semente efetiva</t>
        </is>
      </c>
      <c r="E15" s="17">
        <f>IF(ISNUMBER($P$15),IF(AND($P$15&gt;=1,$P$15&lt;=2147483646,INT($P$15)=$P$15),$P$15,12345),12345)</f>
        <v/>
      </c>
      <c r="G15" s="11" t="inlineStr">
        <is>
          <t>Vazia = 12345.</t>
        </is>
      </c>
      <c r="K15" s="18">
        <f>IF(Q15&gt;0,"O Google leu como fórmula: digite de novo com ' na frente.",IF(LEN($P$15)=0,"",IF(ISNUMBER($P$15),IF(AND($P$15&gt;=1,$P$15&lt;=2147483646,INT($P$15)=$P$15),"","Semente fora de 1 a 2.147.483.646: usando 12345"),"Semente fora de 1 a 2.147.483.646: usando 12345")))</f>
        <v/>
      </c>
      <c r="P15" s="19">
        <f>IF(ISERROR($B$15),"",IF(ISBLANK($B$15),"",$B$15))</f>
        <v/>
      </c>
      <c r="Q15" s="19">
        <f>ISERROR($B$15)*1</f>
        <v/>
      </c>
    </row>
    <row r="16">
      <c r="A16" s="11" t="inlineStr">
        <is>
          <t>Mesma semente e mesma 'Rolagem nº' dão sempre o mesmo resultado; editar outra célula não muda o sorteio. Para rolar de novo, some 1 na 'Rolagem nº' do gerador; para outra campanha, troque a semente.</t>
        </is>
      </c>
    </row>
    <row r="17"/>
    <row r="18" ht="20" customHeight="1">
      <c r="A18" s="12" t="inlineStr">
        <is>
          <t>Índice das abas</t>
        </is>
      </c>
    </row>
    <row r="19">
      <c r="A19" s="7" t="inlineStr">
        <is>
          <t>Aba</t>
        </is>
      </c>
      <c r="B19" s="7" t="inlineStr">
        <is>
          <t>Para que serve</t>
        </is>
      </c>
      <c r="C19" s="20" t="n"/>
      <c r="D19" s="20" t="n"/>
      <c r="E19" s="20" t="n"/>
      <c r="F19" s="20" t="n"/>
      <c r="G19" s="7" t="inlineStr">
        <is>
          <t>Quando usar</t>
        </is>
      </c>
      <c r="H19" s="20" t="n"/>
      <c r="I19" s="20" t="n"/>
      <c r="J19" s="20" t="n"/>
      <c r="K19" s="7" t="inlineStr">
        <is>
          <t>Situação</t>
        </is>
      </c>
      <c r="L19" s="20" t="n"/>
    </row>
    <row r="20">
      <c r="A20" s="8" t="inlineStr">
        <is>
          <t>Início</t>
        </is>
      </c>
      <c r="B20" s="13" t="inlineStr">
        <is>
          <t>Semente da campanha e índice.</t>
        </is>
      </c>
      <c r="G20" s="13" t="inlineStr">
        <is>
          <t>Na primeira vez e para trocar a semente.</t>
        </is>
      </c>
      <c r="K20" s="13" t="inlineStr">
        <is>
          <t>Pronta</t>
        </is>
      </c>
    </row>
    <row r="21">
      <c r="A21" s="21" t="inlineStr">
        <is>
          <t>Campanha</t>
        </is>
      </c>
      <c r="B21" s="22" t="inlineStr">
        <is>
          <t>Nível do grupo, nº de jogadores e os números que saem deles.</t>
        </is>
      </c>
      <c r="G21" s="22" t="inlineStr">
        <is>
          <t>Ao começar e a cada marco.</t>
        </is>
      </c>
      <c r="K21" s="22" t="inlineStr">
        <is>
          <t>Pronta (Mesa)</t>
        </is>
      </c>
    </row>
    <row r="22">
      <c r="A22" s="8" t="inlineStr">
        <is>
          <t>Grupo</t>
        </is>
      </c>
      <c r="B22" s="13" t="inlineStr">
        <is>
          <t>Os PJs copiados da ficha de cada jogador.</t>
        </is>
      </c>
      <c r="G22" s="13" t="inlineStr">
        <is>
          <t>Ao começar e quando a ficha muda.</t>
        </is>
      </c>
      <c r="K22" s="13" t="inlineStr">
        <is>
          <t>Pronta</t>
        </is>
      </c>
    </row>
    <row r="23">
      <c r="A23" s="21" t="inlineStr">
        <is>
          <t>Sessões</t>
        </is>
      </c>
      <c r="B23" s="22" t="inlineStr">
        <is>
          <t>Preparar a próxima sessão e o diário.</t>
        </is>
      </c>
      <c r="G23" s="22" t="inlineStr">
        <is>
          <t>Entre sessões.</t>
        </is>
      </c>
      <c r="K23" s="22" t="inlineStr">
        <is>
          <t>Em construção</t>
        </is>
      </c>
    </row>
    <row r="24">
      <c r="A24" s="8" t="inlineStr">
        <is>
          <t>Missões</t>
        </is>
      </c>
      <c r="B24" s="13" t="inlineStr">
        <is>
          <t>Missões oferecidas, ativas e concluídas.</t>
        </is>
      </c>
      <c r="G24" s="13" t="inlineStr">
        <is>
          <t>Entre sessões.</t>
        </is>
      </c>
      <c r="K24" s="13" t="inlineStr">
        <is>
          <t>Em construção</t>
        </is>
      </c>
    </row>
    <row r="25">
      <c r="A25" s="21" t="inlineStr">
        <is>
          <t>NPCs</t>
        </is>
      </c>
      <c r="B25" s="22" t="inlineStr">
        <is>
          <t>Gerador de NPCs, elenco e cartões.</t>
        </is>
      </c>
      <c r="G25" s="22" t="inlineStr">
        <is>
          <t>Preparando a história.</t>
        </is>
      </c>
      <c r="K25" s="22" t="inlineStr">
        <is>
          <t>Pronta</t>
        </is>
      </c>
    </row>
    <row r="26">
      <c r="A26" s="8" t="inlineStr">
        <is>
          <t>Inimigos</t>
        </is>
      </c>
      <c r="B26" s="13" t="inlineStr">
        <is>
          <t>Criador de Inimigos: a ficha de 28.1 pronta.</t>
        </is>
      </c>
      <c r="G26" s="13" t="inlineStr">
        <is>
          <t>Preparando o combate.</t>
        </is>
      </c>
      <c r="K26" s="13" t="inlineStr">
        <is>
          <t>Pronta</t>
        </is>
      </c>
    </row>
    <row r="27">
      <c r="A27" s="21" t="inlineStr">
        <is>
          <t>Bestiário</t>
        </is>
      </c>
      <c r="B27" s="22" t="inlineStr">
        <is>
          <t>As 32 fichas do capítulo 28 com filtro.</t>
        </is>
      </c>
      <c r="G27" s="22" t="inlineStr">
        <is>
          <t>Preparando o combate.</t>
        </is>
      </c>
      <c r="K27" s="22" t="inlineStr">
        <is>
          <t>Pronta</t>
        </is>
      </c>
    </row>
    <row r="28">
      <c r="A28" s="8" t="inlineStr">
        <is>
          <t>Encontros</t>
        </is>
      </c>
      <c r="B28" s="13" t="inlineStr">
        <is>
          <t>Orçamento, encontros salvos, contrato da Fraqueza, encontro aleatório.</t>
        </is>
      </c>
      <c r="G28" s="13" t="inlineStr">
        <is>
          <t>Preparando o combate.</t>
        </is>
      </c>
      <c r="K28" s="13" t="inlineStr">
        <is>
          <t>Pronta</t>
        </is>
      </c>
    </row>
    <row r="29">
      <c r="A29" s="7" t="inlineStr">
        <is>
          <t>Aba</t>
        </is>
      </c>
      <c r="B29" s="7" t="inlineStr">
        <is>
          <t>Para que serve</t>
        </is>
      </c>
      <c r="C29" s="20" t="n"/>
      <c r="D29" s="20" t="n"/>
      <c r="E29" s="20" t="n"/>
      <c r="F29" s="20" t="n"/>
      <c r="G29" s="7" t="inlineStr">
        <is>
          <t>Quando usar</t>
        </is>
      </c>
      <c r="H29" s="20" t="n"/>
      <c r="I29" s="20" t="n"/>
      <c r="J29" s="20" t="n"/>
      <c r="K29" s="7" t="inlineStr">
        <is>
          <t>Situação</t>
        </is>
      </c>
      <c r="L29" s="20" t="n"/>
    </row>
    <row r="30">
      <c r="A30" s="8" t="inlineStr">
        <is>
          <t>Combate</t>
        </is>
      </c>
      <c r="B30" s="13" t="inlineStr">
        <is>
          <t>Fila de Ação, PV, Tenacidade e Quebra, condições, Morrendo.</t>
        </is>
      </c>
      <c r="G30" s="13" t="inlineStr">
        <is>
          <t>Na mesa, durante a luta.</t>
        </is>
      </c>
      <c r="K30" s="13" t="inlineStr">
        <is>
          <t>Pronta</t>
        </is>
      </c>
    </row>
    <row r="31">
      <c r="A31" s="21" t="inlineStr">
        <is>
          <t>Aventuras</t>
        </is>
      </c>
      <c r="B31" s="22" t="inlineStr">
        <is>
          <t>Gerador de aventuras com 5 cenas.</t>
        </is>
      </c>
      <c r="G31" s="22" t="inlineStr">
        <is>
          <t>Preparando a história.</t>
        </is>
      </c>
      <c r="K31" s="22" t="inlineStr">
        <is>
          <t>Pronta</t>
        </is>
      </c>
    </row>
    <row r="32">
      <c r="A32" s="8" t="inlineStr">
        <is>
          <t>Recompensas</t>
        </is>
      </c>
      <c r="B32" s="13" t="inlineStr">
        <is>
          <t>Entrega de marco, achados, Cone e Conjunto, tesouro.</t>
        </is>
      </c>
      <c r="G32" s="13" t="inlineStr">
        <is>
          <t>Depois de um encontro ou marco.</t>
        </is>
      </c>
      <c r="K32" s="13" t="inlineStr">
        <is>
          <t>Pronta</t>
        </is>
      </c>
    </row>
    <row r="33">
      <c r="A33" s="21" t="inlineStr">
        <is>
          <t>Mundos</t>
        </is>
      </c>
      <c r="B33" s="22" t="inlineStr">
        <is>
          <t>Planetas, estações, naves, facções e nomes.</t>
        </is>
      </c>
      <c r="G33" s="22" t="inlineStr">
        <is>
          <t>Preparando a história.</t>
        </is>
      </c>
      <c r="K33" s="22" t="inlineStr">
        <is>
          <t>Em construção</t>
        </is>
      </c>
    </row>
    <row r="34">
      <c r="A34" s="8" t="inlineStr">
        <is>
          <t>Improviso</t>
        </is>
      </c>
      <c r="B34" s="13" t="inlineStr">
        <is>
          <t>Rumores, eventos, lojas, oráculo e rolador.</t>
        </is>
      </c>
      <c r="G34" s="13" t="inlineStr">
        <is>
          <t>Na mesa, quando precisar.</t>
        </is>
      </c>
      <c r="K34" s="13" t="inlineStr">
        <is>
          <t>Em construção</t>
        </is>
      </c>
    </row>
    <row r="35">
      <c r="A35" s="21" t="inlineStr">
        <is>
          <t>Escudo do Mestre</t>
        </is>
      </c>
      <c r="B35" s="22" t="inlineStr">
        <is>
          <t>Referência de mesa para imprimir.</t>
        </is>
      </c>
      <c r="G35" s="22" t="inlineStr">
        <is>
          <t>Antes da sessão.</t>
        </is>
      </c>
      <c r="K35" s="22" t="inlineStr">
        <is>
          <t>Em construção</t>
        </is>
      </c>
    </row>
    <row r="36">
      <c r="A36" s="8" t="inlineStr">
        <is>
          <t>Minhas Tabelas</t>
        </is>
      </c>
      <c r="B36" s="13" t="inlineStr">
        <is>
          <t>Tabelas do próprio Mestre, com sorteio.</t>
        </is>
      </c>
      <c r="G36" s="13" t="inlineStr">
        <is>
          <t>Quando quiser.</t>
        </is>
      </c>
      <c r="K36" s="13" t="inlineStr">
        <is>
          <t>Em construção</t>
        </is>
      </c>
    </row>
    <row r="37">
      <c r="A37" s="21" t="inlineStr">
        <is>
          <t>Tabelas</t>
        </is>
      </c>
      <c r="B37" s="22" t="inlineStr">
        <is>
          <t>Listas dos geradores, editáveis (100 vagas).</t>
        </is>
      </c>
      <c r="G37" s="22" t="inlineStr">
        <is>
          <t>Para mudar o que os geradores sorteiam.</t>
        </is>
      </c>
      <c r="K37" s="22" t="inlineStr">
        <is>
          <t>Pronta (livro, NPC, aventura e recompensa)</t>
        </is>
      </c>
    </row>
    <row r="38">
      <c r="A38" s="8" t="inlineStr">
        <is>
          <t>Dados</t>
        </is>
      </c>
      <c r="B38" s="13" t="inlineStr">
        <is>
          <t>Tabelas do livro usadas pelas fórmulas. Não edite.</t>
        </is>
      </c>
      <c r="G38" s="13" t="inlineStr">
        <is>
          <t>Nunca: o gerador reescreve.</t>
        </is>
      </c>
      <c r="K38" s="13" t="inlineStr">
        <is>
          <t>Pronta</t>
        </is>
      </c>
    </row>
    <row r="39"/>
    <row r="40" ht="20" customHeight="1">
      <c r="A40" s="12" t="inlineStr">
        <is>
          <t>Células com erro na planilha (o Google leu como fórmula um texto digitado)</t>
        </is>
      </c>
    </row>
    <row r="41" ht="26" customHeight="1">
      <c r="A41" s="14" t="inlineStr">
        <is>
          <t>Células com erro na planilha</t>
        </is>
      </c>
      <c r="B41" s="23">
        <f>$B$42+$D$42+$F$42+$H$42+$J$42+$B$43+$D$43+$F$43+$H$43+$J$43+$B$44+$D$44+$F$44+$H$44+$J$44+$B$45+$D$45+$F$45</f>
        <v/>
      </c>
      <c r="C41" s="4">
        <f>IF($B$41=0,"Nenhuma célula com erro.","O Google leu como fórmula um texto que começa com +, - ou =. Veja abaixo a aba com erro: o aviso da linha diz o que fazer. Apague e escreva de novo com um apóstrofo (') na frente, ou escolha de novo na lista.")</f>
        <v/>
      </c>
    </row>
    <row r="42">
      <c r="A42" s="13" t="inlineStr">
        <is>
          <t>Início</t>
        </is>
      </c>
      <c r="B42" s="17">
        <f>SUMPRODUCT(ISERROR($A$1:$Q$40)*1)</f>
        <v/>
      </c>
      <c r="C42" s="13" t="inlineStr">
        <is>
          <t>Campanha</t>
        </is>
      </c>
      <c r="D42" s="17">
        <f>SUMPRODUCT(ISERROR('Campanha'!$A$1:$Q$34)*1)</f>
        <v/>
      </c>
      <c r="E42" s="13" t="inlineStr">
        <is>
          <t>Grupo</t>
        </is>
      </c>
      <c r="F42" s="17">
        <f>SUMPRODUCT(ISERROR('Grupo'!$A$1:$Y$45)*1)</f>
        <v/>
      </c>
      <c r="G42" s="13" t="inlineStr">
        <is>
          <t>Sessões</t>
        </is>
      </c>
      <c r="H42" s="17">
        <f>SUMPRODUCT(ISERROR('Sessões'!$A$1:$L$5)*1)</f>
        <v/>
      </c>
      <c r="I42" s="13" t="inlineStr">
        <is>
          <t>Missões</t>
        </is>
      </c>
      <c r="J42" s="17">
        <f>SUMPRODUCT(ISERROR('Missões'!$A$1:$L$5)*1)</f>
        <v/>
      </c>
    </row>
    <row r="43">
      <c r="A43" s="13" t="inlineStr">
        <is>
          <t>NPCs</t>
        </is>
      </c>
      <c r="B43" s="17">
        <f>SUMPRODUCT(ISERROR('NPCs'!$A$1:$BF$232)*1)</f>
        <v/>
      </c>
      <c r="C43" s="13" t="inlineStr">
        <is>
          <t>Inimigos</t>
        </is>
      </c>
      <c r="D43" s="17">
        <f>SUMPRODUCT(ISERROR('Inimigos'!$A$1:$EA$219)*1)</f>
        <v/>
      </c>
      <c r="E43" s="13" t="inlineStr">
        <is>
          <t>Bestiário</t>
        </is>
      </c>
      <c r="F43" s="17">
        <f>SUMPRODUCT(ISERROR('Bestiário'!$A$1:$S$121)*1)</f>
        <v/>
      </c>
      <c r="G43" s="13" t="inlineStr">
        <is>
          <t>Encontros</t>
        </is>
      </c>
      <c r="H43" s="17">
        <f>SUMPRODUCT(ISERROR('Encontros'!$A$1:$BN$122)*1)</f>
        <v/>
      </c>
      <c r="I43" s="13" t="inlineStr">
        <is>
          <t>Combate</t>
        </is>
      </c>
      <c r="J43" s="17">
        <f>SUMPRODUCT(ISERROR('Combate'!$A$1:$CK$216)*1)</f>
        <v/>
      </c>
    </row>
    <row r="44" ht="26" customHeight="1">
      <c r="A44" s="13" t="inlineStr">
        <is>
          <t>Aventuras</t>
        </is>
      </c>
      <c r="B44" s="17">
        <f>SUMPRODUCT(ISERROR('Aventuras'!$A$1:$AU$116)*1)</f>
        <v/>
      </c>
      <c r="C44" s="13" t="inlineStr">
        <is>
          <t>Recompensas</t>
        </is>
      </c>
      <c r="D44" s="17">
        <f>SUMPRODUCT(ISERROR('Recompensas'!$A$1:$AK$159)*1)</f>
        <v/>
      </c>
      <c r="E44" s="13" t="inlineStr">
        <is>
          <t>Mundos</t>
        </is>
      </c>
      <c r="F44" s="17">
        <f>SUMPRODUCT(ISERROR('Mundos'!$A$1:$L$5)*1)</f>
        <v/>
      </c>
      <c r="G44" s="13" t="inlineStr">
        <is>
          <t>Improviso</t>
        </is>
      </c>
      <c r="H44" s="17">
        <f>SUMPRODUCT(ISERROR('Improviso'!$A$1:$L$5)*1)</f>
        <v/>
      </c>
      <c r="I44" s="13" t="inlineStr">
        <is>
          <t>Escudo do Mestre</t>
        </is>
      </c>
      <c r="J44" s="17">
        <f>SUMPRODUCT(ISERROR('Escudo do Mestre'!$A$1:$L$5)*1)</f>
        <v/>
      </c>
    </row>
    <row r="45">
      <c r="A45" s="13" t="inlineStr">
        <is>
          <t>Minhas Tabelas</t>
        </is>
      </c>
      <c r="B45" s="17">
        <f>SUMPRODUCT(ISERROR('Minhas Tabelas'!$A$1:$L$5)*1)</f>
        <v/>
      </c>
      <c r="C45" s="13" t="inlineStr">
        <is>
          <t>Tabelas</t>
        </is>
      </c>
      <c r="D45" s="17">
        <f>SUMPRODUCT(ISERROR('Tabelas'!$A$1:$AG$808)*1)</f>
        <v/>
      </c>
      <c r="E45" s="13" t="inlineStr">
        <is>
          <t>Dados</t>
        </is>
      </c>
      <c r="F45" s="17">
        <f>SUMPRODUCT(ISERROR('Dados'!$A$1:$BU$588)*1)</f>
        <v/>
      </c>
    </row>
  </sheetData>
  <mergeCells count="79">
    <mergeCell ref="K24:L24"/>
    <mergeCell ref="B25:F25"/>
    <mergeCell ref="K33:L33"/>
    <mergeCell ref="B27:F27"/>
    <mergeCell ref="G32:J32"/>
    <mergeCell ref="K26:L26"/>
    <mergeCell ref="K35:L35"/>
    <mergeCell ref="B34:F34"/>
    <mergeCell ref="B28:F28"/>
    <mergeCell ref="B37:F37"/>
    <mergeCell ref="B30:F30"/>
    <mergeCell ref="B20:F20"/>
    <mergeCell ref="G34:J34"/>
    <mergeCell ref="K28:L28"/>
    <mergeCell ref="A6:L6"/>
    <mergeCell ref="K37:L37"/>
    <mergeCell ref="K30:L30"/>
    <mergeCell ref="K15:L15"/>
    <mergeCell ref="G20:J20"/>
    <mergeCell ref="G29:J29"/>
    <mergeCell ref="A3:L3"/>
    <mergeCell ref="A12:L12"/>
    <mergeCell ref="K21:L21"/>
    <mergeCell ref="G22:J22"/>
    <mergeCell ref="G31:J31"/>
    <mergeCell ref="A5:L5"/>
    <mergeCell ref="K32:L32"/>
    <mergeCell ref="A14:L14"/>
    <mergeCell ref="G21:J21"/>
    <mergeCell ref="G23:J23"/>
    <mergeCell ref="B19:F19"/>
    <mergeCell ref="K27:L27"/>
    <mergeCell ref="G38:J38"/>
    <mergeCell ref="A40:L40"/>
    <mergeCell ref="B15:C15"/>
    <mergeCell ref="K19:L19"/>
    <mergeCell ref="G24:J24"/>
    <mergeCell ref="G33:J33"/>
    <mergeCell ref="A16:L16"/>
    <mergeCell ref="K25:L25"/>
    <mergeCell ref="G26:J26"/>
    <mergeCell ref="G35:J35"/>
    <mergeCell ref="B31:F31"/>
    <mergeCell ref="A18:L18"/>
    <mergeCell ref="G25:J25"/>
    <mergeCell ref="B21:F21"/>
    <mergeCell ref="K29:L29"/>
    <mergeCell ref="B23:F23"/>
    <mergeCell ref="C41:J41"/>
    <mergeCell ref="K31:L31"/>
    <mergeCell ref="E15:F15"/>
    <mergeCell ref="K23:L23"/>
    <mergeCell ref="G37:J37"/>
    <mergeCell ref="G15:J15"/>
    <mergeCell ref="B36:F36"/>
    <mergeCell ref="A7:L7"/>
    <mergeCell ref="K34:L34"/>
    <mergeCell ref="B22:F22"/>
    <mergeCell ref="K36:L36"/>
    <mergeCell ref="K20:L20"/>
    <mergeCell ref="A8:L8"/>
    <mergeCell ref="K22:L22"/>
    <mergeCell ref="G27:J27"/>
    <mergeCell ref="G36:J36"/>
    <mergeCell ref="B29:F29"/>
    <mergeCell ref="A10:L10"/>
    <mergeCell ref="B38:F38"/>
    <mergeCell ref="A9:L9"/>
    <mergeCell ref="G19:J19"/>
    <mergeCell ref="G28:J28"/>
    <mergeCell ref="B24:F24"/>
    <mergeCell ref="A11:L11"/>
    <mergeCell ref="B33:F33"/>
    <mergeCell ref="K38:L38"/>
    <mergeCell ref="A1:L1"/>
    <mergeCell ref="G30:J30"/>
    <mergeCell ref="B32:F32"/>
    <mergeCell ref="B26:F26"/>
    <mergeCell ref="B35:F35"/>
  </mergeCells>
  <conditionalFormatting sqref="K15">
    <cfRule type="expression" priority="1" dxfId="0">
      <formula>LEN(K15)&gt;0</formula>
    </cfRule>
  </conditionalFormatting>
  <dataValidations count="1">
    <dataValidation sqref="B15" showDropDown="0" showInputMessage="0" showErrorMessage="1" allowBlank="1" errorTitle="Valor fora da faixa" error="Semente da campanha: use um número inteiro de 1 a 2147483646." type="whole" errorStyle="warning" operator="between">
      <formula1>1</formula1>
      <formula2>2147483646</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4"/>
  <sheetViews>
    <sheetView showGridLines="1" workbookViewId="0">
      <selection activeCell="A1" sqref="A1"/>
    </sheetView>
  </sheetViews>
  <sheetFormatPr baseColWidth="8" defaultRowHeight="15"/>
  <cols>
    <col width="20.786" customWidth="1" min="1" max="1"/>
    <col width="13.643" customWidth="1" min="2" max="2"/>
    <col width="13.643"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1.5" customWidth="1" min="11" max="11"/>
    <col width="21.5" customWidth="1" min="12" max="12"/>
    <col hidden="1" width="13" customWidth="1" min="13" max="13"/>
    <col width="13" customWidth="1" min="14" max="14"/>
    <col width="13" customWidth="1" min="15" max="15"/>
    <col hidden="1" width="13" customWidth="1" min="16" max="16"/>
    <col hidden="1" width="13" customWidth="1" min="17" max="17"/>
  </cols>
  <sheetData>
    <row r="1" ht="24" customHeight="1">
      <c r="A1" s="1" t="inlineStr">
        <is>
          <t>Campanha — Explorando Galáxias v1.1</t>
        </is>
      </c>
    </row>
    <row r="2" ht="37" customHeight="1">
      <c r="A2" s="2"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A mesa: nível do grupo, número de jogadores e os números que saem deles.</t>
        </is>
      </c>
    </row>
    <row r="4"/>
    <row r="5" ht="20" customHeight="1">
      <c r="A5" s="12" t="inlineStr">
        <is>
          <t>Mesa (preencha uma vez: todas as abas leem daqui — D9)</t>
        </is>
      </c>
    </row>
    <row r="6">
      <c r="A6" s="7" t="inlineStr">
        <is>
          <t>Campo</t>
        </is>
      </c>
      <c r="B6" s="7" t="inlineStr">
        <is>
          <t>Valor (preencha)</t>
        </is>
      </c>
      <c r="C6" s="20" t="n"/>
      <c r="D6" s="20" t="n"/>
      <c r="E6" s="7" t="inlineStr">
        <is>
          <t>O que a planilha usa (automático)</t>
        </is>
      </c>
      <c r="F6" s="20" t="n"/>
      <c r="G6" s="20" t="n"/>
      <c r="H6" s="20" t="n"/>
      <c r="I6" s="20" t="n"/>
      <c r="J6" s="20" t="n"/>
      <c r="K6" s="7" t="inlineStr">
        <is>
          <t>Aviso</t>
        </is>
      </c>
      <c r="L6" s="20" t="n"/>
    </row>
    <row r="7" ht="26" customHeight="1">
      <c r="A7" s="8" t="inlineStr">
        <is>
          <t>Nome da campanha</t>
        </is>
      </c>
      <c r="B7" s="3" t="n"/>
      <c r="C7" s="24" t="n"/>
      <c r="D7" s="16" t="n"/>
      <c r="E7" s="4">
        <f>"A campanha aparece no título das abas de jogo."</f>
        <v/>
      </c>
      <c r="K7" s="18">
        <f>IF(Q7&gt;0,"O Google leu como fórmula: digite de novo com ' na frente.","")</f>
        <v/>
      </c>
      <c r="Q7" s="19">
        <f>ISERROR($B$7)*1</f>
        <v/>
      </c>
    </row>
    <row r="8" ht="26" customHeight="1">
      <c r="A8" s="21" t="inlineStr">
        <is>
          <t>Nº de jogadores</t>
        </is>
      </c>
      <c r="B8" s="25" t="n"/>
      <c r="C8" s="24" t="n"/>
      <c r="D8" s="16" t="n"/>
      <c r="E8" s="9">
        <f>IF(ISNUMBER($P$8),"Jogadores na mesa: "&amp;$B$21&amp;".","Vazio: usando o nº de PJs da aba Grupo ("&amp;$B$21&amp;").")</f>
        <v/>
      </c>
      <c r="K8" s="26">
        <f>IF(Q8&gt;0,"O Google leu como fórmula: digite de novo com ' na frente.",IF(LEN($P$8)=0,"",IF(NOT(ISNUMBER($P$8)),"Nº de jogadores não é número: usando o nº de PJs do Grupo",IF(OR($P$8&lt;1,$P$8&gt;6,INT($P$8)&lt;&gt;$P$8),"Nº de jogadores fora de 1 a 6: usando o limite",IF(OR($P$8&lt;3,$P$8&gt;6),"Fora da tabela de 16.2 (3 a 6): PH calculado com o limite 3 a 6","")))))</f>
        <v/>
      </c>
      <c r="P8" s="19">
        <f>IF(ISERROR($B$8),"",IF(ISBLANK($B$8),"",$B$8))</f>
        <v/>
      </c>
      <c r="Q8" s="19">
        <f>ISERROR($B$8)*1</f>
        <v/>
      </c>
    </row>
    <row r="9" ht="26" customHeight="1">
      <c r="A9" s="8" t="inlineStr">
        <is>
          <t>Nível do grupo</t>
        </is>
      </c>
      <c r="B9" s="27" t="n"/>
      <c r="C9" s="24" t="n"/>
      <c r="D9" s="16" t="n"/>
      <c r="E9" s="4">
        <f>IF(ISNUMBER($P$9),"Nível "&amp;$B$17&amp;", faixa "&amp;$B$19&amp;".","Vazio: as abas calculam com o nível 1 (faixa 1-4).")</f>
        <v/>
      </c>
      <c r="K9" s="18">
        <f>IF(Q9&gt;0,"O Google leu como fórmula: digite de novo com ' na frente.",IF(LEN($P$9)=0,"",IF(NOT(ISNUMBER($P$9)),"Nível não é número: usando 1",IF(OR($P$9&lt;1,$P$9&gt;20,INT($P$9)&lt;&gt;$P$9),"Nível fora de 1 a 20: usando o limite",""))))</f>
        <v/>
      </c>
      <c r="P9" s="19">
        <f>IF(ISERROR($B$9),"",IF(ISBLANK($B$9),"",$B$9))</f>
        <v/>
      </c>
      <c r="Q9" s="19">
        <f>ISERROR($B$9)*1</f>
        <v/>
      </c>
    </row>
    <row r="10" ht="26" customHeight="1">
      <c r="A10" s="21" t="inlineStr">
        <is>
          <t>Sessão atual</t>
        </is>
      </c>
      <c r="B10" s="25" t="n"/>
      <c r="C10" s="24" t="n"/>
      <c r="D10" s="16" t="n"/>
      <c r="E10" s="9">
        <f>"Sessões e diário: aba Sessões (próxima fase)."</f>
        <v/>
      </c>
      <c r="K10" s="26">
        <f>IF(Q10&gt;0,"O Google leu como fórmula: digite de novo com ' na frente.","")</f>
        <v/>
      </c>
      <c r="P10" s="19">
        <f>IF(ISERROR($B$10),"",IF(ISBLANK($B$10),"",$B$10))</f>
        <v/>
      </c>
      <c r="Q10" s="19">
        <f>ISERROR($B$10)*1</f>
        <v/>
      </c>
    </row>
    <row r="11" ht="26" customHeight="1">
      <c r="A11" s="8" t="inlineStr">
        <is>
          <t>Dia de campanha</t>
        </is>
      </c>
      <c r="B11" s="27" t="n"/>
      <c r="C11" s="24" t="n"/>
      <c r="D11" s="16" t="n"/>
      <c r="E11" s="4">
        <f>"Usado pela linha do tempo (próxima fase)."</f>
        <v/>
      </c>
      <c r="K11" s="18">
        <f>IF(Q11&gt;0,"O Google leu como fórmula: digite de novo com ' na frente.","")</f>
        <v/>
      </c>
      <c r="Q11" s="19">
        <f>ISERROR($B$11)*1</f>
        <v/>
      </c>
    </row>
    <row r="12" ht="26" customHeight="1">
      <c r="A12" s="21" t="inlineStr">
        <is>
          <t>Método de atributos</t>
        </is>
      </c>
      <c r="B12" s="28" t="n"/>
      <c r="C12" s="24" t="n"/>
      <c r="D12" s="16" t="n"/>
      <c r="E12" s="9">
        <f>"Lembrete da Sessão Zero (capítulo 03)."</f>
        <v/>
      </c>
      <c r="K12" s="26">
        <f>IF(Q12&gt;0,"O Google leu como fórmula: escolha de novo na lista.","")</f>
        <v/>
      </c>
      <c r="Q12" s="19">
        <f>ISERROR($B$12)*1</f>
        <v/>
      </c>
    </row>
    <row r="13" ht="71" customHeight="1">
      <c r="A13" s="8" t="inlineStr">
        <is>
          <t>Variantes da mesa</t>
        </is>
      </c>
      <c r="B13" s="3" t="n"/>
      <c r="C13" s="24" t="n"/>
      <c r="D13" s="16" t="n"/>
      <c r="E13" s="4">
        <f>"Texto livre: média impressa, PV rolado, outra variante (06.4, 28.3)."</f>
        <v/>
      </c>
      <c r="K13" s="18">
        <f>IF(Q13&gt;0,"O Google leu como fórmula: digite de novo com ' na frente.","")</f>
        <v/>
      </c>
      <c r="Q13" s="19">
        <f>ISERROR($B$13)*1</f>
        <v/>
      </c>
    </row>
    <row r="14"/>
    <row r="15" ht="20" customHeight="1">
      <c r="A15" s="12" t="inlineStr">
        <is>
          <t>Números do grupo (automático)</t>
        </is>
      </c>
    </row>
    <row r="16">
      <c r="A16" s="7" t="inlineStr">
        <is>
          <t>Campo</t>
        </is>
      </c>
      <c r="B16" s="7" t="inlineStr">
        <is>
          <t>Valor</t>
        </is>
      </c>
      <c r="C16" s="20" t="n"/>
      <c r="D16" s="7" t="inlineStr">
        <is>
          <t>Fonte no livro</t>
        </is>
      </c>
      <c r="E16" s="20" t="n"/>
      <c r="F16" s="20" t="n"/>
      <c r="G16" s="7" t="inlineStr">
        <is>
          <t>Observação</t>
        </is>
      </c>
      <c r="H16" s="20" t="n"/>
      <c r="I16" s="20" t="n"/>
      <c r="J16" s="20" t="n"/>
      <c r="K16" s="20" t="n"/>
      <c r="L16" s="20" t="n"/>
    </row>
    <row r="17">
      <c r="A17" s="8" t="inlineStr">
        <is>
          <t>Nível efetivo</t>
        </is>
      </c>
      <c r="B17" s="17">
        <f>IF(ISNUMBER($P$9),MIN(20,MAX(1,INT($P$9))),1)</f>
        <v/>
      </c>
      <c r="D17" s="13" t="inlineStr">
        <is>
          <t>26.1</t>
        </is>
      </c>
      <c r="G17" s="13" t="inlineStr">
        <is>
          <t>Vazio = 1.</t>
        </is>
      </c>
    </row>
    <row r="18">
      <c r="A18" s="21" t="inlineStr">
        <is>
          <t>Índice da faixa</t>
        </is>
      </c>
      <c r="B18" s="29">
        <f>INT(($B$17-1)/4)+1</f>
        <v/>
      </c>
      <c r="D18" s="22" t="inlineStr">
        <is>
          <t>26.3</t>
        </is>
      </c>
      <c r="G18" s="22" t="inlineStr">
        <is>
          <t>1 a 5.</t>
        </is>
      </c>
    </row>
    <row r="19">
      <c r="A19" s="8" t="inlineStr">
        <is>
          <t>Faixa do grupo</t>
        </is>
      </c>
      <c r="B19" s="17">
        <f>INDEX('Dados'!$B$7:$B$11,$B$18)</f>
        <v/>
      </c>
      <c r="D19" s="13" t="inlineStr">
        <is>
          <t>26.3</t>
        </is>
      </c>
      <c r="G19" s="13" t="inlineStr">
        <is>
          <t>A faixa do inimigo é a faixa do grupo (28.4 passo 1).</t>
        </is>
      </c>
    </row>
    <row r="20">
      <c r="A20" s="21" t="inlineStr">
        <is>
          <t>Eficiência</t>
        </is>
      </c>
      <c r="B20" s="29">
        <f>INDEX('Dados'!$B$15:$B$34,$B$17)</f>
        <v/>
      </c>
      <c r="D20" s="22" t="inlineStr">
        <is>
          <t>26.2 (02.3)</t>
        </is>
      </c>
      <c r="G20" s="22" t="inlineStr">
        <is>
          <t>Usada no Dano de Quebra e nas condições.</t>
        </is>
      </c>
    </row>
    <row r="21" ht="26" customHeight="1">
      <c r="A21" s="8" t="inlineStr">
        <is>
          <t>Nº de jogadores efetivo</t>
        </is>
      </c>
      <c r="B21" s="17">
        <f>IF(ISNUMBER($P$8),MIN(6,MAX(1,INT($P$8))),MAX(1,'Grupo'!$B$42))</f>
        <v/>
      </c>
      <c r="D21" s="13" t="inlineStr">
        <is>
          <t>16.2</t>
        </is>
      </c>
      <c r="G21" s="13" t="inlineStr">
        <is>
          <t>Vazio = nº de PJs da aba Grupo (mínimo 1).</t>
        </is>
      </c>
    </row>
    <row r="22" ht="26" customHeight="1">
      <c r="A22" s="21" t="inlineStr">
        <is>
          <t>Jogadores para o PH</t>
        </is>
      </c>
      <c r="B22" s="29">
        <f>MIN(6,MAX(3,$B$21))</f>
        <v/>
      </c>
      <c r="D22" s="22" t="inlineStr">
        <is>
          <t>16.2</t>
        </is>
      </c>
      <c r="G22" s="22" t="inlineStr">
        <is>
          <t>A tabela de 16.2 vai de 3 a 6 jogadores.</t>
        </is>
      </c>
    </row>
    <row r="23">
      <c r="A23" s="8" t="inlineStr">
        <is>
          <t>Degrau de PH</t>
        </is>
      </c>
      <c r="B23" s="17">
        <f>IF($B$17&lt;=8,1,IF($B$17&lt;=16,2,3))</f>
        <v/>
      </c>
      <c r="D23" s="13" t="inlineStr">
        <is>
          <t>16.2</t>
        </is>
      </c>
      <c r="G23" s="13" t="inlineStr">
        <is>
          <t>1 = níveis 1-8; 2 = 9-16; 3 = 17-20.</t>
        </is>
      </c>
    </row>
    <row r="24" ht="26" customHeight="1">
      <c r="A24" s="21" t="inlineStr">
        <is>
          <t>PH máximo do grupo</t>
        </is>
      </c>
      <c r="B24" s="29">
        <f>IF($B$23=1,INDEX('Dados'!$B$343:$B$346,MATCH($B$22,'Dados'!$A$343:$A$346,0)),IF($B$23=2,INDEX('Dados'!$C$343:$C$346,MATCH($B$22,'Dados'!$A$343:$A$346,0)),INDEX('Dados'!$D$343:$D$346,MATCH($B$22,'Dados'!$A$343:$A$346,0))))</f>
        <v/>
      </c>
      <c r="D24" s="22" t="inlineStr">
        <is>
          <t>16.2</t>
        </is>
      </c>
      <c r="G24" s="22" t="inlineStr">
        <is>
          <t>Degraus 1-8, 9-16 e 17-20.</t>
        </is>
      </c>
    </row>
    <row r="25" ht="26" customHeight="1">
      <c r="A25" s="8" t="inlineStr">
        <is>
          <t>PH no início do combate</t>
        </is>
      </c>
      <c r="B25" s="17">
        <f>IF($B$23=1,INDEX('Dados'!$E$343:$E$346,MATCH($B$22,'Dados'!$A$343:$A$346,0)),IF($B$23=2,INDEX('Dados'!$F$343:$F$346,MATCH($B$22,'Dados'!$A$343:$A$346,0)),INDEX('Dados'!$G$343:$G$346,MATCH($B$22,'Dados'!$A$343:$A$346,0))))</f>
        <v/>
      </c>
      <c r="D25" s="13" t="inlineStr">
        <is>
          <t>16.2</t>
        </is>
      </c>
      <c r="G25" s="13" t="inlineStr">
        <is>
          <t>Começa cada combate com o máximo menos 2.</t>
        </is>
      </c>
    </row>
    <row r="26">
      <c r="A26" s="7" t="inlineStr">
        <is>
          <t>Campo</t>
        </is>
      </c>
      <c r="B26" s="7" t="inlineStr">
        <is>
          <t>Valor</t>
        </is>
      </c>
      <c r="C26" s="20" t="n"/>
      <c r="D26" s="7" t="inlineStr">
        <is>
          <t>Fonte no livro</t>
        </is>
      </c>
      <c r="E26" s="20" t="n"/>
      <c r="F26" s="20" t="n"/>
      <c r="G26" s="7" t="inlineStr">
        <is>
          <t>Observação</t>
        </is>
      </c>
      <c r="H26" s="20" t="n"/>
      <c r="I26" s="20" t="n"/>
      <c r="J26" s="20" t="n"/>
      <c r="K26" s="20" t="n"/>
      <c r="L26" s="20" t="n"/>
    </row>
    <row r="27">
      <c r="A27" s="8" t="inlineStr">
        <is>
          <t>DT Média da faixa</t>
        </is>
      </c>
      <c r="B27" s="17">
        <f>IF($B$18=1,INDEX('Dados'!$B$284:$B$289,3),IF($B$18=2,INDEX('Dados'!$C$284:$C$289,3),IF($B$18=3,INDEX('Dados'!$D$284:$D$289,3),IF($B$18=4,INDEX('Dados'!$E$284:$E$289,3),INDEX('Dados'!$F$284:$F$289,3)))))</f>
        <v/>
      </c>
      <c r="D27" s="13" t="inlineStr">
        <is>
          <t>27.2</t>
        </is>
      </c>
      <c r="G27" s="13" t="inlineStr">
        <is>
          <t>Regra 1: a faixa é a do desafio, não a do personagem.</t>
        </is>
      </c>
    </row>
    <row r="28">
      <c r="A28" s="21" t="inlineStr">
        <is>
          <t>DT Difícil da faixa</t>
        </is>
      </c>
      <c r="B28" s="29">
        <f>IF($B$18=1,INDEX('Dados'!$B$284:$B$289,4),IF($B$18=2,INDEX('Dados'!$C$284:$C$289,4),IF($B$18=3,INDEX('Dados'!$D$284:$D$289,4),IF($B$18=4,INDEX('Dados'!$E$284:$E$289,4),INDEX('Dados'!$F$284:$F$289,4)))))</f>
        <v/>
      </c>
      <c r="D28" s="22" t="inlineStr">
        <is>
          <t>27.2</t>
        </is>
      </c>
      <c r="G28" s="22" t="inlineStr"/>
    </row>
    <row r="29" ht="26" customHeight="1">
      <c r="A29" s="8" t="inlineStr">
        <is>
          <t>DT para descobrir Fraqueza</t>
        </is>
      </c>
      <c r="B29" s="17">
        <f>IFERROR(INDEX('Dados'!$B$293:$B$297,MATCH($B$19,'Dados'!$A$293:$A$297,0)),"")</f>
        <v/>
      </c>
      <c r="D29" s="13" t="inlineStr">
        <is>
          <t>20.2</t>
        </is>
      </c>
      <c r="G29" s="13" t="inlineStr">
        <is>
          <t>Pela faixa do inimigo mais forte da cena.</t>
        </is>
      </c>
    </row>
    <row r="30" ht="26" customHeight="1">
      <c r="A30" s="21" t="inlineStr">
        <is>
          <t>Cone de Luz máximo</t>
        </is>
      </c>
      <c r="B30" s="29">
        <f>IFERROR(INDEX('Dados'!$B$380:$B$384,MATCH($B$19,'Dados'!$A$380:$A$384,0)),"")</f>
        <v/>
      </c>
      <c r="D30" s="22" t="inlineStr">
        <is>
          <t>25.1</t>
        </is>
      </c>
      <c r="G30" s="22" t="inlineStr"/>
    </row>
    <row r="31" ht="26" customHeight="1">
      <c r="A31" s="8" t="inlineStr">
        <is>
          <t>Relíquias</t>
        </is>
      </c>
      <c r="B31" s="17">
        <f>IFERROR(INDEX('Dados'!$C$380:$C$384,MATCH($B$19,'Dados'!$A$380:$A$384,0)),"")</f>
        <v/>
      </c>
      <c r="D31" s="13" t="inlineStr">
        <is>
          <t>25.1</t>
        </is>
      </c>
      <c r="G31" s="13" t="inlineStr"/>
    </row>
    <row r="32">
      <c r="A32" s="21" t="inlineStr">
        <is>
          <t>Verba de marco (Cr)</t>
        </is>
      </c>
      <c r="B32" s="29">
        <f>IFERROR(INDEX('Dados'!$B$372:$B$376,MATCH($B$19,'Dados'!$A$372:$A$376,0)),"")</f>
        <v/>
      </c>
      <c r="D32" s="22" t="inlineStr">
        <is>
          <t>24.5</t>
        </is>
      </c>
      <c r="G32" s="22" t="inlineStr">
        <is>
          <t>Por marco, para o grupo.</t>
        </is>
      </c>
    </row>
    <row r="33"/>
    <row r="34">
      <c r="A34" s="11" t="inlineStr">
        <is>
          <t>Não existe experiência por inimigo derrotado: a progressão é por marco narrativo (26.1).</t>
        </is>
      </c>
    </row>
  </sheetData>
  <mergeCells count="80">
    <mergeCell ref="B11:D11"/>
    <mergeCell ref="G19:L19"/>
    <mergeCell ref="G28:L28"/>
    <mergeCell ref="E9:J9"/>
    <mergeCell ref="B22:C22"/>
    <mergeCell ref="B31:C31"/>
    <mergeCell ref="G30:L30"/>
    <mergeCell ref="B21:C21"/>
    <mergeCell ref="E11:J11"/>
    <mergeCell ref="D28:F28"/>
    <mergeCell ref="D30:F30"/>
    <mergeCell ref="B6:D6"/>
    <mergeCell ref="D29:F29"/>
    <mergeCell ref="D23:F23"/>
    <mergeCell ref="G32:L32"/>
    <mergeCell ref="A34:L34"/>
    <mergeCell ref="B24:C24"/>
    <mergeCell ref="E8:J8"/>
    <mergeCell ref="B32:C32"/>
    <mergeCell ref="B26:C26"/>
    <mergeCell ref="K13:L13"/>
    <mergeCell ref="B16:C16"/>
    <mergeCell ref="E10:J10"/>
    <mergeCell ref="D27:F27"/>
    <mergeCell ref="B25:C25"/>
    <mergeCell ref="B8:D8"/>
    <mergeCell ref="G18:L18"/>
    <mergeCell ref="D17:F17"/>
    <mergeCell ref="B18:C18"/>
    <mergeCell ref="A3:L3"/>
    <mergeCell ref="B27:C27"/>
    <mergeCell ref="B10:D10"/>
    <mergeCell ref="A5:L5"/>
    <mergeCell ref="B9:D9"/>
    <mergeCell ref="G20:L20"/>
    <mergeCell ref="D25:F25"/>
    <mergeCell ref="G29:L29"/>
    <mergeCell ref="B29:C29"/>
    <mergeCell ref="G22:L22"/>
    <mergeCell ref="G31:L31"/>
    <mergeCell ref="E12:J12"/>
    <mergeCell ref="G21:L21"/>
    <mergeCell ref="D31:F31"/>
    <mergeCell ref="K10:L10"/>
    <mergeCell ref="G23:L23"/>
    <mergeCell ref="D21:F21"/>
    <mergeCell ref="K6:L6"/>
    <mergeCell ref="D32:F32"/>
    <mergeCell ref="K9:L9"/>
    <mergeCell ref="B13:D13"/>
    <mergeCell ref="D16:F16"/>
    <mergeCell ref="K11:L11"/>
    <mergeCell ref="D18:F18"/>
    <mergeCell ref="B17:C17"/>
    <mergeCell ref="G25:L25"/>
    <mergeCell ref="K8:L8"/>
    <mergeCell ref="B19:C19"/>
    <mergeCell ref="B28:C28"/>
    <mergeCell ref="D20:F20"/>
    <mergeCell ref="B30:C30"/>
    <mergeCell ref="A15:L15"/>
    <mergeCell ref="K7:L7"/>
    <mergeCell ref="B20:C20"/>
    <mergeCell ref="D22:F22"/>
    <mergeCell ref="B12:D12"/>
    <mergeCell ref="E13:J13"/>
    <mergeCell ref="E6:J6"/>
    <mergeCell ref="G24:L24"/>
    <mergeCell ref="B23:C23"/>
    <mergeCell ref="G26:L26"/>
    <mergeCell ref="E7:J7"/>
    <mergeCell ref="D24:F24"/>
    <mergeCell ref="G16:L16"/>
    <mergeCell ref="K12:L12"/>
    <mergeCell ref="D26:F26"/>
    <mergeCell ref="B7:D7"/>
    <mergeCell ref="D19:F19"/>
    <mergeCell ref="G27:L27"/>
    <mergeCell ref="A1:L1"/>
    <mergeCell ref="G17:L17"/>
  </mergeCells>
  <conditionalFormatting sqref="K8">
    <cfRule type="expression" priority="1" dxfId="0">
      <formula>LEN(K8)&gt;0</formula>
    </cfRule>
  </conditionalFormatting>
  <conditionalFormatting sqref="K9">
    <cfRule type="expression" priority="2" dxfId="0">
      <formula>LEN(K9)&gt;0</formula>
    </cfRule>
  </conditionalFormatting>
  <conditionalFormatting sqref="K7">
    <cfRule type="expression" priority="3" dxfId="0">
      <formula>LEN(K7)&gt;0</formula>
    </cfRule>
  </conditionalFormatting>
  <conditionalFormatting sqref="K10">
    <cfRule type="expression" priority="4" dxfId="0">
      <formula>LEN(K10)&gt;0</formula>
    </cfRule>
  </conditionalFormatting>
  <conditionalFormatting sqref="K11">
    <cfRule type="expression" priority="5" dxfId="0">
      <formula>LEN(K11)&gt;0</formula>
    </cfRule>
  </conditionalFormatting>
  <conditionalFormatting sqref="K12">
    <cfRule type="expression" priority="6" dxfId="0">
      <formula>LEN(K12)&gt;0</formula>
    </cfRule>
  </conditionalFormatting>
  <conditionalFormatting sqref="K13">
    <cfRule type="expression" priority="7" dxfId="0">
      <formula>LEN(K13)&gt;0</formula>
    </cfRule>
  </conditionalFormatting>
  <dataValidations count="7">
    <dataValidation sqref="B7" showDropDown="0" showInputMessage="0" showErrorMessage="1" allowBlank="1" errorTitle="Texto longo" error="Nome da campanha: até 60 caracteres." type="textLength" errorStyle="warning" operator="lessThanOrEqual">
      <formula1>60</formula1>
    </dataValidation>
    <dataValidation sqref="B8" showDropDown="0" showInputMessage="0" showErrorMessage="1" allowBlank="1" errorTitle="Valor fora da faixa" error="Nº de jogadores: use um número inteiro de 1 a 6." type="whole" errorStyle="warning" operator="between">
      <formula1>1</formula1>
      <formula2>6</formula2>
    </dataValidation>
    <dataValidation sqref="B9" showDropDown="0" showInputMessage="0" showErrorMessage="1" allowBlank="1" errorTitle="Valor fora da faixa" error="Nível do grupo: use um número inteiro de 1 a 20." type="whole" errorStyle="warning" operator="between">
      <formula1>1</formula1>
      <formula2>20</formula2>
    </dataValidation>
    <dataValidation sqref="B10" showDropDown="0" showInputMessage="0" showErrorMessage="1" allowBlank="1" errorTitle="Valor fora da faixa" error="Sessão atual: use um número inteiro de 1 a 999." type="whole" errorStyle="warning" operator="between">
      <formula1>1</formula1>
      <formula2>999</formula2>
    </dataValidation>
    <dataValidation sqref="B11" showDropDown="0" showInputMessage="0" showErrorMessage="1" allowBlank="1" errorTitle="Valor fora da faixa" error="Dia de campanha: use um número inteiro de 1 a 9999." type="whole" errorStyle="warning" operator="between">
      <formula1>1</formula1>
      <formula2>9999</formula2>
    </dataValidation>
    <dataValidation sqref="B12" showDropDown="0" showInputMessage="0" showErrorMessage="1" allowBlank="1" errorTitle="Fora da lista" error="Método de atributos: escolha um valor da lista. A planilha pode não reconhecer outro valor." type="list" errorStyle="warning">
      <formula1>"Array oficial,Compra de Pontos"</formula1>
    </dataValidation>
    <dataValidation sqref="B13" showDropDown="0" showInputMessage="0" showErrorMessage="1" allowBlank="1" errorTitle="Texto longo" error="Variantes da mesa: até 200 caracteres." type="textLength" errorStyle="warning" operator="lessThanOrEqual">
      <formula1>200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5"/>
  <sheetViews>
    <sheetView showGridLines="1" workbookViewId="0">
      <selection activeCell="A1" sqref="A1"/>
    </sheetView>
  </sheetViews>
  <sheetFormatPr baseColWidth="8" defaultRowHeight="15"/>
  <cols>
    <col width="20.786" customWidth="1" min="1" max="1"/>
    <col width="13.643" customWidth="1" min="2" max="2"/>
    <col width="16.5" customWidth="1" min="3" max="3"/>
    <col width="17.214" customWidth="1" min="4" max="4"/>
    <col width="15.786" customWidth="1" min="5" max="5"/>
    <col width="13.643" customWidth="1" min="6" max="6"/>
    <col width="13.643" customWidth="1" min="7" max="7"/>
    <col width="15.786" customWidth="1" min="8" max="8"/>
    <col width="13.643" customWidth="1" min="9" max="9"/>
    <col width="13.643" customWidth="1" min="10" max="10"/>
    <col width="16.214" customWidth="1" min="11" max="11"/>
    <col width="15.929" customWidth="1" min="12" max="12"/>
    <col hidden="1" width="13" customWidth="1" min="13" max="13"/>
    <col width="13" customWidth="1" min="14" max="14"/>
    <col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s>
  <sheetData>
    <row r="1" ht="24" customHeight="1">
      <c r="A1" s="1" t="inlineStr">
        <is>
          <t>Grupo — Explorando Galáxias v1.1</t>
        </is>
      </c>
    </row>
    <row r="2" ht="26" customHeight="1">
      <c r="A2" s="2"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Os personagens jogadores, copiados da ficha de cada jogador (uma linha por PJ).</t>
        </is>
      </c>
    </row>
    <row r="4"/>
    <row r="5" ht="20" customHeight="1">
      <c r="A5" s="12" t="inlineStr">
        <is>
          <t>G1 · Quem é (preencha, da ficha de cada jogador)</t>
        </is>
      </c>
    </row>
    <row r="6" ht="26" customHeight="1">
      <c r="A6" s="7" t="inlineStr">
        <is>
          <t>Nome do PJ</t>
        </is>
      </c>
      <c r="B6" s="7" t="inlineStr">
        <is>
          <t>Jogador</t>
        </is>
      </c>
      <c r="C6" s="7" t="inlineStr">
        <is>
          <t>Raça</t>
        </is>
      </c>
      <c r="D6" s="7" t="inlineStr">
        <is>
          <t>Caminho</t>
        </is>
      </c>
      <c r="E6" s="7" t="inlineStr">
        <is>
          <t>Elemento</t>
        </is>
      </c>
      <c r="F6" s="7" t="inlineStr">
        <is>
          <t>Propósito de Vida</t>
        </is>
      </c>
      <c r="G6" s="20" t="n"/>
      <c r="H6" s="20" t="n"/>
      <c r="I6" s="7" t="inlineStr">
        <is>
          <t>Crença do Esforço (Humano)</t>
        </is>
      </c>
      <c r="J6" s="20" t="n"/>
      <c r="K6" s="7" t="inlineStr">
        <is>
          <t>Aviso</t>
        </is>
      </c>
      <c r="L6" s="20" t="n"/>
    </row>
    <row r="7" ht="60" customHeight="1">
      <c r="A7" s="30" t="n"/>
      <c r="B7" s="3" t="n"/>
      <c r="C7" s="3" t="n"/>
      <c r="D7" s="3" t="n"/>
      <c r="E7" s="3" t="n"/>
      <c r="F7" s="3" t="n"/>
      <c r="G7" s="24" t="n"/>
      <c r="H7" s="16" t="n"/>
      <c r="I7" s="3" t="n"/>
      <c r="J7" s="16" t="n"/>
      <c r="K7" s="18">
        <f>IF(Y7&gt;0,"O Google leu como fórmula: escolha de novo ou digite com ' na frente.",IF(AND(LEN($R$7)&gt;0,COUNTIF('Dados'!$A$350:$A$356,$R$7)=0),"Raça fora da lista do capítulo 05",IF(AND(LEN($T$7)&gt;0,COUNTIF($T$7:$T$12,$T$7)&gt;1),"Elemento repetido no grupo: cuidado com a Resistência (regra irmã, 27.5)",IF(AND(LEN($P$7)=0,LEN($R$7&amp;$T$7&amp;$S$7)&gt;0),"Linha sem nome: o PJ não entra na contagem",""))))</f>
        <v/>
      </c>
      <c r="P7" s="19">
        <f>IF(ISERROR($A$7),"",IF(ISBLANK($A$7),"",$A$7))</f>
        <v/>
      </c>
      <c r="R7" s="19">
        <f>IF(ISERROR($C$7),"",IF(ISBLANK($C$7),"",$C$7))</f>
        <v/>
      </c>
      <c r="S7" s="19">
        <f>IF(ISERROR($D$7),"",IF(ISBLANK($D$7),"",$D$7))</f>
        <v/>
      </c>
      <c r="T7" s="19">
        <f>IF(ISERROR($E$7),"",IF(ISBLANK($E$7),"",$E$7))</f>
        <v/>
      </c>
      <c r="Y7" s="19">
        <f>ISERROR($A$7)*1+ISERROR($B$7)*1+ISERROR($C$7)*1+ISERROR($D$7)*1+ISERROR($E$7)*1+ISERROR($F$7)*1+ISERROR($I$7)*1</f>
        <v/>
      </c>
    </row>
    <row r="8" ht="60" customHeight="1">
      <c r="A8" s="31" t="n"/>
      <c r="B8" s="28" t="n"/>
      <c r="C8" s="28" t="n"/>
      <c r="D8" s="28" t="n"/>
      <c r="E8" s="28" t="n"/>
      <c r="F8" s="28" t="n"/>
      <c r="G8" s="24" t="n"/>
      <c r="H8" s="16" t="n"/>
      <c r="I8" s="28" t="n"/>
      <c r="J8" s="16" t="n"/>
      <c r="K8" s="26">
        <f>IF(Y8&gt;0,"O Google leu como fórmula: escolha de novo ou digite com ' na frente.",IF(AND(LEN($R$8)&gt;0,COUNTIF('Dados'!$A$350:$A$356,$R$8)=0),"Raça fora da lista do capítulo 05",IF(AND(LEN($T$8)&gt;0,COUNTIF($T$7:$T$12,$T$8)&gt;1),"Elemento repetido no grupo: cuidado com a Resistência (regra irmã, 27.5)",IF(AND(LEN($P$8)=0,LEN($R$8&amp;$T$8&amp;$S$8)&gt;0),"Linha sem nome: o PJ não entra na contagem",""))))</f>
        <v/>
      </c>
      <c r="P8" s="19">
        <f>IF(ISERROR($A$8),"",IF(ISBLANK($A$8),"",$A$8))</f>
        <v/>
      </c>
      <c r="R8" s="19">
        <f>IF(ISERROR($C$8),"",IF(ISBLANK($C$8),"",$C$8))</f>
        <v/>
      </c>
      <c r="S8" s="19">
        <f>IF(ISERROR($D$8),"",IF(ISBLANK($D$8),"",$D$8))</f>
        <v/>
      </c>
      <c r="T8" s="19">
        <f>IF(ISERROR($E$8),"",IF(ISBLANK($E$8),"",$E$8))</f>
        <v/>
      </c>
      <c r="Y8" s="19">
        <f>ISERROR($A$8)*1+ISERROR($B$8)*1+ISERROR($C$8)*1+ISERROR($D$8)*1+ISERROR($E$8)*1+ISERROR($F$8)*1+ISERROR($I$8)*1</f>
        <v/>
      </c>
    </row>
    <row r="9" ht="60" customHeight="1">
      <c r="A9" s="30" t="n"/>
      <c r="B9" s="3" t="n"/>
      <c r="C9" s="3" t="n"/>
      <c r="D9" s="3" t="n"/>
      <c r="E9" s="3" t="n"/>
      <c r="F9" s="3" t="n"/>
      <c r="G9" s="24" t="n"/>
      <c r="H9" s="16" t="n"/>
      <c r="I9" s="3" t="n"/>
      <c r="J9" s="16" t="n"/>
      <c r="K9" s="18">
        <f>IF(Y9&gt;0,"O Google leu como fórmula: escolha de novo ou digite com ' na frente.",IF(AND(LEN($R$9)&gt;0,COUNTIF('Dados'!$A$350:$A$356,$R$9)=0),"Raça fora da lista do capítulo 05",IF(AND(LEN($T$9)&gt;0,COUNTIF($T$7:$T$12,$T$9)&gt;1),"Elemento repetido no grupo: cuidado com a Resistência (regra irmã, 27.5)",IF(AND(LEN($P$9)=0,LEN($R$9&amp;$T$9&amp;$S$9)&gt;0),"Linha sem nome: o PJ não entra na contagem",""))))</f>
        <v/>
      </c>
      <c r="P9" s="19">
        <f>IF(ISERROR($A$9),"",IF(ISBLANK($A$9),"",$A$9))</f>
        <v/>
      </c>
      <c r="R9" s="19">
        <f>IF(ISERROR($C$9),"",IF(ISBLANK($C$9),"",$C$9))</f>
        <v/>
      </c>
      <c r="S9" s="19">
        <f>IF(ISERROR($D$9),"",IF(ISBLANK($D$9),"",$D$9))</f>
        <v/>
      </c>
      <c r="T9" s="19">
        <f>IF(ISERROR($E$9),"",IF(ISBLANK($E$9),"",$E$9))</f>
        <v/>
      </c>
      <c r="Y9" s="19">
        <f>ISERROR($A$9)*1+ISERROR($B$9)*1+ISERROR($C$9)*1+ISERROR($D$9)*1+ISERROR($E$9)*1+ISERROR($F$9)*1+ISERROR($I$9)*1</f>
        <v/>
      </c>
    </row>
    <row r="10" ht="60" customHeight="1">
      <c r="A10" s="31" t="n"/>
      <c r="B10" s="28" t="n"/>
      <c r="C10" s="28" t="n"/>
      <c r="D10" s="28" t="n"/>
      <c r="E10" s="28" t="n"/>
      <c r="F10" s="28" t="n"/>
      <c r="G10" s="24" t="n"/>
      <c r="H10" s="16" t="n"/>
      <c r="I10" s="28" t="n"/>
      <c r="J10" s="16" t="n"/>
      <c r="K10" s="26">
        <f>IF(Y10&gt;0,"O Google leu como fórmula: escolha de novo ou digite com ' na frente.",IF(AND(LEN($R$10)&gt;0,COUNTIF('Dados'!$A$350:$A$356,$R$10)=0),"Raça fora da lista do capítulo 05",IF(AND(LEN($T$10)&gt;0,COUNTIF($T$7:$T$12,$T$10)&gt;1),"Elemento repetido no grupo: cuidado com a Resistência (regra irmã, 27.5)",IF(AND(LEN($P$10)=0,LEN($R$10&amp;$T$10&amp;$S$10)&gt;0),"Linha sem nome: o PJ não entra na contagem",""))))</f>
        <v/>
      </c>
      <c r="P10" s="19">
        <f>IF(ISERROR($A$10),"",IF(ISBLANK($A$10),"",$A$10))</f>
        <v/>
      </c>
      <c r="R10" s="19">
        <f>IF(ISERROR($C$10),"",IF(ISBLANK($C$10),"",$C$10))</f>
        <v/>
      </c>
      <c r="S10" s="19">
        <f>IF(ISERROR($D$10),"",IF(ISBLANK($D$10),"",$D$10))</f>
        <v/>
      </c>
      <c r="T10" s="19">
        <f>IF(ISERROR($E$10),"",IF(ISBLANK($E$10),"",$E$10))</f>
        <v/>
      </c>
      <c r="Y10" s="19">
        <f>ISERROR($A$10)*1+ISERROR($B$10)*1+ISERROR($C$10)*1+ISERROR($D$10)*1+ISERROR($E$10)*1+ISERROR($F$10)*1+ISERROR($I$10)*1</f>
        <v/>
      </c>
    </row>
    <row r="11" ht="60" customHeight="1">
      <c r="A11" s="30" t="n"/>
      <c r="B11" s="3" t="n"/>
      <c r="C11" s="3" t="n"/>
      <c r="D11" s="3" t="n"/>
      <c r="E11" s="3" t="n"/>
      <c r="F11" s="3" t="n"/>
      <c r="G11" s="24" t="n"/>
      <c r="H11" s="16" t="n"/>
      <c r="I11" s="3" t="n"/>
      <c r="J11" s="16" t="n"/>
      <c r="K11" s="18">
        <f>IF(Y11&gt;0,"O Google leu como fórmula: escolha de novo ou digite com ' na frente.",IF(AND(LEN($R$11)&gt;0,COUNTIF('Dados'!$A$350:$A$356,$R$11)=0),"Raça fora da lista do capítulo 05",IF(AND(LEN($T$11)&gt;0,COUNTIF($T$7:$T$12,$T$11)&gt;1),"Elemento repetido no grupo: cuidado com a Resistência (regra irmã, 27.5)",IF(AND(LEN($P$11)=0,LEN($R$11&amp;$T$11&amp;$S$11)&gt;0),"Linha sem nome: o PJ não entra na contagem",""))))</f>
        <v/>
      </c>
      <c r="P11" s="19">
        <f>IF(ISERROR($A$11),"",IF(ISBLANK($A$11),"",$A$11))</f>
        <v/>
      </c>
      <c r="R11" s="19">
        <f>IF(ISERROR($C$11),"",IF(ISBLANK($C$11),"",$C$11))</f>
        <v/>
      </c>
      <c r="S11" s="19">
        <f>IF(ISERROR($D$11),"",IF(ISBLANK($D$11),"",$D$11))</f>
        <v/>
      </c>
      <c r="T11" s="19">
        <f>IF(ISERROR($E$11),"",IF(ISBLANK($E$11),"",$E$11))</f>
        <v/>
      </c>
      <c r="Y11" s="19">
        <f>ISERROR($A$11)*1+ISERROR($B$11)*1+ISERROR($C$11)*1+ISERROR($D$11)*1+ISERROR($E$11)*1+ISERROR($F$11)*1+ISERROR($I$11)*1</f>
        <v/>
      </c>
    </row>
    <row r="12" ht="60" customHeight="1">
      <c r="A12" s="31" t="n"/>
      <c r="B12" s="28" t="n"/>
      <c r="C12" s="28" t="n"/>
      <c r="D12" s="28" t="n"/>
      <c r="E12" s="28" t="n"/>
      <c r="F12" s="28" t="n"/>
      <c r="G12" s="24" t="n"/>
      <c r="H12" s="16" t="n"/>
      <c r="I12" s="28" t="n"/>
      <c r="J12" s="16" t="n"/>
      <c r="K12" s="26">
        <f>IF(Y12&gt;0,"O Google leu como fórmula: escolha de novo ou digite com ' na frente.",IF(AND(LEN($R$12)&gt;0,COUNTIF('Dados'!$A$350:$A$356,$R$12)=0),"Raça fora da lista do capítulo 05",IF(AND(LEN($T$12)&gt;0,COUNTIF($T$7:$T$12,$T$12)&gt;1),"Elemento repetido no grupo: cuidado com a Resistência (regra irmã, 27.5)",IF(AND(LEN($P$12)=0,LEN($R$12&amp;$T$12&amp;$S$12)&gt;0),"Linha sem nome: o PJ não entra na contagem",""))))</f>
        <v/>
      </c>
      <c r="P12" s="19">
        <f>IF(ISERROR($A$12),"",IF(ISBLANK($A$12),"",$A$12))</f>
        <v/>
      </c>
      <c r="R12" s="19">
        <f>IF(ISERROR($C$12),"",IF(ISBLANK($C$12),"",$C$12))</f>
        <v/>
      </c>
      <c r="S12" s="19">
        <f>IF(ISERROR($D$12),"",IF(ISBLANK($D$12),"",$D$12))</f>
        <v/>
      </c>
      <c r="T12" s="19">
        <f>IF(ISERROR($E$12),"",IF(ISBLANK($E$12),"",$E$12))</f>
        <v/>
      </c>
      <c r="Y12" s="19">
        <f>ISERROR($A$12)*1+ISERROR($B$12)*1+ISERROR($C$12)*1+ISERROR($D$12)*1+ISERROR($E$12)*1+ISERROR($F$12)*1+ISERROR($I$12)*1</f>
        <v/>
      </c>
    </row>
    <row r="13"/>
    <row r="14" ht="20" customHeight="1">
      <c r="A14" s="12" t="inlineStr">
        <is>
          <t>G2 · Números de combate (preencha, da aba Em Jogo da ficha)</t>
        </is>
      </c>
    </row>
    <row r="15" ht="26" customHeight="1">
      <c r="A15" s="7" t="inlineStr">
        <is>
          <t>PJ</t>
        </is>
      </c>
      <c r="B15" s="7" t="inlineStr">
        <is>
          <t>PV máx.</t>
        </is>
      </c>
      <c r="C15" s="7" t="inlineStr">
        <is>
          <t>Defesa</t>
        </is>
      </c>
      <c r="D15" s="7" t="inlineStr">
        <is>
          <t>Esquiva</t>
        </is>
      </c>
      <c r="E15" s="7" t="inlineStr">
        <is>
          <t>RD</t>
        </is>
      </c>
      <c r="F15" s="7" t="inlineStr">
        <is>
          <t>VEL</t>
        </is>
      </c>
      <c r="G15" s="7" t="inlineStr">
        <is>
          <t>Bônus de Agilidade</t>
        </is>
      </c>
      <c r="H15" s="7" t="inlineStr">
        <is>
          <t>Bônus de Discernimento</t>
        </is>
      </c>
      <c r="I15" s="7" t="inlineStr">
        <is>
          <t>Bônus de Presença</t>
        </is>
      </c>
      <c r="J15" s="7" t="inlineStr">
        <is>
          <t>DT das Habilidades</t>
        </is>
      </c>
      <c r="K15" s="7" t="inlineStr">
        <is>
          <t>Aviso</t>
        </is>
      </c>
      <c r="L15" s="20" t="n"/>
    </row>
    <row r="16" ht="26" customHeight="1">
      <c r="A16" s="32">
        <f>IF(LEN($P$7)&gt;0,$P$7,"PJ 1")</f>
        <v/>
      </c>
      <c r="B16" s="15" t="n"/>
      <c r="C16" s="15" t="n"/>
      <c r="D16" s="15" t="n"/>
      <c r="E16" s="15" t="n"/>
      <c r="F16" s="15" t="n"/>
      <c r="G16" s="15" t="n"/>
      <c r="H16" s="15" t="n"/>
      <c r="I16" s="15" t="n"/>
      <c r="J16" s="15" t="n"/>
      <c r="K16" s="18">
        <f>IF(Y16&gt;0,"O Google leu como fórmula: digite de novo com ' na frente.",IF(AND(ISNUMBER($U$16),OR($U$16&lt;7,$U$16&gt;25)),"VEL fora dos extremos 7 a 25 da fórmula: confira na ficha (19.1)",IF(OR(AND(ISNUMBER($V$16),OR($V$16&lt;-1,$V$16&gt;5)),AND(ISNUMBER($W$16),OR($W$16&lt;-1,$W$16&gt;5)),AND(ISNUMBER($X$16),OR($X$16&lt;-1,$X$16&gt;5))),"Bônus de Atributo fora de -1 a +5: confira na ficha",IF(AND(ISNUMBER($Q$16),OR($Q$16&lt;1,$Q$16&gt;999)),"PV fora de 1 a 999: confira na ficha",""))))</f>
        <v/>
      </c>
      <c r="Q16" s="19">
        <f>IF(ISERROR($B$16),"",IF(ISBLANK($B$16),"",$B$16))</f>
        <v/>
      </c>
      <c r="U16" s="19">
        <f>IF(ISERROR($F$16),"",IF(ISBLANK($F$16),"",$F$16))</f>
        <v/>
      </c>
      <c r="V16" s="19">
        <f>IF(ISERROR($G$16),"",IF(ISBLANK($G$16),"",$G$16))</f>
        <v/>
      </c>
      <c r="W16" s="19">
        <f>IF(ISERROR($H$16),"",IF(ISBLANK($H$16),"",$H$16))</f>
        <v/>
      </c>
      <c r="X16" s="19">
        <f>IF(ISERROR($I$16),"",IF(ISBLANK($I$16),"",$I$16))</f>
        <v/>
      </c>
      <c r="Y16" s="19">
        <f>ISERROR($B$16)*1+ISERROR($C$16)*1+ISERROR($D$16)*1+ISERROR($E$16)*1+ISERROR($F$16)*1+ISERROR($G$16)*1+ISERROR($H$16)*1+ISERROR($I$16)*1+ISERROR($J$16)*1</f>
        <v/>
      </c>
    </row>
    <row r="17" ht="26" customHeight="1">
      <c r="A17" s="33">
        <f>IF(LEN($P$8)&gt;0,$P$8,"PJ 2")</f>
        <v/>
      </c>
      <c r="B17" s="34" t="n"/>
      <c r="C17" s="34" t="n"/>
      <c r="D17" s="34" t="n"/>
      <c r="E17" s="34" t="n"/>
      <c r="F17" s="34" t="n"/>
      <c r="G17" s="34" t="n"/>
      <c r="H17" s="34" t="n"/>
      <c r="I17" s="34" t="n"/>
      <c r="J17" s="34" t="n"/>
      <c r="K17" s="26">
        <f>IF(Y17&gt;0,"O Google leu como fórmula: digite de novo com ' na frente.",IF(AND(ISNUMBER($U$17),OR($U$17&lt;7,$U$17&gt;25)),"VEL fora dos extremos 7 a 25 da fórmula: confira na ficha (19.1)",IF(OR(AND(ISNUMBER($V$17),OR($V$17&lt;-1,$V$17&gt;5)),AND(ISNUMBER($W$17),OR($W$17&lt;-1,$W$17&gt;5)),AND(ISNUMBER($X$17),OR($X$17&lt;-1,$X$17&gt;5))),"Bônus de Atributo fora de -1 a +5: confira na ficha",IF(AND(ISNUMBER($Q$17),OR($Q$17&lt;1,$Q$17&gt;999)),"PV fora de 1 a 999: confira na ficha",""))))</f>
        <v/>
      </c>
      <c r="Q17" s="19">
        <f>IF(ISERROR($B$17),"",IF(ISBLANK($B$17),"",$B$17))</f>
        <v/>
      </c>
      <c r="U17" s="19">
        <f>IF(ISERROR($F$17),"",IF(ISBLANK($F$17),"",$F$17))</f>
        <v/>
      </c>
      <c r="V17" s="19">
        <f>IF(ISERROR($G$17),"",IF(ISBLANK($G$17),"",$G$17))</f>
        <v/>
      </c>
      <c r="W17" s="19">
        <f>IF(ISERROR($H$17),"",IF(ISBLANK($H$17),"",$H$17))</f>
        <v/>
      </c>
      <c r="X17" s="19">
        <f>IF(ISERROR($I$17),"",IF(ISBLANK($I$17),"",$I$17))</f>
        <v/>
      </c>
      <c r="Y17" s="19">
        <f>ISERROR($B$17)*1+ISERROR($C$17)*1+ISERROR($D$17)*1+ISERROR($E$17)*1+ISERROR($F$17)*1+ISERROR($G$17)*1+ISERROR($H$17)*1+ISERROR($I$17)*1+ISERROR($J$17)*1</f>
        <v/>
      </c>
    </row>
    <row r="18" ht="26" customHeight="1">
      <c r="A18" s="32">
        <f>IF(LEN($P$9)&gt;0,$P$9,"PJ 3")</f>
        <v/>
      </c>
      <c r="B18" s="15" t="n"/>
      <c r="C18" s="15" t="n"/>
      <c r="D18" s="15" t="n"/>
      <c r="E18" s="15" t="n"/>
      <c r="F18" s="15" t="n"/>
      <c r="G18" s="15" t="n"/>
      <c r="H18" s="15" t="n"/>
      <c r="I18" s="15" t="n"/>
      <c r="J18" s="15" t="n"/>
      <c r="K18" s="18">
        <f>IF(Y18&gt;0,"O Google leu como fórmula: digite de novo com ' na frente.",IF(AND(ISNUMBER($U$18),OR($U$18&lt;7,$U$18&gt;25)),"VEL fora dos extremos 7 a 25 da fórmula: confira na ficha (19.1)",IF(OR(AND(ISNUMBER($V$18),OR($V$18&lt;-1,$V$18&gt;5)),AND(ISNUMBER($W$18),OR($W$18&lt;-1,$W$18&gt;5)),AND(ISNUMBER($X$18),OR($X$18&lt;-1,$X$18&gt;5))),"Bônus de Atributo fora de -1 a +5: confira na ficha",IF(AND(ISNUMBER($Q$18),OR($Q$18&lt;1,$Q$18&gt;999)),"PV fora de 1 a 999: confira na ficha",""))))</f>
        <v/>
      </c>
      <c r="Q18" s="19">
        <f>IF(ISERROR($B$18),"",IF(ISBLANK($B$18),"",$B$18))</f>
        <v/>
      </c>
      <c r="U18" s="19">
        <f>IF(ISERROR($F$18),"",IF(ISBLANK($F$18),"",$F$18))</f>
        <v/>
      </c>
      <c r="V18" s="19">
        <f>IF(ISERROR($G$18),"",IF(ISBLANK($G$18),"",$G$18))</f>
        <v/>
      </c>
      <c r="W18" s="19">
        <f>IF(ISERROR($H$18),"",IF(ISBLANK($H$18),"",$H$18))</f>
        <v/>
      </c>
      <c r="X18" s="19">
        <f>IF(ISERROR($I$18),"",IF(ISBLANK($I$18),"",$I$18))</f>
        <v/>
      </c>
      <c r="Y18" s="19">
        <f>ISERROR($B$18)*1+ISERROR($C$18)*1+ISERROR($D$18)*1+ISERROR($E$18)*1+ISERROR($F$18)*1+ISERROR($G$18)*1+ISERROR($H$18)*1+ISERROR($I$18)*1+ISERROR($J$18)*1</f>
        <v/>
      </c>
    </row>
    <row r="19" ht="26" customHeight="1">
      <c r="A19" s="33">
        <f>IF(LEN($P$10)&gt;0,$P$10,"PJ 4")</f>
        <v/>
      </c>
      <c r="B19" s="34" t="n"/>
      <c r="C19" s="34" t="n"/>
      <c r="D19" s="34" t="n"/>
      <c r="E19" s="34" t="n"/>
      <c r="F19" s="34" t="n"/>
      <c r="G19" s="34" t="n"/>
      <c r="H19" s="34" t="n"/>
      <c r="I19" s="34" t="n"/>
      <c r="J19" s="34" t="n"/>
      <c r="K19" s="26">
        <f>IF(Y19&gt;0,"O Google leu como fórmula: digite de novo com ' na frente.",IF(AND(ISNUMBER($U$19),OR($U$19&lt;7,$U$19&gt;25)),"VEL fora dos extremos 7 a 25 da fórmula: confira na ficha (19.1)",IF(OR(AND(ISNUMBER($V$19),OR($V$19&lt;-1,$V$19&gt;5)),AND(ISNUMBER($W$19),OR($W$19&lt;-1,$W$19&gt;5)),AND(ISNUMBER($X$19),OR($X$19&lt;-1,$X$19&gt;5))),"Bônus de Atributo fora de -1 a +5: confira na ficha",IF(AND(ISNUMBER($Q$19),OR($Q$19&lt;1,$Q$19&gt;999)),"PV fora de 1 a 999: confira na ficha",""))))</f>
        <v/>
      </c>
      <c r="Q19" s="19">
        <f>IF(ISERROR($B$19),"",IF(ISBLANK($B$19),"",$B$19))</f>
        <v/>
      </c>
      <c r="U19" s="19">
        <f>IF(ISERROR($F$19),"",IF(ISBLANK($F$19),"",$F$19))</f>
        <v/>
      </c>
      <c r="V19" s="19">
        <f>IF(ISERROR($G$19),"",IF(ISBLANK($G$19),"",$G$19))</f>
        <v/>
      </c>
      <c r="W19" s="19">
        <f>IF(ISERROR($H$19),"",IF(ISBLANK($H$19),"",$H$19))</f>
        <v/>
      </c>
      <c r="X19" s="19">
        <f>IF(ISERROR($I$19),"",IF(ISBLANK($I$19),"",$I$19))</f>
        <v/>
      </c>
      <c r="Y19" s="19">
        <f>ISERROR($B$19)*1+ISERROR($C$19)*1+ISERROR($D$19)*1+ISERROR($E$19)*1+ISERROR($F$19)*1+ISERROR($G$19)*1+ISERROR($H$19)*1+ISERROR($I$19)*1+ISERROR($J$19)*1</f>
        <v/>
      </c>
    </row>
    <row r="20" ht="26" customHeight="1">
      <c r="A20" s="32">
        <f>IF(LEN($P$11)&gt;0,$P$11,"PJ 5")</f>
        <v/>
      </c>
      <c r="B20" s="15" t="n"/>
      <c r="C20" s="15" t="n"/>
      <c r="D20" s="15" t="n"/>
      <c r="E20" s="15" t="n"/>
      <c r="F20" s="15" t="n"/>
      <c r="G20" s="15" t="n"/>
      <c r="H20" s="15" t="n"/>
      <c r="I20" s="15" t="n"/>
      <c r="J20" s="15" t="n"/>
      <c r="K20" s="18">
        <f>IF(Y20&gt;0,"O Google leu como fórmula: digite de novo com ' na frente.",IF(AND(ISNUMBER($U$20),OR($U$20&lt;7,$U$20&gt;25)),"VEL fora dos extremos 7 a 25 da fórmula: confira na ficha (19.1)",IF(OR(AND(ISNUMBER($V$20),OR($V$20&lt;-1,$V$20&gt;5)),AND(ISNUMBER($W$20),OR($W$20&lt;-1,$W$20&gt;5)),AND(ISNUMBER($X$20),OR($X$20&lt;-1,$X$20&gt;5))),"Bônus de Atributo fora de -1 a +5: confira na ficha",IF(AND(ISNUMBER($Q$20),OR($Q$20&lt;1,$Q$20&gt;999)),"PV fora de 1 a 999: confira na ficha",""))))</f>
        <v/>
      </c>
      <c r="Q20" s="19">
        <f>IF(ISERROR($B$20),"",IF(ISBLANK($B$20),"",$B$20))</f>
        <v/>
      </c>
      <c r="U20" s="19">
        <f>IF(ISERROR($F$20),"",IF(ISBLANK($F$20),"",$F$20))</f>
        <v/>
      </c>
      <c r="V20" s="19">
        <f>IF(ISERROR($G$20),"",IF(ISBLANK($G$20),"",$G$20))</f>
        <v/>
      </c>
      <c r="W20" s="19">
        <f>IF(ISERROR($H$20),"",IF(ISBLANK($H$20),"",$H$20))</f>
        <v/>
      </c>
      <c r="X20" s="19">
        <f>IF(ISERROR($I$20),"",IF(ISBLANK($I$20),"",$I$20))</f>
        <v/>
      </c>
      <c r="Y20" s="19">
        <f>ISERROR($B$20)*1+ISERROR($C$20)*1+ISERROR($D$20)*1+ISERROR($E$20)*1+ISERROR($F$20)*1+ISERROR($G$20)*1+ISERROR($H$20)*1+ISERROR($I$20)*1+ISERROR($J$20)*1</f>
        <v/>
      </c>
    </row>
    <row r="21" ht="26" customHeight="1">
      <c r="A21" s="33">
        <f>IF(LEN($P$12)&gt;0,$P$12,"PJ 6")</f>
        <v/>
      </c>
      <c r="B21" s="34" t="n"/>
      <c r="C21" s="34" t="n"/>
      <c r="D21" s="34" t="n"/>
      <c r="E21" s="34" t="n"/>
      <c r="F21" s="34" t="n"/>
      <c r="G21" s="34" t="n"/>
      <c r="H21" s="34" t="n"/>
      <c r="I21" s="34" t="n"/>
      <c r="J21" s="34" t="n"/>
      <c r="K21" s="26">
        <f>IF(Y21&gt;0,"O Google leu como fórmula: digite de novo com ' na frente.",IF(AND(ISNUMBER($U$21),OR($U$21&lt;7,$U$21&gt;25)),"VEL fora dos extremos 7 a 25 da fórmula: confira na ficha (19.1)",IF(OR(AND(ISNUMBER($V$21),OR($V$21&lt;-1,$V$21&gt;5)),AND(ISNUMBER($W$21),OR($W$21&lt;-1,$W$21&gt;5)),AND(ISNUMBER($X$21),OR($X$21&lt;-1,$X$21&gt;5))),"Bônus de Atributo fora de -1 a +5: confira na ficha",IF(AND(ISNUMBER($Q$21),OR($Q$21&lt;1,$Q$21&gt;999)),"PV fora de 1 a 999: confira na ficha",""))))</f>
        <v/>
      </c>
      <c r="Q21" s="19">
        <f>IF(ISERROR($B$21),"",IF(ISBLANK($B$21),"",$B$21))</f>
        <v/>
      </c>
      <c r="U21" s="19">
        <f>IF(ISERROR($F$21),"",IF(ISBLANK($F$21),"",$F$21))</f>
        <v/>
      </c>
      <c r="V21" s="19">
        <f>IF(ISERROR($G$21),"",IF(ISBLANK($G$21),"",$G$21))</f>
        <v/>
      </c>
      <c r="W21" s="19">
        <f>IF(ISERROR($H$21),"",IF(ISBLANK($H$21),"",$H$21))</f>
        <v/>
      </c>
      <c r="X21" s="19">
        <f>IF(ISERROR($I$21),"",IF(ISBLANK($I$21),"",$I$21))</f>
        <v/>
      </c>
      <c r="Y21" s="19">
        <f>ISERROR($B$21)*1+ISERROR($C$21)*1+ISERROR($D$21)*1+ISERROR($E$21)*1+ISERROR($F$21)*1+ISERROR($G$21)*1+ISERROR($H$21)*1+ISERROR($I$21)*1+ISERROR($J$21)*1</f>
        <v/>
      </c>
    </row>
    <row r="22"/>
    <row r="23" ht="20" customHeight="1">
      <c r="A23" s="12" t="inlineStr">
        <is>
          <t>G3 · Equipamento de faixa (preencha)</t>
        </is>
      </c>
    </row>
    <row r="24" ht="26" customHeight="1">
      <c r="A24" s="7" t="inlineStr">
        <is>
          <t>PJ</t>
        </is>
      </c>
      <c r="B24" s="7" t="inlineStr">
        <is>
          <t>Nível do Cone</t>
        </is>
      </c>
      <c r="C24" s="7" t="inlineStr">
        <is>
          <t>Tier de Relíquias</t>
        </is>
      </c>
      <c r="D24" s="7" t="inlineStr">
        <is>
          <t>Slots de Relíquia</t>
        </is>
      </c>
      <c r="E24" s="7" t="inlineStr">
        <is>
          <t>Sobreposições nesta faixa</t>
        </is>
      </c>
      <c r="F24" s="7" t="inlineStr">
        <is>
          <t>Ressonâncias escolhidas</t>
        </is>
      </c>
      <c r="G24" s="20" t="n"/>
      <c r="H24" s="20" t="n"/>
      <c r="I24" s="20" t="n"/>
      <c r="J24" s="20" t="n"/>
      <c r="K24" s="7" t="inlineStr">
        <is>
          <t>Aviso</t>
        </is>
      </c>
      <c r="L24" s="20" t="n"/>
    </row>
    <row r="25" ht="37" customHeight="1">
      <c r="A25" s="32">
        <f>IF(LEN($P$7)&gt;0,$P$7,"PJ 1")</f>
        <v/>
      </c>
      <c r="B25" s="15" t="n"/>
      <c r="C25" s="15" t="n"/>
      <c r="D25" s="15" t="n"/>
      <c r="E25" s="15" t="n"/>
      <c r="F25" s="3" t="n"/>
      <c r="G25" s="24" t="n"/>
      <c r="H25" s="24" t="n"/>
      <c r="I25" s="24" t="n"/>
      <c r="J25" s="16" t="n"/>
      <c r="K25" s="18">
        <f>IF(Y25&gt;0,"O Google leu como fórmula: digite de novo com ' na frente.",IF(AND(ISNUMBER($Q$25),$Q$25&gt;'Campanha'!$B$18),"Cone acima do máximo da faixa (25.1)",IF(AND(ISNUMBER($T$25),$T$25&gt;1),"Mais de 1 Sobreposição nesta faixa (25.2)","")))</f>
        <v/>
      </c>
      <c r="Q25" s="19">
        <f>IF(ISERROR($B$25),"",IF(ISBLANK($B$25),"",$B$25))</f>
        <v/>
      </c>
      <c r="T25" s="19">
        <f>IF(ISERROR($E$25),"",IF(ISBLANK($E$25),"",$E$25))</f>
        <v/>
      </c>
      <c r="Y25" s="19">
        <f>ISERROR($B$25)*1+ISERROR($C$25)*1+ISERROR($D$25)*1+ISERROR($E$25)*1+ISERROR($F$25)*1</f>
        <v/>
      </c>
    </row>
    <row r="26" ht="37" customHeight="1">
      <c r="A26" s="33">
        <f>IF(LEN($P$8)&gt;0,$P$8,"PJ 2")</f>
        <v/>
      </c>
      <c r="B26" s="34" t="n"/>
      <c r="C26" s="34" t="n"/>
      <c r="D26" s="34" t="n"/>
      <c r="E26" s="34" t="n"/>
      <c r="F26" s="28" t="n"/>
      <c r="G26" s="24" t="n"/>
      <c r="H26" s="24" t="n"/>
      <c r="I26" s="24" t="n"/>
      <c r="J26" s="16" t="n"/>
      <c r="K26" s="26">
        <f>IF(Y26&gt;0,"O Google leu como fórmula: digite de novo com ' na frente.",IF(AND(ISNUMBER($Q$26),$Q$26&gt;'Campanha'!$B$18),"Cone acima do máximo da faixa (25.1)",IF(AND(ISNUMBER($T$26),$T$26&gt;1),"Mais de 1 Sobreposição nesta faixa (25.2)","")))</f>
        <v/>
      </c>
      <c r="Q26" s="19">
        <f>IF(ISERROR($B$26),"",IF(ISBLANK($B$26),"",$B$26))</f>
        <v/>
      </c>
      <c r="T26" s="19">
        <f>IF(ISERROR($E$26),"",IF(ISBLANK($E$26),"",$E$26))</f>
        <v/>
      </c>
      <c r="Y26" s="19">
        <f>ISERROR($B$26)*1+ISERROR($C$26)*1+ISERROR($D$26)*1+ISERROR($E$26)*1+ISERROR($F$26)*1</f>
        <v/>
      </c>
    </row>
    <row r="27" ht="37" customHeight="1">
      <c r="A27" s="32">
        <f>IF(LEN($P$9)&gt;0,$P$9,"PJ 3")</f>
        <v/>
      </c>
      <c r="B27" s="15" t="n"/>
      <c r="C27" s="15" t="n"/>
      <c r="D27" s="15" t="n"/>
      <c r="E27" s="15" t="n"/>
      <c r="F27" s="3" t="n"/>
      <c r="G27" s="24" t="n"/>
      <c r="H27" s="24" t="n"/>
      <c r="I27" s="24" t="n"/>
      <c r="J27" s="16" t="n"/>
      <c r="K27" s="18">
        <f>IF(Y27&gt;0,"O Google leu como fórmula: digite de novo com ' na frente.",IF(AND(ISNUMBER($Q$27),$Q$27&gt;'Campanha'!$B$18),"Cone acima do máximo da faixa (25.1)",IF(AND(ISNUMBER($T$27),$T$27&gt;1),"Mais de 1 Sobreposição nesta faixa (25.2)","")))</f>
        <v/>
      </c>
      <c r="Q27" s="19">
        <f>IF(ISERROR($B$27),"",IF(ISBLANK($B$27),"",$B$27))</f>
        <v/>
      </c>
      <c r="T27" s="19">
        <f>IF(ISERROR($E$27),"",IF(ISBLANK($E$27),"",$E$27))</f>
        <v/>
      </c>
      <c r="Y27" s="19">
        <f>ISERROR($B$27)*1+ISERROR($C$27)*1+ISERROR($D$27)*1+ISERROR($E$27)*1+ISERROR($F$27)*1</f>
        <v/>
      </c>
    </row>
    <row r="28" ht="37" customHeight="1">
      <c r="A28" s="33">
        <f>IF(LEN($P$10)&gt;0,$P$10,"PJ 4")</f>
        <v/>
      </c>
      <c r="B28" s="34" t="n"/>
      <c r="C28" s="34" t="n"/>
      <c r="D28" s="34" t="n"/>
      <c r="E28" s="34" t="n"/>
      <c r="F28" s="28" t="n"/>
      <c r="G28" s="24" t="n"/>
      <c r="H28" s="24" t="n"/>
      <c r="I28" s="24" t="n"/>
      <c r="J28" s="16" t="n"/>
      <c r="K28" s="26">
        <f>IF(Y28&gt;0,"O Google leu como fórmula: digite de novo com ' na frente.",IF(AND(ISNUMBER($Q$28),$Q$28&gt;'Campanha'!$B$18),"Cone acima do máximo da faixa (25.1)",IF(AND(ISNUMBER($T$28),$T$28&gt;1),"Mais de 1 Sobreposição nesta faixa (25.2)","")))</f>
        <v/>
      </c>
      <c r="Q28" s="19">
        <f>IF(ISERROR($B$28),"",IF(ISBLANK($B$28),"",$B$28))</f>
        <v/>
      </c>
      <c r="T28" s="19">
        <f>IF(ISERROR($E$28),"",IF(ISBLANK($E$28),"",$E$28))</f>
        <v/>
      </c>
      <c r="Y28" s="19">
        <f>ISERROR($B$28)*1+ISERROR($C$28)*1+ISERROR($D$28)*1+ISERROR($E$28)*1+ISERROR($F$28)*1</f>
        <v/>
      </c>
    </row>
    <row r="29" ht="37" customHeight="1">
      <c r="A29" s="32">
        <f>IF(LEN($P$11)&gt;0,$P$11,"PJ 5")</f>
        <v/>
      </c>
      <c r="B29" s="15" t="n"/>
      <c r="C29" s="15" t="n"/>
      <c r="D29" s="15" t="n"/>
      <c r="E29" s="15" t="n"/>
      <c r="F29" s="3" t="n"/>
      <c r="G29" s="24" t="n"/>
      <c r="H29" s="24" t="n"/>
      <c r="I29" s="24" t="n"/>
      <c r="J29" s="16" t="n"/>
      <c r="K29" s="18">
        <f>IF(Y29&gt;0,"O Google leu como fórmula: digite de novo com ' na frente.",IF(AND(ISNUMBER($Q$29),$Q$29&gt;'Campanha'!$B$18),"Cone acima do máximo da faixa (25.1)",IF(AND(ISNUMBER($T$29),$T$29&gt;1),"Mais de 1 Sobreposição nesta faixa (25.2)","")))</f>
        <v/>
      </c>
      <c r="Q29" s="19">
        <f>IF(ISERROR($B$29),"",IF(ISBLANK($B$29),"",$B$29))</f>
        <v/>
      </c>
      <c r="T29" s="19">
        <f>IF(ISERROR($E$29),"",IF(ISBLANK($E$29),"",$E$29))</f>
        <v/>
      </c>
      <c r="Y29" s="19">
        <f>ISERROR($B$29)*1+ISERROR($C$29)*1+ISERROR($D$29)*1+ISERROR($E$29)*1+ISERROR($F$29)*1</f>
        <v/>
      </c>
    </row>
    <row r="30" ht="37" customHeight="1">
      <c r="A30" s="33">
        <f>IF(LEN($P$12)&gt;0,$P$12,"PJ 6")</f>
        <v/>
      </c>
      <c r="B30" s="34" t="n"/>
      <c r="C30" s="34" t="n"/>
      <c r="D30" s="34" t="n"/>
      <c r="E30" s="34" t="n"/>
      <c r="F30" s="28" t="n"/>
      <c r="G30" s="24" t="n"/>
      <c r="H30" s="24" t="n"/>
      <c r="I30" s="24" t="n"/>
      <c r="J30" s="16" t="n"/>
      <c r="K30" s="26">
        <f>IF(Y30&gt;0,"O Google leu como fórmula: digite de novo com ' na frente.",IF(AND(ISNUMBER($Q$30),$Q$30&gt;'Campanha'!$B$18),"Cone acima do máximo da faixa (25.1)",IF(AND(ISNUMBER($T$30),$T$30&gt;1),"Mais de 1 Sobreposição nesta faixa (25.2)","")))</f>
        <v/>
      </c>
      <c r="Q30" s="19">
        <f>IF(ISERROR($B$30),"",IF(ISBLANK($B$30),"",$B$30))</f>
        <v/>
      </c>
      <c r="T30" s="19">
        <f>IF(ISERROR($E$30),"",IF(ISBLANK($E$30),"",$E$30))</f>
        <v/>
      </c>
      <c r="Y30" s="19">
        <f>ISERROR($B$30)*1+ISERROR($C$30)*1+ISERROR($D$30)*1+ISERROR($E$30)*1+ISERROR($F$30)*1</f>
        <v/>
      </c>
    </row>
    <row r="31"/>
    <row r="32" ht="20" customHeight="1">
      <c r="A32" s="12" t="inlineStr">
        <is>
          <t>G4 · O que a Raça muda no combate (automático)</t>
        </is>
      </c>
    </row>
    <row r="33" ht="37" customHeight="1">
      <c r="A33" s="7" t="inlineStr">
        <is>
          <t>PJ</t>
        </is>
      </c>
      <c r="B33" s="7" t="inlineStr">
        <is>
          <t>Morrendo com Vantagem?</t>
        </is>
      </c>
      <c r="C33" s="7" t="inlineStr">
        <is>
          <t>Pode ser Executado?</t>
        </is>
      </c>
      <c r="D33" s="7" t="inlineStr">
        <is>
          <t>Esforço?</t>
        </is>
      </c>
      <c r="E33" s="7" t="inlineStr">
        <is>
          <t>Descobre Fraqueza</t>
        </is>
      </c>
      <c r="F33" s="20" t="n"/>
      <c r="G33" s="7" t="inlineStr">
        <is>
          <t>Lembrete da Raça</t>
        </is>
      </c>
      <c r="H33" s="20" t="n"/>
      <c r="I33" s="20" t="n"/>
      <c r="J33" s="20" t="n"/>
      <c r="K33" s="7" t="inlineStr">
        <is>
          <t>Aviso</t>
        </is>
      </c>
      <c r="L33" s="20" t="n"/>
    </row>
    <row r="34" ht="37" customHeight="1">
      <c r="A34" s="32">
        <f>IF(LEN($P$7)&gt;0,$P$7,"PJ 1")</f>
        <v/>
      </c>
      <c r="B34" s="17">
        <f>IFERROR(INDEX('Dados'!$B$350:$B$356,MATCH($R$7,'Dados'!$A$350:$A$356,0)),"")</f>
        <v/>
      </c>
      <c r="C34" s="17">
        <f>IFERROR(INDEX('Dados'!$C$350:$C$356,MATCH($R$7,'Dados'!$A$350:$A$356,0)),"")</f>
        <v/>
      </c>
      <c r="D34" s="17">
        <f>IFERROR(INDEX('Dados'!$D$350:$D$356,MATCH($R$7,'Dados'!$A$350:$A$356,0)),"")</f>
        <v/>
      </c>
      <c r="E34" s="4">
        <f>IFERROR(INDEX('Dados'!$E$350:$E$356,MATCH($R$7,'Dados'!$A$350:$A$356,0)),"")</f>
        <v/>
      </c>
      <c r="G34" s="4">
        <f>IF($R$7="Vulpes","Raposa Astuta: segunda chance contra a Surpresa (DT 10, 19.3 e 27.3)",IF($R$7="Haloviano","To na sua mente: DT 13 de ativação (27.3)",IF($R$7="Xianzhouíta","Não pode ser Executado (05, 23.5)",IF($R$7="Intellitron","Descobre Fraqueza com Vantagem e 2 por sucesso (20.2)",IF($R$7="Humano","Esforço: no máximo 1 ponto (05)","")))))</f>
        <v/>
      </c>
      <c r="K34" s="18">
        <f>IF(AND(ISNUMBER($Q$25),$Q$25&lt;'Campanha'!$B$18),"Cone abaixo do esperado: encontros ficam mais duros (27.8)","")</f>
        <v/>
      </c>
    </row>
    <row r="35" ht="37" customHeight="1">
      <c r="A35" s="33">
        <f>IF(LEN($P$8)&gt;0,$P$8,"PJ 2")</f>
        <v/>
      </c>
      <c r="B35" s="29">
        <f>IFERROR(INDEX('Dados'!$B$350:$B$356,MATCH($R$8,'Dados'!$A$350:$A$356,0)),"")</f>
        <v/>
      </c>
      <c r="C35" s="29">
        <f>IFERROR(INDEX('Dados'!$C$350:$C$356,MATCH($R$8,'Dados'!$A$350:$A$356,0)),"")</f>
        <v/>
      </c>
      <c r="D35" s="29">
        <f>IFERROR(INDEX('Dados'!$D$350:$D$356,MATCH($R$8,'Dados'!$A$350:$A$356,0)),"")</f>
        <v/>
      </c>
      <c r="E35" s="9">
        <f>IFERROR(INDEX('Dados'!$E$350:$E$356,MATCH($R$8,'Dados'!$A$350:$A$356,0)),"")</f>
        <v/>
      </c>
      <c r="G35" s="9">
        <f>IF($R$8="Vulpes","Raposa Astuta: segunda chance contra a Surpresa (DT 10, 19.3 e 27.3)",IF($R$8="Haloviano","To na sua mente: DT 13 de ativação (27.3)",IF($R$8="Xianzhouíta","Não pode ser Executado (05, 23.5)",IF($R$8="Intellitron","Descobre Fraqueza com Vantagem e 2 por sucesso (20.2)",IF($R$8="Humano","Esforço: no máximo 1 ponto (05)","")))))</f>
        <v/>
      </c>
      <c r="K35" s="26">
        <f>IF(AND(ISNUMBER($Q$26),$Q$26&lt;'Campanha'!$B$18),"Cone abaixo do esperado: encontros ficam mais duros (27.8)","")</f>
        <v/>
      </c>
    </row>
    <row r="36" ht="37" customHeight="1">
      <c r="A36" s="32">
        <f>IF(LEN($P$9)&gt;0,$P$9,"PJ 3")</f>
        <v/>
      </c>
      <c r="B36" s="17">
        <f>IFERROR(INDEX('Dados'!$B$350:$B$356,MATCH($R$9,'Dados'!$A$350:$A$356,0)),"")</f>
        <v/>
      </c>
      <c r="C36" s="17">
        <f>IFERROR(INDEX('Dados'!$C$350:$C$356,MATCH($R$9,'Dados'!$A$350:$A$356,0)),"")</f>
        <v/>
      </c>
      <c r="D36" s="17">
        <f>IFERROR(INDEX('Dados'!$D$350:$D$356,MATCH($R$9,'Dados'!$A$350:$A$356,0)),"")</f>
        <v/>
      </c>
      <c r="E36" s="4">
        <f>IFERROR(INDEX('Dados'!$E$350:$E$356,MATCH($R$9,'Dados'!$A$350:$A$356,0)),"")</f>
        <v/>
      </c>
      <c r="G36" s="4">
        <f>IF($R$9="Vulpes","Raposa Astuta: segunda chance contra a Surpresa (DT 10, 19.3 e 27.3)",IF($R$9="Haloviano","To na sua mente: DT 13 de ativação (27.3)",IF($R$9="Xianzhouíta","Não pode ser Executado (05, 23.5)",IF($R$9="Intellitron","Descobre Fraqueza com Vantagem e 2 por sucesso (20.2)",IF($R$9="Humano","Esforço: no máximo 1 ponto (05)","")))))</f>
        <v/>
      </c>
      <c r="K36" s="18">
        <f>IF(AND(ISNUMBER($Q$27),$Q$27&lt;'Campanha'!$B$18),"Cone abaixo do esperado: encontros ficam mais duros (27.8)","")</f>
        <v/>
      </c>
    </row>
    <row r="37" ht="37" customHeight="1">
      <c r="A37" s="33">
        <f>IF(LEN($P$10)&gt;0,$P$10,"PJ 4")</f>
        <v/>
      </c>
      <c r="B37" s="29">
        <f>IFERROR(INDEX('Dados'!$B$350:$B$356,MATCH($R$10,'Dados'!$A$350:$A$356,0)),"")</f>
        <v/>
      </c>
      <c r="C37" s="29">
        <f>IFERROR(INDEX('Dados'!$C$350:$C$356,MATCH($R$10,'Dados'!$A$350:$A$356,0)),"")</f>
        <v/>
      </c>
      <c r="D37" s="29">
        <f>IFERROR(INDEX('Dados'!$D$350:$D$356,MATCH($R$10,'Dados'!$A$350:$A$356,0)),"")</f>
        <v/>
      </c>
      <c r="E37" s="9">
        <f>IFERROR(INDEX('Dados'!$E$350:$E$356,MATCH($R$10,'Dados'!$A$350:$A$356,0)),"")</f>
        <v/>
      </c>
      <c r="G37" s="9">
        <f>IF($R$10="Vulpes","Raposa Astuta: segunda chance contra a Surpresa (DT 10, 19.3 e 27.3)",IF($R$10="Haloviano","To na sua mente: DT 13 de ativação (27.3)",IF($R$10="Xianzhouíta","Não pode ser Executado (05, 23.5)",IF($R$10="Intellitron","Descobre Fraqueza com Vantagem e 2 por sucesso (20.2)",IF($R$10="Humano","Esforço: no máximo 1 ponto (05)","")))))</f>
        <v/>
      </c>
      <c r="K37" s="26">
        <f>IF(AND(ISNUMBER($Q$28),$Q$28&lt;'Campanha'!$B$18),"Cone abaixo do esperado: encontros ficam mais duros (27.8)","")</f>
        <v/>
      </c>
    </row>
    <row r="38" ht="37" customHeight="1">
      <c r="A38" s="32">
        <f>IF(LEN($P$11)&gt;0,$P$11,"PJ 5")</f>
        <v/>
      </c>
      <c r="B38" s="17">
        <f>IFERROR(INDEX('Dados'!$B$350:$B$356,MATCH($R$11,'Dados'!$A$350:$A$356,0)),"")</f>
        <v/>
      </c>
      <c r="C38" s="17">
        <f>IFERROR(INDEX('Dados'!$C$350:$C$356,MATCH($R$11,'Dados'!$A$350:$A$356,0)),"")</f>
        <v/>
      </c>
      <c r="D38" s="17">
        <f>IFERROR(INDEX('Dados'!$D$350:$D$356,MATCH($R$11,'Dados'!$A$350:$A$356,0)),"")</f>
        <v/>
      </c>
      <c r="E38" s="4">
        <f>IFERROR(INDEX('Dados'!$E$350:$E$356,MATCH($R$11,'Dados'!$A$350:$A$356,0)),"")</f>
        <v/>
      </c>
      <c r="G38" s="4">
        <f>IF($R$11="Vulpes","Raposa Astuta: segunda chance contra a Surpresa (DT 10, 19.3 e 27.3)",IF($R$11="Haloviano","To na sua mente: DT 13 de ativação (27.3)",IF($R$11="Xianzhouíta","Não pode ser Executado (05, 23.5)",IF($R$11="Intellitron","Descobre Fraqueza com Vantagem e 2 por sucesso (20.2)",IF($R$11="Humano","Esforço: no máximo 1 ponto (05)","")))))</f>
        <v/>
      </c>
      <c r="K38" s="18">
        <f>IF(AND(ISNUMBER($Q$29),$Q$29&lt;'Campanha'!$B$18),"Cone abaixo do esperado: encontros ficam mais duros (27.8)","")</f>
        <v/>
      </c>
    </row>
    <row r="39" ht="37" customHeight="1">
      <c r="A39" s="33">
        <f>IF(LEN($P$12)&gt;0,$P$12,"PJ 6")</f>
        <v/>
      </c>
      <c r="B39" s="29">
        <f>IFERROR(INDEX('Dados'!$B$350:$B$356,MATCH($R$12,'Dados'!$A$350:$A$356,0)),"")</f>
        <v/>
      </c>
      <c r="C39" s="29">
        <f>IFERROR(INDEX('Dados'!$C$350:$C$356,MATCH($R$12,'Dados'!$A$350:$A$356,0)),"")</f>
        <v/>
      </c>
      <c r="D39" s="29">
        <f>IFERROR(INDEX('Dados'!$D$350:$D$356,MATCH($R$12,'Dados'!$A$350:$A$356,0)),"")</f>
        <v/>
      </c>
      <c r="E39" s="9">
        <f>IFERROR(INDEX('Dados'!$E$350:$E$356,MATCH($R$12,'Dados'!$A$350:$A$356,0)),"")</f>
        <v/>
      </c>
      <c r="G39" s="9">
        <f>IF($R$12="Vulpes","Raposa Astuta: segunda chance contra a Surpresa (DT 10, 19.3 e 27.3)",IF($R$12="Haloviano","To na sua mente: DT 13 de ativação (27.3)",IF($R$12="Xianzhouíta","Não pode ser Executado (05, 23.5)",IF($R$12="Intellitron","Descobre Fraqueza com Vantagem e 2 por sucesso (20.2)",IF($R$12="Humano","Esforço: no máximo 1 ponto (05)","")))))</f>
        <v/>
      </c>
      <c r="K39" s="26">
        <f>IF(AND(ISNUMBER($Q$30),$Q$30&lt;'Campanha'!$B$18),"Cone abaixo do esperado: encontros ficam mais duros (27.8)","")</f>
        <v/>
      </c>
    </row>
    <row r="40"/>
    <row r="41" ht="20" customHeight="1">
      <c r="A41" s="12" t="inlineStr">
        <is>
          <t>Resumo do grupo (automático)</t>
        </is>
      </c>
    </row>
    <row r="42">
      <c r="A42" s="8" t="inlineStr">
        <is>
          <t>Nº de PJs</t>
        </is>
      </c>
      <c r="B42" s="17">
        <f>SUMPRODUCT((LEN($P$7:$P$12)&gt;0)*1)</f>
        <v/>
      </c>
      <c r="C42" s="18">
        <f>IF(AND(ISNUMBER('Campanha'!$P$8),$B$42&gt;0,$B$42&lt;&gt;'Campanha'!$P$8),"Nº de PJs diferente do nº de jogadores da aba Campanha","")</f>
        <v/>
      </c>
    </row>
    <row r="43">
      <c r="A43" s="7" t="inlineStr">
        <is>
          <t>Elemento</t>
        </is>
      </c>
      <c r="B43" s="7" t="inlineStr">
        <is>
          <t>Físico</t>
        </is>
      </c>
      <c r="C43" s="7" t="inlineStr">
        <is>
          <t>Fogo</t>
        </is>
      </c>
      <c r="D43" s="7" t="inlineStr">
        <is>
          <t>Gelo</t>
        </is>
      </c>
      <c r="E43" s="7" t="inlineStr">
        <is>
          <t>Raio</t>
        </is>
      </c>
      <c r="F43" s="7" t="inlineStr">
        <is>
          <t>Vento</t>
        </is>
      </c>
      <c r="G43" s="7" t="inlineStr">
        <is>
          <t>Quântico</t>
        </is>
      </c>
      <c r="H43" s="7" t="inlineStr">
        <is>
          <t>Imaginário</t>
        </is>
      </c>
      <c r="I43" s="7" t="inlineStr">
        <is>
          <t>Distintos</t>
        </is>
      </c>
      <c r="J43" s="7" t="inlineStr">
        <is>
          <t>Em dobro</t>
        </is>
      </c>
    </row>
    <row r="44">
      <c r="A44" s="8" t="inlineStr">
        <is>
          <t>No grupo?</t>
        </is>
      </c>
      <c r="B44" s="17">
        <f>IF(COUNTIF($T$7:$T$12,"Físico")&gt;0,"Sim","Não")</f>
        <v/>
      </c>
      <c r="C44" s="17">
        <f>IF(COUNTIF($T$7:$T$12,"Fogo")&gt;0,"Sim","Não")</f>
        <v/>
      </c>
      <c r="D44" s="17">
        <f>IF(COUNTIF($T$7:$T$12,"Gelo")&gt;0,"Sim","Não")</f>
        <v/>
      </c>
      <c r="E44" s="17">
        <f>IF(COUNTIF($T$7:$T$12,"Raio")&gt;0,"Sim","Não")</f>
        <v/>
      </c>
      <c r="F44" s="17">
        <f>IF(COUNTIF($T$7:$T$12,"Vento")&gt;0,"Sim","Não")</f>
        <v/>
      </c>
      <c r="G44" s="17">
        <f>IF(COUNTIF($T$7:$T$12,"Quântico")&gt;0,"Sim","Não")</f>
        <v/>
      </c>
      <c r="H44" s="17">
        <f>IF(COUNTIF($T$7:$T$12,"Imaginário")&gt;0,"Sim","Não")</f>
        <v/>
      </c>
      <c r="I44" s="17">
        <f>IF($B$44="Sim",1,0)+IF($C$44="Sim",1,0)+IF($D$44="Sim",1,0)+IF($E$44="Sim",1,0)+IF($F$44="Sim",1,0)+IF($G$44="Sim",1,0)+IF($H$44="Sim",1,0)</f>
        <v/>
      </c>
      <c r="J44" s="17">
        <f>IF(COUNTIF($T$7:$T$12,"Físico")&gt;1,1,0)+IF(COUNTIF($T$7:$T$12,"Fogo")&gt;1,1,0)+IF(COUNTIF($T$7:$T$12,"Gelo")&gt;1,1,0)+IF(COUNTIF($T$7:$T$12,"Raio")&gt;1,1,0)+IF(COUNTIF($T$7:$T$12,"Vento")&gt;1,1,0)+IF(COUNTIF($T$7:$T$12,"Quântico")&gt;1,1,0)+IF(COUNTIF($T$7:$T$12,"Imaginário")&gt;1,1,0)</f>
        <v/>
      </c>
    </row>
    <row r="45">
      <c r="A45" s="21" t="inlineStr">
        <is>
          <t>Presenças</t>
        </is>
      </c>
      <c r="B45" s="9">
        <f>IF(COUNTIF($R$7:$R$12,"Intellitron")&gt;0,"Intellitron no grupo: descobre Fraqueza com Vantagem e 2 por sucesso (20.2). ","")&amp;IF(COUNTIF($R$7:$R$12,"Humano")&gt;0,"Humano no grupo: Esforço (05). ","")&amp;IF(COUNTIF($S$7:$S$12,"A Preservação")+COUNTIF($S$7:$S$12,"A Abundância")&gt;0,"Há Caminho de sustentação (27.7).","Sem Preservação nem Abundância: cuidado com o dia de jogo (27.7).")</f>
        <v/>
      </c>
    </row>
  </sheetData>
  <mergeCells count="72">
    <mergeCell ref="K16:L16"/>
    <mergeCell ref="K30:L30"/>
    <mergeCell ref="K25:L25"/>
    <mergeCell ref="F29:J29"/>
    <mergeCell ref="I6:J6"/>
    <mergeCell ref="K34:L34"/>
    <mergeCell ref="A41:L41"/>
    <mergeCell ref="K24:L24"/>
    <mergeCell ref="G35:J35"/>
    <mergeCell ref="K15:L15"/>
    <mergeCell ref="E33:F33"/>
    <mergeCell ref="K33:L33"/>
    <mergeCell ref="K9:L9"/>
    <mergeCell ref="F8:H8"/>
    <mergeCell ref="I11:J11"/>
    <mergeCell ref="F25:J25"/>
    <mergeCell ref="A3:L3"/>
    <mergeCell ref="K36:L36"/>
    <mergeCell ref="E39:F39"/>
    <mergeCell ref="K26:L26"/>
    <mergeCell ref="K21:L21"/>
    <mergeCell ref="E35:F35"/>
    <mergeCell ref="K29:L29"/>
    <mergeCell ref="F30:J30"/>
    <mergeCell ref="K11:L11"/>
    <mergeCell ref="K20:L20"/>
    <mergeCell ref="K35:L35"/>
    <mergeCell ref="E38:F38"/>
    <mergeCell ref="F24:J24"/>
    <mergeCell ref="I7:J7"/>
    <mergeCell ref="A5:L5"/>
    <mergeCell ref="A23:L23"/>
    <mergeCell ref="A32:L32"/>
    <mergeCell ref="A14:L14"/>
    <mergeCell ref="F9:H9"/>
    <mergeCell ref="C42:L42"/>
    <mergeCell ref="F26:J26"/>
    <mergeCell ref="G36:J36"/>
    <mergeCell ref="E34:F34"/>
    <mergeCell ref="I12:J12"/>
    <mergeCell ref="K12:L12"/>
    <mergeCell ref="K8:L8"/>
    <mergeCell ref="G39:J39"/>
    <mergeCell ref="G33:J33"/>
    <mergeCell ref="K27:L27"/>
    <mergeCell ref="F28:J28"/>
    <mergeCell ref="G38:J38"/>
    <mergeCell ref="E36:F36"/>
    <mergeCell ref="I8:J8"/>
    <mergeCell ref="B45:L45"/>
    <mergeCell ref="K39:L39"/>
    <mergeCell ref="F11:H11"/>
    <mergeCell ref="G37:J37"/>
    <mergeCell ref="K17:L17"/>
    <mergeCell ref="F27:J27"/>
    <mergeCell ref="F10:H10"/>
    <mergeCell ref="K7:L7"/>
    <mergeCell ref="F6:H6"/>
    <mergeCell ref="K38:L38"/>
    <mergeCell ref="I10:J10"/>
    <mergeCell ref="A1:L1"/>
    <mergeCell ref="K10:L10"/>
    <mergeCell ref="K28:L28"/>
    <mergeCell ref="G34:J34"/>
    <mergeCell ref="K19:L19"/>
    <mergeCell ref="E37:F37"/>
    <mergeCell ref="K37:L37"/>
    <mergeCell ref="F12:H12"/>
    <mergeCell ref="F7:H7"/>
    <mergeCell ref="K6:L6"/>
    <mergeCell ref="K18:L18"/>
    <mergeCell ref="I9:J9"/>
  </mergeCells>
  <conditionalFormatting sqref="K7">
    <cfRule type="expression" priority="1" dxfId="0">
      <formula>LEN(K7)&gt;0</formula>
    </cfRule>
  </conditionalFormatting>
  <conditionalFormatting sqref="K8">
    <cfRule type="expression" priority="2" dxfId="0">
      <formula>LEN(K8)&gt;0</formula>
    </cfRule>
  </conditionalFormatting>
  <conditionalFormatting sqref="K9">
    <cfRule type="expression" priority="3" dxfId="0">
      <formula>LEN(K9)&gt;0</formula>
    </cfRule>
  </conditionalFormatting>
  <conditionalFormatting sqref="K10">
    <cfRule type="expression" priority="4" dxfId="0">
      <formula>LEN(K10)&gt;0</formula>
    </cfRule>
  </conditionalFormatting>
  <conditionalFormatting sqref="K11">
    <cfRule type="expression" priority="5" dxfId="0">
      <formula>LEN(K11)&gt;0</formula>
    </cfRule>
  </conditionalFormatting>
  <conditionalFormatting sqref="K12">
    <cfRule type="expression" priority="6" dxfId="0">
      <formula>LEN(K12)&gt;0</formula>
    </cfRule>
  </conditionalFormatting>
  <conditionalFormatting sqref="K16">
    <cfRule type="expression" priority="7" dxfId="0">
      <formula>LEN(K16)&gt;0</formula>
    </cfRule>
  </conditionalFormatting>
  <conditionalFormatting sqref="K17">
    <cfRule type="expression" priority="8" dxfId="0">
      <formula>LEN(K17)&gt;0</formula>
    </cfRule>
  </conditionalFormatting>
  <conditionalFormatting sqref="K18">
    <cfRule type="expression" priority="9" dxfId="0">
      <formula>LEN(K18)&gt;0</formula>
    </cfRule>
  </conditionalFormatting>
  <conditionalFormatting sqref="K19">
    <cfRule type="expression" priority="10" dxfId="0">
      <formula>LEN(K19)&gt;0</formula>
    </cfRule>
  </conditionalFormatting>
  <conditionalFormatting sqref="K20">
    <cfRule type="expression" priority="11" dxfId="0">
      <formula>LEN(K20)&gt;0</formula>
    </cfRule>
  </conditionalFormatting>
  <conditionalFormatting sqref="K21">
    <cfRule type="expression" priority="12" dxfId="0">
      <formula>LEN(K21)&gt;0</formula>
    </cfRule>
  </conditionalFormatting>
  <conditionalFormatting sqref="K25">
    <cfRule type="expression" priority="13" dxfId="0">
      <formula>LEN(K25)&gt;0</formula>
    </cfRule>
  </conditionalFormatting>
  <conditionalFormatting sqref="K26">
    <cfRule type="expression" priority="14" dxfId="0">
      <formula>LEN(K26)&gt;0</formula>
    </cfRule>
  </conditionalFormatting>
  <conditionalFormatting sqref="K27">
    <cfRule type="expression" priority="15" dxfId="0">
      <formula>LEN(K27)&gt;0</formula>
    </cfRule>
  </conditionalFormatting>
  <conditionalFormatting sqref="K28">
    <cfRule type="expression" priority="16" dxfId="0">
      <formula>LEN(K28)&gt;0</formula>
    </cfRule>
  </conditionalFormatting>
  <conditionalFormatting sqref="K29">
    <cfRule type="expression" priority="17" dxfId="0">
      <formula>LEN(K29)&gt;0</formula>
    </cfRule>
  </conditionalFormatting>
  <conditionalFormatting sqref="K30">
    <cfRule type="expression" priority="18" dxfId="0">
      <formula>LEN(K30)&gt;0</formula>
    </cfRule>
  </conditionalFormatting>
  <conditionalFormatting sqref="K34">
    <cfRule type="expression" priority="19" dxfId="0">
      <formula>LEN(K34)&gt;0</formula>
    </cfRule>
  </conditionalFormatting>
  <conditionalFormatting sqref="K35">
    <cfRule type="expression" priority="20" dxfId="0">
      <formula>LEN(K35)&gt;0</formula>
    </cfRule>
  </conditionalFormatting>
  <conditionalFormatting sqref="K36">
    <cfRule type="expression" priority="21" dxfId="0">
      <formula>LEN(K36)&gt;0</formula>
    </cfRule>
  </conditionalFormatting>
  <conditionalFormatting sqref="K37">
    <cfRule type="expression" priority="22" dxfId="0">
      <formula>LEN(K37)&gt;0</formula>
    </cfRule>
  </conditionalFormatting>
  <conditionalFormatting sqref="K38">
    <cfRule type="expression" priority="23" dxfId="0">
      <formula>LEN(K38)&gt;0</formula>
    </cfRule>
  </conditionalFormatting>
  <conditionalFormatting sqref="K39">
    <cfRule type="expression" priority="24" dxfId="0">
      <formula>LEN(K39)&gt;0</formula>
    </cfRule>
  </conditionalFormatting>
  <conditionalFormatting sqref="C42">
    <cfRule type="expression" priority="25" dxfId="0">
      <formula>LEN(C42)&gt;0</formula>
    </cfRule>
  </conditionalFormatting>
  <dataValidations count="126">
    <dataValidation sqref="A7" showDropDown="0" showInputMessage="0" showErrorMessage="1" allowBlank="1" errorTitle="Texto longo" error="Nome do PJ: até 30 caracteres." type="textLength" errorStyle="warning" operator="lessThanOrEqual">
      <formula1>30</formula1>
    </dataValidation>
    <dataValidation sqref="B7" showDropDown="0" showInputMessage="0" showErrorMessage="1" allowBlank="1" errorTitle="Texto longo" error="Jogador: até 30 caracteres." type="textLength" errorStyle="warning" operator="lessThanOrEqual">
      <formula1>30</formula1>
    </dataValidation>
    <dataValidation sqref="C7" showDropDown="0" showInputMessage="0" showErrorMessage="1" allowBlank="1" errorTitle="Fora da lista" error="Raça: escolha um valor da lista. A planilha pode não reconhecer outro valor." type="list" errorStyle="warning">
      <formula1>'Dados'!$AR$6:$AR$12</formula1>
    </dataValidation>
    <dataValidation sqref="D7" showDropDown="0" showInputMessage="0" showErrorMessage="1" allowBlank="1" errorTitle="Fora da lista" error="Caminho: escolha um valor da lista. A planilha pode não reconhecer outro valor." type="list" errorStyle="warning">
      <formula1>'Dados'!$AS$6:$AS$14</formula1>
    </dataValidation>
    <dataValidation sqref="E7" showDropDown="0" showInputMessage="0" showErrorMessage="1" allowBlank="1" errorTitle="Fora da lista" error="Elemento: escolha um valor da lista. A planilha pode não reconhecer outro valor." type="list" errorStyle="warning">
      <formula1>'Dados'!$AN$6:$AN$12</formula1>
    </dataValidation>
    <dataValidation sqref="F7" showDropDown="0" showInputMessage="0" showErrorMessage="1" allowBlank="1" errorTitle="Texto longo" error="Propósito de Vida: até 200 caracteres." type="textLength" errorStyle="warning" operator="lessThanOrEqual">
      <formula1>200</formula1>
    </dataValidation>
    <dataValidation sqref="I7" showDropDown="0" showInputMessage="0" showErrorMessage="1" allowBlank="1" errorTitle="Texto longo" error="Crença do Esforço: até 80 caracteres." type="textLength" errorStyle="warning" operator="lessThanOrEqual">
      <formula1>80</formula1>
    </dataValidation>
    <dataValidation sqref="A8" showDropDown="0" showInputMessage="0" showErrorMessage="1" allowBlank="1" errorTitle="Texto longo" error="Nome do PJ: até 30 caracteres." type="textLength" errorStyle="warning" operator="lessThanOrEqual">
      <formula1>30</formula1>
    </dataValidation>
    <dataValidation sqref="B8" showDropDown="0" showInputMessage="0" showErrorMessage="1" allowBlank="1" errorTitle="Texto longo" error="Jogador: até 30 caracteres." type="textLength" errorStyle="warning" operator="lessThanOrEqual">
      <formula1>30</formula1>
    </dataValidation>
    <dataValidation sqref="C8" showDropDown="0" showInputMessage="0" showErrorMessage="1" allowBlank="1" errorTitle="Fora da lista" error="Raça: escolha um valor da lista. A planilha pode não reconhecer outro valor." type="list" errorStyle="warning">
      <formula1>'Dados'!$AR$6:$AR$12</formula1>
    </dataValidation>
    <dataValidation sqref="D8" showDropDown="0" showInputMessage="0" showErrorMessage="1" allowBlank="1" errorTitle="Fora da lista" error="Caminho: escolha um valor da lista. A planilha pode não reconhecer outro valor." type="list" errorStyle="warning">
      <formula1>'Dados'!$AS$6:$AS$14</formula1>
    </dataValidation>
    <dataValidation sqref="E8" showDropDown="0" showInputMessage="0" showErrorMessage="1" allowBlank="1" errorTitle="Fora da lista" error="Elemento: escolha um valor da lista. A planilha pode não reconhecer outro valor." type="list" errorStyle="warning">
      <formula1>'Dados'!$AN$6:$AN$12</formula1>
    </dataValidation>
    <dataValidation sqref="F8" showDropDown="0" showInputMessage="0" showErrorMessage="1" allowBlank="1" errorTitle="Texto longo" error="Propósito de Vida: até 200 caracteres." type="textLength" errorStyle="warning" operator="lessThanOrEqual">
      <formula1>200</formula1>
    </dataValidation>
    <dataValidation sqref="I8" showDropDown="0" showInputMessage="0" showErrorMessage="1" allowBlank="1" errorTitle="Texto longo" error="Crença do Esforço: até 80 caracteres." type="textLength" errorStyle="warning" operator="lessThanOrEqual">
      <formula1>80</formula1>
    </dataValidation>
    <dataValidation sqref="A9" showDropDown="0" showInputMessage="0" showErrorMessage="1" allowBlank="1" errorTitle="Texto longo" error="Nome do PJ: até 30 caracteres." type="textLength" errorStyle="warning" operator="lessThanOrEqual">
      <formula1>30</formula1>
    </dataValidation>
    <dataValidation sqref="B9" showDropDown="0" showInputMessage="0" showErrorMessage="1" allowBlank="1" errorTitle="Texto longo" error="Jogador: até 30 caracteres." type="textLength" errorStyle="warning" operator="lessThanOrEqual">
      <formula1>30</formula1>
    </dataValidation>
    <dataValidation sqref="C9" showDropDown="0" showInputMessage="0" showErrorMessage="1" allowBlank="1" errorTitle="Fora da lista" error="Raça: escolha um valor da lista. A planilha pode não reconhecer outro valor." type="list" errorStyle="warning">
      <formula1>'Dados'!$AR$6:$AR$12</formula1>
    </dataValidation>
    <dataValidation sqref="D9" showDropDown="0" showInputMessage="0" showErrorMessage="1" allowBlank="1" errorTitle="Fora da lista" error="Caminho: escolha um valor da lista. A planilha pode não reconhecer outro valor." type="list" errorStyle="warning">
      <formula1>'Dados'!$AS$6:$AS$14</formula1>
    </dataValidation>
    <dataValidation sqref="E9" showDropDown="0" showInputMessage="0" showErrorMessage="1" allowBlank="1" errorTitle="Fora da lista" error="Elemento: escolha um valor da lista. A planilha pode não reconhecer outro valor." type="list" errorStyle="warning">
      <formula1>'Dados'!$AN$6:$AN$12</formula1>
    </dataValidation>
    <dataValidation sqref="F9" showDropDown="0" showInputMessage="0" showErrorMessage="1" allowBlank="1" errorTitle="Texto longo" error="Propósito de Vida: até 200 caracteres." type="textLength" errorStyle="warning" operator="lessThanOrEqual">
      <formula1>200</formula1>
    </dataValidation>
    <dataValidation sqref="I9" showDropDown="0" showInputMessage="0" showErrorMessage="1" allowBlank="1" errorTitle="Texto longo" error="Crença do Esforço: até 80 caracteres." type="textLength" errorStyle="warning" operator="lessThanOrEqual">
      <formula1>80</formula1>
    </dataValidation>
    <dataValidation sqref="A10" showDropDown="0" showInputMessage="0" showErrorMessage="1" allowBlank="1" errorTitle="Texto longo" error="Nome do PJ: até 30 caracteres." type="textLength" errorStyle="warning" operator="lessThanOrEqual">
      <formula1>30</formula1>
    </dataValidation>
    <dataValidation sqref="B10" showDropDown="0" showInputMessage="0" showErrorMessage="1" allowBlank="1" errorTitle="Texto longo" error="Jogador: até 30 caracteres." type="textLength" errorStyle="warning" operator="lessThanOrEqual">
      <formula1>30</formula1>
    </dataValidation>
    <dataValidation sqref="C10" showDropDown="0" showInputMessage="0" showErrorMessage="1" allowBlank="1" errorTitle="Fora da lista" error="Raça: escolha um valor da lista. A planilha pode não reconhecer outro valor." type="list" errorStyle="warning">
      <formula1>'Dados'!$AR$6:$AR$12</formula1>
    </dataValidation>
    <dataValidation sqref="D10" showDropDown="0" showInputMessage="0" showErrorMessage="1" allowBlank="1" errorTitle="Fora da lista" error="Caminho: escolha um valor da lista. A planilha pode não reconhecer outro valor." type="list" errorStyle="warning">
      <formula1>'Dados'!$AS$6:$AS$14</formula1>
    </dataValidation>
    <dataValidation sqref="E10" showDropDown="0" showInputMessage="0" showErrorMessage="1" allowBlank="1" errorTitle="Fora da lista" error="Elemento: escolha um valor da lista. A planilha pode não reconhecer outro valor." type="list" errorStyle="warning">
      <formula1>'Dados'!$AN$6:$AN$12</formula1>
    </dataValidation>
    <dataValidation sqref="F10" showDropDown="0" showInputMessage="0" showErrorMessage="1" allowBlank="1" errorTitle="Texto longo" error="Propósito de Vida: até 200 caracteres." type="textLength" errorStyle="warning" operator="lessThanOrEqual">
      <formula1>200</formula1>
    </dataValidation>
    <dataValidation sqref="I10" showDropDown="0" showInputMessage="0" showErrorMessage="1" allowBlank="1" errorTitle="Texto longo" error="Crença do Esforço: até 80 caracteres." type="textLength" errorStyle="warning" operator="lessThanOrEqual">
      <formula1>80</formula1>
    </dataValidation>
    <dataValidation sqref="A11" showDropDown="0" showInputMessage="0" showErrorMessage="1" allowBlank="1" errorTitle="Texto longo" error="Nome do PJ: até 30 caracteres." type="textLength" errorStyle="warning" operator="lessThanOrEqual">
      <formula1>30</formula1>
    </dataValidation>
    <dataValidation sqref="B11" showDropDown="0" showInputMessage="0" showErrorMessage="1" allowBlank="1" errorTitle="Texto longo" error="Jogador: até 30 caracteres." type="textLength" errorStyle="warning" operator="lessThanOrEqual">
      <formula1>30</formula1>
    </dataValidation>
    <dataValidation sqref="C11" showDropDown="0" showInputMessage="0" showErrorMessage="1" allowBlank="1" errorTitle="Fora da lista" error="Raça: escolha um valor da lista. A planilha pode não reconhecer outro valor." type="list" errorStyle="warning">
      <formula1>'Dados'!$AR$6:$AR$12</formula1>
    </dataValidation>
    <dataValidation sqref="D11" showDropDown="0" showInputMessage="0" showErrorMessage="1" allowBlank="1" errorTitle="Fora da lista" error="Caminho: escolha um valor da lista. A planilha pode não reconhecer outro valor." type="list" errorStyle="warning">
      <formula1>'Dados'!$AS$6:$AS$14</formula1>
    </dataValidation>
    <dataValidation sqref="E11" showDropDown="0" showInputMessage="0" showErrorMessage="1" allowBlank="1" errorTitle="Fora da lista" error="Elemento: escolha um valor da lista. A planilha pode não reconhecer outro valor." type="list" errorStyle="warning">
      <formula1>'Dados'!$AN$6:$AN$12</formula1>
    </dataValidation>
    <dataValidation sqref="F11" showDropDown="0" showInputMessage="0" showErrorMessage="1" allowBlank="1" errorTitle="Texto longo" error="Propósito de Vida: até 200 caracteres." type="textLength" errorStyle="warning" operator="lessThanOrEqual">
      <formula1>200</formula1>
    </dataValidation>
    <dataValidation sqref="I11" showDropDown="0" showInputMessage="0" showErrorMessage="1" allowBlank="1" errorTitle="Texto longo" error="Crença do Esforço: até 80 caracteres." type="textLength" errorStyle="warning" operator="lessThanOrEqual">
      <formula1>80</formula1>
    </dataValidation>
    <dataValidation sqref="A12" showDropDown="0" showInputMessage="0" showErrorMessage="1" allowBlank="1" errorTitle="Texto longo" error="Nome do PJ: até 30 caracteres." type="textLength" errorStyle="warning" operator="lessThanOrEqual">
      <formula1>30</formula1>
    </dataValidation>
    <dataValidation sqref="B12" showDropDown="0" showInputMessage="0" showErrorMessage="1" allowBlank="1" errorTitle="Texto longo" error="Jogador: até 30 caracteres." type="textLength" errorStyle="warning" operator="lessThanOrEqual">
      <formula1>30</formula1>
    </dataValidation>
    <dataValidation sqref="C12" showDropDown="0" showInputMessage="0" showErrorMessage="1" allowBlank="1" errorTitle="Fora da lista" error="Raça: escolha um valor da lista. A planilha pode não reconhecer outro valor." type="list" errorStyle="warning">
      <formula1>'Dados'!$AR$6:$AR$12</formula1>
    </dataValidation>
    <dataValidation sqref="D12" showDropDown="0" showInputMessage="0" showErrorMessage="1" allowBlank="1" errorTitle="Fora da lista" error="Caminho: escolha um valor da lista. A planilha pode não reconhecer outro valor." type="list" errorStyle="warning">
      <formula1>'Dados'!$AS$6:$AS$14</formula1>
    </dataValidation>
    <dataValidation sqref="E12" showDropDown="0" showInputMessage="0" showErrorMessage="1" allowBlank="1" errorTitle="Fora da lista" error="Elemento: escolha um valor da lista. A planilha pode não reconhecer outro valor." type="list" errorStyle="warning">
      <formula1>'Dados'!$AN$6:$AN$12</formula1>
    </dataValidation>
    <dataValidation sqref="F12" showDropDown="0" showInputMessage="0" showErrorMessage="1" allowBlank="1" errorTitle="Texto longo" error="Propósito de Vida: até 200 caracteres." type="textLength" errorStyle="warning" operator="lessThanOrEqual">
      <formula1>200</formula1>
    </dataValidation>
    <dataValidation sqref="I12" showDropDown="0" showInputMessage="0" showErrorMessage="1" allowBlank="1" errorTitle="Texto longo" error="Crença do Esforço: até 80 caracteres." type="textLength" errorStyle="warning" operator="lessThanOrEqual">
      <formula1>80</formula1>
    </dataValidation>
    <dataValidation sqref="B16" showDropDown="0" showInputMessage="0" showErrorMessage="1" allowBlank="1" errorTitle="Valor fora da faixa" error="PV máx.: use um número inteiro de 1 a 999." type="whole" errorStyle="warning" operator="between">
      <formula1>1</formula1>
      <formula2>999</formula2>
    </dataValidation>
    <dataValidation sqref="C16" showDropDown="0" showInputMessage="0" showErrorMessage="1" allowBlank="1" errorTitle="Valor fora da faixa" error="Defesa: use um número inteiro de 5 a 40." type="whole" errorStyle="warning" operator="between">
      <formula1>5</formula1>
      <formula2>40</formula2>
    </dataValidation>
    <dataValidation sqref="D16" showDropDown="0" showInputMessage="0" showErrorMessage="1" allowBlank="1" errorTitle="Valor fora da faixa" error="Esquiva: use um número inteiro de 0 a 40." type="whole" errorStyle="warning" operator="between">
      <formula1>0</formula1>
      <formula2>40</formula2>
    </dataValidation>
    <dataValidation sqref="E16" showDropDown="0" showInputMessage="0" showErrorMessage="1" allowBlank="1" errorTitle="Valor fora da faixa" error="RD: use um número inteiro de 0 a 30." type="whole" errorStyle="warning" operator="between">
      <formula1>0</formula1>
      <formula2>30</formula2>
    </dataValidation>
    <dataValidation sqref="F16" showDropDown="0" showInputMessage="0" showErrorMessage="1" allowBlank="1" errorTitle="Valor fora da faixa" error="VEL: use um número inteiro de 5 a 30." type="whole" errorStyle="warning" operator="between">
      <formula1>5</formula1>
      <formula2>30</formula2>
    </dataValidation>
    <dataValidation sqref="G16" showDropDown="0" showInputMessage="0" showErrorMessage="1" allowBlank="1" errorTitle="Valor fora da faixa" error="Bônus de Agilidade: use um número inteiro de -1 a 5." type="whole" errorStyle="warning" operator="between">
      <formula1>-1</formula1>
      <formula2>5</formula2>
    </dataValidation>
    <dataValidation sqref="H16" showDropDown="0" showInputMessage="0" showErrorMessage="1" allowBlank="1" errorTitle="Valor fora da faixa" error="Bônus de Discernimento: use um número inteiro de -1 a 5." type="whole" errorStyle="warning" operator="between">
      <formula1>-1</formula1>
      <formula2>5</formula2>
    </dataValidation>
    <dataValidation sqref="I16" showDropDown="0" showInputMessage="0" showErrorMessage="1" allowBlank="1" errorTitle="Valor fora da faixa" error="Bônus de Presença: use um número inteiro de -1 a 5." type="whole" errorStyle="warning" operator="between">
      <formula1>-1</formula1>
      <formula2>5</formula2>
    </dataValidation>
    <dataValidation sqref="J16" showDropDown="0" showInputMessage="0" showErrorMessage="1" allowBlank="1" errorTitle="Valor fora da faixa" error="DT das Habilidades: use um número inteiro de 5 a 40." type="whole" errorStyle="warning" operator="between">
      <formula1>5</formula1>
      <formula2>40</formula2>
    </dataValidation>
    <dataValidation sqref="B17" showDropDown="0" showInputMessage="0" showErrorMessage="1" allowBlank="1" errorTitle="Valor fora da faixa" error="PV máx.: use um número inteiro de 1 a 999." type="whole" errorStyle="warning" operator="between">
      <formula1>1</formula1>
      <formula2>999</formula2>
    </dataValidation>
    <dataValidation sqref="C17" showDropDown="0" showInputMessage="0" showErrorMessage="1" allowBlank="1" errorTitle="Valor fora da faixa" error="Defesa: use um número inteiro de 5 a 40." type="whole" errorStyle="warning" operator="between">
      <formula1>5</formula1>
      <formula2>40</formula2>
    </dataValidation>
    <dataValidation sqref="D17" showDropDown="0" showInputMessage="0" showErrorMessage="1" allowBlank="1" errorTitle="Valor fora da faixa" error="Esquiva: use um número inteiro de 0 a 40." type="whole" errorStyle="warning" operator="between">
      <formula1>0</formula1>
      <formula2>40</formula2>
    </dataValidation>
    <dataValidation sqref="E17" showDropDown="0" showInputMessage="0" showErrorMessage="1" allowBlank="1" errorTitle="Valor fora da faixa" error="RD: use um número inteiro de 0 a 30." type="whole" errorStyle="warning" operator="between">
      <formula1>0</formula1>
      <formula2>30</formula2>
    </dataValidation>
    <dataValidation sqref="F17" showDropDown="0" showInputMessage="0" showErrorMessage="1" allowBlank="1" errorTitle="Valor fora da faixa" error="VEL: use um número inteiro de 5 a 30." type="whole" errorStyle="warning" operator="between">
      <formula1>5</formula1>
      <formula2>30</formula2>
    </dataValidation>
    <dataValidation sqref="G17" showDropDown="0" showInputMessage="0" showErrorMessage="1" allowBlank="1" errorTitle="Valor fora da faixa" error="Bônus de Agilidade: use um número inteiro de -1 a 5." type="whole" errorStyle="warning" operator="between">
      <formula1>-1</formula1>
      <formula2>5</formula2>
    </dataValidation>
    <dataValidation sqref="H17" showDropDown="0" showInputMessage="0" showErrorMessage="1" allowBlank="1" errorTitle="Valor fora da faixa" error="Bônus de Discernimento: use um número inteiro de -1 a 5." type="whole" errorStyle="warning" operator="between">
      <formula1>-1</formula1>
      <formula2>5</formula2>
    </dataValidation>
    <dataValidation sqref="I17" showDropDown="0" showInputMessage="0" showErrorMessage="1" allowBlank="1" errorTitle="Valor fora da faixa" error="Bônus de Presença: use um número inteiro de -1 a 5." type="whole" errorStyle="warning" operator="between">
      <formula1>-1</formula1>
      <formula2>5</formula2>
    </dataValidation>
    <dataValidation sqref="J17" showDropDown="0" showInputMessage="0" showErrorMessage="1" allowBlank="1" errorTitle="Valor fora da faixa" error="DT das Habilidades: use um número inteiro de 5 a 40." type="whole" errorStyle="warning" operator="between">
      <formula1>5</formula1>
      <formula2>40</formula2>
    </dataValidation>
    <dataValidation sqref="B18" showDropDown="0" showInputMessage="0" showErrorMessage="1" allowBlank="1" errorTitle="Valor fora da faixa" error="PV máx.: use um número inteiro de 1 a 999." type="whole" errorStyle="warning" operator="between">
      <formula1>1</formula1>
      <formula2>999</formula2>
    </dataValidation>
    <dataValidation sqref="C18" showDropDown="0" showInputMessage="0" showErrorMessage="1" allowBlank="1" errorTitle="Valor fora da faixa" error="Defesa: use um número inteiro de 5 a 40." type="whole" errorStyle="warning" operator="between">
      <formula1>5</formula1>
      <formula2>40</formula2>
    </dataValidation>
    <dataValidation sqref="D18" showDropDown="0" showInputMessage="0" showErrorMessage="1" allowBlank="1" errorTitle="Valor fora da faixa" error="Esquiva: use um número inteiro de 0 a 40." type="whole" errorStyle="warning" operator="between">
      <formula1>0</formula1>
      <formula2>40</formula2>
    </dataValidation>
    <dataValidation sqref="E18" showDropDown="0" showInputMessage="0" showErrorMessage="1" allowBlank="1" errorTitle="Valor fora da faixa" error="RD: use um número inteiro de 0 a 30." type="whole" errorStyle="warning" operator="between">
      <formula1>0</formula1>
      <formula2>30</formula2>
    </dataValidation>
    <dataValidation sqref="F18" showDropDown="0" showInputMessage="0" showErrorMessage="1" allowBlank="1" errorTitle="Valor fora da faixa" error="VEL: use um número inteiro de 5 a 30." type="whole" errorStyle="warning" operator="between">
      <formula1>5</formula1>
      <formula2>30</formula2>
    </dataValidation>
    <dataValidation sqref="G18" showDropDown="0" showInputMessage="0" showErrorMessage="1" allowBlank="1" errorTitle="Valor fora da faixa" error="Bônus de Agilidade: use um número inteiro de -1 a 5." type="whole" errorStyle="warning" operator="between">
      <formula1>-1</formula1>
      <formula2>5</formula2>
    </dataValidation>
    <dataValidation sqref="H18" showDropDown="0" showInputMessage="0" showErrorMessage="1" allowBlank="1" errorTitle="Valor fora da faixa" error="Bônus de Discernimento: use um número inteiro de -1 a 5." type="whole" errorStyle="warning" operator="between">
      <formula1>-1</formula1>
      <formula2>5</formula2>
    </dataValidation>
    <dataValidation sqref="I18" showDropDown="0" showInputMessage="0" showErrorMessage="1" allowBlank="1" errorTitle="Valor fora da faixa" error="Bônus de Presença: use um número inteiro de -1 a 5." type="whole" errorStyle="warning" operator="between">
      <formula1>-1</formula1>
      <formula2>5</formula2>
    </dataValidation>
    <dataValidation sqref="J18" showDropDown="0" showInputMessage="0" showErrorMessage="1" allowBlank="1" errorTitle="Valor fora da faixa" error="DT das Habilidades: use um número inteiro de 5 a 40." type="whole" errorStyle="warning" operator="between">
      <formula1>5</formula1>
      <formula2>40</formula2>
    </dataValidation>
    <dataValidation sqref="B19" showDropDown="0" showInputMessage="0" showErrorMessage="1" allowBlank="1" errorTitle="Valor fora da faixa" error="PV máx.: use um número inteiro de 1 a 999." type="whole" errorStyle="warning" operator="between">
      <formula1>1</formula1>
      <formula2>999</formula2>
    </dataValidation>
    <dataValidation sqref="C19" showDropDown="0" showInputMessage="0" showErrorMessage="1" allowBlank="1" errorTitle="Valor fora da faixa" error="Defesa: use um número inteiro de 5 a 40." type="whole" errorStyle="warning" operator="between">
      <formula1>5</formula1>
      <formula2>40</formula2>
    </dataValidation>
    <dataValidation sqref="D19" showDropDown="0" showInputMessage="0" showErrorMessage="1" allowBlank="1" errorTitle="Valor fora da faixa" error="Esquiva: use um número inteiro de 0 a 40." type="whole" errorStyle="warning" operator="between">
      <formula1>0</formula1>
      <formula2>40</formula2>
    </dataValidation>
    <dataValidation sqref="E19" showDropDown="0" showInputMessage="0" showErrorMessage="1" allowBlank="1" errorTitle="Valor fora da faixa" error="RD: use um número inteiro de 0 a 30." type="whole" errorStyle="warning" operator="between">
      <formula1>0</formula1>
      <formula2>30</formula2>
    </dataValidation>
    <dataValidation sqref="F19" showDropDown="0" showInputMessage="0" showErrorMessage="1" allowBlank="1" errorTitle="Valor fora da faixa" error="VEL: use um número inteiro de 5 a 30." type="whole" errorStyle="warning" operator="between">
      <formula1>5</formula1>
      <formula2>30</formula2>
    </dataValidation>
    <dataValidation sqref="G19" showDropDown="0" showInputMessage="0" showErrorMessage="1" allowBlank="1" errorTitle="Valor fora da faixa" error="Bônus de Agilidade: use um número inteiro de -1 a 5." type="whole" errorStyle="warning" operator="between">
      <formula1>-1</formula1>
      <formula2>5</formula2>
    </dataValidation>
    <dataValidation sqref="H19" showDropDown="0" showInputMessage="0" showErrorMessage="1" allowBlank="1" errorTitle="Valor fora da faixa" error="Bônus de Discernimento: use um número inteiro de -1 a 5." type="whole" errorStyle="warning" operator="between">
      <formula1>-1</formula1>
      <formula2>5</formula2>
    </dataValidation>
    <dataValidation sqref="I19" showDropDown="0" showInputMessage="0" showErrorMessage="1" allowBlank="1" errorTitle="Valor fora da faixa" error="Bônus de Presença: use um número inteiro de -1 a 5." type="whole" errorStyle="warning" operator="between">
      <formula1>-1</formula1>
      <formula2>5</formula2>
    </dataValidation>
    <dataValidation sqref="J19" showDropDown="0" showInputMessage="0" showErrorMessage="1" allowBlank="1" errorTitle="Valor fora da faixa" error="DT das Habilidades: use um número inteiro de 5 a 40." type="whole" errorStyle="warning" operator="between">
      <formula1>5</formula1>
      <formula2>40</formula2>
    </dataValidation>
    <dataValidation sqref="B20" showDropDown="0" showInputMessage="0" showErrorMessage="1" allowBlank="1" errorTitle="Valor fora da faixa" error="PV máx.: use um número inteiro de 1 a 999." type="whole" errorStyle="warning" operator="between">
      <formula1>1</formula1>
      <formula2>999</formula2>
    </dataValidation>
    <dataValidation sqref="C20" showDropDown="0" showInputMessage="0" showErrorMessage="1" allowBlank="1" errorTitle="Valor fora da faixa" error="Defesa: use um número inteiro de 5 a 40." type="whole" errorStyle="warning" operator="between">
      <formula1>5</formula1>
      <formula2>40</formula2>
    </dataValidation>
    <dataValidation sqref="D20" showDropDown="0" showInputMessage="0" showErrorMessage="1" allowBlank="1" errorTitle="Valor fora da faixa" error="Esquiva: use um número inteiro de 0 a 40." type="whole" errorStyle="warning" operator="between">
      <formula1>0</formula1>
      <formula2>40</formula2>
    </dataValidation>
    <dataValidation sqref="E20" showDropDown="0" showInputMessage="0" showErrorMessage="1" allowBlank="1" errorTitle="Valor fora da faixa" error="RD: use um número inteiro de 0 a 30." type="whole" errorStyle="warning" operator="between">
      <formula1>0</formula1>
      <formula2>30</formula2>
    </dataValidation>
    <dataValidation sqref="F20" showDropDown="0" showInputMessage="0" showErrorMessage="1" allowBlank="1" errorTitle="Valor fora da faixa" error="VEL: use um número inteiro de 5 a 30." type="whole" errorStyle="warning" operator="between">
      <formula1>5</formula1>
      <formula2>30</formula2>
    </dataValidation>
    <dataValidation sqref="G20" showDropDown="0" showInputMessage="0" showErrorMessage="1" allowBlank="1" errorTitle="Valor fora da faixa" error="Bônus de Agilidade: use um número inteiro de -1 a 5." type="whole" errorStyle="warning" operator="between">
      <formula1>-1</formula1>
      <formula2>5</formula2>
    </dataValidation>
    <dataValidation sqref="H20" showDropDown="0" showInputMessage="0" showErrorMessage="1" allowBlank="1" errorTitle="Valor fora da faixa" error="Bônus de Discernimento: use um número inteiro de -1 a 5." type="whole" errorStyle="warning" operator="between">
      <formula1>-1</formula1>
      <formula2>5</formula2>
    </dataValidation>
    <dataValidation sqref="I20" showDropDown="0" showInputMessage="0" showErrorMessage="1" allowBlank="1" errorTitle="Valor fora da faixa" error="Bônus de Presença: use um número inteiro de -1 a 5." type="whole" errorStyle="warning" operator="between">
      <formula1>-1</formula1>
      <formula2>5</formula2>
    </dataValidation>
    <dataValidation sqref="J20" showDropDown="0" showInputMessage="0" showErrorMessage="1" allowBlank="1" errorTitle="Valor fora da faixa" error="DT das Habilidades: use um número inteiro de 5 a 40." type="whole" errorStyle="warning" operator="between">
      <formula1>5</formula1>
      <formula2>40</formula2>
    </dataValidation>
    <dataValidation sqref="B21" showDropDown="0" showInputMessage="0" showErrorMessage="1" allowBlank="1" errorTitle="Valor fora da faixa" error="PV máx.: use um número inteiro de 1 a 999." type="whole" errorStyle="warning" operator="between">
      <formula1>1</formula1>
      <formula2>999</formula2>
    </dataValidation>
    <dataValidation sqref="C21" showDropDown="0" showInputMessage="0" showErrorMessage="1" allowBlank="1" errorTitle="Valor fora da faixa" error="Defesa: use um número inteiro de 5 a 40." type="whole" errorStyle="warning" operator="between">
      <formula1>5</formula1>
      <formula2>40</formula2>
    </dataValidation>
    <dataValidation sqref="D21" showDropDown="0" showInputMessage="0" showErrorMessage="1" allowBlank="1" errorTitle="Valor fora da faixa" error="Esquiva: use um número inteiro de 0 a 40." type="whole" errorStyle="warning" operator="between">
      <formula1>0</formula1>
      <formula2>40</formula2>
    </dataValidation>
    <dataValidation sqref="E21" showDropDown="0" showInputMessage="0" showErrorMessage="1" allowBlank="1" errorTitle="Valor fora da faixa" error="RD: use um número inteiro de 0 a 30." type="whole" errorStyle="warning" operator="between">
      <formula1>0</formula1>
      <formula2>30</formula2>
    </dataValidation>
    <dataValidation sqref="F21" showDropDown="0" showInputMessage="0" showErrorMessage="1" allowBlank="1" errorTitle="Valor fora da faixa" error="VEL: use um número inteiro de 5 a 30." type="whole" errorStyle="warning" operator="between">
      <formula1>5</formula1>
      <formula2>30</formula2>
    </dataValidation>
    <dataValidation sqref="G21" showDropDown="0" showInputMessage="0" showErrorMessage="1" allowBlank="1" errorTitle="Valor fora da faixa" error="Bônus de Agilidade: use um número inteiro de -1 a 5." type="whole" errorStyle="warning" operator="between">
      <formula1>-1</formula1>
      <formula2>5</formula2>
    </dataValidation>
    <dataValidation sqref="H21" showDropDown="0" showInputMessage="0" showErrorMessage="1" allowBlank="1" errorTitle="Valor fora da faixa" error="Bônus de Discernimento: use um número inteiro de -1 a 5." type="whole" errorStyle="warning" operator="between">
      <formula1>-1</formula1>
      <formula2>5</formula2>
    </dataValidation>
    <dataValidation sqref="I21" showDropDown="0" showInputMessage="0" showErrorMessage="1" allowBlank="1" errorTitle="Valor fora da faixa" error="Bônus de Presença: use um número inteiro de -1 a 5." type="whole" errorStyle="warning" operator="between">
      <formula1>-1</formula1>
      <formula2>5</formula2>
    </dataValidation>
    <dataValidation sqref="J21" showDropDown="0" showInputMessage="0" showErrorMessage="1" allowBlank="1" errorTitle="Valor fora da faixa" error="DT das Habilidades: use um número inteiro de 5 a 40." type="whole" errorStyle="warning" operator="between">
      <formula1>5</formula1>
      <formula2>40</formula2>
    </dataValidation>
    <dataValidation sqref="B25" showDropDown="0" showInputMessage="0" showErrorMessage="1" allowBlank="1" errorTitle="Valor fora da faixa" error="Nível do Cone: use um número inteiro de 1 a 5." type="whole" errorStyle="warning" operator="between">
      <formula1>1</formula1>
      <formula2>5</formula2>
    </dataValidation>
    <dataValidation sqref="C25" showDropDown="0" showInputMessage="0" showErrorMessage="1" allowBlank="1" errorTitle="Valor fora da faixa" error="Tier de Relíquias: use um número inteiro de 1 a 4." type="whole" errorStyle="warning" operator="between">
      <formula1>1</formula1>
      <formula2>4</formula2>
    </dataValidation>
    <dataValidation sqref="D25" showDropDown="0" showInputMessage="0" showErrorMessage="1" allowBlank="1" errorTitle="Valor fora da faixa" error="Slots: use um número inteiro de 0 a 6." type="whole" errorStyle="warning" operator="between">
      <formula1>0</formula1>
      <formula2>6</formula2>
    </dataValidation>
    <dataValidation sqref="E25" showDropDown="0" showInputMessage="0" showErrorMessage="1" allowBlank="1" errorTitle="Valor fora da faixa" error="Sobreposições: use um número inteiro de 0 a 2." type="whole" errorStyle="warning" operator="between">
      <formula1>0</formula1>
      <formula2>2</formula2>
    </dataValidation>
    <dataValidation sqref="F25" showDropDown="0" showInputMessage="0" showErrorMessage="1" allowBlank="1" errorTitle="Texto longo" error="Ressonâncias: até 200 caracteres." type="textLength" errorStyle="warning" operator="lessThanOrEqual">
      <formula1>200</formula1>
    </dataValidation>
    <dataValidation sqref="B26" showDropDown="0" showInputMessage="0" showErrorMessage="1" allowBlank="1" errorTitle="Valor fora da faixa" error="Nível do Cone: use um número inteiro de 1 a 5." type="whole" errorStyle="warning" operator="between">
      <formula1>1</formula1>
      <formula2>5</formula2>
    </dataValidation>
    <dataValidation sqref="C26" showDropDown="0" showInputMessage="0" showErrorMessage="1" allowBlank="1" errorTitle="Valor fora da faixa" error="Tier de Relíquias: use um número inteiro de 1 a 4." type="whole" errorStyle="warning" operator="between">
      <formula1>1</formula1>
      <formula2>4</formula2>
    </dataValidation>
    <dataValidation sqref="D26" showDropDown="0" showInputMessage="0" showErrorMessage="1" allowBlank="1" errorTitle="Valor fora da faixa" error="Slots: use um número inteiro de 0 a 6." type="whole" errorStyle="warning" operator="between">
      <formula1>0</formula1>
      <formula2>6</formula2>
    </dataValidation>
    <dataValidation sqref="E26" showDropDown="0" showInputMessage="0" showErrorMessage="1" allowBlank="1" errorTitle="Valor fora da faixa" error="Sobreposições: use um número inteiro de 0 a 2." type="whole" errorStyle="warning" operator="between">
      <formula1>0</formula1>
      <formula2>2</formula2>
    </dataValidation>
    <dataValidation sqref="F26" showDropDown="0" showInputMessage="0" showErrorMessage="1" allowBlank="1" errorTitle="Texto longo" error="Ressonâncias: até 200 caracteres." type="textLength" errorStyle="warning" operator="lessThanOrEqual">
      <formula1>200</formula1>
    </dataValidation>
    <dataValidation sqref="B27" showDropDown="0" showInputMessage="0" showErrorMessage="1" allowBlank="1" errorTitle="Valor fora da faixa" error="Nível do Cone: use um número inteiro de 1 a 5." type="whole" errorStyle="warning" operator="between">
      <formula1>1</formula1>
      <formula2>5</formula2>
    </dataValidation>
    <dataValidation sqref="C27" showDropDown="0" showInputMessage="0" showErrorMessage="1" allowBlank="1" errorTitle="Valor fora da faixa" error="Tier de Relíquias: use um número inteiro de 1 a 4." type="whole" errorStyle="warning" operator="between">
      <formula1>1</formula1>
      <formula2>4</formula2>
    </dataValidation>
    <dataValidation sqref="D27" showDropDown="0" showInputMessage="0" showErrorMessage="1" allowBlank="1" errorTitle="Valor fora da faixa" error="Slots: use um número inteiro de 0 a 6." type="whole" errorStyle="warning" operator="between">
      <formula1>0</formula1>
      <formula2>6</formula2>
    </dataValidation>
    <dataValidation sqref="E27" showDropDown="0" showInputMessage="0" showErrorMessage="1" allowBlank="1" errorTitle="Valor fora da faixa" error="Sobreposições: use um número inteiro de 0 a 2." type="whole" errorStyle="warning" operator="between">
      <formula1>0</formula1>
      <formula2>2</formula2>
    </dataValidation>
    <dataValidation sqref="F27" showDropDown="0" showInputMessage="0" showErrorMessage="1" allowBlank="1" errorTitle="Texto longo" error="Ressonâncias: até 200 caracteres." type="textLength" errorStyle="warning" operator="lessThanOrEqual">
      <formula1>200</formula1>
    </dataValidation>
    <dataValidation sqref="B28" showDropDown="0" showInputMessage="0" showErrorMessage="1" allowBlank="1" errorTitle="Valor fora da faixa" error="Nível do Cone: use um número inteiro de 1 a 5." type="whole" errorStyle="warning" operator="between">
      <formula1>1</formula1>
      <formula2>5</formula2>
    </dataValidation>
    <dataValidation sqref="C28" showDropDown="0" showInputMessage="0" showErrorMessage="1" allowBlank="1" errorTitle="Valor fora da faixa" error="Tier de Relíquias: use um número inteiro de 1 a 4." type="whole" errorStyle="warning" operator="between">
      <formula1>1</formula1>
      <formula2>4</formula2>
    </dataValidation>
    <dataValidation sqref="D28" showDropDown="0" showInputMessage="0" showErrorMessage="1" allowBlank="1" errorTitle="Valor fora da faixa" error="Slots: use um número inteiro de 0 a 6." type="whole" errorStyle="warning" operator="between">
      <formula1>0</formula1>
      <formula2>6</formula2>
    </dataValidation>
    <dataValidation sqref="E28" showDropDown="0" showInputMessage="0" showErrorMessage="1" allowBlank="1" errorTitle="Valor fora da faixa" error="Sobreposições: use um número inteiro de 0 a 2." type="whole" errorStyle="warning" operator="between">
      <formula1>0</formula1>
      <formula2>2</formula2>
    </dataValidation>
    <dataValidation sqref="F28" showDropDown="0" showInputMessage="0" showErrorMessage="1" allowBlank="1" errorTitle="Texto longo" error="Ressonâncias: até 200 caracteres." type="textLength" errorStyle="warning" operator="lessThanOrEqual">
      <formula1>200</formula1>
    </dataValidation>
    <dataValidation sqref="B29" showDropDown="0" showInputMessage="0" showErrorMessage="1" allowBlank="1" errorTitle="Valor fora da faixa" error="Nível do Cone: use um número inteiro de 1 a 5." type="whole" errorStyle="warning" operator="between">
      <formula1>1</formula1>
      <formula2>5</formula2>
    </dataValidation>
    <dataValidation sqref="C29" showDropDown="0" showInputMessage="0" showErrorMessage="1" allowBlank="1" errorTitle="Valor fora da faixa" error="Tier de Relíquias: use um número inteiro de 1 a 4." type="whole" errorStyle="warning" operator="between">
      <formula1>1</formula1>
      <formula2>4</formula2>
    </dataValidation>
    <dataValidation sqref="D29" showDropDown="0" showInputMessage="0" showErrorMessage="1" allowBlank="1" errorTitle="Valor fora da faixa" error="Slots: use um número inteiro de 0 a 6." type="whole" errorStyle="warning" operator="between">
      <formula1>0</formula1>
      <formula2>6</formula2>
    </dataValidation>
    <dataValidation sqref="E29" showDropDown="0" showInputMessage="0" showErrorMessage="1" allowBlank="1" errorTitle="Valor fora da faixa" error="Sobreposições: use um número inteiro de 0 a 2." type="whole" errorStyle="warning" operator="between">
      <formula1>0</formula1>
      <formula2>2</formula2>
    </dataValidation>
    <dataValidation sqref="F29" showDropDown="0" showInputMessage="0" showErrorMessage="1" allowBlank="1" errorTitle="Texto longo" error="Ressonâncias: até 200 caracteres." type="textLength" errorStyle="warning" operator="lessThanOrEqual">
      <formula1>200</formula1>
    </dataValidation>
    <dataValidation sqref="B30" showDropDown="0" showInputMessage="0" showErrorMessage="1" allowBlank="1" errorTitle="Valor fora da faixa" error="Nível do Cone: use um número inteiro de 1 a 5." type="whole" errorStyle="warning" operator="between">
      <formula1>1</formula1>
      <formula2>5</formula2>
    </dataValidation>
    <dataValidation sqref="C30" showDropDown="0" showInputMessage="0" showErrorMessage="1" allowBlank="1" errorTitle="Valor fora da faixa" error="Tier de Relíquias: use um número inteiro de 1 a 4." type="whole" errorStyle="warning" operator="between">
      <formula1>1</formula1>
      <formula2>4</formula2>
    </dataValidation>
    <dataValidation sqref="D30" showDropDown="0" showInputMessage="0" showErrorMessage="1" allowBlank="1" errorTitle="Valor fora da faixa" error="Slots: use um número inteiro de 0 a 6." type="whole" errorStyle="warning" operator="between">
      <formula1>0</formula1>
      <formula2>6</formula2>
    </dataValidation>
    <dataValidation sqref="E30" showDropDown="0" showInputMessage="0" showErrorMessage="1" allowBlank="1" errorTitle="Valor fora da faixa" error="Sobreposições: use um número inteiro de 0 a 2." type="whole" errorStyle="warning" operator="between">
      <formula1>0</formula1>
      <formula2>2</formula2>
    </dataValidation>
    <dataValidation sqref="F30" showDropDown="0" showInputMessage="0" showErrorMessage="1" allowBlank="1" errorTitle="Texto longo" error="Ressonâncias: até 200 caracteres." type="textLength" errorStyle="warning" operator="lessThanOrEqual">
      <formula1>200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
  <sheetViews>
    <sheetView showGridLines="1" workbookViewId="0">
      <selection activeCell="A1" sqref="A1"/>
    </sheetView>
  </sheetViews>
  <sheetFormatPr baseColWidth="8" defaultRowHeight="15"/>
  <cols>
    <col width="20.786" customWidth="1" min="1" max="1"/>
    <col width="13.643" customWidth="1" min="2" max="2"/>
    <col width="13.643"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1.5" customWidth="1" min="11" max="11"/>
    <col width="21.5" customWidth="1" min="12" max="12"/>
  </cols>
  <sheetData>
    <row r="1" ht="24" customHeight="1">
      <c r="A1" s="1" t="inlineStr">
        <is>
          <t>Sessões — Explorando Galáxias v1.1</t>
        </is>
      </c>
    </row>
    <row r="2" ht="37" customHeight="1">
      <c r="A2" s="2"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Preparar a próxima sessão e o diário de campanha.</t>
        </is>
      </c>
    </row>
    <row r="4"/>
    <row r="5">
      <c r="A5" s="13" t="inlineStr">
        <is>
          <t>Em construção: esta aba chega numa próxima fase da Planilha do Mestre.</t>
        </is>
      </c>
    </row>
  </sheetData>
  <mergeCells count="3">
    <mergeCell ref="A3:L3"/>
    <mergeCell ref="A1:L1"/>
    <mergeCell ref="A5:L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
  <sheetViews>
    <sheetView showGridLines="1" workbookViewId="0">
      <selection activeCell="A1" sqref="A1"/>
    </sheetView>
  </sheetViews>
  <sheetFormatPr baseColWidth="8" defaultRowHeight="15"/>
  <cols>
    <col width="20.786" customWidth="1" min="1" max="1"/>
    <col width="13.643" customWidth="1" min="2" max="2"/>
    <col width="13.643"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1.5" customWidth="1" min="11" max="11"/>
    <col width="21.5" customWidth="1" min="12" max="12"/>
  </cols>
  <sheetData>
    <row r="1" ht="24" customHeight="1">
      <c r="A1" s="1" t="inlineStr">
        <is>
          <t>Missões — Explorando Galáxias v1.1</t>
        </is>
      </c>
    </row>
    <row r="2" ht="37" customHeight="1">
      <c r="A2" s="2"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As missões oferecidas, ativas e concluídas.</t>
        </is>
      </c>
    </row>
    <row r="4"/>
    <row r="5">
      <c r="A5" s="13" t="inlineStr">
        <is>
          <t>Em construção: esta aba chega numa próxima fase da Planilha do Mestre.</t>
        </is>
      </c>
    </row>
  </sheetData>
  <mergeCells count="3">
    <mergeCell ref="A3:L3"/>
    <mergeCell ref="A1:L1"/>
    <mergeCell ref="A5:L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F232"/>
  <sheetViews>
    <sheetView showGridLines="1" workbookViewId="0">
      <selection activeCell="A1" sqref="A1"/>
    </sheetView>
  </sheetViews>
  <sheetFormatPr baseColWidth="8" defaultRowHeight="15"/>
  <cols>
    <col width="20.786" customWidth="1" min="1" max="1"/>
    <col width="13.643" customWidth="1" min="2" max="2"/>
    <col width="13.643"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1.5" customWidth="1" min="11" max="11"/>
    <col width="21.5" customWidth="1" min="12" max="12"/>
    <col hidden="1" width="13" customWidth="1" min="13" max="13"/>
    <col hidden="1"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hidden="1" width="13" customWidth="1" min="27" max="27"/>
    <col hidden="1" width="13" customWidth="1" min="28" max="28"/>
    <col hidden="1" width="13" customWidth="1" min="29" max="29"/>
    <col width="13" customWidth="1" min="30" max="30"/>
    <col hidden="1" width="13" customWidth="1" min="31" max="31"/>
    <col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width="13" customWidth="1" min="43" max="43"/>
    <col hidden="1" width="13" customWidth="1" min="44" max="44"/>
    <col width="13" customWidth="1" min="45" max="45"/>
    <col hidden="1" width="13" customWidth="1" min="46" max="46"/>
    <col width="13" customWidth="1" min="47" max="47"/>
    <col hidden="1" width="13" customWidth="1" min="48" max="48"/>
    <col hidden="1" width="13" customWidth="1" min="49" max="49"/>
    <col width="13" customWidth="1" min="50" max="50"/>
    <col hidden="1" width="13" customWidth="1" min="51" max="51"/>
    <col hidden="1" width="13" customWidth="1" min="52" max="52"/>
    <col hidden="1" width="13" customWidth="1" min="53" max="53"/>
    <col hidden="1" width="13" customWidth="1" min="54" max="54"/>
    <col hidden="1" width="13" customWidth="1" min="55" max="55"/>
    <col width="13" customWidth="1" min="56" max="56"/>
    <col hidden="1" width="13" customWidth="1" min="57" max="57"/>
    <col hidden="1" width="13" customWidth="1" min="58" max="58"/>
  </cols>
  <sheetData>
    <row r="1" ht="24" customHeight="1">
      <c r="A1" s="1" t="inlineStr">
        <is>
          <t>NPCs — Explorando Galáxias v1.1</t>
        </is>
      </c>
    </row>
    <row r="2" ht="37" customHeight="1">
      <c r="A2" s="2"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Gerador de NPCs (nome por cultura, Raça, Caminho, ocupação, voz, segredo, gancho), elenco e cartões.</t>
        </is>
      </c>
    </row>
    <row r="4"/>
    <row r="5" ht="20" customHeight="1">
      <c r="A5" s="12" t="inlineStr">
        <is>
          <t>Gerador de NPCs (G = 200): vazio = Sortear; a semente é a da aba Início</t>
        </is>
      </c>
    </row>
    <row r="6" ht="26" customHeight="1">
      <c r="A6" s="7" t="inlineStr">
        <is>
          <t>Rolagem nº</t>
        </is>
      </c>
      <c r="B6" s="7" t="inlineStr">
        <is>
          <t>Raça</t>
        </is>
      </c>
      <c r="C6" s="20" t="n"/>
      <c r="D6" s="7" t="inlineStr">
        <is>
          <t>Caminho</t>
        </is>
      </c>
      <c r="E6" s="20" t="n"/>
      <c r="F6" s="7" t="inlineStr">
        <is>
          <t>Papel na história</t>
        </is>
      </c>
      <c r="G6" s="20" t="n"/>
      <c r="H6" s="7" t="inlineStr">
        <is>
          <t>Bloco de combate</t>
        </is>
      </c>
      <c r="I6" s="20" t="n"/>
      <c r="J6" s="7" t="inlineStr">
        <is>
          <t>Tipo do bloco</t>
        </is>
      </c>
      <c r="K6" s="7" t="inlineStr">
        <is>
          <t>Aviso</t>
        </is>
      </c>
      <c r="L6" s="20" t="n"/>
    </row>
    <row r="7" ht="26" customHeight="1">
      <c r="A7" s="35" t="n"/>
      <c r="B7" s="3" t="n"/>
      <c r="C7" s="16" t="n"/>
      <c r="D7" s="3" t="n"/>
      <c r="E7" s="16" t="n"/>
      <c r="F7" s="3" t="n"/>
      <c r="G7" s="16" t="n"/>
      <c r="H7" s="3" t="n"/>
      <c r="I7" s="16" t="n"/>
      <c r="J7" s="36" t="n"/>
      <c r="K7" s="18">
        <f>IF(BF7&gt;0,"O Google leu como fórmula: escolha de novo ou digite com ' na frente.",IF(LEN(IF(LEN($AV$7)=0,"",IF(ISNUMBER($AV$7),IF(AND($AV$7&gt;=1,$AV$7&lt;=1000000,INT($AV$7)=$AV$7),"","Rolagem nº fora de 1 a 1.000.000: usando 1"),"Rolagem nº fora de 1 a 1.000.000: usando 1")))&gt;0,IF(LEN($AV$7)=0,"",IF(ISNUMBER($AV$7),IF(AND($AV$7&gt;=1,$AV$7&lt;=1000000,INT($AV$7)=$AV$7),"","Rolagem nº fora de 1 a 1.000.000: usando 1"),"Rolagem nº fora de 1 a 1.000.000: usando 1")),IF(AND(LEN($AW$7)&gt;0,$AW$7&lt;&gt;"Sortear",COUNTIF('Dados'!$A$350:$A$356,$AW$7)=0),"Raça fora da lista do capítulo 05: sorteando",IF(AND(LEN($AY$7)&gt;0,$AY$7&lt;&gt;"Sortear",$AY$7&lt;&gt;"Nenhum",COUNTIF('Dados'!$A$360:$A$368,$AY$7)=0),"Caminho fora da lista: sorteando",IF(AND(LEN($BA$7)&gt;0,$BA$7&lt;&gt;"Sortear",COUNTIF('Dados'!$A$398:$A$404,$BA$7)=0),"Papel fora da lista: sorteando",IF(AND(LEN($BC$7)&gt;0,$BC$7&lt;&gt;"Nenhum",$BC$7&lt;&gt;"Do grupo",LEN(IFERROR(INDEX('Dados'!$B$7:$B$11,MATCH($BC$7,'Dados'!$AP$6:$AP$10,0)),""))=0),"Bloco de combate fora da lista: sem bloco",IF(AND(LEN($BE$7)&gt;0,$BE$7&lt;&gt;"Comum",$BE$7&lt;&gt;"Elite"),"Tipo do bloco fora da lista: usando Comum","")))))))</f>
        <v/>
      </c>
      <c r="AV7" s="19">
        <f>IF(ISERROR($A$7),"",IF(ISBLANK($A$7),"",$A$7))</f>
        <v/>
      </c>
      <c r="AW7" s="19">
        <f>IF(ISERROR($B$7),"",IF(ISBLANK($B$7),"",$B$7))</f>
        <v/>
      </c>
      <c r="AY7" s="19">
        <f>IF(ISERROR($D$7),"",IF(ISBLANK($D$7),"",$D$7))</f>
        <v/>
      </c>
      <c r="BA7" s="19">
        <f>IF(ISERROR($F$7),"",IF(ISBLANK($F$7),"",$F$7))</f>
        <v/>
      </c>
      <c r="BC7" s="19">
        <f>IF(ISERROR($H$7),"",IF(ISBLANK($H$7),"",$H$7))</f>
        <v/>
      </c>
      <c r="BE7" s="19">
        <f>IF(ISERROR($J$7),"",IF(ISBLANK($J$7),"",$J$7))</f>
        <v/>
      </c>
      <c r="BF7" s="19">
        <f>ISERROR($A$7)*1+ISERROR($B$7)*1+ISERROR($D$7)*1+ISERROR($F$7)*1+ISERROR($H$7)*1+ISERROR($J$7)*1</f>
        <v/>
      </c>
    </row>
    <row r="8" ht="26" customHeight="1">
      <c r="A8" s="21" t="inlineStr">
        <is>
          <t>Rolagem efetiva</t>
        </is>
      </c>
      <c r="B8" s="29">
        <f>IF(ISNUMBER($AV$7),IF(AND($AV$7&gt;=1,$AV$7&lt;=1000000,INT($AV$7)=$AV$7),$AV$7,1),1)</f>
        <v/>
      </c>
      <c r="C8" s="37" t="inlineStr">
        <is>
          <t>Mesma semente e mesma Rolagem nº dão o mesmo NPC; para outro, some 1 na Rolagem nº. Bloco de combate vazio = Nenhum; tipo vazio = Comum.</t>
        </is>
      </c>
      <c r="K8" s="38" t="n"/>
      <c r="L8" s="38" t="n"/>
    </row>
    <row r="9"/>
    <row r="10" ht="20" customHeight="1">
      <c r="A10" s="12" t="inlineStr">
        <is>
          <t>NPC sorteado (automático)</t>
        </is>
      </c>
      <c r="N10" s="19">
        <f>IF(COUNTIF('Dados'!$A$350:$A$356,$AW$7)&gt;0,$AW$7,INDEX('Dados'!$A$350:$A$356,INT($AC$10*7/2147483647)+1))</f>
        <v/>
      </c>
      <c r="AA10" s="19">
        <f>MOD(MOD(MOD((MOD('Início'!$E$15+104729*$B$8+2883509,2147483646)+1)*16807,2147483647)*16807,2147483647)*16807,2147483647)</f>
        <v/>
      </c>
      <c r="AB10" s="19">
        <f>MOD(MOD(MOD((MOD(MOD(INT($AA$10/65536)*$AA$10,2147483647)*65536+MOD($AA$10,65536)*$AA$10,2147483647))*16807,2147483647)*16807,2147483647)*16807,2147483647)</f>
        <v/>
      </c>
      <c r="AC10" s="19">
        <f>MOD(MOD(MOD((MOD($AB$10+INT($AB$10/65536)*MOD($AB$10,65536),2147483646)+1)*16807,2147483647)*16807,2147483647)*16807,2147483647)</f>
        <v/>
      </c>
      <c r="AE10" s="19">
        <f>0+IF(AND(LEN($N$15)&gt;0,INDEX('Tabelas'!$X$472:$X$578,1)&amp;""=$N$15,LEN(INDEX('Tabelas'!$Y$472:$Y$578,1)&amp;"")&gt;0),1,0)</f>
        <v/>
      </c>
      <c r="AG10" s="19">
        <f>$AV$46&amp;""</f>
        <v/>
      </c>
      <c r="AH10" s="19">
        <f>$AW$46&amp;""</f>
        <v/>
      </c>
      <c r="AI10" s="19">
        <f>$AY$46&amp;""</f>
        <v/>
      </c>
      <c r="AJ10" s="19">
        <f>$BC$46&amp;""</f>
        <v/>
      </c>
      <c r="AK10" s="19">
        <f>$AW$80&amp;""</f>
        <v/>
      </c>
      <c r="AL10" s="19">
        <f>$AW$148&amp;""</f>
        <v/>
      </c>
      <c r="AM10" s="19">
        <f>$AW$114&amp;""</f>
        <v/>
      </c>
      <c r="AN10" s="19">
        <f>$BA$114&amp;""</f>
        <v/>
      </c>
      <c r="AO10" s="19">
        <f>$AZ$148&amp;""</f>
        <v/>
      </c>
      <c r="AP10" s="19">
        <f>$BA$46&amp;""</f>
        <v/>
      </c>
      <c r="AT10" s="19">
        <f>'Tabelas'!$AE$357&amp;""</f>
        <v/>
      </c>
    </row>
    <row r="11">
      <c r="A11" s="7" t="inlineStr">
        <is>
          <t>Campo</t>
        </is>
      </c>
      <c r="B11" s="7" t="inlineStr">
        <is>
          <t>Sorteado</t>
        </is>
      </c>
      <c r="C11" s="20" t="n"/>
      <c r="D11" s="20" t="n"/>
      <c r="E11" s="20" t="n"/>
      <c r="F11" s="20" t="n"/>
      <c r="G11" s="20" t="n"/>
      <c r="H11" s="20" t="n"/>
      <c r="I11" s="7" t="inlineStr">
        <is>
          <t>De onde vem</t>
        </is>
      </c>
      <c r="J11" s="20" t="n"/>
      <c r="K11" s="7" t="inlineStr">
        <is>
          <t>Aviso</t>
        </is>
      </c>
      <c r="L11" s="20" t="n"/>
      <c r="N11" s="19">
        <f>IFERROR(MATCH($N$10,'Dados'!$A$388:$A$394,0),1)</f>
        <v/>
      </c>
      <c r="AA11" s="19">
        <f>MOD(MOD(MOD((MOD('Início'!$E$15+104729*$B$8+4183218,2147483646)+1)*16807,2147483647)*16807,2147483647)*16807,2147483647)</f>
        <v/>
      </c>
      <c r="AB11" s="19">
        <f>MOD(MOD(MOD((MOD(MOD(INT($AA$11/65536)*$AA$11,2147483647)*65536+MOD($AA$11,65536)*$AA$11,2147483647))*16807,2147483647)*16807,2147483647)*16807,2147483647)</f>
        <v/>
      </c>
      <c r="AC11" s="19">
        <f>MOD(MOD(MOD((MOD($AB$11+INT($AB$11/65536)*MOD($AB$11,65536),2147483646)+1)*16807,2147483647)*16807,2147483647)*16807,2147483647)</f>
        <v/>
      </c>
      <c r="AE11" s="19">
        <f>$AE$10+IF(AND(LEN($N$15)&gt;0,INDEX('Tabelas'!$X$472:$X$578,2)&amp;""=$N$15,LEN(INDEX('Tabelas'!$Y$472:$Y$578,2)&amp;"")&gt;0),1,0)</f>
        <v/>
      </c>
      <c r="AG11" s="19">
        <f>$AV$47&amp;""</f>
        <v/>
      </c>
      <c r="AH11" s="19">
        <f>$AW$47&amp;""</f>
        <v/>
      </c>
      <c r="AI11" s="19">
        <f>$AY$47&amp;""</f>
        <v/>
      </c>
      <c r="AJ11" s="19">
        <f>$BC$47&amp;""</f>
        <v/>
      </c>
      <c r="AK11" s="19">
        <f>$AW$81&amp;""</f>
        <v/>
      </c>
      <c r="AL11" s="19">
        <f>$AW$149&amp;""</f>
        <v/>
      </c>
      <c r="AM11" s="19">
        <f>$AW$115&amp;""</f>
        <v/>
      </c>
      <c r="AN11" s="19">
        <f>$BA$115&amp;""</f>
        <v/>
      </c>
      <c r="AO11" s="19">
        <f>$AZ$149&amp;""</f>
        <v/>
      </c>
      <c r="AP11" s="19">
        <f>$BA$47&amp;""</f>
        <v/>
      </c>
      <c r="AT11" s="19">
        <f>'Tabelas'!$AE$358&amp;""</f>
        <v/>
      </c>
    </row>
    <row r="12" ht="37" customHeight="1">
      <c r="A12" s="8" t="inlineStr">
        <is>
          <t>Nome completo</t>
        </is>
      </c>
      <c r="B12" s="39">
        <f>$N$14</f>
        <v/>
      </c>
      <c r="I12" s="4">
        <f>"Tabelas: nome e sobrenome da cultura "&amp;$N$10&amp;" (estilo de 05)"</f>
        <v/>
      </c>
      <c r="K12" s="18">
        <f>IF($N$11=1,IF('Tabelas'!$B$124+'Tabelas'!$B$239&lt;=0,"Listas de nome da cultura Humano vazias (aba Tabelas)",""),IF($N$11=2,IF('Tabelas'!$C$124+'Tabelas'!$C$239&lt;=0,"Listas de nome da cultura Xianzhouíta vazias (aba Tabelas)",""),IF($N$11=3,IF('Tabelas'!$D$124+'Tabelas'!$D$239&lt;=0,"Listas de nome da cultura Vidyadhara vazias (aba Tabelas)",""),IF($N$11=4,IF('Tabelas'!$E$124+'Tabelas'!$E$239&lt;=0,"Listas de nome da cultura Vulpes vazias (aba Tabelas)",""),IF($N$11=5,IF('Tabelas'!$F$124+'Tabelas'!$F$239&lt;=0,"Listas de nome da cultura Haloviano vazias (aba Tabelas)",""),IF($N$11=6,IF('Tabelas'!$G$124+'Tabelas'!$G$239&lt;=0,"Listas de nome da cultura Avginiano vazias (aba Tabelas)",""),IF('Tabelas'!$H$124+'Tabelas'!$H$239&lt;=0,"Listas de nome da cultura Intellitron vazias (aba Tabelas)","")))))))</f>
        <v/>
      </c>
      <c r="N12" s="19">
        <f>IF($N$11=1,IF('Tabelas'!$B$124&lt;=0,"",IFERROR(INDEX('Tabelas'!$X$127:$X$233,MATCH(IF('Tabelas'!$B$124&lt;=0,0,INT($AC$11*'Tabelas'!$B$124/2147483647)+1),'Tabelas'!$N$127:$N$233,0))&amp;"","")),IF($N$11=2,IF('Tabelas'!$C$124&lt;=0,"",IFERROR(INDEX('Tabelas'!$Y$127:$Y$233,MATCH(IF('Tabelas'!$C$124&lt;=0,0,INT($AC$11*'Tabelas'!$C$124/2147483647)+1),'Tabelas'!$O$127:$O$233,0))&amp;"","")),IF($N$11=3,IF('Tabelas'!$D$124&lt;=0,"",IFERROR(INDEX('Tabelas'!$Z$127:$Z$233,MATCH(IF('Tabelas'!$D$124&lt;=0,0,INT($AC$11*'Tabelas'!$D$124/2147483647)+1),'Tabelas'!$P$127:$P$233,0))&amp;"","")),IF($N$11=4,IF('Tabelas'!$E$124&lt;=0,"",IFERROR(INDEX('Tabelas'!$AA$127:$AA$233,MATCH(IF('Tabelas'!$E$124&lt;=0,0,INT($AC$11*'Tabelas'!$E$124/2147483647)+1),'Tabelas'!$Q$127:$Q$233,0))&amp;"","")),IF($N$11=5,IF('Tabelas'!$F$124&lt;=0,"",IFERROR(INDEX('Tabelas'!$AB$127:$AB$233,MATCH(IF('Tabelas'!$F$124&lt;=0,0,INT($AC$11*'Tabelas'!$F$124/2147483647)+1),'Tabelas'!$R$127:$R$233,0))&amp;"","")),IF($N$11=6,IF('Tabelas'!$G$124&lt;=0,"",IFERROR(INDEX('Tabelas'!$AC$127:$AC$233,MATCH(IF('Tabelas'!$G$124&lt;=0,0,INT($AC$11*'Tabelas'!$G$124/2147483647)+1),'Tabelas'!$S$127:$S$233,0))&amp;"","")),IF('Tabelas'!$H$124&lt;=0,"",IFERROR(INDEX('Tabelas'!$AD$127:$AD$233,MATCH(IF('Tabelas'!$H$124&lt;=0,0,INT($AC$11*'Tabelas'!$H$124/2147483647)+1),'Tabelas'!$T$127:$T$233,0))&amp;"",""))))))))</f>
        <v/>
      </c>
      <c r="AA12" s="19">
        <f>MOD(MOD(MOD((MOD('Início'!$E$15+104729*$B$8+5482927,2147483646)+1)*16807,2147483647)*16807,2147483647)*16807,2147483647)</f>
        <v/>
      </c>
      <c r="AB12" s="19">
        <f>MOD(MOD(MOD((MOD(MOD(INT($AA$12/65536)*$AA$12,2147483647)*65536+MOD($AA$12,65536)*$AA$12,2147483647))*16807,2147483647)*16807,2147483647)*16807,2147483647)</f>
        <v/>
      </c>
      <c r="AC12" s="19">
        <f>MOD(MOD(MOD((MOD($AB$12+INT($AB$12/65536)*MOD($AB$12,65536),2147483646)+1)*16807,2147483647)*16807,2147483647)*16807,2147483647)</f>
        <v/>
      </c>
      <c r="AE12" s="19">
        <f>$AE$11+IF(AND(LEN($N$15)&gt;0,INDEX('Tabelas'!$X$472:$X$578,3)&amp;""=$N$15,LEN(INDEX('Tabelas'!$Y$472:$Y$578,3)&amp;"")&gt;0),1,0)</f>
        <v/>
      </c>
      <c r="AG12" s="19">
        <f>$AV$48&amp;""</f>
        <v/>
      </c>
      <c r="AH12" s="19">
        <f>$AW$48&amp;""</f>
        <v/>
      </c>
      <c r="AI12" s="19">
        <f>$AY$48&amp;""</f>
        <v/>
      </c>
      <c r="AJ12" s="19">
        <f>$BC$48&amp;""</f>
        <v/>
      </c>
      <c r="AK12" s="19">
        <f>$AW$82&amp;""</f>
        <v/>
      </c>
      <c r="AL12" s="19">
        <f>$AW$150&amp;""</f>
        <v/>
      </c>
      <c r="AM12" s="19">
        <f>$AW$116&amp;""</f>
        <v/>
      </c>
      <c r="AN12" s="19">
        <f>$BA$116&amp;""</f>
        <v/>
      </c>
      <c r="AO12" s="19">
        <f>$AZ$150&amp;""</f>
        <v/>
      </c>
      <c r="AP12" s="19">
        <f>$BA$48&amp;""</f>
        <v/>
      </c>
      <c r="AT12" s="19">
        <f>'Tabelas'!$AE$359&amp;""</f>
        <v/>
      </c>
    </row>
    <row r="13" ht="26" customHeight="1">
      <c r="A13" s="21" t="inlineStr">
        <is>
          <t>Raça</t>
        </is>
      </c>
      <c r="B13" s="9">
        <f>$N$10</f>
        <v/>
      </c>
      <c r="I13" s="9">
        <f>IF(COUNTIF('Dados'!$A$350:$A$356,$AW$7)&gt;0,"Escolhida","Sorteada entre as 7 Raças de 05")</f>
        <v/>
      </c>
      <c r="K13" s="38" t="n"/>
      <c r="L13" s="38" t="n"/>
      <c r="N13" s="19">
        <f>IF($N$11=1,IF('Tabelas'!$B$239&lt;=0,"",IFERROR(INDEX('Tabelas'!$X$242:$X$348,MATCH(IF('Tabelas'!$B$239&lt;=0,0,INT($AC$12*'Tabelas'!$B$239/2147483647)+1),'Tabelas'!$N$242:$N$348,0))&amp;"","")),IF($N$11=2,IF('Tabelas'!$C$239&lt;=0,"",IFERROR(INDEX('Tabelas'!$Y$242:$Y$348,MATCH(IF('Tabelas'!$C$239&lt;=0,0,INT($AC$12*'Tabelas'!$C$239/2147483647)+1),'Tabelas'!$O$242:$O$348,0))&amp;"","")),IF($N$11=3,IF('Tabelas'!$D$239&lt;=0,"",IFERROR(INDEX('Tabelas'!$Z$242:$Z$348,MATCH(IF('Tabelas'!$D$239&lt;=0,0,INT($AC$12*'Tabelas'!$D$239/2147483647)+1),'Tabelas'!$P$242:$P$348,0))&amp;"","")),IF($N$11=4,IF('Tabelas'!$E$239&lt;=0,"",IFERROR(INDEX('Tabelas'!$AA$242:$AA$348,MATCH(IF('Tabelas'!$E$239&lt;=0,0,INT($AC$12*'Tabelas'!$E$239/2147483647)+1),'Tabelas'!$Q$242:$Q$348,0))&amp;"","")),IF($N$11=5,IF('Tabelas'!$F$239&lt;=0,"",IFERROR(INDEX('Tabelas'!$AB$242:$AB$348,MATCH(IF('Tabelas'!$F$239&lt;=0,0,INT($AC$12*'Tabelas'!$F$239/2147483647)+1),'Tabelas'!$R$242:$R$348,0))&amp;"","")),IF($N$11=6,IF('Tabelas'!$G$239&lt;=0,"",IFERROR(INDEX('Tabelas'!$AC$242:$AC$348,MATCH(IF('Tabelas'!$G$239&lt;=0,0,INT($AC$12*'Tabelas'!$G$239/2147483647)+1),'Tabelas'!$S$242:$S$348,0))&amp;"","")),IF('Tabelas'!$H$239&lt;=0,"",IFERROR(INDEX('Tabelas'!$AD$242:$AD$348,MATCH(IF('Tabelas'!$H$239&lt;=0,0,INT($AC$12*'Tabelas'!$H$239/2147483647)+1),'Tabelas'!$T$242:$T$348,0))&amp;"",""))))))))</f>
        <v/>
      </c>
      <c r="AA13" s="19">
        <f>MOD(MOD(MOD((MOD('Início'!$E$15+104729*$B$8+6782636,2147483646)+1)*16807,2147483647)*16807,2147483647)*16807,2147483647)</f>
        <v/>
      </c>
      <c r="AB13" s="19">
        <f>MOD(MOD(MOD((MOD(MOD(INT($AA$13/65536)*$AA$13,2147483647)*65536+MOD($AA$13,65536)*$AA$13,2147483647))*16807,2147483647)*16807,2147483647)*16807,2147483647)</f>
        <v/>
      </c>
      <c r="AC13" s="19">
        <f>MOD(MOD(MOD((MOD($AB$13+INT($AB$13/65536)*MOD($AB$13,65536),2147483646)+1)*16807,2147483647)*16807,2147483647)*16807,2147483647)</f>
        <v/>
      </c>
      <c r="AE13" s="19">
        <f>$AE$12+IF(AND(LEN($N$15)&gt;0,INDEX('Tabelas'!$X$472:$X$578,4)&amp;""=$N$15,LEN(INDEX('Tabelas'!$Y$472:$Y$578,4)&amp;"")&gt;0),1,0)</f>
        <v/>
      </c>
      <c r="AG13" s="19">
        <f>$AV$49&amp;""</f>
        <v/>
      </c>
      <c r="AH13" s="19">
        <f>$AW$49&amp;""</f>
        <v/>
      </c>
      <c r="AI13" s="19">
        <f>$AY$49&amp;""</f>
        <v/>
      </c>
      <c r="AJ13" s="19">
        <f>$BC$49&amp;""</f>
        <v/>
      </c>
      <c r="AK13" s="19">
        <f>$AW$83&amp;""</f>
        <v/>
      </c>
      <c r="AL13" s="19">
        <f>$AW$151&amp;""</f>
        <v/>
      </c>
      <c r="AM13" s="19">
        <f>$AW$117&amp;""</f>
        <v/>
      </c>
      <c r="AN13" s="19">
        <f>$BA$117&amp;""</f>
        <v/>
      </c>
      <c r="AO13" s="19">
        <f>$AZ$151&amp;""</f>
        <v/>
      </c>
      <c r="AP13" s="19">
        <f>$BA$49&amp;""</f>
        <v/>
      </c>
      <c r="AT13" s="19">
        <f>'Tabelas'!$AE$360&amp;""</f>
        <v/>
      </c>
    </row>
    <row r="14" ht="48" customHeight="1">
      <c r="A14" s="8" t="inlineStr">
        <is>
          <t>Caminho</t>
        </is>
      </c>
      <c r="B14" s="4">
        <f>$N$15</f>
        <v/>
      </c>
      <c r="I14" s="4">
        <f>IF(OR($AY$7="Nenhum",COUNTIF('Dados'!$A$360:$A$368,$AY$7)&gt;0),"Escolhido","Tabelas: Caminho do NPC (06.3; Nenhum ×3, 27.12) · Sugestão da planilha — não é regra do livro (H11)")</f>
        <v/>
      </c>
      <c r="N14" s="19">
        <f>IF(LEN($N$13)=0,$N$12,IF(LEN($N$12)=0,$N$13,IF(INDEX('Dados'!$B$388:$B$394,$N$11)=2,$N$13&amp;INDEX('Dados'!$C$388:$C$394,$N$11)&amp;$N$12,$N$12&amp;INDEX('Dados'!$C$388:$C$394,$N$11)&amp;$N$13)))</f>
        <v/>
      </c>
      <c r="AA14" s="19">
        <f>MOD(MOD(MOD((MOD('Início'!$E$15+104729*$B$8+8082345,2147483646)+1)*16807,2147483647)*16807,2147483647)*16807,2147483647)</f>
        <v/>
      </c>
      <c r="AB14" s="19">
        <f>MOD(MOD(MOD((MOD(MOD(INT($AA$14/65536)*$AA$14,2147483647)*65536+MOD($AA$14,65536)*$AA$14,2147483647))*16807,2147483647)*16807,2147483647)*16807,2147483647)</f>
        <v/>
      </c>
      <c r="AC14" s="19">
        <f>MOD(MOD(MOD((MOD($AB$14+INT($AB$14/65536)*MOD($AB$14,65536),2147483646)+1)*16807,2147483647)*16807,2147483647)*16807,2147483647)</f>
        <v/>
      </c>
      <c r="AE14" s="19">
        <f>$AE$13+IF(AND(LEN($N$15)&gt;0,INDEX('Tabelas'!$X$472:$X$578,5)&amp;""=$N$15,LEN(INDEX('Tabelas'!$Y$472:$Y$578,5)&amp;"")&gt;0),1,0)</f>
        <v/>
      </c>
      <c r="AG14" s="19">
        <f>$AV$50&amp;""</f>
        <v/>
      </c>
      <c r="AH14" s="19">
        <f>$AW$50&amp;""</f>
        <v/>
      </c>
      <c r="AI14" s="19">
        <f>$AY$50&amp;""</f>
        <v/>
      </c>
      <c r="AJ14" s="19">
        <f>$BC$50&amp;""</f>
        <v/>
      </c>
      <c r="AK14" s="19">
        <f>$AW$84&amp;""</f>
        <v/>
      </c>
      <c r="AL14" s="19">
        <f>$AW$152&amp;""</f>
        <v/>
      </c>
      <c r="AM14" s="19">
        <f>$AW$118&amp;""</f>
        <v/>
      </c>
      <c r="AN14" s="19">
        <f>$BA$118&amp;""</f>
        <v/>
      </c>
      <c r="AO14" s="19">
        <f>$AZ$152&amp;""</f>
        <v/>
      </c>
      <c r="AP14" s="19">
        <f>$BA$50&amp;""</f>
        <v/>
      </c>
      <c r="AT14" s="19">
        <f>'Tabelas'!$AE$361&amp;""</f>
        <v/>
      </c>
    </row>
    <row r="15" ht="26" customHeight="1">
      <c r="A15" s="21" t="inlineStr">
        <is>
          <t>Ocupação</t>
        </is>
      </c>
      <c r="B15" s="9">
        <f>$N$16</f>
        <v/>
      </c>
      <c r="I15" s="9">
        <f>"Tabelas: Ocupação (NPC)"</f>
        <v/>
      </c>
      <c r="K15" s="26">
        <f>IF('Tabelas'!$B$354&lt;=0,"Lista 'Ocupação (NPC)' está vazia (aba Tabelas)","")</f>
        <v/>
      </c>
      <c r="N15" s="19">
        <f>IF(OR($AY$7="Nenhum",COUNTIF('Dados'!$A$360:$A$368,$AY$7)&gt;0),$AY$7,IF('Tabelas'!$H$354&lt;=0,"",IFERROR(INDEX('Tabelas'!$AD$357:$AD$463,MATCH(IF('Tabelas'!$H$354&lt;=0,0,INT($AC$13*'Tabelas'!$H$354/2147483647)+1),'Tabelas'!$T$357:$T$463,0))&amp;"","")))</f>
        <v/>
      </c>
      <c r="AA15" s="19">
        <f>MOD(MOD(MOD((MOD('Início'!$E$15+104729*$B$8+9382054,2147483646)+1)*16807,2147483647)*16807,2147483647)*16807,2147483647)</f>
        <v/>
      </c>
      <c r="AB15" s="19">
        <f>MOD(MOD(MOD((MOD(MOD(INT($AA$15/65536)*$AA$15,2147483647)*65536+MOD($AA$15,65536)*$AA$15,2147483647))*16807,2147483647)*16807,2147483647)*16807,2147483647)</f>
        <v/>
      </c>
      <c r="AC15" s="19">
        <f>MOD(MOD(MOD((MOD($AB$15+INT($AB$15/65536)*MOD($AB$15,65536),2147483646)+1)*16807,2147483647)*16807,2147483647)*16807,2147483647)</f>
        <v/>
      </c>
      <c r="AE15" s="19">
        <f>$AE$14+IF(AND(LEN($N$15)&gt;0,INDEX('Tabelas'!$X$472:$X$578,6)&amp;""=$N$15,LEN(INDEX('Tabelas'!$Y$472:$Y$578,6)&amp;"")&gt;0),1,0)</f>
        <v/>
      </c>
      <c r="AG15" s="19">
        <f>$AV$51&amp;""</f>
        <v/>
      </c>
      <c r="AH15" s="19">
        <f>$AW$51&amp;""</f>
        <v/>
      </c>
      <c r="AI15" s="19">
        <f>$AY$51&amp;""</f>
        <v/>
      </c>
      <c r="AJ15" s="19">
        <f>$BC$51&amp;""</f>
        <v/>
      </c>
      <c r="AK15" s="19">
        <f>$AW$85&amp;""</f>
        <v/>
      </c>
      <c r="AL15" s="19">
        <f>$AW$153&amp;""</f>
        <v/>
      </c>
      <c r="AM15" s="19">
        <f>$AW$119&amp;""</f>
        <v/>
      </c>
      <c r="AN15" s="19">
        <f>$BA$119&amp;""</f>
        <v/>
      </c>
      <c r="AO15" s="19">
        <f>$AZ$153&amp;""</f>
        <v/>
      </c>
      <c r="AP15" s="19">
        <f>$BA$51&amp;""</f>
        <v/>
      </c>
      <c r="AT15" s="19">
        <f>'Tabelas'!$AE$362&amp;""</f>
        <v/>
      </c>
    </row>
    <row r="16" ht="26" customHeight="1">
      <c r="A16" s="8" t="inlineStr">
        <is>
          <t>Aparência</t>
        </is>
      </c>
      <c r="B16" s="4">
        <f>$N$20</f>
        <v/>
      </c>
      <c r="I16" s="11" t="inlineStr">
        <is>
          <t>Sugestão da planilha — não é regra do livro (H25): 2 traços</t>
        </is>
      </c>
      <c r="K16" s="18">
        <f>IF('Tabelas'!$C$354&lt;=0,"Lista 'Traço de aparência' está vazia (aba Tabelas)","")</f>
        <v/>
      </c>
      <c r="N16" s="19">
        <f>IF('Tabelas'!$B$354&lt;=0,"",IFERROR(INDEX('Tabelas'!$X$357:$X$463,MATCH(IF('Tabelas'!$B$354&lt;=0,0,INT($AC$14*'Tabelas'!$B$354/2147483647)+1),'Tabelas'!$N$357:$N$463,0))&amp;"",""))</f>
        <v/>
      </c>
      <c r="AA16" s="19">
        <f>MOD(MOD(MOD((MOD('Início'!$E$15+104729*$B$8+10681763,2147483646)+1)*16807,2147483647)*16807,2147483647)*16807,2147483647)</f>
        <v/>
      </c>
      <c r="AB16" s="19">
        <f>MOD(MOD(MOD((MOD(MOD(INT($AA$16/65536)*$AA$16,2147483647)*65536+MOD($AA$16,65536)*$AA$16,2147483647))*16807,2147483647)*16807,2147483647)*16807,2147483647)</f>
        <v/>
      </c>
      <c r="AC16" s="19">
        <f>MOD(MOD(MOD((MOD($AB$16+INT($AB$16/65536)*MOD($AB$16,65536),2147483646)+1)*16807,2147483647)*16807,2147483647)*16807,2147483647)</f>
        <v/>
      </c>
      <c r="AE16" s="19">
        <f>$AE$15+IF(AND(LEN($N$15)&gt;0,INDEX('Tabelas'!$X$472:$X$578,7)&amp;""=$N$15,LEN(INDEX('Tabelas'!$Y$472:$Y$578,7)&amp;"")&gt;0),1,0)</f>
        <v/>
      </c>
      <c r="AG16" s="19">
        <f>$AV$52&amp;""</f>
        <v/>
      </c>
      <c r="AH16" s="19">
        <f>$AW$52&amp;""</f>
        <v/>
      </c>
      <c r="AI16" s="19">
        <f>$AY$52&amp;""</f>
        <v/>
      </c>
      <c r="AJ16" s="19">
        <f>$BC$52&amp;""</f>
        <v/>
      </c>
      <c r="AK16" s="19">
        <f>$AW$86&amp;""</f>
        <v/>
      </c>
      <c r="AL16" s="19">
        <f>$AW$154&amp;""</f>
        <v/>
      </c>
      <c r="AM16" s="19">
        <f>$AW$120&amp;""</f>
        <v/>
      </c>
      <c r="AN16" s="19">
        <f>$BA$120&amp;""</f>
        <v/>
      </c>
      <c r="AO16" s="19">
        <f>$AZ$154&amp;""</f>
        <v/>
      </c>
      <c r="AP16" s="19">
        <f>$BA$52&amp;""</f>
        <v/>
      </c>
      <c r="AT16" s="19">
        <f>'Tabelas'!$AE$363&amp;""</f>
        <v/>
      </c>
    </row>
    <row r="17" ht="26" customHeight="1">
      <c r="A17" s="21" t="inlineStr">
        <is>
          <t>Personalidade</t>
        </is>
      </c>
      <c r="B17" s="9">
        <f>$N$21</f>
        <v/>
      </c>
      <c r="I17" s="9">
        <f>"Tabelas: Personalidade"</f>
        <v/>
      </c>
      <c r="K17" s="26">
        <f>IF('Tabelas'!$D$354&lt;=0,"Lista 'Personalidade' está vazia (aba Tabelas)","")</f>
        <v/>
      </c>
      <c r="N17" s="19">
        <f>IF('Tabelas'!$C$354&lt;=0,0,INT($AC$15*'Tabelas'!$C$354/2147483647)+1)</f>
        <v/>
      </c>
      <c r="AA17" s="19">
        <f>MOD(MOD(MOD((MOD('Início'!$E$15+104729*$B$8+11981472,2147483646)+1)*16807,2147483647)*16807,2147483647)*16807,2147483647)</f>
        <v/>
      </c>
      <c r="AB17" s="19">
        <f>MOD(MOD(MOD((MOD(MOD(INT($AA$17/65536)*$AA$17,2147483647)*65536+MOD($AA$17,65536)*$AA$17,2147483647))*16807,2147483647)*16807,2147483647)*16807,2147483647)</f>
        <v/>
      </c>
      <c r="AC17" s="19">
        <f>MOD(MOD(MOD((MOD($AB$17+INT($AB$17/65536)*MOD($AB$17,65536),2147483646)+1)*16807,2147483647)*16807,2147483647)*16807,2147483647)</f>
        <v/>
      </c>
      <c r="AE17" s="19">
        <f>$AE$16+IF(AND(LEN($N$15)&gt;0,INDEX('Tabelas'!$X$472:$X$578,8)&amp;""=$N$15,LEN(INDEX('Tabelas'!$Y$472:$Y$578,8)&amp;"")&gt;0),1,0)</f>
        <v/>
      </c>
      <c r="AG17" s="19">
        <f>$AV$53&amp;""</f>
        <v/>
      </c>
      <c r="AH17" s="19">
        <f>$AW$53&amp;""</f>
        <v/>
      </c>
      <c r="AI17" s="19">
        <f>$AY$53&amp;""</f>
        <v/>
      </c>
      <c r="AJ17" s="19">
        <f>$BC$53&amp;""</f>
        <v/>
      </c>
      <c r="AK17" s="19">
        <f>$AW$87&amp;""</f>
        <v/>
      </c>
      <c r="AL17" s="19">
        <f>$AW$155&amp;""</f>
        <v/>
      </c>
      <c r="AM17" s="19">
        <f>$AW$121&amp;""</f>
        <v/>
      </c>
      <c r="AN17" s="19">
        <f>$BA$121&amp;""</f>
        <v/>
      </c>
      <c r="AO17" s="19">
        <f>$AZ$155&amp;""</f>
        <v/>
      </c>
      <c r="AP17" s="19">
        <f>$BA$53&amp;""</f>
        <v/>
      </c>
      <c r="AT17" s="19">
        <f>'Tabelas'!$AE$364&amp;""</f>
        <v/>
      </c>
    </row>
    <row r="18" ht="26" customHeight="1">
      <c r="A18" s="8" t="inlineStr">
        <is>
          <t>Motivação</t>
        </is>
      </c>
      <c r="B18" s="4">
        <f>$N$23</f>
        <v/>
      </c>
      <c r="I18" s="4">
        <f>IF(OR($N$15="Nenhum",LEN($N$15)=0,$N$22=0),"Tabelas: Motivação (sem Caminho)","Tabelas: Motivação por Caminho (27.12)")</f>
        <v/>
      </c>
      <c r="K18" s="18">
        <f>IF(AND($N$22=0,'Tabelas'!$E$354&lt;=0),"Listas de motivação vazias (aba Tabelas)","")</f>
        <v/>
      </c>
      <c r="N18" s="19">
        <f>IF('Tabelas'!$C$354&lt;=0,"",IFERROR(INDEX('Tabelas'!$Y$357:$Y$463,MATCH($N$17,'Tabelas'!$O$357:$O$463,0))&amp;"",""))</f>
        <v/>
      </c>
      <c r="AA18" s="19">
        <f>MOD(MOD(MOD((MOD('Início'!$E$15+104729*$B$8+13281181,2147483646)+1)*16807,2147483647)*16807,2147483647)*16807,2147483647)</f>
        <v/>
      </c>
      <c r="AB18" s="19">
        <f>MOD(MOD(MOD((MOD(MOD(INT($AA$18/65536)*$AA$18,2147483647)*65536+MOD($AA$18,65536)*$AA$18,2147483647))*16807,2147483647)*16807,2147483647)*16807,2147483647)</f>
        <v/>
      </c>
      <c r="AC18" s="19">
        <f>MOD(MOD(MOD((MOD($AB$18+INT($AB$18/65536)*MOD($AB$18,65536),2147483646)+1)*16807,2147483647)*16807,2147483647)*16807,2147483647)</f>
        <v/>
      </c>
      <c r="AE18" s="19">
        <f>$AE$17+IF(AND(LEN($N$15)&gt;0,INDEX('Tabelas'!$X$472:$X$578,9)&amp;""=$N$15,LEN(INDEX('Tabelas'!$Y$472:$Y$578,9)&amp;"")&gt;0),1,0)</f>
        <v/>
      </c>
      <c r="AG18" s="19">
        <f>$AV$54&amp;""</f>
        <v/>
      </c>
      <c r="AH18" s="19">
        <f>$AW$54&amp;""</f>
        <v/>
      </c>
      <c r="AI18" s="19">
        <f>$AY$54&amp;""</f>
        <v/>
      </c>
      <c r="AJ18" s="19">
        <f>$BC$54&amp;""</f>
        <v/>
      </c>
      <c r="AK18" s="19">
        <f>$AW$88&amp;""</f>
        <v/>
      </c>
      <c r="AL18" s="19">
        <f>$AW$156&amp;""</f>
        <v/>
      </c>
      <c r="AM18" s="19">
        <f>$AW$122&amp;""</f>
        <v/>
      </c>
      <c r="AN18" s="19">
        <f>$BA$122&amp;""</f>
        <v/>
      </c>
      <c r="AO18" s="19">
        <f>$AZ$156&amp;""</f>
        <v/>
      </c>
      <c r="AP18" s="19">
        <f>$BA$54&amp;""</f>
        <v/>
      </c>
      <c r="AT18" s="19">
        <f>'Tabelas'!$AE$365&amp;""</f>
        <v/>
      </c>
    </row>
    <row r="19">
      <c r="A19" s="21" t="inlineStr">
        <is>
          <t>Segredo</t>
        </is>
      </c>
      <c r="B19" s="9">
        <f>$N$24</f>
        <v/>
      </c>
      <c r="I19" s="9">
        <f>"Tabelas: Segredo"</f>
        <v/>
      </c>
      <c r="K19" s="26">
        <f>IF('Tabelas'!$F$354&lt;=0,"Lista 'Segredo' está vazia (aba Tabelas)","")</f>
        <v/>
      </c>
      <c r="N19" s="19">
        <f>IF('Tabelas'!$C$354&lt;=0,"",IFERROR(INDEX('Tabelas'!$Y$357:$Y$463,MATCH(IF('Tabelas'!$C$354&lt;=1,$N$17,MOD($N$17-1+1+INT($AC$16*('Tabelas'!$C$354-1)/2147483647),'Tabelas'!$C$354)+1),'Tabelas'!$O$357:$O$463,0))&amp;"",""))</f>
        <v/>
      </c>
      <c r="AA19" s="19">
        <f>MOD(MOD(MOD((MOD('Início'!$E$15+104729*$B$8+14580890,2147483646)+1)*16807,2147483647)*16807,2147483647)*16807,2147483647)</f>
        <v/>
      </c>
      <c r="AB19" s="19">
        <f>MOD(MOD(MOD((MOD(MOD(INT($AA$19/65536)*$AA$19,2147483647)*65536+MOD($AA$19,65536)*$AA$19,2147483647))*16807,2147483647)*16807,2147483647)*16807,2147483647)</f>
        <v/>
      </c>
      <c r="AC19" s="19">
        <f>MOD(MOD(MOD((MOD($AB$19+INT($AB$19/65536)*MOD($AB$19,65536),2147483646)+1)*16807,2147483647)*16807,2147483647)*16807,2147483647)</f>
        <v/>
      </c>
      <c r="AE19" s="19">
        <f>$AE$18+IF(AND(LEN($N$15)&gt;0,INDEX('Tabelas'!$X$472:$X$578,10)&amp;""=$N$15,LEN(INDEX('Tabelas'!$Y$472:$Y$578,10)&amp;"")&gt;0),1,0)</f>
        <v/>
      </c>
      <c r="AG19" s="19">
        <f>$AV$55&amp;""</f>
        <v/>
      </c>
      <c r="AH19" s="19">
        <f>$AW$55&amp;""</f>
        <v/>
      </c>
      <c r="AI19" s="19">
        <f>$AY$55&amp;""</f>
        <v/>
      </c>
      <c r="AJ19" s="19">
        <f>$BC$55&amp;""</f>
        <v/>
      </c>
      <c r="AK19" s="19">
        <f>$AW$89&amp;""</f>
        <v/>
      </c>
      <c r="AL19" s="19">
        <f>$AW$157&amp;""</f>
        <v/>
      </c>
      <c r="AM19" s="19">
        <f>$AW$123&amp;""</f>
        <v/>
      </c>
      <c r="AN19" s="19">
        <f>$BA$123&amp;""</f>
        <v/>
      </c>
      <c r="AO19" s="19">
        <f>$AZ$157&amp;""</f>
        <v/>
      </c>
      <c r="AP19" s="19">
        <f>$BA$55&amp;""</f>
        <v/>
      </c>
      <c r="AT19" s="19">
        <f>'Tabelas'!$AE$366&amp;""</f>
        <v/>
      </c>
    </row>
    <row r="20" ht="26" customHeight="1">
      <c r="A20" s="8" t="inlineStr">
        <is>
          <t>Maneirismo e voz</t>
        </is>
      </c>
      <c r="B20" s="4">
        <f>$N$25</f>
        <v/>
      </c>
      <c r="I20" s="4">
        <f>"Tabelas: Maneirismo e voz"</f>
        <v/>
      </c>
      <c r="K20" s="18">
        <f>IF('Tabelas'!$G$354&lt;=0,"Lista 'Maneirismo e voz' está vazia (aba Tabelas)","")</f>
        <v/>
      </c>
      <c r="N20" s="19">
        <f>IF(LEN($N$18)=0,"",IF(OR($N$19=$N$18,LEN($N$19)=0),$N$18,$N$18&amp;"; "&amp;$N$19))</f>
        <v/>
      </c>
      <c r="AA20" s="19">
        <f>MOD(MOD(MOD((MOD('Início'!$E$15+104729*$B$8+15880599,2147483646)+1)*16807,2147483647)*16807,2147483647)*16807,2147483647)</f>
        <v/>
      </c>
      <c r="AB20" s="19">
        <f>MOD(MOD(MOD((MOD(MOD(INT($AA$20/65536)*$AA$20,2147483647)*65536+MOD($AA$20,65536)*$AA$20,2147483647))*16807,2147483647)*16807,2147483647)*16807,2147483647)</f>
        <v/>
      </c>
      <c r="AC20" s="19">
        <f>MOD(MOD(MOD((MOD($AB$20+INT($AB$20/65536)*MOD($AB$20,65536),2147483646)+1)*16807,2147483647)*16807,2147483647)*16807,2147483647)</f>
        <v/>
      </c>
      <c r="AE20" s="19">
        <f>$AE$19+IF(AND(LEN($N$15)&gt;0,INDEX('Tabelas'!$X$472:$X$578,11)&amp;""=$N$15,LEN(INDEX('Tabelas'!$Y$472:$Y$578,11)&amp;"")&gt;0),1,0)</f>
        <v/>
      </c>
      <c r="AG20" s="19">
        <f>$AV$57&amp;""</f>
        <v/>
      </c>
      <c r="AH20" s="19">
        <f>$AW$57&amp;""</f>
        <v/>
      </c>
      <c r="AI20" s="19">
        <f>$AY$57&amp;""</f>
        <v/>
      </c>
      <c r="AJ20" s="19">
        <f>$BC$57&amp;""</f>
        <v/>
      </c>
      <c r="AK20" s="19">
        <f>$AW$91&amp;""</f>
        <v/>
      </c>
      <c r="AL20" s="19">
        <f>$AW$159&amp;""</f>
        <v/>
      </c>
      <c r="AM20" s="19">
        <f>$AW$125&amp;""</f>
        <v/>
      </c>
      <c r="AN20" s="19">
        <f>$BA$125&amp;""</f>
        <v/>
      </c>
      <c r="AO20" s="19">
        <f>$AZ$159&amp;""</f>
        <v/>
      </c>
      <c r="AP20" s="19">
        <f>$BA$57&amp;""</f>
        <v/>
      </c>
      <c r="AT20" s="19">
        <f>'Tabelas'!$AE$367&amp;""</f>
        <v/>
      </c>
    </row>
    <row r="21" ht="37" customHeight="1">
      <c r="A21" s="21" t="inlineStr">
        <is>
          <t>Atitude com o grupo</t>
        </is>
      </c>
      <c r="B21" s="9">
        <f>$N$26</f>
        <v/>
      </c>
      <c r="I21" s="9">
        <f>"Tabelas: Atitude com o grupo · Sugestão da planilha — não é regra do livro (H11)"</f>
        <v/>
      </c>
      <c r="K21" s="26">
        <f>IF('Tabelas'!$I$354&lt;=0,"Lista 'Atitude com o grupo' está vazia (aba Tabelas)","")</f>
        <v/>
      </c>
      <c r="N21" s="19">
        <f>IF('Tabelas'!$D$354&lt;=0,"",IFERROR(INDEX('Tabelas'!$Z$357:$Z$463,MATCH(IF('Tabelas'!$D$354&lt;=0,0,INT($AC$17*'Tabelas'!$D$354/2147483647)+1),'Tabelas'!$P$357:$P$463,0))&amp;"",""))</f>
        <v/>
      </c>
      <c r="AA21" s="19">
        <f>MOD(MOD(MOD((MOD('Início'!$E$15+104729*$B$8+17180308,2147483646)+1)*16807,2147483647)*16807,2147483647)*16807,2147483647)</f>
        <v/>
      </c>
      <c r="AB21" s="19">
        <f>MOD(MOD(MOD((MOD(MOD(INT($AA$21/65536)*$AA$21,2147483647)*65536+MOD($AA$21,65536)*$AA$21,2147483647))*16807,2147483647)*16807,2147483647)*16807,2147483647)</f>
        <v/>
      </c>
      <c r="AC21" s="19">
        <f>MOD(MOD(MOD((MOD($AB$21+INT($AB$21/65536)*MOD($AB$21,65536),2147483646)+1)*16807,2147483647)*16807,2147483647)*16807,2147483647)</f>
        <v/>
      </c>
      <c r="AE21" s="19">
        <f>$AE$20+IF(AND(LEN($N$15)&gt;0,INDEX('Tabelas'!$X$472:$X$578,12)&amp;""=$N$15,LEN(INDEX('Tabelas'!$Y$472:$Y$578,12)&amp;"")&gt;0),1,0)</f>
        <v/>
      </c>
      <c r="AG21" s="19">
        <f>$AV$58&amp;""</f>
        <v/>
      </c>
      <c r="AH21" s="19">
        <f>$AW$58&amp;""</f>
        <v/>
      </c>
      <c r="AI21" s="19">
        <f>$AY$58&amp;""</f>
        <v/>
      </c>
      <c r="AJ21" s="19">
        <f>$BC$58&amp;""</f>
        <v/>
      </c>
      <c r="AK21" s="19">
        <f>$AW$92&amp;""</f>
        <v/>
      </c>
      <c r="AL21" s="19">
        <f>$AW$160&amp;""</f>
        <v/>
      </c>
      <c r="AM21" s="19">
        <f>$AW$126&amp;""</f>
        <v/>
      </c>
      <c r="AN21" s="19">
        <f>$BA$126&amp;""</f>
        <v/>
      </c>
      <c r="AO21" s="19">
        <f>$AZ$160&amp;""</f>
        <v/>
      </c>
      <c r="AP21" s="19">
        <f>$BA$58&amp;""</f>
        <v/>
      </c>
      <c r="AT21" s="19">
        <f>'Tabelas'!$AE$368&amp;""</f>
        <v/>
      </c>
    </row>
    <row r="22" ht="37" customHeight="1">
      <c r="A22" s="8" t="inlineStr">
        <is>
          <t>Gancho</t>
        </is>
      </c>
      <c r="B22" s="4">
        <f>$N$30</f>
        <v/>
      </c>
      <c r="I22" s="4">
        <f>IF($N$27=1,"27.18, faixa "&amp;'Campanha'!$B$19,"Tabelas: Gancho do NPC")&amp;" · Sugestão da planilha — não é regra do livro (H20)"</f>
        <v/>
      </c>
      <c r="K22" s="18">
        <f>IF(LEN($N$30)=0,"Listas de gancho vazias (aba Tabelas)","")</f>
        <v/>
      </c>
      <c r="N22" s="19">
        <f>$AE$116</f>
        <v/>
      </c>
      <c r="AA22" s="19">
        <f>MOD(MOD(MOD((MOD('Início'!$E$15+104729*$B$8+18480017,2147483646)+1)*16807,2147483647)*16807,2147483647)*16807,2147483647)</f>
        <v/>
      </c>
      <c r="AB22" s="19">
        <f>MOD(MOD(MOD((MOD(MOD(INT($AA$22/65536)*$AA$22,2147483647)*65536+MOD($AA$22,65536)*$AA$22,2147483647))*16807,2147483647)*16807,2147483647)*16807,2147483647)</f>
        <v/>
      </c>
      <c r="AC22" s="19">
        <f>MOD(MOD(MOD((MOD($AB$22+INT($AB$22/65536)*MOD($AB$22,65536),2147483646)+1)*16807,2147483647)*16807,2147483647)*16807,2147483647)</f>
        <v/>
      </c>
      <c r="AE22" s="19">
        <f>$AE$21+IF(AND(LEN($N$15)&gt;0,INDEX('Tabelas'!$X$472:$X$578,13)&amp;""=$N$15,LEN(INDEX('Tabelas'!$Y$472:$Y$578,13)&amp;"")&gt;0),1,0)</f>
        <v/>
      </c>
      <c r="AG22" s="19">
        <f>$AV$59&amp;""</f>
        <v/>
      </c>
      <c r="AH22" s="19">
        <f>$AW$59&amp;""</f>
        <v/>
      </c>
      <c r="AI22" s="19">
        <f>$AY$59&amp;""</f>
        <v/>
      </c>
      <c r="AJ22" s="19">
        <f>$BC$59&amp;""</f>
        <v/>
      </c>
      <c r="AK22" s="19">
        <f>$AW$93&amp;""</f>
        <v/>
      </c>
      <c r="AL22" s="19">
        <f>$AW$161&amp;""</f>
        <v/>
      </c>
      <c r="AM22" s="19">
        <f>$AW$127&amp;""</f>
        <v/>
      </c>
      <c r="AN22" s="19">
        <f>$BA$127&amp;""</f>
        <v/>
      </c>
      <c r="AO22" s="19">
        <f>$AZ$161&amp;""</f>
        <v/>
      </c>
      <c r="AP22" s="19">
        <f>$BA$59&amp;""</f>
        <v/>
      </c>
      <c r="AT22" s="19">
        <f>'Tabelas'!$AE$369&amp;""</f>
        <v/>
      </c>
    </row>
    <row r="23">
      <c r="A23" s="21" t="inlineStr">
        <is>
          <t>Papel na história</t>
        </is>
      </c>
      <c r="B23" s="9">
        <f>$N$31</f>
        <v/>
      </c>
      <c r="I23" s="9">
        <f>IF(COUNTIF('Dados'!$A$398:$A$404,$BA$7)&gt;0,"Escolhido","Sorteado entre os 7 papéis")</f>
        <v/>
      </c>
      <c r="K23" s="38" t="n"/>
      <c r="L23" s="38" t="n"/>
      <c r="N23" s="19">
        <f>IF(OR($N$15="Nenhum",LEN($N$15)=0,$N$22=0),IF('Tabelas'!$E$354&lt;=0,"",IFERROR(INDEX('Tabelas'!$AA$357:$AA$463,MATCH(IF('Tabelas'!$E$354&lt;=0,0,INT($AC$18*'Tabelas'!$E$354/2147483647)+1),'Tabelas'!$Q$357:$Q$463,0))&amp;"","")),IFERROR(INDEX('Tabelas'!$Y$472:$Y$578,MATCH(INT($AC$18*$N$22/2147483647)+1,$AE$10:$AE$116,0))&amp;"",""))</f>
        <v/>
      </c>
      <c r="AA23" s="19">
        <f>MOD(MOD(MOD((MOD('Início'!$E$15+104729*$B$8+19779726,2147483646)+1)*16807,2147483647)*16807,2147483647)*16807,2147483647)</f>
        <v/>
      </c>
      <c r="AB23" s="19">
        <f>MOD(MOD(MOD((MOD(MOD(INT($AA$23/65536)*$AA$23,2147483647)*65536+MOD($AA$23,65536)*$AA$23,2147483647))*16807,2147483647)*16807,2147483647)*16807,2147483647)</f>
        <v/>
      </c>
      <c r="AC23" s="19">
        <f>MOD(MOD(MOD((MOD($AB$23+INT($AB$23/65536)*MOD($AB$23,65536),2147483646)+1)*16807,2147483647)*16807,2147483647)*16807,2147483647)</f>
        <v/>
      </c>
      <c r="AE23" s="19">
        <f>$AE$22</f>
        <v/>
      </c>
      <c r="AG23" s="19">
        <f>$AV$60&amp;""</f>
        <v/>
      </c>
      <c r="AH23" s="19">
        <f>$AW$60&amp;""</f>
        <v/>
      </c>
      <c r="AI23" s="19">
        <f>$AY$60&amp;""</f>
        <v/>
      </c>
      <c r="AJ23" s="19">
        <f>$BC$60&amp;""</f>
        <v/>
      </c>
      <c r="AK23" s="19">
        <f>$AW$94&amp;""</f>
        <v/>
      </c>
      <c r="AL23" s="19">
        <f>$AW$162&amp;""</f>
        <v/>
      </c>
      <c r="AM23" s="19">
        <f>$AW$128&amp;""</f>
        <v/>
      </c>
      <c r="AN23" s="19">
        <f>$BA$128&amp;""</f>
        <v/>
      </c>
      <c r="AO23" s="19">
        <f>$AZ$162&amp;""</f>
        <v/>
      </c>
      <c r="AP23" s="19">
        <f>$BA$60&amp;""</f>
        <v/>
      </c>
      <c r="AT23" s="19">
        <f>'Tabelas'!$AE$371&amp;""</f>
        <v/>
      </c>
    </row>
    <row r="24">
      <c r="N24" s="19">
        <f>IF('Tabelas'!$F$354&lt;=0,"",IFERROR(INDEX('Tabelas'!$AB$357:$AB$463,MATCH(IF('Tabelas'!$F$354&lt;=0,0,INT($AC$19*'Tabelas'!$F$354/2147483647)+1),'Tabelas'!$R$357:$R$463,0))&amp;"",""))</f>
        <v/>
      </c>
      <c r="AA24" s="19">
        <f>MOD(MOD(MOD((MOD('Início'!$E$15+104729*$B$8+21079435,2147483646)+1)*16807,2147483647)*16807,2147483647)*16807,2147483647)</f>
        <v/>
      </c>
      <c r="AB24" s="19">
        <f>MOD(MOD(MOD((MOD(MOD(INT($AA$24/65536)*$AA$24,2147483647)*65536+MOD($AA$24,65536)*$AA$24,2147483647))*16807,2147483647)*16807,2147483647)*16807,2147483647)</f>
        <v/>
      </c>
      <c r="AC24" s="19">
        <f>MOD(MOD(MOD((MOD($AB$24+INT($AB$24/65536)*MOD($AB$24,65536),2147483646)+1)*16807,2147483647)*16807,2147483647)*16807,2147483647)</f>
        <v/>
      </c>
      <c r="AE24" s="19">
        <f>$AE$23+IF(AND(LEN($N$15)&gt;0,INDEX('Tabelas'!$X$472:$X$578,15)&amp;""=$N$15,LEN(INDEX('Tabelas'!$Y$472:$Y$578,15)&amp;"")&gt;0),1,0)</f>
        <v/>
      </c>
      <c r="AG24" s="19">
        <f>$AV$61&amp;""</f>
        <v/>
      </c>
      <c r="AH24" s="19">
        <f>$AW$61&amp;""</f>
        <v/>
      </c>
      <c r="AI24" s="19">
        <f>$AY$61&amp;""</f>
        <v/>
      </c>
      <c r="AJ24" s="19">
        <f>$BC$61&amp;""</f>
        <v/>
      </c>
      <c r="AK24" s="19">
        <f>$AW$95&amp;""</f>
        <v/>
      </c>
      <c r="AL24" s="19">
        <f>$AW$163&amp;""</f>
        <v/>
      </c>
      <c r="AM24" s="19">
        <f>$AW$129&amp;""</f>
        <v/>
      </c>
      <c r="AN24" s="19">
        <f>$BA$129&amp;""</f>
        <v/>
      </c>
      <c r="AO24" s="19">
        <f>$AZ$163&amp;""</f>
        <v/>
      </c>
      <c r="AP24" s="19">
        <f>$BA$61&amp;""</f>
        <v/>
      </c>
      <c r="AT24" s="19">
        <f>'Tabelas'!$AE$372&amp;""</f>
        <v/>
      </c>
    </row>
    <row r="25" ht="20" customHeight="1">
      <c r="A25" s="12" t="inlineStr">
        <is>
          <t>Bloco de combate (âncoras de 28.3; o mesmo número do Criador de Inimigos no modo Faixa do livro)</t>
        </is>
      </c>
      <c r="N25" s="19">
        <f>IF('Tabelas'!$G$354&lt;=0,"",IFERROR(INDEX('Tabelas'!$AC$357:$AC$463,MATCH(IF('Tabelas'!$G$354&lt;=0,0,INT($AC$20*'Tabelas'!$G$354/2147483647)+1),'Tabelas'!$S$357:$S$463,0))&amp;"",""))</f>
        <v/>
      </c>
      <c r="AE25" s="19">
        <f>$AE$24+IF(AND(LEN($N$15)&gt;0,INDEX('Tabelas'!$X$472:$X$578,16)&amp;""=$N$15,LEN(INDEX('Tabelas'!$Y$472:$Y$578,16)&amp;"")&gt;0),1,0)</f>
        <v/>
      </c>
      <c r="AG25" s="19">
        <f>$AV$62&amp;""</f>
        <v/>
      </c>
      <c r="AH25" s="19">
        <f>$AW$62&amp;""</f>
        <v/>
      </c>
      <c r="AI25" s="19">
        <f>$AY$62&amp;""</f>
        <v/>
      </c>
      <c r="AJ25" s="19">
        <f>$BC$62&amp;""</f>
        <v/>
      </c>
      <c r="AK25" s="19">
        <f>$AW$96&amp;""</f>
        <v/>
      </c>
      <c r="AL25" s="19">
        <f>$AW$164&amp;""</f>
        <v/>
      </c>
      <c r="AM25" s="19">
        <f>$AW$130&amp;""</f>
        <v/>
      </c>
      <c r="AN25" s="19">
        <f>$BA$130&amp;""</f>
        <v/>
      </c>
      <c r="AO25" s="19">
        <f>$AZ$164&amp;""</f>
        <v/>
      </c>
      <c r="AP25" s="19">
        <f>$BA$62&amp;""</f>
        <v/>
      </c>
      <c r="AT25" s="19">
        <f>'Tabelas'!$AE$373&amp;""</f>
        <v/>
      </c>
    </row>
    <row r="26" ht="26" customHeight="1">
      <c r="A26" s="7" t="inlineStr">
        <is>
          <t>Faixa · tipo</t>
        </is>
      </c>
      <c r="B26" s="7" t="inlineStr">
        <is>
          <t>PV</t>
        </is>
      </c>
      <c r="C26" s="7" t="inlineStr">
        <is>
          <t>Defesa</t>
        </is>
      </c>
      <c r="D26" s="7" t="inlineStr">
        <is>
          <t>RD</t>
        </is>
      </c>
      <c r="E26" s="7" t="inlineStr">
        <is>
          <t>Tenacidade</t>
        </is>
      </c>
      <c r="F26" s="7" t="inlineStr">
        <is>
          <t>VEL</t>
        </is>
      </c>
      <c r="G26" s="7" t="inlineStr">
        <is>
          <t>Ataque</t>
        </is>
      </c>
      <c r="H26" s="7" t="inlineStr">
        <is>
          <t>DT dos efeitos</t>
        </is>
      </c>
      <c r="I26" s="7" t="inlineStr">
        <is>
          <t>Teste de Resistência</t>
        </is>
      </c>
      <c r="J26" s="7" t="inlineStr">
        <is>
          <t>Nº de Fraquezas</t>
        </is>
      </c>
      <c r="K26" s="7" t="inlineStr">
        <is>
          <t>Aviso</t>
        </is>
      </c>
      <c r="L26" s="20" t="n"/>
      <c r="N26" s="19">
        <f>IF('Tabelas'!$I$354&lt;=0,"",IFERROR(INDEX('Tabelas'!$AE$357:$AE$463,MATCH(IF('Tabelas'!$I$354&lt;=0,0,INT($AC$21*'Tabelas'!$I$354/2147483647)+1),'Tabelas'!$U$357:$U$463,0))&amp;"",""))</f>
        <v/>
      </c>
      <c r="AE26" s="19">
        <f>$AE$25+IF(AND(LEN($N$15)&gt;0,INDEX('Tabelas'!$X$472:$X$578,17)&amp;""=$N$15,LEN(INDEX('Tabelas'!$Y$472:$Y$578,17)&amp;"")&gt;0),1,0)</f>
        <v/>
      </c>
      <c r="AG26" s="19">
        <f>$AV$63&amp;""</f>
        <v/>
      </c>
      <c r="AH26" s="19">
        <f>$AW$63&amp;""</f>
        <v/>
      </c>
      <c r="AI26" s="19">
        <f>$AY$63&amp;""</f>
        <v/>
      </c>
      <c r="AJ26" s="19">
        <f>$BC$63&amp;""</f>
        <v/>
      </c>
      <c r="AK26" s="19">
        <f>$AW$97&amp;""</f>
        <v/>
      </c>
      <c r="AL26" s="19">
        <f>$AW$165&amp;""</f>
        <v/>
      </c>
      <c r="AM26" s="19">
        <f>$AW$131&amp;""</f>
        <v/>
      </c>
      <c r="AN26" s="19">
        <f>$BA$131&amp;""</f>
        <v/>
      </c>
      <c r="AO26" s="19">
        <f>$AZ$165&amp;""</f>
        <v/>
      </c>
      <c r="AP26" s="19">
        <f>$BA$63&amp;""</f>
        <v/>
      </c>
      <c r="AT26" s="19">
        <f>'Tabelas'!$AE$374&amp;""</f>
        <v/>
      </c>
    </row>
    <row r="27">
      <c r="A27" s="32">
        <f>IF(LEN($N$35)=0,"Sem bloco",$N$33&amp;" · "&amp;$N$34)</f>
        <v/>
      </c>
      <c r="B27" s="17">
        <f>IF(LEN($N$35)=0,"",IFERROR(INDEX('Dados'!$D$38:$D$52,MATCH($N$35,'Dados'!$A$38:$A$52,0)),""))</f>
        <v/>
      </c>
      <c r="C27" s="17">
        <f>IF(LEN($N$35)=0,"",IFERROR(INDEX('Dados'!$E$38:$E$52,MATCH($N$35,'Dados'!$A$38:$A$52,0)),""))</f>
        <v/>
      </c>
      <c r="D27" s="17">
        <f>IF(LEN($N$35)=0,"",IFERROR(INDEX('Dados'!$F$38:$F$52,MATCH($N$35,'Dados'!$A$38:$A$52,0)),""))</f>
        <v/>
      </c>
      <c r="E27" s="17">
        <f>IF(LEN($N$35)=0,"",IFERROR(INDEX('Dados'!$G$38:$G$52,MATCH($N$35,'Dados'!$A$38:$A$52,0)),""))</f>
        <v/>
      </c>
      <c r="F27" s="17">
        <f>IF(LEN($N$35)=0,"",IFERROR(INDEX('Dados'!$H$38:$H$52,MATCH($N$35,'Dados'!$A$38:$A$52,0)),""))</f>
        <v/>
      </c>
      <c r="G27" s="17">
        <f>IF(LEN($N$35)=0,"","+"&amp;IFERROR(INDEX('Dados'!$I$38:$I$52,MATCH($N$35,'Dados'!$A$38:$A$52,0)),""))</f>
        <v/>
      </c>
      <c r="H27" s="17">
        <f>IF(LEN($N$35)=0,"",IFERROR(INDEX('Dados'!$L$38:$L$52,MATCH($N$35,'Dados'!$A$38:$A$52,0)),""))</f>
        <v/>
      </c>
      <c r="I27" s="17">
        <f>IF(LEN($N$35)=0,"","+"&amp;IFERROR(INDEX('Dados'!$M$38:$M$52,MATCH($N$35,'Dados'!$A$38:$A$52,0)),""))</f>
        <v/>
      </c>
      <c r="J27" s="17">
        <f>IF(LEN($N$35)=0,"",IFERROR(INDEX('Dados'!$N$38:$N$52,MATCH($N$35,'Dados'!$A$38:$A$52,0)),""))</f>
        <v/>
      </c>
      <c r="N27" s="19">
        <f>(1+INT($AC$23*((2)-(1)+1)/2147483647))</f>
        <v/>
      </c>
      <c r="AE27" s="19">
        <f>$AE$26+IF(AND(LEN($N$15)&gt;0,INDEX('Tabelas'!$X$472:$X$578,18)&amp;""=$N$15,LEN(INDEX('Tabelas'!$Y$472:$Y$578,18)&amp;"")&gt;0),1,0)</f>
        <v/>
      </c>
      <c r="AG27" s="19">
        <f>$AV$64&amp;""</f>
        <v/>
      </c>
      <c r="AH27" s="19">
        <f>$AW$64&amp;""</f>
        <v/>
      </c>
      <c r="AI27" s="19">
        <f>$AY$64&amp;""</f>
        <v/>
      </c>
      <c r="AJ27" s="19">
        <f>$BC$64&amp;""</f>
        <v/>
      </c>
      <c r="AK27" s="19">
        <f>$AW$98&amp;""</f>
        <v/>
      </c>
      <c r="AL27" s="19">
        <f>$AW$166&amp;""</f>
        <v/>
      </c>
      <c r="AM27" s="19">
        <f>$AW$132&amp;""</f>
        <v/>
      </c>
      <c r="AN27" s="19">
        <f>$BA$132&amp;""</f>
        <v/>
      </c>
      <c r="AO27" s="19">
        <f>$AZ$166&amp;""</f>
        <v/>
      </c>
      <c r="AP27" s="19">
        <f>$BA$64&amp;""</f>
        <v/>
      </c>
      <c r="AT27" s="19">
        <f>'Tabelas'!$AE$375&amp;""</f>
        <v/>
      </c>
    </row>
    <row r="28">
      <c r="A28" s="21" t="inlineStr">
        <is>
          <t>Dano por acerto</t>
        </is>
      </c>
      <c r="B28" s="9">
        <f>IF(LEN($N$35)=0,"",IFERROR(INDEX('Dados'!$J$38:$J$52,MATCH($N$35,'Dados'!$A$38:$A$52,0)),"")&amp;" · média "&amp;IFERROR(INDEX('Dados'!$K$38:$K$52,MATCH($N$35,'Dados'!$A$38:$A$52,0)),""))</f>
        <v/>
      </c>
      <c r="F28" s="40" t="inlineStr">
        <is>
          <t>Na Fila</t>
        </is>
      </c>
      <c r="G28" s="9">
        <f>IF(LEN($N$35)=0,"","VEL "&amp;IFERROR(INDEX('Dados'!$H$38:$H$52,MATCH($N$35,'Dados'!$A$38:$A$52,0)),"")&amp;", "&amp;IFERROR(INDEX('Dados'!$P$38:$P$52,MATCH($N$35,'Dados'!$A$38:$A$52,0)),""))</f>
        <v/>
      </c>
      <c r="K28" s="38" t="n"/>
      <c r="L28" s="38" t="n"/>
      <c r="N28" s="19">
        <f>IF('Campanha'!$B$18=1,IF('Tabelas'!$D$9&lt;=0,"",IFERROR(INDEX('Tabelas'!$Z$12:$Z$118,MATCH(IF('Tabelas'!$D$9&lt;=0,0,INT($AC$22*'Tabelas'!$D$9/2147483647)+1),'Tabelas'!$P$12:$P$118,0))&amp;"","")),IF('Campanha'!$B$18=2,IF('Tabelas'!$E$9&lt;=0,"",IFERROR(INDEX('Tabelas'!$AA$12:$AA$118,MATCH(IF('Tabelas'!$E$9&lt;=0,0,INT($AC$22*'Tabelas'!$E$9/2147483647)+1),'Tabelas'!$Q$12:$Q$118,0))&amp;"","")),IF('Campanha'!$B$18=3,IF('Tabelas'!$F$9&lt;=0,"",IFERROR(INDEX('Tabelas'!$AB$12:$AB$118,MATCH(IF('Tabelas'!$F$9&lt;=0,0,INT($AC$22*'Tabelas'!$F$9/2147483647)+1),'Tabelas'!$R$12:$R$118,0))&amp;"","")),IF('Campanha'!$B$18=4,IF('Tabelas'!$G$9&lt;=0,"",IFERROR(INDEX('Tabelas'!$AC$12:$AC$118,MATCH(IF('Tabelas'!$G$9&lt;=0,0,INT($AC$22*'Tabelas'!$G$9/2147483647)+1),'Tabelas'!$S$12:$S$118,0))&amp;"","")),IF('Tabelas'!$H$9&lt;=0,"",IFERROR(INDEX('Tabelas'!$AD$12:$AD$118,MATCH(IF('Tabelas'!$H$9&lt;=0,0,INT($AC$22*'Tabelas'!$H$9/2147483647)+1),'Tabelas'!$T$12:$T$118,0))&amp;"",""))))))</f>
        <v/>
      </c>
      <c r="AE28" s="19">
        <f>$AE$27+IF(AND(LEN($N$15)&gt;0,INDEX('Tabelas'!$X$472:$X$578,19)&amp;""=$N$15,LEN(INDEX('Tabelas'!$Y$472:$Y$578,19)&amp;"")&gt;0),1,0)</f>
        <v/>
      </c>
      <c r="AG28" s="19">
        <f>$AV$65&amp;""</f>
        <v/>
      </c>
      <c r="AH28" s="19">
        <f>$AW$65&amp;""</f>
        <v/>
      </c>
      <c r="AI28" s="19">
        <f>$AY$65&amp;""</f>
        <v/>
      </c>
      <c r="AJ28" s="19">
        <f>$BC$65&amp;""</f>
        <v/>
      </c>
      <c r="AK28" s="19">
        <f>$AW$99&amp;""</f>
        <v/>
      </c>
      <c r="AL28" s="19">
        <f>$AW$167&amp;""</f>
        <v/>
      </c>
      <c r="AM28" s="19">
        <f>$AW$133&amp;""</f>
        <v/>
      </c>
      <c r="AN28" s="19">
        <f>$BA$133&amp;""</f>
        <v/>
      </c>
      <c r="AO28" s="19">
        <f>$AZ$167&amp;""</f>
        <v/>
      </c>
      <c r="AP28" s="19">
        <f>$BA$65&amp;""</f>
        <v/>
      </c>
      <c r="AT28" s="19">
        <f>'Tabelas'!$AE$376&amp;""</f>
        <v/>
      </c>
    </row>
    <row r="29">
      <c r="A29" s="32">
        <f>IF(LEN($N$35)=0,"Escolha a faixa do bloco (ou Do grupo) para ver os números.","NPC aliado também usa as âncoras de 28.3 (sem Esquiva, PH, Energia nem Ultimate, 28.2); Execução: ser racional pode Executar (23.5).")</f>
        <v/>
      </c>
      <c r="N29" s="19">
        <f>IF('Tabelas'!$J$354&lt;=0,"",IFERROR(INDEX('Tabelas'!$AF$357:$AF$463,MATCH(IF('Tabelas'!$J$354&lt;=0,0,INT($AC$22*'Tabelas'!$J$354/2147483647)+1),'Tabelas'!$V$357:$V$463,0))&amp;"",""))</f>
        <v/>
      </c>
      <c r="AE29" s="19">
        <f>$AE$28+IF(AND(LEN($N$15)&gt;0,INDEX('Tabelas'!$X$472:$X$578,20)&amp;""=$N$15,LEN(INDEX('Tabelas'!$Y$472:$Y$578,20)&amp;"")&gt;0),1,0)</f>
        <v/>
      </c>
      <c r="AG29" s="19">
        <f>$AV$66&amp;""</f>
        <v/>
      </c>
      <c r="AH29" s="19">
        <f>$AW$66&amp;""</f>
        <v/>
      </c>
      <c r="AI29" s="19">
        <f>$AY$66&amp;""</f>
        <v/>
      </c>
      <c r="AJ29" s="19">
        <f>$BC$66&amp;""</f>
        <v/>
      </c>
      <c r="AK29" s="19">
        <f>$AW$100&amp;""</f>
        <v/>
      </c>
      <c r="AL29" s="19">
        <f>$AW$168&amp;""</f>
        <v/>
      </c>
      <c r="AM29" s="19">
        <f>$AW$134&amp;""</f>
        <v/>
      </c>
      <c r="AN29" s="19">
        <f>$BA$134&amp;""</f>
        <v/>
      </c>
      <c r="AO29" s="19">
        <f>$AZ$168&amp;""</f>
        <v/>
      </c>
      <c r="AP29" s="19">
        <f>$BA$66&amp;""</f>
        <v/>
      </c>
      <c r="AT29" s="19">
        <f>'Tabelas'!$AE$377&amp;""</f>
        <v/>
      </c>
    </row>
    <row r="30" ht="26" customHeight="1">
      <c r="A30" s="33">
        <f>IF(LEN($N$35)=0,"","Para levar ao combate: na aba Inimigos, crie uma linha com o nome "&amp;$N$14&amp;", tipo "&amp;$N$34&amp;" e faixa "&amp;$N$33&amp;" (modo Faixa do livro); ele entra nas listas de Encontros e Combate.")</f>
        <v/>
      </c>
      <c r="N30" s="19">
        <f>IF($N$27=1,IF(LEN($N$28)&gt;0,$N$28,$N$29),IF(LEN($N$29)&gt;0,$N$29,$N$28))</f>
        <v/>
      </c>
      <c r="AE30" s="19">
        <f>$AE$29+IF(AND(LEN($N$15)&gt;0,INDEX('Tabelas'!$X$472:$X$578,21)&amp;""=$N$15,LEN(INDEX('Tabelas'!$Y$472:$Y$578,21)&amp;"")&gt;0),1,0)</f>
        <v/>
      </c>
      <c r="AG30" s="19">
        <f>$AV$68&amp;""</f>
        <v/>
      </c>
      <c r="AH30" s="19">
        <f>$AW$68&amp;""</f>
        <v/>
      </c>
      <c r="AI30" s="19">
        <f>$AY$68&amp;""</f>
        <v/>
      </c>
      <c r="AJ30" s="19">
        <f>$BC$68&amp;""</f>
        <v/>
      </c>
      <c r="AK30" s="19">
        <f>$AW$102&amp;""</f>
        <v/>
      </c>
      <c r="AL30" s="19">
        <f>$AW$170&amp;""</f>
        <v/>
      </c>
      <c r="AM30" s="19">
        <f>$AW$136&amp;""</f>
        <v/>
      </c>
      <c r="AN30" s="19">
        <f>$BA$136&amp;""</f>
        <v/>
      </c>
      <c r="AO30" s="19">
        <f>$AZ$170&amp;""</f>
        <v/>
      </c>
      <c r="AP30" s="19">
        <f>$BA$68&amp;""</f>
        <v/>
      </c>
      <c r="AT30" s="19">
        <f>'Tabelas'!$AE$378&amp;""</f>
        <v/>
      </c>
    </row>
    <row r="31">
      <c r="N31" s="19">
        <f>IF(COUNTIF('Dados'!$A$398:$A$404,$BA$7)&gt;0,$BA$7,INDEX('Dados'!$A$398:$A$404,INT($AC$24*7/2147483647)+1))</f>
        <v/>
      </c>
      <c r="AE31" s="19">
        <f>$AE$30+IF(AND(LEN($N$15)&gt;0,INDEX('Tabelas'!$X$472:$X$578,22)&amp;""=$N$15,LEN(INDEX('Tabelas'!$Y$472:$Y$578,22)&amp;"")&gt;0),1,0)</f>
        <v/>
      </c>
      <c r="AG31" s="19">
        <f>$AV$69&amp;""</f>
        <v/>
      </c>
      <c r="AH31" s="19">
        <f>$AW$69&amp;""</f>
        <v/>
      </c>
      <c r="AI31" s="19">
        <f>$AY$69&amp;""</f>
        <v/>
      </c>
      <c r="AJ31" s="19">
        <f>$BC$69&amp;""</f>
        <v/>
      </c>
      <c r="AK31" s="19">
        <f>$AW$103&amp;""</f>
        <v/>
      </c>
      <c r="AL31" s="19">
        <f>$AW$171&amp;""</f>
        <v/>
      </c>
      <c r="AM31" s="19">
        <f>$AW$137&amp;""</f>
        <v/>
      </c>
      <c r="AN31" s="19">
        <f>$BA$137&amp;""</f>
        <v/>
      </c>
      <c r="AO31" s="19">
        <f>$AZ$171&amp;""</f>
        <v/>
      </c>
      <c r="AP31" s="19">
        <f>$BA$69&amp;""</f>
        <v/>
      </c>
      <c r="AT31" s="19">
        <f>'Tabelas'!$AE$379&amp;""</f>
        <v/>
      </c>
    </row>
    <row r="32" ht="20" customHeight="1">
      <c r="A32" s="12" t="inlineStr">
        <is>
          <t>Linha de saída: copie e cole como valores no Elenco (Colar especial → Somente valores)</t>
        </is>
      </c>
      <c r="AE32" s="19">
        <f>$AE$31+IF(AND(LEN($N$15)&gt;0,INDEX('Tabelas'!$X$472:$X$578,23)&amp;""=$N$15,LEN(INDEX('Tabelas'!$Y$472:$Y$578,23)&amp;"")&gt;0),1,0)</f>
        <v/>
      </c>
      <c r="AG32" s="19">
        <f>$AV$70&amp;""</f>
        <v/>
      </c>
      <c r="AH32" s="19">
        <f>$AW$70&amp;""</f>
        <v/>
      </c>
      <c r="AI32" s="19">
        <f>$AY$70&amp;""</f>
        <v/>
      </c>
      <c r="AJ32" s="19">
        <f>$BC$70&amp;""</f>
        <v/>
      </c>
      <c r="AK32" s="19">
        <f>$AW$104&amp;""</f>
        <v/>
      </c>
      <c r="AL32" s="19">
        <f>$AW$172&amp;""</f>
        <v/>
      </c>
      <c r="AM32" s="19">
        <f>$AW$138&amp;""</f>
        <v/>
      </c>
      <c r="AN32" s="19">
        <f>$BA$138&amp;""</f>
        <v/>
      </c>
      <c r="AO32" s="19">
        <f>$AZ$172&amp;""</f>
        <v/>
      </c>
      <c r="AP32" s="19">
        <f>$BA$70&amp;""</f>
        <v/>
      </c>
      <c r="AT32" s="19">
        <f>'Tabelas'!$AE$380&amp;""</f>
        <v/>
      </c>
    </row>
    <row r="33">
      <c r="A33" s="7" t="inlineStr">
        <is>
          <t>Nome completo</t>
        </is>
      </c>
      <c r="B33" s="7" t="inlineStr">
        <is>
          <t>Raça</t>
        </is>
      </c>
      <c r="C33" s="20" t="n"/>
      <c r="D33" s="7" t="inlineStr">
        <is>
          <t>Caminho</t>
        </is>
      </c>
      <c r="E33" s="20" t="n"/>
      <c r="F33" s="7" t="inlineStr">
        <is>
          <t>Papel</t>
        </is>
      </c>
      <c r="G33" s="20" t="n"/>
      <c r="H33" s="7" t="inlineStr">
        <is>
          <t>Ocupação</t>
        </is>
      </c>
      <c r="I33" s="20" t="n"/>
      <c r="J33" s="20" t="n"/>
      <c r="N33" s="19">
        <f>IF($BC$7="Do grupo",'Campanha'!$B$19,IFERROR(INDEX('Dados'!$B$7:$B$11,MATCH($BC$7,'Dados'!$AP$6:$AP$10,0)),""))</f>
        <v/>
      </c>
      <c r="AE33" s="19">
        <f>$AE$32+IF(AND(LEN($N$15)&gt;0,INDEX('Tabelas'!$X$472:$X$578,24)&amp;""=$N$15,LEN(INDEX('Tabelas'!$Y$472:$Y$578,24)&amp;"")&gt;0),1,0)</f>
        <v/>
      </c>
      <c r="AG33" s="19">
        <f>$AV$71&amp;""</f>
        <v/>
      </c>
      <c r="AH33" s="19">
        <f>$AW$71&amp;""</f>
        <v/>
      </c>
      <c r="AI33" s="19">
        <f>$AY$71&amp;""</f>
        <v/>
      </c>
      <c r="AJ33" s="19">
        <f>$BC$71&amp;""</f>
        <v/>
      </c>
      <c r="AK33" s="19">
        <f>$AW$105&amp;""</f>
        <v/>
      </c>
      <c r="AL33" s="19">
        <f>$AW$173&amp;""</f>
        <v/>
      </c>
      <c r="AM33" s="19">
        <f>$AW$139&amp;""</f>
        <v/>
      </c>
      <c r="AN33" s="19">
        <f>$BA$139&amp;""</f>
        <v/>
      </c>
      <c r="AO33" s="19">
        <f>$AZ$173&amp;""</f>
        <v/>
      </c>
      <c r="AP33" s="19">
        <f>$BA$71&amp;""</f>
        <v/>
      </c>
      <c r="AT33" s="19">
        <f>'Tabelas'!$AE$381&amp;""</f>
        <v/>
      </c>
    </row>
    <row r="34" ht="48" customHeight="1">
      <c r="A34" s="32">
        <f>$N$14</f>
        <v/>
      </c>
      <c r="B34" s="4">
        <f>$N$10</f>
        <v/>
      </c>
      <c r="D34" s="4">
        <f>$N$15</f>
        <v/>
      </c>
      <c r="F34" s="4">
        <f>$N$31</f>
        <v/>
      </c>
      <c r="H34" s="4">
        <f>$N$16</f>
        <v/>
      </c>
      <c r="N34" s="19">
        <f>IF($BE$7="Elite","Elite","Comum")</f>
        <v/>
      </c>
      <c r="AE34" s="19">
        <f>$AE$33+IF(AND(LEN($N$15)&gt;0,INDEX('Tabelas'!$X$472:$X$578,25)&amp;""=$N$15,LEN(INDEX('Tabelas'!$Y$472:$Y$578,25)&amp;"")&gt;0),1,0)</f>
        <v/>
      </c>
      <c r="AG34" s="19">
        <f>$AV$72&amp;""</f>
        <v/>
      </c>
      <c r="AH34" s="19">
        <f>$AW$72&amp;""</f>
        <v/>
      </c>
      <c r="AI34" s="19">
        <f>$AY$72&amp;""</f>
        <v/>
      </c>
      <c r="AJ34" s="19">
        <f>$BC$72&amp;""</f>
        <v/>
      </c>
      <c r="AK34" s="19">
        <f>$AW$106&amp;""</f>
        <v/>
      </c>
      <c r="AL34" s="19">
        <f>$AW$174&amp;""</f>
        <v/>
      </c>
      <c r="AM34" s="19">
        <f>$AW$140&amp;""</f>
        <v/>
      </c>
      <c r="AN34" s="19">
        <f>$BA$140&amp;""</f>
        <v/>
      </c>
      <c r="AO34" s="19">
        <f>$AZ$174&amp;""</f>
        <v/>
      </c>
      <c r="AP34" s="19">
        <f>$BA$72&amp;""</f>
        <v/>
      </c>
      <c r="AT34" s="19">
        <f>'Tabelas'!$AE$382&amp;""</f>
        <v/>
      </c>
    </row>
    <row r="35">
      <c r="A35" s="7" t="inlineStr">
        <is>
          <t>Parte 2</t>
        </is>
      </c>
      <c r="B35" s="7" t="inlineStr">
        <is>
          <t>Aparência</t>
        </is>
      </c>
      <c r="C35" s="20" t="n"/>
      <c r="D35" s="20" t="n"/>
      <c r="E35" s="20" t="n"/>
      <c r="F35" s="7" t="inlineStr">
        <is>
          <t>Personalidade</t>
        </is>
      </c>
      <c r="G35" s="20" t="n"/>
      <c r="H35" s="20" t="n"/>
      <c r="I35" s="20" t="n"/>
      <c r="J35" s="20" t="n"/>
      <c r="N35" s="19">
        <f>IF(LEN($N$33)=0,"",$N$33&amp;"|"&amp;$N$34)</f>
        <v/>
      </c>
      <c r="AE35" s="19">
        <f>$AE$34+IF(AND(LEN($N$15)&gt;0,INDEX('Tabelas'!$X$472:$X$578,26)&amp;""=$N$15,LEN(INDEX('Tabelas'!$Y$472:$Y$578,26)&amp;"")&gt;0),1,0)</f>
        <v/>
      </c>
      <c r="AG35" s="19">
        <f>$AV$73&amp;""</f>
        <v/>
      </c>
      <c r="AH35" s="19">
        <f>$AW$73&amp;""</f>
        <v/>
      </c>
      <c r="AI35" s="19">
        <f>$AY$73&amp;""</f>
        <v/>
      </c>
      <c r="AJ35" s="19">
        <f>$BC$73&amp;""</f>
        <v/>
      </c>
      <c r="AK35" s="19">
        <f>$AW$107&amp;""</f>
        <v/>
      </c>
      <c r="AL35" s="19">
        <f>$AW$175&amp;""</f>
        <v/>
      </c>
      <c r="AM35" s="19">
        <f>$AW$141&amp;""</f>
        <v/>
      </c>
      <c r="AN35" s="19">
        <f>$BA$141&amp;""</f>
        <v/>
      </c>
      <c r="AO35" s="19">
        <f>$AZ$175&amp;""</f>
        <v/>
      </c>
      <c r="AP35" s="19">
        <f>$BA$73&amp;""</f>
        <v/>
      </c>
      <c r="AT35" s="19">
        <f>'Tabelas'!$AE$383&amp;""</f>
        <v/>
      </c>
    </row>
    <row r="36" ht="26" customHeight="1">
      <c r="A36" s="32">
        <f>"Parte 2 de 4"</f>
        <v/>
      </c>
      <c r="B36" s="4">
        <f>$N$20</f>
        <v/>
      </c>
      <c r="F36" s="4">
        <f>$N$21</f>
        <v/>
      </c>
      <c r="AE36" s="19">
        <f>$AE$35+IF(AND(LEN($N$15)&gt;0,INDEX('Tabelas'!$X$472:$X$578,27)&amp;""=$N$15,LEN(INDEX('Tabelas'!$Y$472:$Y$578,27)&amp;"")&gt;0),1,0)</f>
        <v/>
      </c>
      <c r="AG36" s="19">
        <f>$AV$74&amp;""</f>
        <v/>
      </c>
      <c r="AH36" s="19">
        <f>$AW$74&amp;""</f>
        <v/>
      </c>
      <c r="AI36" s="19">
        <f>$AY$74&amp;""</f>
        <v/>
      </c>
      <c r="AJ36" s="19">
        <f>$BC$74&amp;""</f>
        <v/>
      </c>
      <c r="AK36" s="19">
        <f>$AW$108&amp;""</f>
        <v/>
      </c>
      <c r="AL36" s="19">
        <f>$AW$176&amp;""</f>
        <v/>
      </c>
      <c r="AM36" s="19">
        <f>$AW$142&amp;""</f>
        <v/>
      </c>
      <c r="AN36" s="19">
        <f>$BA$142&amp;""</f>
        <v/>
      </c>
      <c r="AO36" s="19">
        <f>$AZ$176&amp;""</f>
        <v/>
      </c>
      <c r="AP36" s="19">
        <f>$BA$74&amp;""</f>
        <v/>
      </c>
      <c r="AT36" s="19">
        <f>'Tabelas'!$AE$385&amp;""</f>
        <v/>
      </c>
    </row>
    <row r="37">
      <c r="A37" s="7" t="inlineStr">
        <is>
          <t>Parte 3</t>
        </is>
      </c>
      <c r="B37" s="7" t="inlineStr">
        <is>
          <t>Motivação</t>
        </is>
      </c>
      <c r="C37" s="20" t="n"/>
      <c r="D37" s="20" t="n"/>
      <c r="E37" s="20" t="n"/>
      <c r="F37" s="7" t="inlineStr">
        <is>
          <t>Segredo</t>
        </is>
      </c>
      <c r="G37" s="20" t="n"/>
      <c r="H37" s="20" t="n"/>
      <c r="I37" s="20" t="n"/>
      <c r="J37" s="20" t="n"/>
      <c r="AE37" s="19">
        <f>$AE$36</f>
        <v/>
      </c>
      <c r="AG37" s="19">
        <f>$AV$75&amp;""</f>
        <v/>
      </c>
      <c r="AH37" s="19">
        <f>$AW$75&amp;""</f>
        <v/>
      </c>
      <c r="AI37" s="19">
        <f>$AY$75&amp;""</f>
        <v/>
      </c>
      <c r="AJ37" s="19">
        <f>$BC$75&amp;""</f>
        <v/>
      </c>
      <c r="AK37" s="19">
        <f>$AW$109&amp;""</f>
        <v/>
      </c>
      <c r="AL37" s="19">
        <f>$AW$177&amp;""</f>
        <v/>
      </c>
      <c r="AM37" s="19">
        <f>$AW$143&amp;""</f>
        <v/>
      </c>
      <c r="AN37" s="19">
        <f>$BA$143&amp;""</f>
        <v/>
      </c>
      <c r="AO37" s="19">
        <f>$AZ$177&amp;""</f>
        <v/>
      </c>
      <c r="AP37" s="19">
        <f>$BA$75&amp;""</f>
        <v/>
      </c>
      <c r="AT37" s="19">
        <f>'Tabelas'!$AE$386&amp;""</f>
        <v/>
      </c>
    </row>
    <row r="38">
      <c r="A38" s="32">
        <f>"Parte 3 de 4"</f>
        <v/>
      </c>
      <c r="B38" s="4">
        <f>$N$23</f>
        <v/>
      </c>
      <c r="F38" s="4">
        <f>$N$24</f>
        <v/>
      </c>
      <c r="AE38" s="19">
        <f>$AE$37+IF(AND(LEN($N$15)&gt;0,INDEX('Tabelas'!$X$472:$X$578,29)&amp;""=$N$15,LEN(INDEX('Tabelas'!$Y$472:$Y$578,29)&amp;"")&gt;0),1,0)</f>
        <v/>
      </c>
      <c r="AG38" s="19">
        <f>$AV$76&amp;""</f>
        <v/>
      </c>
      <c r="AH38" s="19">
        <f>$AW$76&amp;""</f>
        <v/>
      </c>
      <c r="AI38" s="19">
        <f>$AY$76&amp;""</f>
        <v/>
      </c>
      <c r="AJ38" s="19">
        <f>$BC$76&amp;""</f>
        <v/>
      </c>
      <c r="AK38" s="19">
        <f>$AW$110&amp;""</f>
        <v/>
      </c>
      <c r="AL38" s="19">
        <f>$AW$178&amp;""</f>
        <v/>
      </c>
      <c r="AM38" s="19">
        <f>$AW$144&amp;""</f>
        <v/>
      </c>
      <c r="AN38" s="19">
        <f>$BA$144&amp;""</f>
        <v/>
      </c>
      <c r="AO38" s="19">
        <f>$AZ$178&amp;""</f>
        <v/>
      </c>
      <c r="AP38" s="19">
        <f>$BA$76&amp;""</f>
        <v/>
      </c>
      <c r="AT38" s="19">
        <f>'Tabelas'!$AE$387&amp;""</f>
        <v/>
      </c>
    </row>
    <row r="39">
      <c r="A39" s="7" t="inlineStr">
        <is>
          <t>Parte 4</t>
        </is>
      </c>
      <c r="B39" s="7" t="inlineStr">
        <is>
          <t>Maneirismo e voz</t>
        </is>
      </c>
      <c r="C39" s="20" t="n"/>
      <c r="D39" s="20" t="n"/>
      <c r="E39" s="7" t="inlineStr">
        <is>
          <t>Atitude</t>
        </is>
      </c>
      <c r="F39" s="20" t="n"/>
      <c r="G39" s="7" t="inlineStr">
        <is>
          <t>Gancho</t>
        </is>
      </c>
      <c r="H39" s="20" t="n"/>
      <c r="I39" s="20" t="n"/>
      <c r="J39" s="20" t="n"/>
      <c r="AE39" s="19">
        <f>$AE$38+IF(AND(LEN($N$15)&gt;0,INDEX('Tabelas'!$X$472:$X$578,30)&amp;""=$N$15,LEN(INDEX('Tabelas'!$Y$472:$Y$578,30)&amp;"")&gt;0),1,0)</f>
        <v/>
      </c>
      <c r="AG39" s="19">
        <f>$AV$77&amp;""</f>
        <v/>
      </c>
      <c r="AH39" s="19">
        <f>$AW$77&amp;""</f>
        <v/>
      </c>
      <c r="AI39" s="19">
        <f>$AY$77&amp;""</f>
        <v/>
      </c>
      <c r="AJ39" s="19">
        <f>$BC$77&amp;""</f>
        <v/>
      </c>
      <c r="AK39" s="19">
        <f>$AW$111&amp;""</f>
        <v/>
      </c>
      <c r="AL39" s="19">
        <f>$AW$179&amp;""</f>
        <v/>
      </c>
      <c r="AM39" s="19">
        <f>$AW$145&amp;""</f>
        <v/>
      </c>
      <c r="AN39" s="19">
        <f>$BA$145&amp;""</f>
        <v/>
      </c>
      <c r="AO39" s="19">
        <f>$AZ$179&amp;""</f>
        <v/>
      </c>
      <c r="AP39" s="19">
        <f>$BA$77&amp;""</f>
        <v/>
      </c>
      <c r="AT39" s="19">
        <f>'Tabelas'!$AE$388&amp;""</f>
        <v/>
      </c>
    </row>
    <row r="40" ht="26" customHeight="1">
      <c r="A40" s="32">
        <f>"Parte 4 de 4"</f>
        <v/>
      </c>
      <c r="B40" s="4">
        <f>$N$25</f>
        <v/>
      </c>
      <c r="E40" s="4">
        <f>$N$26</f>
        <v/>
      </c>
      <c r="G40" s="4">
        <f>$N$30</f>
        <v/>
      </c>
      <c r="AE40" s="19">
        <f>$AE$39+IF(AND(LEN($N$15)&gt;0,INDEX('Tabelas'!$X$472:$X$578,31)&amp;""=$N$15,LEN(INDEX('Tabelas'!$Y$472:$Y$578,31)&amp;"")&gt;0),1,0)</f>
        <v/>
      </c>
      <c r="AT40" s="19">
        <f>'Tabelas'!$AE$389&amp;""</f>
        <v/>
      </c>
    </row>
    <row r="41">
      <c r="A41" s="41" t="inlineStr">
        <is>
          <t>Parte 1: copie A:J e cole em A:J da linha do Elenco E1. Partes 2 a 4: B:J em E2, E3 e E4 (a mesma ordem de colunas, D6). Depois, preencha a relação e o registro (E5).</t>
        </is>
      </c>
      <c r="AE41" s="19">
        <f>$AE$40+IF(AND(LEN($N$15)&gt;0,INDEX('Tabelas'!$X$472:$X$578,32)&amp;""=$N$15,LEN(INDEX('Tabelas'!$Y$472:$Y$578,32)&amp;"")&gt;0),1,0)</f>
        <v/>
      </c>
      <c r="AT41" s="19">
        <f>'Tabelas'!$AE$390&amp;""</f>
        <v/>
      </c>
    </row>
    <row r="42">
      <c r="AE42" s="19">
        <f>$AE$41+IF(AND(LEN($N$15)&gt;0,INDEX('Tabelas'!$X$472:$X$578,33)&amp;""=$N$15,LEN(INDEX('Tabelas'!$Y$472:$Y$578,33)&amp;"")&gt;0),1,0)</f>
        <v/>
      </c>
      <c r="AT42" s="19">
        <f>'Tabelas'!$AE$391&amp;""</f>
        <v/>
      </c>
    </row>
    <row r="43" ht="20" customHeight="1">
      <c r="A43" s="12" t="inlineStr">
        <is>
          <t>Elenco da campanha (30 NPCs; preencha ou cole a linha de saída)</t>
        </is>
      </c>
      <c r="AE43" s="19">
        <f>$AE$42+IF(AND(LEN($N$15)&gt;0,INDEX('Tabelas'!$X$472:$X$578,34)&amp;""=$N$15,LEN(INDEX('Tabelas'!$Y$472:$Y$578,34)&amp;"")&gt;0),1,0)</f>
        <v/>
      </c>
      <c r="AT43" s="19">
        <f>'Tabelas'!$AE$392&amp;""</f>
        <v/>
      </c>
    </row>
    <row r="44" ht="20" customHeight="1">
      <c r="A44" s="12" t="inlineStr">
        <is>
          <t>E1 · Quem é</t>
        </is>
      </c>
      <c r="AE44" s="19">
        <f>$AE$43+IF(AND(LEN($N$15)&gt;0,INDEX('Tabelas'!$X$472:$X$578,35)&amp;""=$N$15,LEN(INDEX('Tabelas'!$Y$472:$Y$578,35)&amp;"")&gt;0),1,0)</f>
        <v/>
      </c>
      <c r="AT44" s="19">
        <f>'Tabelas'!$AE$393&amp;""</f>
        <v/>
      </c>
    </row>
    <row r="45">
      <c r="A45" s="7" t="inlineStr">
        <is>
          <t>Nome completo</t>
        </is>
      </c>
      <c r="B45" s="7" t="inlineStr">
        <is>
          <t>Raça</t>
        </is>
      </c>
      <c r="C45" s="20" t="n"/>
      <c r="D45" s="7" t="inlineStr">
        <is>
          <t>Caminho</t>
        </is>
      </c>
      <c r="E45" s="20" t="n"/>
      <c r="F45" s="7" t="inlineStr">
        <is>
          <t>Papel</t>
        </is>
      </c>
      <c r="G45" s="20" t="n"/>
      <c r="H45" s="7" t="inlineStr">
        <is>
          <t>Ocupação</t>
        </is>
      </c>
      <c r="I45" s="20" t="n"/>
      <c r="J45" s="20" t="n"/>
      <c r="K45" s="7" t="inlineStr">
        <is>
          <t>Aviso</t>
        </is>
      </c>
      <c r="L45" s="20" t="n"/>
      <c r="AE45" s="19">
        <f>$AE$44+IF(AND(LEN($N$15)&gt;0,INDEX('Tabelas'!$X$472:$X$578,36)&amp;""=$N$15,LEN(INDEX('Tabelas'!$Y$472:$Y$578,36)&amp;"")&gt;0),1,0)</f>
        <v/>
      </c>
      <c r="AT45" s="19">
        <f>'Tabelas'!$AE$394&amp;""</f>
        <v/>
      </c>
    </row>
    <row r="46" ht="60" customHeight="1">
      <c r="A46" s="30" t="n"/>
      <c r="B46" s="3" t="n"/>
      <c r="C46" s="16" t="n"/>
      <c r="D46" s="3" t="n"/>
      <c r="E46" s="16" t="n"/>
      <c r="F46" s="3" t="n"/>
      <c r="G46" s="16" t="n"/>
      <c r="H46" s="3" t="n"/>
      <c r="I46" s="24" t="n"/>
      <c r="J46" s="16" t="n"/>
      <c r="K46" s="18">
        <f>IF(BF46&gt;0,"O Google leu como fórmula: escolha de novo ou digite com ' na frente.",IF(LEN($AV$46)=0,"",IF(COUNTIF($AG$10:$AG$39,$AV$46)&gt;1,"Nome repetido no elenco",IF(COUNTIF('Dados'!$B$92:$B$123,$AV$46)&gt;0,"Nome igual a uma criatura do Bestiário",""))))</f>
        <v/>
      </c>
      <c r="AE46" s="19">
        <f>$AE$45+IF(AND(LEN($N$15)&gt;0,INDEX('Tabelas'!$X$472:$X$578,37)&amp;""=$N$15,LEN(INDEX('Tabelas'!$Y$472:$Y$578,37)&amp;"")&gt;0),1,0)</f>
        <v/>
      </c>
      <c r="AT46" s="19">
        <f>'Tabelas'!$AE$395&amp;""</f>
        <v/>
      </c>
      <c r="AV46" s="19">
        <f>IF(ISERROR($A$46),"",IF(ISBLANK($A$46),"",$A$46))</f>
        <v/>
      </c>
      <c r="AW46" s="19">
        <f>IF(ISERROR($B$46),"",IF(ISBLANK($B$46),"",$B$46))</f>
        <v/>
      </c>
      <c r="AY46" s="19">
        <f>IF(ISERROR($D$46),"",IF(ISBLANK($D$46),"",$D$46))</f>
        <v/>
      </c>
      <c r="BA46" s="19">
        <f>IF(ISERROR($F$46),"",IF(ISBLANK($F$46),"",$F$46))</f>
        <v/>
      </c>
      <c r="BC46" s="19">
        <f>IF(ISERROR($H$46),"",IF(ISBLANK($H$46),"",$H$46))</f>
        <v/>
      </c>
      <c r="BF46" s="19">
        <f>ISERROR($A$46)*1+ISERROR($B$46)*1+ISERROR($D$46)*1+ISERROR($F$46)*1+ISERROR($H$46)*1</f>
        <v/>
      </c>
    </row>
    <row r="47" ht="60" customHeight="1">
      <c r="A47" s="31" t="n"/>
      <c r="B47" s="28" t="n"/>
      <c r="C47" s="16" t="n"/>
      <c r="D47" s="28" t="n"/>
      <c r="E47" s="16" t="n"/>
      <c r="F47" s="28" t="n"/>
      <c r="G47" s="16" t="n"/>
      <c r="H47" s="28" t="n"/>
      <c r="I47" s="24" t="n"/>
      <c r="J47" s="16" t="n"/>
      <c r="K47" s="26">
        <f>IF(BF47&gt;0,"O Google leu como fórmula: escolha de novo ou digite com ' na frente.",IF(LEN($AV$47)=0,"",IF(COUNTIF($AG$10:$AG$39,$AV$47)&gt;1,"Nome repetido no elenco",IF(COUNTIF('Dados'!$B$92:$B$123,$AV$47)&gt;0,"Nome igual a uma criatura do Bestiário",""))))</f>
        <v/>
      </c>
      <c r="AE47" s="19">
        <f>$AE$46+IF(AND(LEN($N$15)&gt;0,INDEX('Tabelas'!$X$472:$X$578,38)&amp;""=$N$15,LEN(INDEX('Tabelas'!$Y$472:$Y$578,38)&amp;"")&gt;0),1,0)</f>
        <v/>
      </c>
      <c r="AT47" s="19">
        <f>'Tabelas'!$AE$396&amp;""</f>
        <v/>
      </c>
      <c r="AV47" s="19">
        <f>IF(ISERROR($A$47),"",IF(ISBLANK($A$47),"",$A$47))</f>
        <v/>
      </c>
      <c r="AW47" s="19">
        <f>IF(ISERROR($B$47),"",IF(ISBLANK($B$47),"",$B$47))</f>
        <v/>
      </c>
      <c r="AY47" s="19">
        <f>IF(ISERROR($D$47),"",IF(ISBLANK($D$47),"",$D$47))</f>
        <v/>
      </c>
      <c r="BA47" s="19">
        <f>IF(ISERROR($F$47),"",IF(ISBLANK($F$47),"",$F$47))</f>
        <v/>
      </c>
      <c r="BC47" s="19">
        <f>IF(ISERROR($H$47),"",IF(ISBLANK($H$47),"",$H$47))</f>
        <v/>
      </c>
      <c r="BF47" s="19">
        <f>ISERROR($A$47)*1+ISERROR($B$47)*1+ISERROR($D$47)*1+ISERROR($F$47)*1+ISERROR($H$47)*1</f>
        <v/>
      </c>
    </row>
    <row r="48" ht="60" customHeight="1">
      <c r="A48" s="30" t="n"/>
      <c r="B48" s="3" t="n"/>
      <c r="C48" s="16" t="n"/>
      <c r="D48" s="3" t="n"/>
      <c r="E48" s="16" t="n"/>
      <c r="F48" s="3" t="n"/>
      <c r="G48" s="16" t="n"/>
      <c r="H48" s="3" t="n"/>
      <c r="I48" s="24" t="n"/>
      <c r="J48" s="16" t="n"/>
      <c r="K48" s="18">
        <f>IF(BF48&gt;0,"O Google leu como fórmula: escolha de novo ou digite com ' na frente.",IF(LEN($AV$48)=0,"",IF(COUNTIF($AG$10:$AG$39,$AV$48)&gt;1,"Nome repetido no elenco",IF(COUNTIF('Dados'!$B$92:$B$123,$AV$48)&gt;0,"Nome igual a uma criatura do Bestiário",""))))</f>
        <v/>
      </c>
      <c r="AE48" s="19">
        <f>$AE$47+IF(AND(LEN($N$15)&gt;0,INDEX('Tabelas'!$X$472:$X$578,39)&amp;""=$N$15,LEN(INDEX('Tabelas'!$Y$472:$Y$578,39)&amp;"")&gt;0),1,0)</f>
        <v/>
      </c>
      <c r="AT48" s="19">
        <f>'Tabelas'!$AE$397&amp;""</f>
        <v/>
      </c>
      <c r="AV48" s="19">
        <f>IF(ISERROR($A$48),"",IF(ISBLANK($A$48),"",$A$48))</f>
        <v/>
      </c>
      <c r="AW48" s="19">
        <f>IF(ISERROR($B$48),"",IF(ISBLANK($B$48),"",$B$48))</f>
        <v/>
      </c>
      <c r="AY48" s="19">
        <f>IF(ISERROR($D$48),"",IF(ISBLANK($D$48),"",$D$48))</f>
        <v/>
      </c>
      <c r="BA48" s="19">
        <f>IF(ISERROR($F$48),"",IF(ISBLANK($F$48),"",$F$48))</f>
        <v/>
      </c>
      <c r="BC48" s="19">
        <f>IF(ISERROR($H$48),"",IF(ISBLANK($H$48),"",$H$48))</f>
        <v/>
      </c>
      <c r="BF48" s="19">
        <f>ISERROR($A$48)*1+ISERROR($B$48)*1+ISERROR($D$48)*1+ISERROR($F$48)*1+ISERROR($H$48)*1</f>
        <v/>
      </c>
    </row>
    <row r="49" ht="71" customHeight="1">
      <c r="A49" s="31" t="n"/>
      <c r="B49" s="28" t="n"/>
      <c r="C49" s="16" t="n"/>
      <c r="D49" s="28" t="n"/>
      <c r="E49" s="16" t="n"/>
      <c r="F49" s="28" t="n"/>
      <c r="G49" s="16" t="n"/>
      <c r="H49" s="28" t="n"/>
      <c r="I49" s="24" t="n"/>
      <c r="J49" s="16" t="n"/>
      <c r="K49" s="26">
        <f>IF(BF49&gt;0,"O Google leu como fórmula: escolha de novo ou digite com ' na frente.",IF(LEN($AV$49)=0,"",IF(COUNTIF($AG$10:$AG$39,$AV$49)&gt;1,"Nome repetido no elenco",IF(COUNTIF('Dados'!$B$92:$B$123,$AV$49)&gt;0,"Nome igual a uma criatura do Bestiário",""))))</f>
        <v/>
      </c>
      <c r="AE49" s="19">
        <f>$AE$48+IF(AND(LEN($N$15)&gt;0,INDEX('Tabelas'!$X$472:$X$578,40)&amp;""=$N$15,LEN(INDEX('Tabelas'!$Y$472:$Y$578,40)&amp;"")&gt;0),1,0)</f>
        <v/>
      </c>
      <c r="AT49" s="19">
        <f>'Tabelas'!$AE$399&amp;""</f>
        <v/>
      </c>
      <c r="AV49" s="19">
        <f>IF(ISERROR($A$49),"",IF(ISBLANK($A$49),"",$A$49))</f>
        <v/>
      </c>
      <c r="AW49" s="19">
        <f>IF(ISERROR($B$49),"",IF(ISBLANK($B$49),"",$B$49))</f>
        <v/>
      </c>
      <c r="AY49" s="19">
        <f>IF(ISERROR($D$49),"",IF(ISBLANK($D$49),"",$D$49))</f>
        <v/>
      </c>
      <c r="BA49" s="19">
        <f>IF(ISERROR($F$49),"",IF(ISBLANK($F$49),"",$F$49))</f>
        <v/>
      </c>
      <c r="BC49" s="19">
        <f>IF(ISERROR($H$49),"",IF(ISBLANK($H$49),"",$H$49))</f>
        <v/>
      </c>
      <c r="BF49" s="19">
        <f>ISERROR($A$49)*1+ISERROR($B$49)*1+ISERROR($D$49)*1+ISERROR($F$49)*1+ISERROR($H$49)*1</f>
        <v/>
      </c>
    </row>
    <row r="50" ht="60" customHeight="1">
      <c r="A50" s="30" t="n"/>
      <c r="B50" s="3" t="n"/>
      <c r="C50" s="16" t="n"/>
      <c r="D50" s="3" t="n"/>
      <c r="E50" s="16" t="n"/>
      <c r="F50" s="3" t="n"/>
      <c r="G50" s="16" t="n"/>
      <c r="H50" s="3" t="n"/>
      <c r="I50" s="24" t="n"/>
      <c r="J50" s="16" t="n"/>
      <c r="K50" s="18">
        <f>IF(BF50&gt;0,"O Google leu como fórmula: escolha de novo ou digite com ' na frente.",IF(LEN($AV$50)=0,"",IF(COUNTIF($AG$10:$AG$39,$AV$50)&gt;1,"Nome repetido no elenco",IF(COUNTIF('Dados'!$B$92:$B$123,$AV$50)&gt;0,"Nome igual a uma criatura do Bestiário",""))))</f>
        <v/>
      </c>
      <c r="AE50" s="19">
        <f>$AE$49+IF(AND(LEN($N$15)&gt;0,INDEX('Tabelas'!$X$472:$X$578,41)&amp;""=$N$15,LEN(INDEX('Tabelas'!$Y$472:$Y$578,41)&amp;"")&gt;0),1,0)</f>
        <v/>
      </c>
      <c r="AT50" s="19">
        <f>'Tabelas'!$AE$400&amp;""</f>
        <v/>
      </c>
      <c r="AV50" s="19">
        <f>IF(ISERROR($A$50),"",IF(ISBLANK($A$50),"",$A$50))</f>
        <v/>
      </c>
      <c r="AW50" s="19">
        <f>IF(ISERROR($B$50),"",IF(ISBLANK($B$50),"",$B$50))</f>
        <v/>
      </c>
      <c r="AY50" s="19">
        <f>IF(ISERROR($D$50),"",IF(ISBLANK($D$50),"",$D$50))</f>
        <v/>
      </c>
      <c r="BA50" s="19">
        <f>IF(ISERROR($F$50),"",IF(ISBLANK($F$50),"",$F$50))</f>
        <v/>
      </c>
      <c r="BC50" s="19">
        <f>IF(ISERROR($H$50),"",IF(ISBLANK($H$50),"",$H$50))</f>
        <v/>
      </c>
      <c r="BF50" s="19">
        <f>ISERROR($A$50)*1+ISERROR($B$50)*1+ISERROR($D$50)*1+ISERROR($F$50)*1+ISERROR($H$50)*1</f>
        <v/>
      </c>
    </row>
    <row r="51" ht="60" customHeight="1">
      <c r="A51" s="31" t="n"/>
      <c r="B51" s="28" t="n"/>
      <c r="C51" s="16" t="n"/>
      <c r="D51" s="28" t="n"/>
      <c r="E51" s="16" t="n"/>
      <c r="F51" s="28" t="n"/>
      <c r="G51" s="16" t="n"/>
      <c r="H51" s="28" t="n"/>
      <c r="I51" s="24" t="n"/>
      <c r="J51" s="16" t="n"/>
      <c r="K51" s="26">
        <f>IF(BF51&gt;0,"O Google leu como fórmula: escolha de novo ou digite com ' na frente.",IF(LEN($AV$51)=0,"",IF(COUNTIF($AG$10:$AG$39,$AV$51)&gt;1,"Nome repetido no elenco",IF(COUNTIF('Dados'!$B$92:$B$123,$AV$51)&gt;0,"Nome igual a uma criatura do Bestiário",""))))</f>
        <v/>
      </c>
      <c r="AE51" s="19">
        <f>$AE$50</f>
        <v/>
      </c>
      <c r="AT51" s="19">
        <f>'Tabelas'!$AE$401&amp;""</f>
        <v/>
      </c>
      <c r="AV51" s="19">
        <f>IF(ISERROR($A$51),"",IF(ISBLANK($A$51),"",$A$51))</f>
        <v/>
      </c>
      <c r="AW51" s="19">
        <f>IF(ISERROR($B$51),"",IF(ISBLANK($B$51),"",$B$51))</f>
        <v/>
      </c>
      <c r="AY51" s="19">
        <f>IF(ISERROR($D$51),"",IF(ISBLANK($D$51),"",$D$51))</f>
        <v/>
      </c>
      <c r="BA51" s="19">
        <f>IF(ISERROR($F$51),"",IF(ISBLANK($F$51),"",$F$51))</f>
        <v/>
      </c>
      <c r="BC51" s="19">
        <f>IF(ISERROR($H$51),"",IF(ISBLANK($H$51),"",$H$51))</f>
        <v/>
      </c>
      <c r="BF51" s="19">
        <f>ISERROR($A$51)*1+ISERROR($B$51)*1+ISERROR($D$51)*1+ISERROR($F$51)*1+ISERROR($H$51)*1</f>
        <v/>
      </c>
    </row>
    <row r="52" ht="60" customHeight="1">
      <c r="A52" s="30" t="n"/>
      <c r="B52" s="3" t="n"/>
      <c r="C52" s="16" t="n"/>
      <c r="D52" s="3" t="n"/>
      <c r="E52" s="16" t="n"/>
      <c r="F52" s="3" t="n"/>
      <c r="G52" s="16" t="n"/>
      <c r="H52" s="3" t="n"/>
      <c r="I52" s="24" t="n"/>
      <c r="J52" s="16" t="n"/>
      <c r="K52" s="18">
        <f>IF(BF52&gt;0,"O Google leu como fórmula: escolha de novo ou digite com ' na frente.",IF(LEN($AV$52)=0,"",IF(COUNTIF($AG$10:$AG$39,$AV$52)&gt;1,"Nome repetido no elenco",IF(COUNTIF('Dados'!$B$92:$B$123,$AV$52)&gt;0,"Nome igual a uma criatura do Bestiário",""))))</f>
        <v/>
      </c>
      <c r="AE52" s="19">
        <f>$AE$51+IF(AND(LEN($N$15)&gt;0,INDEX('Tabelas'!$X$472:$X$578,43)&amp;""=$N$15,LEN(INDEX('Tabelas'!$Y$472:$Y$578,43)&amp;"")&gt;0),1,0)</f>
        <v/>
      </c>
      <c r="AT52" s="19">
        <f>'Tabelas'!$AE$402&amp;""</f>
        <v/>
      </c>
      <c r="AV52" s="19">
        <f>IF(ISERROR($A$52),"",IF(ISBLANK($A$52),"",$A$52))</f>
        <v/>
      </c>
      <c r="AW52" s="19">
        <f>IF(ISERROR($B$52),"",IF(ISBLANK($B$52),"",$B$52))</f>
        <v/>
      </c>
      <c r="AY52" s="19">
        <f>IF(ISERROR($D$52),"",IF(ISBLANK($D$52),"",$D$52))</f>
        <v/>
      </c>
      <c r="BA52" s="19">
        <f>IF(ISERROR($F$52),"",IF(ISBLANK($F$52),"",$F$52))</f>
        <v/>
      </c>
      <c r="BC52" s="19">
        <f>IF(ISERROR($H$52),"",IF(ISBLANK($H$52),"",$H$52))</f>
        <v/>
      </c>
      <c r="BF52" s="19">
        <f>ISERROR($A$52)*1+ISERROR($B$52)*1+ISERROR($D$52)*1+ISERROR($F$52)*1+ISERROR($H$52)*1</f>
        <v/>
      </c>
    </row>
    <row r="53" ht="60" customHeight="1">
      <c r="A53" s="31" t="n"/>
      <c r="B53" s="28" t="n"/>
      <c r="C53" s="16" t="n"/>
      <c r="D53" s="28" t="n"/>
      <c r="E53" s="16" t="n"/>
      <c r="F53" s="28" t="n"/>
      <c r="G53" s="16" t="n"/>
      <c r="H53" s="28" t="n"/>
      <c r="I53" s="24" t="n"/>
      <c r="J53" s="16" t="n"/>
      <c r="K53" s="26">
        <f>IF(BF53&gt;0,"O Google leu como fórmula: escolha de novo ou digite com ' na frente.",IF(LEN($AV$53)=0,"",IF(COUNTIF($AG$10:$AG$39,$AV$53)&gt;1,"Nome repetido no elenco",IF(COUNTIF('Dados'!$B$92:$B$123,$AV$53)&gt;0,"Nome igual a uma criatura do Bestiário",""))))</f>
        <v/>
      </c>
      <c r="AE53" s="19">
        <f>$AE$52+IF(AND(LEN($N$15)&gt;0,INDEX('Tabelas'!$X$472:$X$578,44)&amp;""=$N$15,LEN(INDEX('Tabelas'!$Y$472:$Y$578,44)&amp;"")&gt;0),1,0)</f>
        <v/>
      </c>
      <c r="AT53" s="19">
        <f>'Tabelas'!$AE$403&amp;""</f>
        <v/>
      </c>
      <c r="AV53" s="19">
        <f>IF(ISERROR($A$53),"",IF(ISBLANK($A$53),"",$A$53))</f>
        <v/>
      </c>
      <c r="AW53" s="19">
        <f>IF(ISERROR($B$53),"",IF(ISBLANK($B$53),"",$B$53))</f>
        <v/>
      </c>
      <c r="AY53" s="19">
        <f>IF(ISERROR($D$53),"",IF(ISBLANK($D$53),"",$D$53))</f>
        <v/>
      </c>
      <c r="BA53" s="19">
        <f>IF(ISERROR($F$53),"",IF(ISBLANK($F$53),"",$F$53))</f>
        <v/>
      </c>
      <c r="BC53" s="19">
        <f>IF(ISERROR($H$53),"",IF(ISBLANK($H$53),"",$H$53))</f>
        <v/>
      </c>
      <c r="BF53" s="19">
        <f>ISERROR($A$53)*1+ISERROR($B$53)*1+ISERROR($D$53)*1+ISERROR($F$53)*1+ISERROR($H$53)*1</f>
        <v/>
      </c>
    </row>
    <row r="54" ht="60" customHeight="1">
      <c r="A54" s="30" t="n"/>
      <c r="B54" s="3" t="n"/>
      <c r="C54" s="16" t="n"/>
      <c r="D54" s="3" t="n"/>
      <c r="E54" s="16" t="n"/>
      <c r="F54" s="3" t="n"/>
      <c r="G54" s="16" t="n"/>
      <c r="H54" s="3" t="n"/>
      <c r="I54" s="24" t="n"/>
      <c r="J54" s="16" t="n"/>
      <c r="K54" s="18">
        <f>IF(BF54&gt;0,"O Google leu como fórmula: escolha de novo ou digite com ' na frente.",IF(LEN($AV$54)=0,"",IF(COUNTIF($AG$10:$AG$39,$AV$54)&gt;1,"Nome repetido no elenco",IF(COUNTIF('Dados'!$B$92:$B$123,$AV$54)&gt;0,"Nome igual a uma criatura do Bestiário",""))))</f>
        <v/>
      </c>
      <c r="AE54" s="19">
        <f>$AE$53+IF(AND(LEN($N$15)&gt;0,INDEX('Tabelas'!$X$472:$X$578,45)&amp;""=$N$15,LEN(INDEX('Tabelas'!$Y$472:$Y$578,45)&amp;"")&gt;0),1,0)</f>
        <v/>
      </c>
      <c r="AT54" s="19">
        <f>'Tabelas'!$AE$404&amp;""</f>
        <v/>
      </c>
      <c r="AV54" s="19">
        <f>IF(ISERROR($A$54),"",IF(ISBLANK($A$54),"",$A$54))</f>
        <v/>
      </c>
      <c r="AW54" s="19">
        <f>IF(ISERROR($B$54),"",IF(ISBLANK($B$54),"",$B$54))</f>
        <v/>
      </c>
      <c r="AY54" s="19">
        <f>IF(ISERROR($D$54),"",IF(ISBLANK($D$54),"",$D$54))</f>
        <v/>
      </c>
      <c r="BA54" s="19">
        <f>IF(ISERROR($F$54),"",IF(ISBLANK($F$54),"",$F$54))</f>
        <v/>
      </c>
      <c r="BC54" s="19">
        <f>IF(ISERROR($H$54),"",IF(ISBLANK($H$54),"",$H$54))</f>
        <v/>
      </c>
      <c r="BF54" s="19">
        <f>ISERROR($A$54)*1+ISERROR($B$54)*1+ISERROR($D$54)*1+ISERROR($F$54)*1+ISERROR($H$54)*1</f>
        <v/>
      </c>
    </row>
    <row r="55" ht="60" customHeight="1">
      <c r="A55" s="31" t="n"/>
      <c r="B55" s="28" t="n"/>
      <c r="C55" s="16" t="n"/>
      <c r="D55" s="28" t="n"/>
      <c r="E55" s="16" t="n"/>
      <c r="F55" s="28" t="n"/>
      <c r="G55" s="16" t="n"/>
      <c r="H55" s="28" t="n"/>
      <c r="I55" s="24" t="n"/>
      <c r="J55" s="16" t="n"/>
      <c r="K55" s="26">
        <f>IF(BF55&gt;0,"O Google leu como fórmula: escolha de novo ou digite com ' na frente.",IF(LEN($AV$55)=0,"",IF(COUNTIF($AG$10:$AG$39,$AV$55)&gt;1,"Nome repetido no elenco",IF(COUNTIF('Dados'!$B$92:$B$123,$AV$55)&gt;0,"Nome igual a uma criatura do Bestiário",""))))</f>
        <v/>
      </c>
      <c r="AE55" s="19">
        <f>$AE$54+IF(AND(LEN($N$15)&gt;0,INDEX('Tabelas'!$X$472:$X$578,46)&amp;""=$N$15,LEN(INDEX('Tabelas'!$Y$472:$Y$578,46)&amp;"")&gt;0),1,0)</f>
        <v/>
      </c>
      <c r="AT55" s="19">
        <f>'Tabelas'!$AE$405&amp;""</f>
        <v/>
      </c>
      <c r="AV55" s="19">
        <f>IF(ISERROR($A$55),"",IF(ISBLANK($A$55),"",$A$55))</f>
        <v/>
      </c>
      <c r="AW55" s="19">
        <f>IF(ISERROR($B$55),"",IF(ISBLANK($B$55),"",$B$55))</f>
        <v/>
      </c>
      <c r="AY55" s="19">
        <f>IF(ISERROR($D$55),"",IF(ISBLANK($D$55),"",$D$55))</f>
        <v/>
      </c>
      <c r="BA55" s="19">
        <f>IF(ISERROR($F$55),"",IF(ISBLANK($F$55),"",$F$55))</f>
        <v/>
      </c>
      <c r="BC55" s="19">
        <f>IF(ISERROR($H$55),"",IF(ISBLANK($H$55),"",$H$55))</f>
        <v/>
      </c>
      <c r="BF55" s="19">
        <f>ISERROR($A$55)*1+ISERROR($B$55)*1+ISERROR($D$55)*1+ISERROR($F$55)*1+ISERROR($H$55)*1</f>
        <v/>
      </c>
    </row>
    <row r="56">
      <c r="A56" s="7" t="inlineStr">
        <is>
          <t>Nome completo</t>
        </is>
      </c>
      <c r="B56" s="7" t="inlineStr">
        <is>
          <t>Raça</t>
        </is>
      </c>
      <c r="C56" s="20" t="n"/>
      <c r="D56" s="7" t="inlineStr">
        <is>
          <t>Caminho</t>
        </is>
      </c>
      <c r="E56" s="20" t="n"/>
      <c r="F56" s="7" t="inlineStr">
        <is>
          <t>Papel</t>
        </is>
      </c>
      <c r="G56" s="20" t="n"/>
      <c r="H56" s="7" t="inlineStr">
        <is>
          <t>Ocupação</t>
        </is>
      </c>
      <c r="I56" s="20" t="n"/>
      <c r="J56" s="20" t="n"/>
      <c r="K56" s="7" t="inlineStr">
        <is>
          <t>Aviso</t>
        </is>
      </c>
      <c r="L56" s="20" t="n"/>
      <c r="AE56" s="19">
        <f>$AE$55+IF(AND(LEN($N$15)&gt;0,INDEX('Tabelas'!$X$472:$X$578,47)&amp;""=$N$15,LEN(INDEX('Tabelas'!$Y$472:$Y$578,47)&amp;"")&gt;0),1,0)</f>
        <v/>
      </c>
      <c r="AT56" s="19">
        <f>'Tabelas'!$AE$406&amp;""</f>
        <v/>
      </c>
    </row>
    <row r="57" ht="60" customHeight="1">
      <c r="A57" s="30" t="n"/>
      <c r="B57" s="3" t="n"/>
      <c r="C57" s="16" t="n"/>
      <c r="D57" s="3" t="n"/>
      <c r="E57" s="16" t="n"/>
      <c r="F57" s="3" t="n"/>
      <c r="G57" s="16" t="n"/>
      <c r="H57" s="3" t="n"/>
      <c r="I57" s="24" t="n"/>
      <c r="J57" s="16" t="n"/>
      <c r="K57" s="18">
        <f>IF(BF57&gt;0,"O Google leu como fórmula: escolha de novo ou digite com ' na frente.",IF(LEN($AV$57)=0,"",IF(COUNTIF($AG$10:$AG$39,$AV$57)&gt;1,"Nome repetido no elenco",IF(COUNTIF('Dados'!$B$92:$B$123,$AV$57)&gt;0,"Nome igual a uma criatura do Bestiário",""))))</f>
        <v/>
      </c>
      <c r="AE57" s="19">
        <f>$AE$56+IF(AND(LEN($N$15)&gt;0,INDEX('Tabelas'!$X$472:$X$578,48)&amp;""=$N$15,LEN(INDEX('Tabelas'!$Y$472:$Y$578,48)&amp;"")&gt;0),1,0)</f>
        <v/>
      </c>
      <c r="AT57" s="19">
        <f>'Tabelas'!$AE$407&amp;""</f>
        <v/>
      </c>
      <c r="AV57" s="19">
        <f>IF(ISERROR($A$57),"",IF(ISBLANK($A$57),"",$A$57))</f>
        <v/>
      </c>
      <c r="AW57" s="19">
        <f>IF(ISERROR($B$57),"",IF(ISBLANK($B$57),"",$B$57))</f>
        <v/>
      </c>
      <c r="AY57" s="19">
        <f>IF(ISERROR($D$57),"",IF(ISBLANK($D$57),"",$D$57))</f>
        <v/>
      </c>
      <c r="BA57" s="19">
        <f>IF(ISERROR($F$57),"",IF(ISBLANK($F$57),"",$F$57))</f>
        <v/>
      </c>
      <c r="BC57" s="19">
        <f>IF(ISERROR($H$57),"",IF(ISBLANK($H$57),"",$H$57))</f>
        <v/>
      </c>
      <c r="BF57" s="19">
        <f>ISERROR($A$57)*1+ISERROR($B$57)*1+ISERROR($D$57)*1+ISERROR($F$57)*1+ISERROR($H$57)*1</f>
        <v/>
      </c>
    </row>
    <row r="58" ht="60" customHeight="1">
      <c r="A58" s="31" t="n"/>
      <c r="B58" s="28" t="n"/>
      <c r="C58" s="16" t="n"/>
      <c r="D58" s="28" t="n"/>
      <c r="E58" s="16" t="n"/>
      <c r="F58" s="28" t="n"/>
      <c r="G58" s="16" t="n"/>
      <c r="H58" s="28" t="n"/>
      <c r="I58" s="24" t="n"/>
      <c r="J58" s="16" t="n"/>
      <c r="K58" s="26">
        <f>IF(BF58&gt;0,"O Google leu como fórmula: escolha de novo ou digite com ' na frente.",IF(LEN($AV$58)=0,"",IF(COUNTIF($AG$10:$AG$39,$AV$58)&gt;1,"Nome repetido no elenco",IF(COUNTIF('Dados'!$B$92:$B$123,$AV$58)&gt;0,"Nome igual a uma criatura do Bestiário",""))))</f>
        <v/>
      </c>
      <c r="AE58" s="19">
        <f>$AE$57+IF(AND(LEN($N$15)&gt;0,INDEX('Tabelas'!$X$472:$X$578,49)&amp;""=$N$15,LEN(INDEX('Tabelas'!$Y$472:$Y$578,49)&amp;"")&gt;0),1,0)</f>
        <v/>
      </c>
      <c r="AT58" s="19">
        <f>'Tabelas'!$AE$408&amp;""</f>
        <v/>
      </c>
      <c r="AV58" s="19">
        <f>IF(ISERROR($A$58),"",IF(ISBLANK($A$58),"",$A$58))</f>
        <v/>
      </c>
      <c r="AW58" s="19">
        <f>IF(ISERROR($B$58),"",IF(ISBLANK($B$58),"",$B$58))</f>
        <v/>
      </c>
      <c r="AY58" s="19">
        <f>IF(ISERROR($D$58),"",IF(ISBLANK($D$58),"",$D$58))</f>
        <v/>
      </c>
      <c r="BA58" s="19">
        <f>IF(ISERROR($F$58),"",IF(ISBLANK($F$58),"",$F$58))</f>
        <v/>
      </c>
      <c r="BC58" s="19">
        <f>IF(ISERROR($H$58),"",IF(ISBLANK($H$58),"",$H$58))</f>
        <v/>
      </c>
      <c r="BF58" s="19">
        <f>ISERROR($A$58)*1+ISERROR($B$58)*1+ISERROR($D$58)*1+ISERROR($F$58)*1+ISERROR($H$58)*1</f>
        <v/>
      </c>
    </row>
    <row r="59" ht="60" customHeight="1">
      <c r="A59" s="30" t="n"/>
      <c r="B59" s="3" t="n"/>
      <c r="C59" s="16" t="n"/>
      <c r="D59" s="3" t="n"/>
      <c r="E59" s="16" t="n"/>
      <c r="F59" s="3" t="n"/>
      <c r="G59" s="16" t="n"/>
      <c r="H59" s="3" t="n"/>
      <c r="I59" s="24" t="n"/>
      <c r="J59" s="16" t="n"/>
      <c r="K59" s="18">
        <f>IF(BF59&gt;0,"O Google leu como fórmula: escolha de novo ou digite com ' na frente.",IF(LEN($AV$59)=0,"",IF(COUNTIF($AG$10:$AG$39,$AV$59)&gt;1,"Nome repetido no elenco",IF(COUNTIF('Dados'!$B$92:$B$123,$AV$59)&gt;0,"Nome igual a uma criatura do Bestiário",""))))</f>
        <v/>
      </c>
      <c r="AE59" s="19">
        <f>$AE$58+IF(AND(LEN($N$15)&gt;0,INDEX('Tabelas'!$X$472:$X$578,50)&amp;""=$N$15,LEN(INDEX('Tabelas'!$Y$472:$Y$578,50)&amp;"")&gt;0),1,0)</f>
        <v/>
      </c>
      <c r="AT59" s="19">
        <f>'Tabelas'!$AE$409&amp;""</f>
        <v/>
      </c>
      <c r="AV59" s="19">
        <f>IF(ISERROR($A$59),"",IF(ISBLANK($A$59),"",$A$59))</f>
        <v/>
      </c>
      <c r="AW59" s="19">
        <f>IF(ISERROR($B$59),"",IF(ISBLANK($B$59),"",$B$59))</f>
        <v/>
      </c>
      <c r="AY59" s="19">
        <f>IF(ISERROR($D$59),"",IF(ISBLANK($D$59),"",$D$59))</f>
        <v/>
      </c>
      <c r="BA59" s="19">
        <f>IF(ISERROR($F$59),"",IF(ISBLANK($F$59),"",$F$59))</f>
        <v/>
      </c>
      <c r="BC59" s="19">
        <f>IF(ISERROR($H$59),"",IF(ISBLANK($H$59),"",$H$59))</f>
        <v/>
      </c>
      <c r="BF59" s="19">
        <f>ISERROR($A$59)*1+ISERROR($B$59)*1+ISERROR($D$59)*1+ISERROR($F$59)*1+ISERROR($H$59)*1</f>
        <v/>
      </c>
    </row>
    <row r="60" ht="60" customHeight="1">
      <c r="A60" s="31" t="n"/>
      <c r="B60" s="28" t="n"/>
      <c r="C60" s="16" t="n"/>
      <c r="D60" s="28" t="n"/>
      <c r="E60" s="16" t="n"/>
      <c r="F60" s="28" t="n"/>
      <c r="G60" s="16" t="n"/>
      <c r="H60" s="28" t="n"/>
      <c r="I60" s="24" t="n"/>
      <c r="J60" s="16" t="n"/>
      <c r="K60" s="26">
        <f>IF(BF60&gt;0,"O Google leu como fórmula: escolha de novo ou digite com ' na frente.",IF(LEN($AV$60)=0,"",IF(COUNTIF($AG$10:$AG$39,$AV$60)&gt;1,"Nome repetido no elenco",IF(COUNTIF('Dados'!$B$92:$B$123,$AV$60)&gt;0,"Nome igual a uma criatura do Bestiário",""))))</f>
        <v/>
      </c>
      <c r="AE60" s="19">
        <f>$AE$59+IF(AND(LEN($N$15)&gt;0,INDEX('Tabelas'!$X$472:$X$578,51)&amp;""=$N$15,LEN(INDEX('Tabelas'!$Y$472:$Y$578,51)&amp;"")&gt;0),1,0)</f>
        <v/>
      </c>
      <c r="AT60" s="19">
        <f>'Tabelas'!$AE$410&amp;""</f>
        <v/>
      </c>
      <c r="AV60" s="19">
        <f>IF(ISERROR($A$60),"",IF(ISBLANK($A$60),"",$A$60))</f>
        <v/>
      </c>
      <c r="AW60" s="19">
        <f>IF(ISERROR($B$60),"",IF(ISBLANK($B$60),"",$B$60))</f>
        <v/>
      </c>
      <c r="AY60" s="19">
        <f>IF(ISERROR($D$60),"",IF(ISBLANK($D$60),"",$D$60))</f>
        <v/>
      </c>
      <c r="BA60" s="19">
        <f>IF(ISERROR($F$60),"",IF(ISBLANK($F$60),"",$F$60))</f>
        <v/>
      </c>
      <c r="BC60" s="19">
        <f>IF(ISERROR($H$60),"",IF(ISBLANK($H$60),"",$H$60))</f>
        <v/>
      </c>
      <c r="BF60" s="19">
        <f>ISERROR($A$60)*1+ISERROR($B$60)*1+ISERROR($D$60)*1+ISERROR($F$60)*1+ISERROR($H$60)*1</f>
        <v/>
      </c>
    </row>
    <row r="61" ht="60" customHeight="1">
      <c r="A61" s="30" t="n"/>
      <c r="B61" s="3" t="n"/>
      <c r="C61" s="16" t="n"/>
      <c r="D61" s="3" t="n"/>
      <c r="E61" s="16" t="n"/>
      <c r="F61" s="3" t="n"/>
      <c r="G61" s="16" t="n"/>
      <c r="H61" s="3" t="n"/>
      <c r="I61" s="24" t="n"/>
      <c r="J61" s="16" t="n"/>
      <c r="K61" s="18">
        <f>IF(BF61&gt;0,"O Google leu como fórmula: escolha de novo ou digite com ' na frente.",IF(LEN($AV$61)=0,"",IF(COUNTIF($AG$10:$AG$39,$AV$61)&gt;1,"Nome repetido no elenco",IF(COUNTIF('Dados'!$B$92:$B$123,$AV$61)&gt;0,"Nome igual a uma criatura do Bestiário",""))))</f>
        <v/>
      </c>
      <c r="AE61" s="19">
        <f>$AE$60+IF(AND(LEN($N$15)&gt;0,INDEX('Tabelas'!$X$472:$X$578,52)&amp;""=$N$15,LEN(INDEX('Tabelas'!$Y$472:$Y$578,52)&amp;"")&gt;0),1,0)</f>
        <v/>
      </c>
      <c r="AT61" s="19">
        <f>'Tabelas'!$AE$411&amp;""</f>
        <v/>
      </c>
      <c r="AV61" s="19">
        <f>IF(ISERROR($A$61),"",IF(ISBLANK($A$61),"",$A$61))</f>
        <v/>
      </c>
      <c r="AW61" s="19">
        <f>IF(ISERROR($B$61),"",IF(ISBLANK($B$61),"",$B$61))</f>
        <v/>
      </c>
      <c r="AY61" s="19">
        <f>IF(ISERROR($D$61),"",IF(ISBLANK($D$61),"",$D$61))</f>
        <v/>
      </c>
      <c r="BA61" s="19">
        <f>IF(ISERROR($F$61),"",IF(ISBLANK($F$61),"",$F$61))</f>
        <v/>
      </c>
      <c r="BC61" s="19">
        <f>IF(ISERROR($H$61),"",IF(ISBLANK($H$61),"",$H$61))</f>
        <v/>
      </c>
      <c r="BF61" s="19">
        <f>ISERROR($A$61)*1+ISERROR($B$61)*1+ISERROR($D$61)*1+ISERROR($F$61)*1+ISERROR($H$61)*1</f>
        <v/>
      </c>
    </row>
    <row r="62" ht="60" customHeight="1">
      <c r="A62" s="31" t="n"/>
      <c r="B62" s="28" t="n"/>
      <c r="C62" s="16" t="n"/>
      <c r="D62" s="28" t="n"/>
      <c r="E62" s="16" t="n"/>
      <c r="F62" s="28" t="n"/>
      <c r="G62" s="16" t="n"/>
      <c r="H62" s="28" t="n"/>
      <c r="I62" s="24" t="n"/>
      <c r="J62" s="16" t="n"/>
      <c r="K62" s="26">
        <f>IF(BF62&gt;0,"O Google leu como fórmula: escolha de novo ou digite com ' na frente.",IF(LEN($AV$62)=0,"",IF(COUNTIF($AG$10:$AG$39,$AV$62)&gt;1,"Nome repetido no elenco",IF(COUNTIF('Dados'!$B$92:$B$123,$AV$62)&gt;0,"Nome igual a uma criatura do Bestiário",""))))</f>
        <v/>
      </c>
      <c r="AE62" s="19">
        <f>$AE$61+IF(AND(LEN($N$15)&gt;0,INDEX('Tabelas'!$X$472:$X$578,53)&amp;""=$N$15,LEN(INDEX('Tabelas'!$Y$472:$Y$578,53)&amp;"")&gt;0),1,0)</f>
        <v/>
      </c>
      <c r="AT62" s="19">
        <f>'Tabelas'!$AE$413&amp;""</f>
        <v/>
      </c>
      <c r="AV62" s="19">
        <f>IF(ISERROR($A$62),"",IF(ISBLANK($A$62),"",$A$62))</f>
        <v/>
      </c>
      <c r="AW62" s="19">
        <f>IF(ISERROR($B$62),"",IF(ISBLANK($B$62),"",$B$62))</f>
        <v/>
      </c>
      <c r="AY62" s="19">
        <f>IF(ISERROR($D$62),"",IF(ISBLANK($D$62),"",$D$62))</f>
        <v/>
      </c>
      <c r="BA62" s="19">
        <f>IF(ISERROR($F$62),"",IF(ISBLANK($F$62),"",$F$62))</f>
        <v/>
      </c>
      <c r="BC62" s="19">
        <f>IF(ISERROR($H$62),"",IF(ISBLANK($H$62),"",$H$62))</f>
        <v/>
      </c>
      <c r="BF62" s="19">
        <f>ISERROR($A$62)*1+ISERROR($B$62)*1+ISERROR($D$62)*1+ISERROR($F$62)*1+ISERROR($H$62)*1</f>
        <v/>
      </c>
    </row>
    <row r="63" ht="60" customHeight="1">
      <c r="A63" s="30" t="n"/>
      <c r="B63" s="3" t="n"/>
      <c r="C63" s="16" t="n"/>
      <c r="D63" s="3" t="n"/>
      <c r="E63" s="16" t="n"/>
      <c r="F63" s="3" t="n"/>
      <c r="G63" s="16" t="n"/>
      <c r="H63" s="3" t="n"/>
      <c r="I63" s="24" t="n"/>
      <c r="J63" s="16" t="n"/>
      <c r="K63" s="18">
        <f>IF(BF63&gt;0,"O Google leu como fórmula: escolha de novo ou digite com ' na frente.",IF(LEN($AV$63)=0,"",IF(COUNTIF($AG$10:$AG$39,$AV$63)&gt;1,"Nome repetido no elenco",IF(COUNTIF('Dados'!$B$92:$B$123,$AV$63)&gt;0,"Nome igual a uma criatura do Bestiário",""))))</f>
        <v/>
      </c>
      <c r="AE63" s="19">
        <f>$AE$62+IF(AND(LEN($N$15)&gt;0,INDEX('Tabelas'!$X$472:$X$578,54)&amp;""=$N$15,LEN(INDEX('Tabelas'!$Y$472:$Y$578,54)&amp;"")&gt;0),1,0)</f>
        <v/>
      </c>
      <c r="AT63" s="19">
        <f>'Tabelas'!$AE$414&amp;""</f>
        <v/>
      </c>
      <c r="AV63" s="19">
        <f>IF(ISERROR($A$63),"",IF(ISBLANK($A$63),"",$A$63))</f>
        <v/>
      </c>
      <c r="AW63" s="19">
        <f>IF(ISERROR($B$63),"",IF(ISBLANK($B$63),"",$B$63))</f>
        <v/>
      </c>
      <c r="AY63" s="19">
        <f>IF(ISERROR($D$63),"",IF(ISBLANK($D$63),"",$D$63))</f>
        <v/>
      </c>
      <c r="BA63" s="19">
        <f>IF(ISERROR($F$63),"",IF(ISBLANK($F$63),"",$F$63))</f>
        <v/>
      </c>
      <c r="BC63" s="19">
        <f>IF(ISERROR($H$63),"",IF(ISBLANK($H$63),"",$H$63))</f>
        <v/>
      </c>
      <c r="BF63" s="19">
        <f>ISERROR($A$63)*1+ISERROR($B$63)*1+ISERROR($D$63)*1+ISERROR($F$63)*1+ISERROR($H$63)*1</f>
        <v/>
      </c>
    </row>
    <row r="64" ht="60" customHeight="1">
      <c r="A64" s="31" t="n"/>
      <c r="B64" s="28" t="n"/>
      <c r="C64" s="16" t="n"/>
      <c r="D64" s="28" t="n"/>
      <c r="E64" s="16" t="n"/>
      <c r="F64" s="28" t="n"/>
      <c r="G64" s="16" t="n"/>
      <c r="H64" s="28" t="n"/>
      <c r="I64" s="24" t="n"/>
      <c r="J64" s="16" t="n"/>
      <c r="K64" s="26">
        <f>IF(BF64&gt;0,"O Google leu como fórmula: escolha de novo ou digite com ' na frente.",IF(LEN($AV$64)=0,"",IF(COUNTIF($AG$10:$AG$39,$AV$64)&gt;1,"Nome repetido no elenco",IF(COUNTIF('Dados'!$B$92:$B$123,$AV$64)&gt;0,"Nome igual a uma criatura do Bestiário",""))))</f>
        <v/>
      </c>
      <c r="AE64" s="19">
        <f>$AE$63+IF(AND(LEN($N$15)&gt;0,INDEX('Tabelas'!$X$472:$X$578,55)&amp;""=$N$15,LEN(INDEX('Tabelas'!$Y$472:$Y$578,55)&amp;"")&gt;0),1,0)</f>
        <v/>
      </c>
      <c r="AT64" s="19">
        <f>'Tabelas'!$AE$415&amp;""</f>
        <v/>
      </c>
      <c r="AV64" s="19">
        <f>IF(ISERROR($A$64),"",IF(ISBLANK($A$64),"",$A$64))</f>
        <v/>
      </c>
      <c r="AW64" s="19">
        <f>IF(ISERROR($B$64),"",IF(ISBLANK($B$64),"",$B$64))</f>
        <v/>
      </c>
      <c r="AY64" s="19">
        <f>IF(ISERROR($D$64),"",IF(ISBLANK($D$64),"",$D$64))</f>
        <v/>
      </c>
      <c r="BA64" s="19">
        <f>IF(ISERROR($F$64),"",IF(ISBLANK($F$64),"",$F$64))</f>
        <v/>
      </c>
      <c r="BC64" s="19">
        <f>IF(ISERROR($H$64),"",IF(ISBLANK($H$64),"",$H$64))</f>
        <v/>
      </c>
      <c r="BF64" s="19">
        <f>ISERROR($A$64)*1+ISERROR($B$64)*1+ISERROR($D$64)*1+ISERROR($F$64)*1+ISERROR($H$64)*1</f>
        <v/>
      </c>
    </row>
    <row r="65" ht="60" customHeight="1">
      <c r="A65" s="30" t="n"/>
      <c r="B65" s="3" t="n"/>
      <c r="C65" s="16" t="n"/>
      <c r="D65" s="3" t="n"/>
      <c r="E65" s="16" t="n"/>
      <c r="F65" s="3" t="n"/>
      <c r="G65" s="16" t="n"/>
      <c r="H65" s="3" t="n"/>
      <c r="I65" s="24" t="n"/>
      <c r="J65" s="16" t="n"/>
      <c r="K65" s="18">
        <f>IF(BF65&gt;0,"O Google leu como fórmula: escolha de novo ou digite com ' na frente.",IF(LEN($AV$65)=0,"",IF(COUNTIF($AG$10:$AG$39,$AV$65)&gt;1,"Nome repetido no elenco",IF(COUNTIF('Dados'!$B$92:$B$123,$AV$65)&gt;0,"Nome igual a uma criatura do Bestiário",""))))</f>
        <v/>
      </c>
      <c r="AE65" s="19">
        <f>$AE$64</f>
        <v/>
      </c>
      <c r="AT65" s="19">
        <f>'Tabelas'!$AE$416&amp;""</f>
        <v/>
      </c>
      <c r="AV65" s="19">
        <f>IF(ISERROR($A$65),"",IF(ISBLANK($A$65),"",$A$65))</f>
        <v/>
      </c>
      <c r="AW65" s="19">
        <f>IF(ISERROR($B$65),"",IF(ISBLANK($B$65),"",$B$65))</f>
        <v/>
      </c>
      <c r="AY65" s="19">
        <f>IF(ISERROR($D$65),"",IF(ISBLANK($D$65),"",$D$65))</f>
        <v/>
      </c>
      <c r="BA65" s="19">
        <f>IF(ISERROR($F$65),"",IF(ISBLANK($F$65),"",$F$65))</f>
        <v/>
      </c>
      <c r="BC65" s="19">
        <f>IF(ISERROR($H$65),"",IF(ISBLANK($H$65),"",$H$65))</f>
        <v/>
      </c>
      <c r="BF65" s="19">
        <f>ISERROR($A$65)*1+ISERROR($B$65)*1+ISERROR($D$65)*1+ISERROR($F$65)*1+ISERROR($H$65)*1</f>
        <v/>
      </c>
    </row>
    <row r="66" ht="60" customHeight="1">
      <c r="A66" s="31" t="n"/>
      <c r="B66" s="28" t="n"/>
      <c r="C66" s="16" t="n"/>
      <c r="D66" s="28" t="n"/>
      <c r="E66" s="16" t="n"/>
      <c r="F66" s="28" t="n"/>
      <c r="G66" s="16" t="n"/>
      <c r="H66" s="28" t="n"/>
      <c r="I66" s="24" t="n"/>
      <c r="J66" s="16" t="n"/>
      <c r="K66" s="26">
        <f>IF(BF66&gt;0,"O Google leu como fórmula: escolha de novo ou digite com ' na frente.",IF(LEN($AV$66)=0,"",IF(COUNTIF($AG$10:$AG$39,$AV$66)&gt;1,"Nome repetido no elenco",IF(COUNTIF('Dados'!$B$92:$B$123,$AV$66)&gt;0,"Nome igual a uma criatura do Bestiário",""))))</f>
        <v/>
      </c>
      <c r="AE66" s="19">
        <f>$AE$65+IF(AND(LEN($N$15)&gt;0,INDEX('Tabelas'!$X$472:$X$578,57)&amp;""=$N$15,LEN(INDEX('Tabelas'!$Y$472:$Y$578,57)&amp;"")&gt;0),1,0)</f>
        <v/>
      </c>
      <c r="AT66" s="19">
        <f>'Tabelas'!$AE$417&amp;""</f>
        <v/>
      </c>
      <c r="AV66" s="19">
        <f>IF(ISERROR($A$66),"",IF(ISBLANK($A$66),"",$A$66))</f>
        <v/>
      </c>
      <c r="AW66" s="19">
        <f>IF(ISERROR($B$66),"",IF(ISBLANK($B$66),"",$B$66))</f>
        <v/>
      </c>
      <c r="AY66" s="19">
        <f>IF(ISERROR($D$66),"",IF(ISBLANK($D$66),"",$D$66))</f>
        <v/>
      </c>
      <c r="BA66" s="19">
        <f>IF(ISERROR($F$66),"",IF(ISBLANK($F$66),"",$F$66))</f>
        <v/>
      </c>
      <c r="BC66" s="19">
        <f>IF(ISERROR($H$66),"",IF(ISBLANK($H$66),"",$H$66))</f>
        <v/>
      </c>
      <c r="BF66" s="19">
        <f>ISERROR($A$66)*1+ISERROR($B$66)*1+ISERROR($D$66)*1+ISERROR($F$66)*1+ISERROR($H$66)*1</f>
        <v/>
      </c>
    </row>
    <row r="67">
      <c r="A67" s="7" t="inlineStr">
        <is>
          <t>Nome completo</t>
        </is>
      </c>
      <c r="B67" s="7" t="inlineStr">
        <is>
          <t>Raça</t>
        </is>
      </c>
      <c r="C67" s="20" t="n"/>
      <c r="D67" s="7" t="inlineStr">
        <is>
          <t>Caminho</t>
        </is>
      </c>
      <c r="E67" s="20" t="n"/>
      <c r="F67" s="7" t="inlineStr">
        <is>
          <t>Papel</t>
        </is>
      </c>
      <c r="G67" s="20" t="n"/>
      <c r="H67" s="7" t="inlineStr">
        <is>
          <t>Ocupação</t>
        </is>
      </c>
      <c r="I67" s="20" t="n"/>
      <c r="J67" s="20" t="n"/>
      <c r="K67" s="7" t="inlineStr">
        <is>
          <t>Aviso</t>
        </is>
      </c>
      <c r="L67" s="20" t="n"/>
      <c r="AE67" s="19">
        <f>$AE$66+IF(AND(LEN($N$15)&gt;0,INDEX('Tabelas'!$X$472:$X$578,58)&amp;""=$N$15,LEN(INDEX('Tabelas'!$Y$472:$Y$578,58)&amp;"")&gt;0),1,0)</f>
        <v/>
      </c>
      <c r="AT67" s="19">
        <f>'Tabelas'!$AE$418&amp;""</f>
        <v/>
      </c>
    </row>
    <row r="68" ht="60" customHeight="1">
      <c r="A68" s="30" t="n"/>
      <c r="B68" s="3" t="n"/>
      <c r="C68" s="16" t="n"/>
      <c r="D68" s="3" t="n"/>
      <c r="E68" s="16" t="n"/>
      <c r="F68" s="3" t="n"/>
      <c r="G68" s="16" t="n"/>
      <c r="H68" s="3" t="n"/>
      <c r="I68" s="24" t="n"/>
      <c r="J68" s="16" t="n"/>
      <c r="K68" s="18">
        <f>IF(BF68&gt;0,"O Google leu como fórmula: escolha de novo ou digite com ' na frente.",IF(LEN($AV$68)=0,"",IF(COUNTIF($AG$10:$AG$39,$AV$68)&gt;1,"Nome repetido no elenco",IF(COUNTIF('Dados'!$B$92:$B$123,$AV$68)&gt;0,"Nome igual a uma criatura do Bestiário",""))))</f>
        <v/>
      </c>
      <c r="AE68" s="19">
        <f>$AE$67+IF(AND(LEN($N$15)&gt;0,INDEX('Tabelas'!$X$472:$X$578,59)&amp;""=$N$15,LEN(INDEX('Tabelas'!$Y$472:$Y$578,59)&amp;"")&gt;0),1,0)</f>
        <v/>
      </c>
      <c r="AT68" s="19">
        <f>'Tabelas'!$AE$419&amp;""</f>
        <v/>
      </c>
      <c r="AV68" s="19">
        <f>IF(ISERROR($A$68),"",IF(ISBLANK($A$68),"",$A$68))</f>
        <v/>
      </c>
      <c r="AW68" s="19">
        <f>IF(ISERROR($B$68),"",IF(ISBLANK($B$68),"",$B$68))</f>
        <v/>
      </c>
      <c r="AY68" s="19">
        <f>IF(ISERROR($D$68),"",IF(ISBLANK($D$68),"",$D$68))</f>
        <v/>
      </c>
      <c r="BA68" s="19">
        <f>IF(ISERROR($F$68),"",IF(ISBLANK($F$68),"",$F$68))</f>
        <v/>
      </c>
      <c r="BC68" s="19">
        <f>IF(ISERROR($H$68),"",IF(ISBLANK($H$68),"",$H$68))</f>
        <v/>
      </c>
      <c r="BF68" s="19">
        <f>ISERROR($A$68)*1+ISERROR($B$68)*1+ISERROR($D$68)*1+ISERROR($F$68)*1+ISERROR($H$68)*1</f>
        <v/>
      </c>
    </row>
    <row r="69" ht="60" customHeight="1">
      <c r="A69" s="31" t="n"/>
      <c r="B69" s="28" t="n"/>
      <c r="C69" s="16" t="n"/>
      <c r="D69" s="28" t="n"/>
      <c r="E69" s="16" t="n"/>
      <c r="F69" s="28" t="n"/>
      <c r="G69" s="16" t="n"/>
      <c r="H69" s="28" t="n"/>
      <c r="I69" s="24" t="n"/>
      <c r="J69" s="16" t="n"/>
      <c r="K69" s="26">
        <f>IF(BF69&gt;0,"O Google leu como fórmula: escolha de novo ou digite com ' na frente.",IF(LEN($AV$69)=0,"",IF(COUNTIF($AG$10:$AG$39,$AV$69)&gt;1,"Nome repetido no elenco",IF(COUNTIF('Dados'!$B$92:$B$123,$AV$69)&gt;0,"Nome igual a uma criatura do Bestiário",""))))</f>
        <v/>
      </c>
      <c r="AE69" s="19">
        <f>$AE$68+IF(AND(LEN($N$15)&gt;0,INDEX('Tabelas'!$X$472:$X$578,60)&amp;""=$N$15,LEN(INDEX('Tabelas'!$Y$472:$Y$578,60)&amp;"")&gt;0),1,0)</f>
        <v/>
      </c>
      <c r="AT69" s="19">
        <f>'Tabelas'!$AE$420&amp;""</f>
        <v/>
      </c>
      <c r="AV69" s="19">
        <f>IF(ISERROR($A$69),"",IF(ISBLANK($A$69),"",$A$69))</f>
        <v/>
      </c>
      <c r="AW69" s="19">
        <f>IF(ISERROR($B$69),"",IF(ISBLANK($B$69),"",$B$69))</f>
        <v/>
      </c>
      <c r="AY69" s="19">
        <f>IF(ISERROR($D$69),"",IF(ISBLANK($D$69),"",$D$69))</f>
        <v/>
      </c>
      <c r="BA69" s="19">
        <f>IF(ISERROR($F$69),"",IF(ISBLANK($F$69),"",$F$69))</f>
        <v/>
      </c>
      <c r="BC69" s="19">
        <f>IF(ISERROR($H$69),"",IF(ISBLANK($H$69),"",$H$69))</f>
        <v/>
      </c>
      <c r="BF69" s="19">
        <f>ISERROR($A$69)*1+ISERROR($B$69)*1+ISERROR($D$69)*1+ISERROR($F$69)*1+ISERROR($H$69)*1</f>
        <v/>
      </c>
    </row>
    <row r="70" ht="60" customHeight="1">
      <c r="A70" s="30" t="n"/>
      <c r="B70" s="3" t="n"/>
      <c r="C70" s="16" t="n"/>
      <c r="D70" s="3" t="n"/>
      <c r="E70" s="16" t="n"/>
      <c r="F70" s="3" t="n"/>
      <c r="G70" s="16" t="n"/>
      <c r="H70" s="3" t="n"/>
      <c r="I70" s="24" t="n"/>
      <c r="J70" s="16" t="n"/>
      <c r="K70" s="18">
        <f>IF(BF70&gt;0,"O Google leu como fórmula: escolha de novo ou digite com ' na frente.",IF(LEN($AV$70)=0,"",IF(COUNTIF($AG$10:$AG$39,$AV$70)&gt;1,"Nome repetido no elenco",IF(COUNTIF('Dados'!$B$92:$B$123,$AV$70)&gt;0,"Nome igual a uma criatura do Bestiário",""))))</f>
        <v/>
      </c>
      <c r="AE70" s="19">
        <f>$AE$69+IF(AND(LEN($N$15)&gt;0,INDEX('Tabelas'!$X$472:$X$578,61)&amp;""=$N$15,LEN(INDEX('Tabelas'!$Y$472:$Y$578,61)&amp;"")&gt;0),1,0)</f>
        <v/>
      </c>
      <c r="AT70" s="19">
        <f>'Tabelas'!$AE$421&amp;""</f>
        <v/>
      </c>
      <c r="AV70" s="19">
        <f>IF(ISERROR($A$70),"",IF(ISBLANK($A$70),"",$A$70))</f>
        <v/>
      </c>
      <c r="AW70" s="19">
        <f>IF(ISERROR($B$70),"",IF(ISBLANK($B$70),"",$B$70))</f>
        <v/>
      </c>
      <c r="AY70" s="19">
        <f>IF(ISERROR($D$70),"",IF(ISBLANK($D$70),"",$D$70))</f>
        <v/>
      </c>
      <c r="BA70" s="19">
        <f>IF(ISERROR($F$70),"",IF(ISBLANK($F$70),"",$F$70))</f>
        <v/>
      </c>
      <c r="BC70" s="19">
        <f>IF(ISERROR($H$70),"",IF(ISBLANK($H$70),"",$H$70))</f>
        <v/>
      </c>
      <c r="BF70" s="19">
        <f>ISERROR($A$70)*1+ISERROR($B$70)*1+ISERROR($D$70)*1+ISERROR($F$70)*1+ISERROR($H$70)*1</f>
        <v/>
      </c>
    </row>
    <row r="71" ht="71" customHeight="1">
      <c r="A71" s="31" t="n"/>
      <c r="B71" s="28" t="n"/>
      <c r="C71" s="16" t="n"/>
      <c r="D71" s="28" t="n"/>
      <c r="E71" s="16" t="n"/>
      <c r="F71" s="28" t="n"/>
      <c r="G71" s="16" t="n"/>
      <c r="H71" s="28" t="n"/>
      <c r="I71" s="24" t="n"/>
      <c r="J71" s="16" t="n"/>
      <c r="K71" s="26">
        <f>IF(BF71&gt;0,"O Google leu como fórmula: escolha de novo ou digite com ' na frente.",IF(LEN($AV$71)=0,"",IF(COUNTIF($AG$10:$AG$39,$AV$71)&gt;1,"Nome repetido no elenco",IF(COUNTIF('Dados'!$B$92:$B$123,$AV$71)&gt;0,"Nome igual a uma criatura do Bestiário",""))))</f>
        <v/>
      </c>
      <c r="AE71" s="19">
        <f>$AE$70+IF(AND(LEN($N$15)&gt;0,INDEX('Tabelas'!$X$472:$X$578,62)&amp;""=$N$15,LEN(INDEX('Tabelas'!$Y$472:$Y$578,62)&amp;"")&gt;0),1,0)</f>
        <v/>
      </c>
      <c r="AT71" s="19">
        <f>'Tabelas'!$AE$422&amp;""</f>
        <v/>
      </c>
      <c r="AV71" s="19">
        <f>IF(ISERROR($A$71),"",IF(ISBLANK($A$71),"",$A$71))</f>
        <v/>
      </c>
      <c r="AW71" s="19">
        <f>IF(ISERROR($B$71),"",IF(ISBLANK($B$71),"",$B$71))</f>
        <v/>
      </c>
      <c r="AY71" s="19">
        <f>IF(ISERROR($D$71),"",IF(ISBLANK($D$71),"",$D$71))</f>
        <v/>
      </c>
      <c r="BA71" s="19">
        <f>IF(ISERROR($F$71),"",IF(ISBLANK($F$71),"",$F$71))</f>
        <v/>
      </c>
      <c r="BC71" s="19">
        <f>IF(ISERROR($H$71),"",IF(ISBLANK($H$71),"",$H$71))</f>
        <v/>
      </c>
      <c r="BF71" s="19">
        <f>ISERROR($A$71)*1+ISERROR($B$71)*1+ISERROR($D$71)*1+ISERROR($F$71)*1+ISERROR($H$71)*1</f>
        <v/>
      </c>
    </row>
    <row r="72" ht="71" customHeight="1">
      <c r="A72" s="30" t="n"/>
      <c r="B72" s="3" t="n"/>
      <c r="C72" s="16" t="n"/>
      <c r="D72" s="3" t="n"/>
      <c r="E72" s="16" t="n"/>
      <c r="F72" s="3" t="n"/>
      <c r="G72" s="16" t="n"/>
      <c r="H72" s="3" t="n"/>
      <c r="I72" s="24" t="n"/>
      <c r="J72" s="16" t="n"/>
      <c r="K72" s="18">
        <f>IF(BF72&gt;0,"O Google leu como fórmula: escolha de novo ou digite com ' na frente.",IF(LEN($AV$72)=0,"",IF(COUNTIF($AG$10:$AG$39,$AV$72)&gt;1,"Nome repetido no elenco",IF(COUNTIF('Dados'!$B$92:$B$123,$AV$72)&gt;0,"Nome igual a uma criatura do Bestiário",""))))</f>
        <v/>
      </c>
      <c r="AE72" s="19">
        <f>$AE$71+IF(AND(LEN($N$15)&gt;0,INDEX('Tabelas'!$X$472:$X$578,63)&amp;""=$N$15,LEN(INDEX('Tabelas'!$Y$472:$Y$578,63)&amp;"")&gt;0),1,0)</f>
        <v/>
      </c>
      <c r="AT72" s="19">
        <f>'Tabelas'!$AE$423&amp;""</f>
        <v/>
      </c>
      <c r="AV72" s="19">
        <f>IF(ISERROR($A$72),"",IF(ISBLANK($A$72),"",$A$72))</f>
        <v/>
      </c>
      <c r="AW72" s="19">
        <f>IF(ISERROR($B$72),"",IF(ISBLANK($B$72),"",$B$72))</f>
        <v/>
      </c>
      <c r="AY72" s="19">
        <f>IF(ISERROR($D$72),"",IF(ISBLANK($D$72),"",$D$72))</f>
        <v/>
      </c>
      <c r="BA72" s="19">
        <f>IF(ISERROR($F$72),"",IF(ISBLANK($F$72),"",$F$72))</f>
        <v/>
      </c>
      <c r="BC72" s="19">
        <f>IF(ISERROR($H$72),"",IF(ISBLANK($H$72),"",$H$72))</f>
        <v/>
      </c>
      <c r="BF72" s="19">
        <f>ISERROR($A$72)*1+ISERROR($B$72)*1+ISERROR($D$72)*1+ISERROR($F$72)*1+ISERROR($H$72)*1</f>
        <v/>
      </c>
    </row>
    <row r="73" ht="60" customHeight="1">
      <c r="A73" s="31" t="n"/>
      <c r="B73" s="28" t="n"/>
      <c r="C73" s="16" t="n"/>
      <c r="D73" s="28" t="n"/>
      <c r="E73" s="16" t="n"/>
      <c r="F73" s="28" t="n"/>
      <c r="G73" s="16" t="n"/>
      <c r="H73" s="28" t="n"/>
      <c r="I73" s="24" t="n"/>
      <c r="J73" s="16" t="n"/>
      <c r="K73" s="26">
        <f>IF(BF73&gt;0,"O Google leu como fórmula: escolha de novo ou digite com ' na frente.",IF(LEN($AV$73)=0,"",IF(COUNTIF($AG$10:$AG$39,$AV$73)&gt;1,"Nome repetido no elenco",IF(COUNTIF('Dados'!$B$92:$B$123,$AV$73)&gt;0,"Nome igual a uma criatura do Bestiário",""))))</f>
        <v/>
      </c>
      <c r="AE73" s="19">
        <f>$AE$72+IF(AND(LEN($N$15)&gt;0,INDEX('Tabelas'!$X$472:$X$578,64)&amp;""=$N$15,LEN(INDEX('Tabelas'!$Y$472:$Y$578,64)&amp;"")&gt;0),1,0)</f>
        <v/>
      </c>
      <c r="AT73" s="19">
        <f>'Tabelas'!$AE$424&amp;""</f>
        <v/>
      </c>
      <c r="AV73" s="19">
        <f>IF(ISERROR($A$73),"",IF(ISBLANK($A$73),"",$A$73))</f>
        <v/>
      </c>
      <c r="AW73" s="19">
        <f>IF(ISERROR($B$73),"",IF(ISBLANK($B$73),"",$B$73))</f>
        <v/>
      </c>
      <c r="AY73" s="19">
        <f>IF(ISERROR($D$73),"",IF(ISBLANK($D$73),"",$D$73))</f>
        <v/>
      </c>
      <c r="BA73" s="19">
        <f>IF(ISERROR($F$73),"",IF(ISBLANK($F$73),"",$F$73))</f>
        <v/>
      </c>
      <c r="BC73" s="19">
        <f>IF(ISERROR($H$73),"",IF(ISBLANK($H$73),"",$H$73))</f>
        <v/>
      </c>
      <c r="BF73" s="19">
        <f>ISERROR($A$73)*1+ISERROR($B$73)*1+ISERROR($D$73)*1+ISERROR($F$73)*1+ISERROR($H$73)*1</f>
        <v/>
      </c>
    </row>
    <row r="74" ht="71" customHeight="1">
      <c r="A74" s="30" t="n"/>
      <c r="B74" s="3" t="n"/>
      <c r="C74" s="16" t="n"/>
      <c r="D74" s="3" t="n"/>
      <c r="E74" s="16" t="n"/>
      <c r="F74" s="3" t="n"/>
      <c r="G74" s="16" t="n"/>
      <c r="H74" s="3" t="n"/>
      <c r="I74" s="24" t="n"/>
      <c r="J74" s="16" t="n"/>
      <c r="K74" s="18">
        <f>IF(BF74&gt;0,"O Google leu como fórmula: escolha de novo ou digite com ' na frente.",IF(LEN($AV$74)=0,"",IF(COUNTIF($AG$10:$AG$39,$AV$74)&gt;1,"Nome repetido no elenco",IF(COUNTIF('Dados'!$B$92:$B$123,$AV$74)&gt;0,"Nome igual a uma criatura do Bestiário",""))))</f>
        <v/>
      </c>
      <c r="AE74" s="19">
        <f>$AE$73+IF(AND(LEN($N$15)&gt;0,INDEX('Tabelas'!$X$472:$X$578,65)&amp;""=$N$15,LEN(INDEX('Tabelas'!$Y$472:$Y$578,65)&amp;"")&gt;0),1,0)</f>
        <v/>
      </c>
      <c r="AT74" s="19">
        <f>'Tabelas'!$AE$425&amp;""</f>
        <v/>
      </c>
      <c r="AV74" s="19">
        <f>IF(ISERROR($A$74),"",IF(ISBLANK($A$74),"",$A$74))</f>
        <v/>
      </c>
      <c r="AW74" s="19">
        <f>IF(ISERROR($B$74),"",IF(ISBLANK($B$74),"",$B$74))</f>
        <v/>
      </c>
      <c r="AY74" s="19">
        <f>IF(ISERROR($D$74),"",IF(ISBLANK($D$74),"",$D$74))</f>
        <v/>
      </c>
      <c r="BA74" s="19">
        <f>IF(ISERROR($F$74),"",IF(ISBLANK($F$74),"",$F$74))</f>
        <v/>
      </c>
      <c r="BC74" s="19">
        <f>IF(ISERROR($H$74),"",IF(ISBLANK($H$74),"",$H$74))</f>
        <v/>
      </c>
      <c r="BF74" s="19">
        <f>ISERROR($A$74)*1+ISERROR($B$74)*1+ISERROR($D$74)*1+ISERROR($F$74)*1+ISERROR($H$74)*1</f>
        <v/>
      </c>
    </row>
    <row r="75" ht="60" customHeight="1">
      <c r="A75" s="31" t="n"/>
      <c r="B75" s="28" t="n"/>
      <c r="C75" s="16" t="n"/>
      <c r="D75" s="28" t="n"/>
      <c r="E75" s="16" t="n"/>
      <c r="F75" s="28" t="n"/>
      <c r="G75" s="16" t="n"/>
      <c r="H75" s="28" t="n"/>
      <c r="I75" s="24" t="n"/>
      <c r="J75" s="16" t="n"/>
      <c r="K75" s="26">
        <f>IF(BF75&gt;0,"O Google leu como fórmula: escolha de novo ou digite com ' na frente.",IF(LEN($AV$75)=0,"",IF(COUNTIF($AG$10:$AG$39,$AV$75)&gt;1,"Nome repetido no elenco",IF(COUNTIF('Dados'!$B$92:$B$123,$AV$75)&gt;0,"Nome igual a uma criatura do Bestiário",""))))</f>
        <v/>
      </c>
      <c r="AE75" s="19">
        <f>$AE$74+IF(AND(LEN($N$15)&gt;0,INDEX('Tabelas'!$X$472:$X$578,66)&amp;""=$N$15,LEN(INDEX('Tabelas'!$Y$472:$Y$578,66)&amp;"")&gt;0),1,0)</f>
        <v/>
      </c>
      <c r="AT75" s="19">
        <f>'Tabelas'!$AE$427&amp;""</f>
        <v/>
      </c>
      <c r="AV75" s="19">
        <f>IF(ISERROR($A$75),"",IF(ISBLANK($A$75),"",$A$75))</f>
        <v/>
      </c>
      <c r="AW75" s="19">
        <f>IF(ISERROR($B$75),"",IF(ISBLANK($B$75),"",$B$75))</f>
        <v/>
      </c>
      <c r="AY75" s="19">
        <f>IF(ISERROR($D$75),"",IF(ISBLANK($D$75),"",$D$75))</f>
        <v/>
      </c>
      <c r="BA75" s="19">
        <f>IF(ISERROR($F$75),"",IF(ISBLANK($F$75),"",$F$75))</f>
        <v/>
      </c>
      <c r="BC75" s="19">
        <f>IF(ISERROR($H$75),"",IF(ISBLANK($H$75),"",$H$75))</f>
        <v/>
      </c>
      <c r="BF75" s="19">
        <f>ISERROR($A$75)*1+ISERROR($B$75)*1+ISERROR($D$75)*1+ISERROR($F$75)*1+ISERROR($H$75)*1</f>
        <v/>
      </c>
    </row>
    <row r="76" ht="60" customHeight="1">
      <c r="A76" s="30" t="n"/>
      <c r="B76" s="3" t="n"/>
      <c r="C76" s="16" t="n"/>
      <c r="D76" s="3" t="n"/>
      <c r="E76" s="16" t="n"/>
      <c r="F76" s="3" t="n"/>
      <c r="G76" s="16" t="n"/>
      <c r="H76" s="3" t="n"/>
      <c r="I76" s="24" t="n"/>
      <c r="J76" s="16" t="n"/>
      <c r="K76" s="18">
        <f>IF(BF76&gt;0,"O Google leu como fórmula: escolha de novo ou digite com ' na frente.",IF(LEN($AV$76)=0,"",IF(COUNTIF($AG$10:$AG$39,$AV$76)&gt;1,"Nome repetido no elenco",IF(COUNTIF('Dados'!$B$92:$B$123,$AV$76)&gt;0,"Nome igual a uma criatura do Bestiário",""))))</f>
        <v/>
      </c>
      <c r="AE76" s="19">
        <f>$AE$75+IF(AND(LEN($N$15)&gt;0,INDEX('Tabelas'!$X$472:$X$578,67)&amp;""=$N$15,LEN(INDEX('Tabelas'!$Y$472:$Y$578,67)&amp;"")&gt;0),1,0)</f>
        <v/>
      </c>
      <c r="AT76" s="19">
        <f>'Tabelas'!$AE$428&amp;""</f>
        <v/>
      </c>
      <c r="AV76" s="19">
        <f>IF(ISERROR($A$76),"",IF(ISBLANK($A$76),"",$A$76))</f>
        <v/>
      </c>
      <c r="AW76" s="19">
        <f>IF(ISERROR($B$76),"",IF(ISBLANK($B$76),"",$B$76))</f>
        <v/>
      </c>
      <c r="AY76" s="19">
        <f>IF(ISERROR($D$76),"",IF(ISBLANK($D$76),"",$D$76))</f>
        <v/>
      </c>
      <c r="BA76" s="19">
        <f>IF(ISERROR($F$76),"",IF(ISBLANK($F$76),"",$F$76))</f>
        <v/>
      </c>
      <c r="BC76" s="19">
        <f>IF(ISERROR($H$76),"",IF(ISBLANK($H$76),"",$H$76))</f>
        <v/>
      </c>
      <c r="BF76" s="19">
        <f>ISERROR($A$76)*1+ISERROR($B$76)*1+ISERROR($D$76)*1+ISERROR($F$76)*1+ISERROR($H$76)*1</f>
        <v/>
      </c>
    </row>
    <row r="77" ht="60" customHeight="1">
      <c r="A77" s="31" t="n"/>
      <c r="B77" s="28" t="n"/>
      <c r="C77" s="16" t="n"/>
      <c r="D77" s="28" t="n"/>
      <c r="E77" s="16" t="n"/>
      <c r="F77" s="28" t="n"/>
      <c r="G77" s="16" t="n"/>
      <c r="H77" s="28" t="n"/>
      <c r="I77" s="24" t="n"/>
      <c r="J77" s="16" t="n"/>
      <c r="K77" s="26">
        <f>IF(BF77&gt;0,"O Google leu como fórmula: escolha de novo ou digite com ' na frente.",IF(LEN($AV$77)=0,"",IF(COUNTIF($AG$10:$AG$39,$AV$77)&gt;1,"Nome repetido no elenco",IF(COUNTIF('Dados'!$B$92:$B$123,$AV$77)&gt;0,"Nome igual a uma criatura do Bestiário",""))))</f>
        <v/>
      </c>
      <c r="AE77" s="19">
        <f>$AE$76+IF(AND(LEN($N$15)&gt;0,INDEX('Tabelas'!$X$472:$X$578,68)&amp;""=$N$15,LEN(INDEX('Tabelas'!$Y$472:$Y$578,68)&amp;"")&gt;0),1,0)</f>
        <v/>
      </c>
      <c r="AT77" s="19">
        <f>'Tabelas'!$AE$429&amp;""</f>
        <v/>
      </c>
      <c r="AV77" s="19">
        <f>IF(ISERROR($A$77),"",IF(ISBLANK($A$77),"",$A$77))</f>
        <v/>
      </c>
      <c r="AW77" s="19">
        <f>IF(ISERROR($B$77),"",IF(ISBLANK($B$77),"",$B$77))</f>
        <v/>
      </c>
      <c r="AY77" s="19">
        <f>IF(ISERROR($D$77),"",IF(ISBLANK($D$77),"",$D$77))</f>
        <v/>
      </c>
      <c r="BA77" s="19">
        <f>IF(ISERROR($F$77),"",IF(ISBLANK($F$77),"",$F$77))</f>
        <v/>
      </c>
      <c r="BC77" s="19">
        <f>IF(ISERROR($H$77),"",IF(ISBLANK($H$77),"",$H$77))</f>
        <v/>
      </c>
      <c r="BF77" s="19">
        <f>ISERROR($A$77)*1+ISERROR($B$77)*1+ISERROR($D$77)*1+ISERROR($F$77)*1+ISERROR($H$77)*1</f>
        <v/>
      </c>
    </row>
    <row r="78" ht="20" customHeight="1">
      <c r="A78" s="12" t="inlineStr">
        <is>
          <t>E2 · Como é</t>
        </is>
      </c>
      <c r="AE78" s="19">
        <f>$AE$77+IF(AND(LEN($N$15)&gt;0,INDEX('Tabelas'!$X$472:$X$578,69)&amp;""=$N$15,LEN(INDEX('Tabelas'!$Y$472:$Y$578,69)&amp;"")&gt;0),1,0)</f>
        <v/>
      </c>
      <c r="AT78" s="19">
        <f>'Tabelas'!$AE$430&amp;""</f>
        <v/>
      </c>
    </row>
    <row r="79">
      <c r="A79" s="7" t="inlineStr">
        <is>
          <t>NPC</t>
        </is>
      </c>
      <c r="B79" s="7" t="inlineStr">
        <is>
          <t>Aparência</t>
        </is>
      </c>
      <c r="C79" s="20" t="n"/>
      <c r="D79" s="20" t="n"/>
      <c r="E79" s="20" t="n"/>
      <c r="F79" s="7" t="inlineStr">
        <is>
          <t>Personalidade</t>
        </is>
      </c>
      <c r="G79" s="20" t="n"/>
      <c r="H79" s="20" t="n"/>
      <c r="I79" s="20" t="n"/>
      <c r="J79" s="20" t="n"/>
      <c r="K79" s="7" t="inlineStr">
        <is>
          <t>Aviso</t>
        </is>
      </c>
      <c r="L79" s="20" t="n"/>
      <c r="AE79" s="19">
        <f>$AE$78</f>
        <v/>
      </c>
      <c r="AT79" s="19">
        <f>'Tabelas'!$AE$431&amp;""</f>
        <v/>
      </c>
    </row>
    <row r="80" ht="60" customHeight="1">
      <c r="A80" s="32">
        <f>IF(LEN($AV$46)&gt;0,$AV$46,"NPC 1")</f>
        <v/>
      </c>
      <c r="B80" s="3" t="n"/>
      <c r="C80" s="24" t="n"/>
      <c r="D80" s="24" t="n"/>
      <c r="E80" s="16" t="n"/>
      <c r="F80" s="3" t="n"/>
      <c r="G80" s="24" t="n"/>
      <c r="H80" s="24" t="n"/>
      <c r="I80" s="24" t="n"/>
      <c r="J80" s="16" t="n"/>
      <c r="K80" s="18">
        <f>IF(BF80&gt;0,"O Google leu como fórmula: digite de novo com ' na frente.","")</f>
        <v/>
      </c>
      <c r="AE80" s="19">
        <f>$AE$79+IF(AND(LEN($N$15)&gt;0,INDEX('Tabelas'!$X$472:$X$578,71)&amp;""=$N$15,LEN(INDEX('Tabelas'!$Y$472:$Y$578,71)&amp;"")&gt;0),1,0)</f>
        <v/>
      </c>
      <c r="AT80" s="19">
        <f>'Tabelas'!$AE$432&amp;""</f>
        <v/>
      </c>
      <c r="AW80" s="19">
        <f>IF(ISERROR($B$80),"",IF(ISBLANK($B$80),"",$B$80))</f>
        <v/>
      </c>
      <c r="BF80" s="19">
        <f>ISERROR($B$80)*1+ISERROR($F$80)*1</f>
        <v/>
      </c>
    </row>
    <row r="81" ht="60" customHeight="1">
      <c r="A81" s="33">
        <f>IF(LEN($AV$47)&gt;0,$AV$47,"NPC 2")</f>
        <v/>
      </c>
      <c r="B81" s="28" t="n"/>
      <c r="C81" s="24" t="n"/>
      <c r="D81" s="24" t="n"/>
      <c r="E81" s="16" t="n"/>
      <c r="F81" s="28" t="n"/>
      <c r="G81" s="24" t="n"/>
      <c r="H81" s="24" t="n"/>
      <c r="I81" s="24" t="n"/>
      <c r="J81" s="16" t="n"/>
      <c r="K81" s="26">
        <f>IF(BF81&gt;0,"O Google leu como fórmula: digite de novo com ' na frente.","")</f>
        <v/>
      </c>
      <c r="AE81" s="19">
        <f>$AE$80+IF(AND(LEN($N$15)&gt;0,INDEX('Tabelas'!$X$472:$X$578,72)&amp;""=$N$15,LEN(INDEX('Tabelas'!$Y$472:$Y$578,72)&amp;"")&gt;0),1,0)</f>
        <v/>
      </c>
      <c r="AT81" s="19">
        <f>'Tabelas'!$AE$433&amp;""</f>
        <v/>
      </c>
      <c r="AW81" s="19">
        <f>IF(ISERROR($B$81),"",IF(ISBLANK($B$81),"",$B$81))</f>
        <v/>
      </c>
      <c r="BF81" s="19">
        <f>ISERROR($B$81)*1+ISERROR($F$81)*1</f>
        <v/>
      </c>
    </row>
    <row r="82" ht="60" customHeight="1">
      <c r="A82" s="32">
        <f>IF(LEN($AV$48)&gt;0,$AV$48,"NPC 3")</f>
        <v/>
      </c>
      <c r="B82" s="3" t="n"/>
      <c r="C82" s="24" t="n"/>
      <c r="D82" s="24" t="n"/>
      <c r="E82" s="16" t="n"/>
      <c r="F82" s="3" t="n"/>
      <c r="G82" s="24" t="n"/>
      <c r="H82" s="24" t="n"/>
      <c r="I82" s="24" t="n"/>
      <c r="J82" s="16" t="n"/>
      <c r="K82" s="18">
        <f>IF(BF82&gt;0,"O Google leu como fórmula: digite de novo com ' na frente.","")</f>
        <v/>
      </c>
      <c r="AE82" s="19">
        <f>$AE$81+IF(AND(LEN($N$15)&gt;0,INDEX('Tabelas'!$X$472:$X$578,73)&amp;""=$N$15,LEN(INDEX('Tabelas'!$Y$472:$Y$578,73)&amp;"")&gt;0),1,0)</f>
        <v/>
      </c>
      <c r="AT82" s="19">
        <f>'Tabelas'!$AE$434&amp;""</f>
        <v/>
      </c>
      <c r="AW82" s="19">
        <f>IF(ISERROR($B$82),"",IF(ISBLANK($B$82),"",$B$82))</f>
        <v/>
      </c>
      <c r="BF82" s="19">
        <f>ISERROR($B$82)*1+ISERROR($F$82)*1</f>
        <v/>
      </c>
    </row>
    <row r="83" ht="71" customHeight="1">
      <c r="A83" s="33">
        <f>IF(LEN($AV$49)&gt;0,$AV$49,"NPC 4")</f>
        <v/>
      </c>
      <c r="B83" s="28" t="n"/>
      <c r="C83" s="24" t="n"/>
      <c r="D83" s="24" t="n"/>
      <c r="E83" s="16" t="n"/>
      <c r="F83" s="28" t="n"/>
      <c r="G83" s="24" t="n"/>
      <c r="H83" s="24" t="n"/>
      <c r="I83" s="24" t="n"/>
      <c r="J83" s="16" t="n"/>
      <c r="K83" s="26">
        <f>IF(BF83&gt;0,"O Google leu como fórmula: digite de novo com ' na frente.","")</f>
        <v/>
      </c>
      <c r="AE83" s="19">
        <f>$AE$82+IF(AND(LEN($N$15)&gt;0,INDEX('Tabelas'!$X$472:$X$578,74)&amp;""=$N$15,LEN(INDEX('Tabelas'!$Y$472:$Y$578,74)&amp;"")&gt;0),1,0)</f>
        <v/>
      </c>
      <c r="AT83" s="19">
        <f>'Tabelas'!$AE$435&amp;""</f>
        <v/>
      </c>
      <c r="AW83" s="19">
        <f>IF(ISERROR($B$83),"",IF(ISBLANK($B$83),"",$B$83))</f>
        <v/>
      </c>
      <c r="BF83" s="19">
        <f>ISERROR($B$83)*1+ISERROR($F$83)*1</f>
        <v/>
      </c>
    </row>
    <row r="84" ht="60" customHeight="1">
      <c r="A84" s="32">
        <f>IF(LEN($AV$50)&gt;0,$AV$50,"NPC 5")</f>
        <v/>
      </c>
      <c r="B84" s="3" t="n"/>
      <c r="C84" s="24" t="n"/>
      <c r="D84" s="24" t="n"/>
      <c r="E84" s="16" t="n"/>
      <c r="F84" s="3" t="n"/>
      <c r="G84" s="24" t="n"/>
      <c r="H84" s="24" t="n"/>
      <c r="I84" s="24" t="n"/>
      <c r="J84" s="16" t="n"/>
      <c r="K84" s="18">
        <f>IF(BF84&gt;0,"O Google leu como fórmula: digite de novo com ' na frente.","")</f>
        <v/>
      </c>
      <c r="AE84" s="19">
        <f>$AE$83+IF(AND(LEN($N$15)&gt;0,INDEX('Tabelas'!$X$472:$X$578,75)&amp;""=$N$15,LEN(INDEX('Tabelas'!$Y$472:$Y$578,75)&amp;"")&gt;0),1,0)</f>
        <v/>
      </c>
      <c r="AT84" s="19">
        <f>'Tabelas'!$AE$436&amp;""</f>
        <v/>
      </c>
      <c r="AW84" s="19">
        <f>IF(ISERROR($B$84),"",IF(ISBLANK($B$84),"",$B$84))</f>
        <v/>
      </c>
      <c r="BF84" s="19">
        <f>ISERROR($B$84)*1+ISERROR($F$84)*1</f>
        <v/>
      </c>
    </row>
    <row r="85" ht="60" customHeight="1">
      <c r="A85" s="33">
        <f>IF(LEN($AV$51)&gt;0,$AV$51,"NPC 6")</f>
        <v/>
      </c>
      <c r="B85" s="28" t="n"/>
      <c r="C85" s="24" t="n"/>
      <c r="D85" s="24" t="n"/>
      <c r="E85" s="16" t="n"/>
      <c r="F85" s="28" t="n"/>
      <c r="G85" s="24" t="n"/>
      <c r="H85" s="24" t="n"/>
      <c r="I85" s="24" t="n"/>
      <c r="J85" s="16" t="n"/>
      <c r="K85" s="26">
        <f>IF(BF85&gt;0,"O Google leu como fórmula: digite de novo com ' na frente.","")</f>
        <v/>
      </c>
      <c r="AE85" s="19">
        <f>$AE$84+IF(AND(LEN($N$15)&gt;0,INDEX('Tabelas'!$X$472:$X$578,76)&amp;""=$N$15,LEN(INDEX('Tabelas'!$Y$472:$Y$578,76)&amp;"")&gt;0),1,0)</f>
        <v/>
      </c>
      <c r="AT85" s="19">
        <f>'Tabelas'!$AE$437&amp;""</f>
        <v/>
      </c>
      <c r="AW85" s="19">
        <f>IF(ISERROR($B$85),"",IF(ISBLANK($B$85),"",$B$85))</f>
        <v/>
      </c>
      <c r="BF85" s="19">
        <f>ISERROR($B$85)*1+ISERROR($F$85)*1</f>
        <v/>
      </c>
    </row>
    <row r="86" ht="60" customHeight="1">
      <c r="A86" s="32">
        <f>IF(LEN($AV$52)&gt;0,$AV$52,"NPC 7")</f>
        <v/>
      </c>
      <c r="B86" s="3" t="n"/>
      <c r="C86" s="24" t="n"/>
      <c r="D86" s="24" t="n"/>
      <c r="E86" s="16" t="n"/>
      <c r="F86" s="3" t="n"/>
      <c r="G86" s="24" t="n"/>
      <c r="H86" s="24" t="n"/>
      <c r="I86" s="24" t="n"/>
      <c r="J86" s="16" t="n"/>
      <c r="K86" s="18">
        <f>IF(BF86&gt;0,"O Google leu como fórmula: digite de novo com ' na frente.","")</f>
        <v/>
      </c>
      <c r="AE86" s="19">
        <f>$AE$85+IF(AND(LEN($N$15)&gt;0,INDEX('Tabelas'!$X$472:$X$578,77)&amp;""=$N$15,LEN(INDEX('Tabelas'!$Y$472:$Y$578,77)&amp;"")&gt;0),1,0)</f>
        <v/>
      </c>
      <c r="AT86" s="19">
        <f>'Tabelas'!$AE$438&amp;""</f>
        <v/>
      </c>
      <c r="AW86" s="19">
        <f>IF(ISERROR($B$86),"",IF(ISBLANK($B$86),"",$B$86))</f>
        <v/>
      </c>
      <c r="BF86" s="19">
        <f>ISERROR($B$86)*1+ISERROR($F$86)*1</f>
        <v/>
      </c>
    </row>
    <row r="87" ht="60" customHeight="1">
      <c r="A87" s="33">
        <f>IF(LEN($AV$53)&gt;0,$AV$53,"NPC 8")</f>
        <v/>
      </c>
      <c r="B87" s="28" t="n"/>
      <c r="C87" s="24" t="n"/>
      <c r="D87" s="24" t="n"/>
      <c r="E87" s="16" t="n"/>
      <c r="F87" s="28" t="n"/>
      <c r="G87" s="24" t="n"/>
      <c r="H87" s="24" t="n"/>
      <c r="I87" s="24" t="n"/>
      <c r="J87" s="16" t="n"/>
      <c r="K87" s="26">
        <f>IF(BF87&gt;0,"O Google leu como fórmula: digite de novo com ' na frente.","")</f>
        <v/>
      </c>
      <c r="AE87" s="19">
        <f>$AE$86+IF(AND(LEN($N$15)&gt;0,INDEX('Tabelas'!$X$472:$X$578,78)&amp;""=$N$15,LEN(INDEX('Tabelas'!$Y$472:$Y$578,78)&amp;"")&gt;0),1,0)</f>
        <v/>
      </c>
      <c r="AT87" s="19">
        <f>'Tabelas'!$AE$439&amp;""</f>
        <v/>
      </c>
      <c r="AW87" s="19">
        <f>IF(ISERROR($B$87),"",IF(ISBLANK($B$87),"",$B$87))</f>
        <v/>
      </c>
      <c r="BF87" s="19">
        <f>ISERROR($B$87)*1+ISERROR($F$87)*1</f>
        <v/>
      </c>
    </row>
    <row r="88" ht="60" customHeight="1">
      <c r="A88" s="32">
        <f>IF(LEN($AV$54)&gt;0,$AV$54,"NPC 9")</f>
        <v/>
      </c>
      <c r="B88" s="3" t="n"/>
      <c r="C88" s="24" t="n"/>
      <c r="D88" s="24" t="n"/>
      <c r="E88" s="16" t="n"/>
      <c r="F88" s="3" t="n"/>
      <c r="G88" s="24" t="n"/>
      <c r="H88" s="24" t="n"/>
      <c r="I88" s="24" t="n"/>
      <c r="J88" s="16" t="n"/>
      <c r="K88" s="18">
        <f>IF(BF88&gt;0,"O Google leu como fórmula: digite de novo com ' na frente.","")</f>
        <v/>
      </c>
      <c r="AE88" s="19">
        <f>$AE$87+IF(AND(LEN($N$15)&gt;0,INDEX('Tabelas'!$X$472:$X$578,79)&amp;""=$N$15,LEN(INDEX('Tabelas'!$Y$472:$Y$578,79)&amp;"")&gt;0),1,0)</f>
        <v/>
      </c>
      <c r="AT88" s="19">
        <f>'Tabelas'!$AE$441&amp;""</f>
        <v/>
      </c>
      <c r="AW88" s="19">
        <f>IF(ISERROR($B$88),"",IF(ISBLANK($B$88),"",$B$88))</f>
        <v/>
      </c>
      <c r="BF88" s="19">
        <f>ISERROR($B$88)*1+ISERROR($F$88)*1</f>
        <v/>
      </c>
    </row>
    <row r="89" ht="60" customHeight="1">
      <c r="A89" s="33">
        <f>IF(LEN($AV$55)&gt;0,$AV$55,"NPC 10")</f>
        <v/>
      </c>
      <c r="B89" s="28" t="n"/>
      <c r="C89" s="24" t="n"/>
      <c r="D89" s="24" t="n"/>
      <c r="E89" s="16" t="n"/>
      <c r="F89" s="28" t="n"/>
      <c r="G89" s="24" t="n"/>
      <c r="H89" s="24" t="n"/>
      <c r="I89" s="24" t="n"/>
      <c r="J89" s="16" t="n"/>
      <c r="K89" s="26">
        <f>IF(BF89&gt;0,"O Google leu como fórmula: digite de novo com ' na frente.","")</f>
        <v/>
      </c>
      <c r="AE89" s="19">
        <f>$AE$88+IF(AND(LEN($N$15)&gt;0,INDEX('Tabelas'!$X$472:$X$578,80)&amp;""=$N$15,LEN(INDEX('Tabelas'!$Y$472:$Y$578,80)&amp;"")&gt;0),1,0)</f>
        <v/>
      </c>
      <c r="AT89" s="19">
        <f>'Tabelas'!$AE$442&amp;""</f>
        <v/>
      </c>
      <c r="AW89" s="19">
        <f>IF(ISERROR($B$89),"",IF(ISBLANK($B$89),"",$B$89))</f>
        <v/>
      </c>
      <c r="BF89" s="19">
        <f>ISERROR($B$89)*1+ISERROR($F$89)*1</f>
        <v/>
      </c>
    </row>
    <row r="90">
      <c r="A90" s="7" t="inlineStr">
        <is>
          <t>NPC</t>
        </is>
      </c>
      <c r="B90" s="7" t="inlineStr">
        <is>
          <t>Aparência</t>
        </is>
      </c>
      <c r="C90" s="20" t="n"/>
      <c r="D90" s="20" t="n"/>
      <c r="E90" s="20" t="n"/>
      <c r="F90" s="7" t="inlineStr">
        <is>
          <t>Personalidade</t>
        </is>
      </c>
      <c r="G90" s="20" t="n"/>
      <c r="H90" s="20" t="n"/>
      <c r="I90" s="20" t="n"/>
      <c r="J90" s="20" t="n"/>
      <c r="K90" s="7" t="inlineStr">
        <is>
          <t>Aviso</t>
        </is>
      </c>
      <c r="L90" s="20" t="n"/>
      <c r="AE90" s="19">
        <f>$AE$89+IF(AND(LEN($N$15)&gt;0,INDEX('Tabelas'!$X$472:$X$578,81)&amp;""=$N$15,LEN(INDEX('Tabelas'!$Y$472:$Y$578,81)&amp;"")&gt;0),1,0)</f>
        <v/>
      </c>
      <c r="AT90" s="19">
        <f>'Tabelas'!$AE$443&amp;""</f>
        <v/>
      </c>
    </row>
    <row r="91" ht="60" customHeight="1">
      <c r="A91" s="32">
        <f>IF(LEN($AV$57)&gt;0,$AV$57,"NPC 11")</f>
        <v/>
      </c>
      <c r="B91" s="3" t="n"/>
      <c r="C91" s="24" t="n"/>
      <c r="D91" s="24" t="n"/>
      <c r="E91" s="16" t="n"/>
      <c r="F91" s="3" t="n"/>
      <c r="G91" s="24" t="n"/>
      <c r="H91" s="24" t="n"/>
      <c r="I91" s="24" t="n"/>
      <c r="J91" s="16" t="n"/>
      <c r="K91" s="18">
        <f>IF(BF91&gt;0,"O Google leu como fórmula: digite de novo com ' na frente.","")</f>
        <v/>
      </c>
      <c r="AE91" s="19">
        <f>$AE$90+IF(AND(LEN($N$15)&gt;0,INDEX('Tabelas'!$X$472:$X$578,82)&amp;""=$N$15,LEN(INDEX('Tabelas'!$Y$472:$Y$578,82)&amp;"")&gt;0),1,0)</f>
        <v/>
      </c>
      <c r="AT91" s="19">
        <f>'Tabelas'!$AE$444&amp;""</f>
        <v/>
      </c>
      <c r="AW91" s="19">
        <f>IF(ISERROR($B$91),"",IF(ISBLANK($B$91),"",$B$91))</f>
        <v/>
      </c>
      <c r="BF91" s="19">
        <f>ISERROR($B$91)*1+ISERROR($F$91)*1</f>
        <v/>
      </c>
    </row>
    <row r="92" ht="60" customHeight="1">
      <c r="A92" s="33">
        <f>IF(LEN($AV$58)&gt;0,$AV$58,"NPC 12")</f>
        <v/>
      </c>
      <c r="B92" s="28" t="n"/>
      <c r="C92" s="24" t="n"/>
      <c r="D92" s="24" t="n"/>
      <c r="E92" s="16" t="n"/>
      <c r="F92" s="28" t="n"/>
      <c r="G92" s="24" t="n"/>
      <c r="H92" s="24" t="n"/>
      <c r="I92" s="24" t="n"/>
      <c r="J92" s="16" t="n"/>
      <c r="K92" s="26">
        <f>IF(BF92&gt;0,"O Google leu como fórmula: digite de novo com ' na frente.","")</f>
        <v/>
      </c>
      <c r="AE92" s="19">
        <f>$AE$91+IF(AND(LEN($N$15)&gt;0,INDEX('Tabelas'!$X$472:$X$578,83)&amp;""=$N$15,LEN(INDEX('Tabelas'!$Y$472:$Y$578,83)&amp;"")&gt;0),1,0)</f>
        <v/>
      </c>
      <c r="AT92" s="19">
        <f>'Tabelas'!$AE$445&amp;""</f>
        <v/>
      </c>
      <c r="AW92" s="19">
        <f>IF(ISERROR($B$92),"",IF(ISBLANK($B$92),"",$B$92))</f>
        <v/>
      </c>
      <c r="BF92" s="19">
        <f>ISERROR($B$92)*1+ISERROR($F$92)*1</f>
        <v/>
      </c>
    </row>
    <row r="93" ht="60" customHeight="1">
      <c r="A93" s="32">
        <f>IF(LEN($AV$59)&gt;0,$AV$59,"NPC 13")</f>
        <v/>
      </c>
      <c r="B93" s="3" t="n"/>
      <c r="C93" s="24" t="n"/>
      <c r="D93" s="24" t="n"/>
      <c r="E93" s="16" t="n"/>
      <c r="F93" s="3" t="n"/>
      <c r="G93" s="24" t="n"/>
      <c r="H93" s="24" t="n"/>
      <c r="I93" s="24" t="n"/>
      <c r="J93" s="16" t="n"/>
      <c r="K93" s="18">
        <f>IF(BF93&gt;0,"O Google leu como fórmula: digite de novo com ' na frente.","")</f>
        <v/>
      </c>
      <c r="AE93" s="19">
        <f>$AE$92</f>
        <v/>
      </c>
      <c r="AT93" s="19">
        <f>'Tabelas'!$AE$446&amp;""</f>
        <v/>
      </c>
      <c r="AW93" s="19">
        <f>IF(ISERROR($B$93),"",IF(ISBLANK($B$93),"",$B$93))</f>
        <v/>
      </c>
      <c r="BF93" s="19">
        <f>ISERROR($B$93)*1+ISERROR($F$93)*1</f>
        <v/>
      </c>
    </row>
    <row r="94" ht="60" customHeight="1">
      <c r="A94" s="33">
        <f>IF(LEN($AV$60)&gt;0,$AV$60,"NPC 14")</f>
        <v/>
      </c>
      <c r="B94" s="28" t="n"/>
      <c r="C94" s="24" t="n"/>
      <c r="D94" s="24" t="n"/>
      <c r="E94" s="16" t="n"/>
      <c r="F94" s="28" t="n"/>
      <c r="G94" s="24" t="n"/>
      <c r="H94" s="24" t="n"/>
      <c r="I94" s="24" t="n"/>
      <c r="J94" s="16" t="n"/>
      <c r="K94" s="26">
        <f>IF(BF94&gt;0,"O Google leu como fórmula: digite de novo com ' na frente.","")</f>
        <v/>
      </c>
      <c r="AE94" s="19">
        <f>$AE$93+IF(AND(LEN($N$15)&gt;0,INDEX('Tabelas'!$X$472:$X$578,85)&amp;""=$N$15,LEN(INDEX('Tabelas'!$Y$472:$Y$578,85)&amp;"")&gt;0),1,0)</f>
        <v/>
      </c>
      <c r="AT94" s="19">
        <f>'Tabelas'!$AE$447&amp;""</f>
        <v/>
      </c>
      <c r="AW94" s="19">
        <f>IF(ISERROR($B$94),"",IF(ISBLANK($B$94),"",$B$94))</f>
        <v/>
      </c>
      <c r="BF94" s="19">
        <f>ISERROR($B$94)*1+ISERROR($F$94)*1</f>
        <v/>
      </c>
    </row>
    <row r="95" ht="60" customHeight="1">
      <c r="A95" s="32">
        <f>IF(LEN($AV$61)&gt;0,$AV$61,"NPC 15")</f>
        <v/>
      </c>
      <c r="B95" s="3" t="n"/>
      <c r="C95" s="24" t="n"/>
      <c r="D95" s="24" t="n"/>
      <c r="E95" s="16" t="n"/>
      <c r="F95" s="3" t="n"/>
      <c r="G95" s="24" t="n"/>
      <c r="H95" s="24" t="n"/>
      <c r="I95" s="24" t="n"/>
      <c r="J95" s="16" t="n"/>
      <c r="K95" s="18">
        <f>IF(BF95&gt;0,"O Google leu como fórmula: digite de novo com ' na frente.","")</f>
        <v/>
      </c>
      <c r="AE95" s="19">
        <f>$AE$94+IF(AND(LEN($N$15)&gt;0,INDEX('Tabelas'!$X$472:$X$578,86)&amp;""=$N$15,LEN(INDEX('Tabelas'!$Y$472:$Y$578,86)&amp;"")&gt;0),1,0)</f>
        <v/>
      </c>
      <c r="AT95" s="19">
        <f>'Tabelas'!$AE$448&amp;""</f>
        <v/>
      </c>
      <c r="AW95" s="19">
        <f>IF(ISERROR($B$95),"",IF(ISBLANK($B$95),"",$B$95))</f>
        <v/>
      </c>
      <c r="BF95" s="19">
        <f>ISERROR($B$95)*1+ISERROR($F$95)*1</f>
        <v/>
      </c>
    </row>
    <row r="96" ht="60" customHeight="1">
      <c r="A96" s="33">
        <f>IF(LEN($AV$62)&gt;0,$AV$62,"NPC 16")</f>
        <v/>
      </c>
      <c r="B96" s="28" t="n"/>
      <c r="C96" s="24" t="n"/>
      <c r="D96" s="24" t="n"/>
      <c r="E96" s="16" t="n"/>
      <c r="F96" s="28" t="n"/>
      <c r="G96" s="24" t="n"/>
      <c r="H96" s="24" t="n"/>
      <c r="I96" s="24" t="n"/>
      <c r="J96" s="16" t="n"/>
      <c r="K96" s="26">
        <f>IF(BF96&gt;0,"O Google leu como fórmula: digite de novo com ' na frente.","")</f>
        <v/>
      </c>
      <c r="AE96" s="19">
        <f>$AE$95+IF(AND(LEN($N$15)&gt;0,INDEX('Tabelas'!$X$472:$X$578,87)&amp;""=$N$15,LEN(INDEX('Tabelas'!$Y$472:$Y$578,87)&amp;"")&gt;0),1,0)</f>
        <v/>
      </c>
      <c r="AT96" s="19">
        <f>'Tabelas'!$AE$449&amp;""</f>
        <v/>
      </c>
      <c r="AW96" s="19">
        <f>IF(ISERROR($B$96),"",IF(ISBLANK($B$96),"",$B$96))</f>
        <v/>
      </c>
      <c r="BF96" s="19">
        <f>ISERROR($B$96)*1+ISERROR($F$96)*1</f>
        <v/>
      </c>
    </row>
    <row r="97" ht="60" customHeight="1">
      <c r="A97" s="32">
        <f>IF(LEN($AV$63)&gt;0,$AV$63,"NPC 17")</f>
        <v/>
      </c>
      <c r="B97" s="3" t="n"/>
      <c r="C97" s="24" t="n"/>
      <c r="D97" s="24" t="n"/>
      <c r="E97" s="16" t="n"/>
      <c r="F97" s="3" t="n"/>
      <c r="G97" s="24" t="n"/>
      <c r="H97" s="24" t="n"/>
      <c r="I97" s="24" t="n"/>
      <c r="J97" s="16" t="n"/>
      <c r="K97" s="18">
        <f>IF(BF97&gt;0,"O Google leu como fórmula: digite de novo com ' na frente.","")</f>
        <v/>
      </c>
      <c r="AE97" s="19">
        <f>$AE$96+IF(AND(LEN($N$15)&gt;0,INDEX('Tabelas'!$X$472:$X$578,88)&amp;""=$N$15,LEN(INDEX('Tabelas'!$Y$472:$Y$578,88)&amp;"")&gt;0),1,0)</f>
        <v/>
      </c>
      <c r="AT97" s="19">
        <f>'Tabelas'!$AE$450&amp;""</f>
        <v/>
      </c>
      <c r="AW97" s="19">
        <f>IF(ISERROR($B$97),"",IF(ISBLANK($B$97),"",$B$97))</f>
        <v/>
      </c>
      <c r="BF97" s="19">
        <f>ISERROR($B$97)*1+ISERROR($F$97)*1</f>
        <v/>
      </c>
    </row>
    <row r="98" ht="60" customHeight="1">
      <c r="A98" s="33">
        <f>IF(LEN($AV$64)&gt;0,$AV$64,"NPC 18")</f>
        <v/>
      </c>
      <c r="B98" s="28" t="n"/>
      <c r="C98" s="24" t="n"/>
      <c r="D98" s="24" t="n"/>
      <c r="E98" s="16" t="n"/>
      <c r="F98" s="28" t="n"/>
      <c r="G98" s="24" t="n"/>
      <c r="H98" s="24" t="n"/>
      <c r="I98" s="24" t="n"/>
      <c r="J98" s="16" t="n"/>
      <c r="K98" s="26">
        <f>IF(BF98&gt;0,"O Google leu como fórmula: digite de novo com ' na frente.","")</f>
        <v/>
      </c>
      <c r="AE98" s="19">
        <f>$AE$97+IF(AND(LEN($N$15)&gt;0,INDEX('Tabelas'!$X$472:$X$578,89)&amp;""=$N$15,LEN(INDEX('Tabelas'!$Y$472:$Y$578,89)&amp;"")&gt;0),1,0)</f>
        <v/>
      </c>
      <c r="AT98" s="19">
        <f>'Tabelas'!$AE$451&amp;""</f>
        <v/>
      </c>
      <c r="AW98" s="19">
        <f>IF(ISERROR($B$98),"",IF(ISBLANK($B$98),"",$B$98))</f>
        <v/>
      </c>
      <c r="BF98" s="19">
        <f>ISERROR($B$98)*1+ISERROR($F$98)*1</f>
        <v/>
      </c>
    </row>
    <row r="99" ht="60" customHeight="1">
      <c r="A99" s="32">
        <f>IF(LEN($AV$65)&gt;0,$AV$65,"NPC 19")</f>
        <v/>
      </c>
      <c r="B99" s="3" t="n"/>
      <c r="C99" s="24" t="n"/>
      <c r="D99" s="24" t="n"/>
      <c r="E99" s="16" t="n"/>
      <c r="F99" s="3" t="n"/>
      <c r="G99" s="24" t="n"/>
      <c r="H99" s="24" t="n"/>
      <c r="I99" s="24" t="n"/>
      <c r="J99" s="16" t="n"/>
      <c r="K99" s="18">
        <f>IF(BF99&gt;0,"O Google leu como fórmula: digite de novo com ' na frente.","")</f>
        <v/>
      </c>
      <c r="AE99" s="19">
        <f>$AE$98+IF(AND(LEN($N$15)&gt;0,INDEX('Tabelas'!$X$472:$X$578,90)&amp;""=$N$15,LEN(INDEX('Tabelas'!$Y$472:$Y$578,90)&amp;"")&gt;0),1,0)</f>
        <v/>
      </c>
      <c r="AT99" s="19">
        <f>'Tabelas'!$AE$452&amp;""</f>
        <v/>
      </c>
      <c r="AW99" s="19">
        <f>IF(ISERROR($B$99),"",IF(ISBLANK($B$99),"",$B$99))</f>
        <v/>
      </c>
      <c r="BF99" s="19">
        <f>ISERROR($B$99)*1+ISERROR($F$99)*1</f>
        <v/>
      </c>
    </row>
    <row r="100" ht="60" customHeight="1">
      <c r="A100" s="33">
        <f>IF(LEN($AV$66)&gt;0,$AV$66,"NPC 20")</f>
        <v/>
      </c>
      <c r="B100" s="28" t="n"/>
      <c r="C100" s="24" t="n"/>
      <c r="D100" s="24" t="n"/>
      <c r="E100" s="16" t="n"/>
      <c r="F100" s="28" t="n"/>
      <c r="G100" s="24" t="n"/>
      <c r="H100" s="24" t="n"/>
      <c r="I100" s="24" t="n"/>
      <c r="J100" s="16" t="n"/>
      <c r="K100" s="26">
        <f>IF(BF100&gt;0,"O Google leu como fórmula: digite de novo com ' na frente.","")</f>
        <v/>
      </c>
      <c r="AE100" s="19">
        <f>$AE$99+IF(AND(LEN($N$15)&gt;0,INDEX('Tabelas'!$X$472:$X$578,91)&amp;""=$N$15,LEN(INDEX('Tabelas'!$Y$472:$Y$578,91)&amp;"")&gt;0),1,0)</f>
        <v/>
      </c>
      <c r="AT100" s="19">
        <f>'Tabelas'!$AE$453&amp;""</f>
        <v/>
      </c>
      <c r="AW100" s="19">
        <f>IF(ISERROR($B$100),"",IF(ISBLANK($B$100),"",$B$100))</f>
        <v/>
      </c>
      <c r="BF100" s="19">
        <f>ISERROR($B$100)*1+ISERROR($F$100)*1</f>
        <v/>
      </c>
    </row>
    <row r="101">
      <c r="A101" s="7" t="inlineStr">
        <is>
          <t>NPC</t>
        </is>
      </c>
      <c r="B101" s="7" t="inlineStr">
        <is>
          <t>Aparência</t>
        </is>
      </c>
      <c r="C101" s="20" t="n"/>
      <c r="D101" s="20" t="n"/>
      <c r="E101" s="20" t="n"/>
      <c r="F101" s="7" t="inlineStr">
        <is>
          <t>Personalidade</t>
        </is>
      </c>
      <c r="G101" s="20" t="n"/>
      <c r="H101" s="20" t="n"/>
      <c r="I101" s="20" t="n"/>
      <c r="J101" s="20" t="n"/>
      <c r="K101" s="7" t="inlineStr">
        <is>
          <t>Aviso</t>
        </is>
      </c>
      <c r="L101" s="20" t="n"/>
      <c r="AE101" s="19">
        <f>$AE$100+IF(AND(LEN($N$15)&gt;0,INDEX('Tabelas'!$X$472:$X$578,92)&amp;""=$N$15,LEN(INDEX('Tabelas'!$Y$472:$Y$578,92)&amp;"")&gt;0),1,0)</f>
        <v/>
      </c>
      <c r="AT101" s="19">
        <f>'Tabelas'!$AE$455&amp;""</f>
        <v/>
      </c>
    </row>
    <row r="102" ht="60" customHeight="1">
      <c r="A102" s="32">
        <f>IF(LEN($AV$68)&gt;0,$AV$68,"NPC 21")</f>
        <v/>
      </c>
      <c r="B102" s="3" t="n"/>
      <c r="C102" s="24" t="n"/>
      <c r="D102" s="24" t="n"/>
      <c r="E102" s="16" t="n"/>
      <c r="F102" s="3" t="n"/>
      <c r="G102" s="24" t="n"/>
      <c r="H102" s="24" t="n"/>
      <c r="I102" s="24" t="n"/>
      <c r="J102" s="16" t="n"/>
      <c r="K102" s="18">
        <f>IF(BF102&gt;0,"O Google leu como fórmula: digite de novo com ' na frente.","")</f>
        <v/>
      </c>
      <c r="AE102" s="19">
        <f>$AE$101+IF(AND(LEN($N$15)&gt;0,INDEX('Tabelas'!$X$472:$X$578,93)&amp;""=$N$15,LEN(INDEX('Tabelas'!$Y$472:$Y$578,93)&amp;"")&gt;0),1,0)</f>
        <v/>
      </c>
      <c r="AT102" s="19">
        <f>'Tabelas'!$AE$456&amp;""</f>
        <v/>
      </c>
      <c r="AW102" s="19">
        <f>IF(ISERROR($B$102),"",IF(ISBLANK($B$102),"",$B$102))</f>
        <v/>
      </c>
      <c r="BF102" s="19">
        <f>ISERROR($B$102)*1+ISERROR($F$102)*1</f>
        <v/>
      </c>
    </row>
    <row r="103" ht="60" customHeight="1">
      <c r="A103" s="33">
        <f>IF(LEN($AV$69)&gt;0,$AV$69,"NPC 22")</f>
        <v/>
      </c>
      <c r="B103" s="28" t="n"/>
      <c r="C103" s="24" t="n"/>
      <c r="D103" s="24" t="n"/>
      <c r="E103" s="16" t="n"/>
      <c r="F103" s="28" t="n"/>
      <c r="G103" s="24" t="n"/>
      <c r="H103" s="24" t="n"/>
      <c r="I103" s="24" t="n"/>
      <c r="J103" s="16" t="n"/>
      <c r="K103" s="26">
        <f>IF(BF103&gt;0,"O Google leu como fórmula: digite de novo com ' na frente.","")</f>
        <v/>
      </c>
      <c r="AE103" s="19">
        <f>$AE$102+IF(AND(LEN($N$15)&gt;0,INDEX('Tabelas'!$X$472:$X$578,94)&amp;""=$N$15,LEN(INDEX('Tabelas'!$Y$472:$Y$578,94)&amp;"")&gt;0),1,0)</f>
        <v/>
      </c>
      <c r="AT103" s="19">
        <f>'Tabelas'!$AE$457&amp;""</f>
        <v/>
      </c>
      <c r="AW103" s="19">
        <f>IF(ISERROR($B$103),"",IF(ISBLANK($B$103),"",$B$103))</f>
        <v/>
      </c>
      <c r="BF103" s="19">
        <f>ISERROR($B$103)*1+ISERROR($F$103)*1</f>
        <v/>
      </c>
    </row>
    <row r="104" ht="60" customHeight="1">
      <c r="A104" s="32">
        <f>IF(LEN($AV$70)&gt;0,$AV$70,"NPC 23")</f>
        <v/>
      </c>
      <c r="B104" s="3" t="n"/>
      <c r="C104" s="24" t="n"/>
      <c r="D104" s="24" t="n"/>
      <c r="E104" s="16" t="n"/>
      <c r="F104" s="3" t="n"/>
      <c r="G104" s="24" t="n"/>
      <c r="H104" s="24" t="n"/>
      <c r="I104" s="24" t="n"/>
      <c r="J104" s="16" t="n"/>
      <c r="K104" s="18">
        <f>IF(BF104&gt;0,"O Google leu como fórmula: digite de novo com ' na frente.","")</f>
        <v/>
      </c>
      <c r="AE104" s="19">
        <f>$AE$103+IF(AND(LEN($N$15)&gt;0,INDEX('Tabelas'!$X$472:$X$578,95)&amp;""=$N$15,LEN(INDEX('Tabelas'!$Y$472:$Y$578,95)&amp;"")&gt;0),1,0)</f>
        <v/>
      </c>
      <c r="AT104" s="19">
        <f>'Tabelas'!$AE$458&amp;""</f>
        <v/>
      </c>
      <c r="AW104" s="19">
        <f>IF(ISERROR($B$104),"",IF(ISBLANK($B$104),"",$B$104))</f>
        <v/>
      </c>
      <c r="BF104" s="19">
        <f>ISERROR($B$104)*1+ISERROR($F$104)*1</f>
        <v/>
      </c>
    </row>
    <row r="105" ht="71" customHeight="1">
      <c r="A105" s="33">
        <f>IF(LEN($AV$71)&gt;0,$AV$71,"NPC 24")</f>
        <v/>
      </c>
      <c r="B105" s="28" t="n"/>
      <c r="C105" s="24" t="n"/>
      <c r="D105" s="24" t="n"/>
      <c r="E105" s="16" t="n"/>
      <c r="F105" s="28" t="n"/>
      <c r="G105" s="24" t="n"/>
      <c r="H105" s="24" t="n"/>
      <c r="I105" s="24" t="n"/>
      <c r="J105" s="16" t="n"/>
      <c r="K105" s="26">
        <f>IF(BF105&gt;0,"O Google leu como fórmula: digite de novo com ' na frente.","")</f>
        <v/>
      </c>
      <c r="AE105" s="19">
        <f>$AE$104+IF(AND(LEN($N$15)&gt;0,INDEX('Tabelas'!$X$472:$X$578,96)&amp;""=$N$15,LEN(INDEX('Tabelas'!$Y$472:$Y$578,96)&amp;"")&gt;0),1,0)</f>
        <v/>
      </c>
      <c r="AT105" s="19">
        <f>'Tabelas'!$AE$459&amp;""</f>
        <v/>
      </c>
      <c r="AW105" s="19">
        <f>IF(ISERROR($B$105),"",IF(ISBLANK($B$105),"",$B$105))</f>
        <v/>
      </c>
      <c r="BF105" s="19">
        <f>ISERROR($B$105)*1+ISERROR($F$105)*1</f>
        <v/>
      </c>
    </row>
    <row r="106" ht="71" customHeight="1">
      <c r="A106" s="32">
        <f>IF(LEN($AV$72)&gt;0,$AV$72,"NPC 25")</f>
        <v/>
      </c>
      <c r="B106" s="3" t="n"/>
      <c r="C106" s="24" t="n"/>
      <c r="D106" s="24" t="n"/>
      <c r="E106" s="16" t="n"/>
      <c r="F106" s="3" t="n"/>
      <c r="G106" s="24" t="n"/>
      <c r="H106" s="24" t="n"/>
      <c r="I106" s="24" t="n"/>
      <c r="J106" s="16" t="n"/>
      <c r="K106" s="18">
        <f>IF(BF106&gt;0,"O Google leu como fórmula: digite de novo com ' na frente.","")</f>
        <v/>
      </c>
      <c r="AE106" s="19">
        <f>$AE$105+IF(AND(LEN($N$15)&gt;0,INDEX('Tabelas'!$X$472:$X$578,97)&amp;""=$N$15,LEN(INDEX('Tabelas'!$Y$472:$Y$578,97)&amp;"")&gt;0),1,0)</f>
        <v/>
      </c>
      <c r="AT106" s="19">
        <f>'Tabelas'!$AE$460&amp;""</f>
        <v/>
      </c>
      <c r="AW106" s="19">
        <f>IF(ISERROR($B$106),"",IF(ISBLANK($B$106),"",$B$106))</f>
        <v/>
      </c>
      <c r="BF106" s="19">
        <f>ISERROR($B$106)*1+ISERROR($F$106)*1</f>
        <v/>
      </c>
    </row>
    <row r="107" ht="60" customHeight="1">
      <c r="A107" s="33">
        <f>IF(LEN($AV$73)&gt;0,$AV$73,"NPC 26")</f>
        <v/>
      </c>
      <c r="B107" s="28" t="n"/>
      <c r="C107" s="24" t="n"/>
      <c r="D107" s="24" t="n"/>
      <c r="E107" s="16" t="n"/>
      <c r="F107" s="28" t="n"/>
      <c r="G107" s="24" t="n"/>
      <c r="H107" s="24" t="n"/>
      <c r="I107" s="24" t="n"/>
      <c r="J107" s="16" t="n"/>
      <c r="K107" s="26">
        <f>IF(BF107&gt;0,"O Google leu como fórmula: digite de novo com ' na frente.","")</f>
        <v/>
      </c>
      <c r="AE107" s="19">
        <f>$AE$106</f>
        <v/>
      </c>
      <c r="AT107" s="19">
        <f>'Tabelas'!$AE$461&amp;""</f>
        <v/>
      </c>
      <c r="AW107" s="19">
        <f>IF(ISERROR($B$107),"",IF(ISBLANK($B$107),"",$B$107))</f>
        <v/>
      </c>
      <c r="BF107" s="19">
        <f>ISERROR($B$107)*1+ISERROR($F$107)*1</f>
        <v/>
      </c>
    </row>
    <row r="108" ht="71" customHeight="1">
      <c r="A108" s="32">
        <f>IF(LEN($AV$74)&gt;0,$AV$74,"NPC 27")</f>
        <v/>
      </c>
      <c r="B108" s="3" t="n"/>
      <c r="C108" s="24" t="n"/>
      <c r="D108" s="24" t="n"/>
      <c r="E108" s="16" t="n"/>
      <c r="F108" s="3" t="n"/>
      <c r="G108" s="24" t="n"/>
      <c r="H108" s="24" t="n"/>
      <c r="I108" s="24" t="n"/>
      <c r="J108" s="16" t="n"/>
      <c r="K108" s="18">
        <f>IF(BF108&gt;0,"O Google leu como fórmula: digite de novo com ' na frente.","")</f>
        <v/>
      </c>
      <c r="AE108" s="19">
        <f>$AE$107+IF(AND(LEN($N$15)&gt;0,INDEX('Tabelas'!$X$472:$X$578,99)&amp;""=$N$15,LEN(INDEX('Tabelas'!$Y$472:$Y$578,99)&amp;"")&gt;0),1,0)</f>
        <v/>
      </c>
      <c r="AT108" s="19">
        <f>'Tabelas'!$AE$462&amp;""</f>
        <v/>
      </c>
      <c r="AW108" s="19">
        <f>IF(ISERROR($B$108),"",IF(ISBLANK($B$108),"",$B$108))</f>
        <v/>
      </c>
      <c r="BF108" s="19">
        <f>ISERROR($B$108)*1+ISERROR($F$108)*1</f>
        <v/>
      </c>
    </row>
    <row r="109" ht="60" customHeight="1">
      <c r="A109" s="33">
        <f>IF(LEN($AV$75)&gt;0,$AV$75,"NPC 28")</f>
        <v/>
      </c>
      <c r="B109" s="28" t="n"/>
      <c r="C109" s="24" t="n"/>
      <c r="D109" s="24" t="n"/>
      <c r="E109" s="16" t="n"/>
      <c r="F109" s="28" t="n"/>
      <c r="G109" s="24" t="n"/>
      <c r="H109" s="24" t="n"/>
      <c r="I109" s="24" t="n"/>
      <c r="J109" s="16" t="n"/>
      <c r="K109" s="26">
        <f>IF(BF109&gt;0,"O Google leu como fórmula: digite de novo com ' na frente.","")</f>
        <v/>
      </c>
      <c r="AE109" s="19">
        <f>$AE$108+IF(AND(LEN($N$15)&gt;0,INDEX('Tabelas'!$X$472:$X$578,100)&amp;""=$N$15,LEN(INDEX('Tabelas'!$Y$472:$Y$578,100)&amp;"")&gt;0),1,0)</f>
        <v/>
      </c>
      <c r="AT109" s="19">
        <f>'Tabelas'!$AE$463&amp;""</f>
        <v/>
      </c>
      <c r="AW109" s="19">
        <f>IF(ISERROR($B$109),"",IF(ISBLANK($B$109),"",$B$109))</f>
        <v/>
      </c>
      <c r="BF109" s="19">
        <f>ISERROR($B$109)*1+ISERROR($F$109)*1</f>
        <v/>
      </c>
    </row>
    <row r="110" ht="60" customHeight="1">
      <c r="A110" s="32">
        <f>IF(LEN($AV$76)&gt;0,$AV$76,"NPC 29")</f>
        <v/>
      </c>
      <c r="B110" s="3" t="n"/>
      <c r="C110" s="24" t="n"/>
      <c r="D110" s="24" t="n"/>
      <c r="E110" s="16" t="n"/>
      <c r="F110" s="3" t="n"/>
      <c r="G110" s="24" t="n"/>
      <c r="H110" s="24" t="n"/>
      <c r="I110" s="24" t="n"/>
      <c r="J110" s="16" t="n"/>
      <c r="K110" s="18">
        <f>IF(BF110&gt;0,"O Google leu como fórmula: digite de novo com ' na frente.","")</f>
        <v/>
      </c>
      <c r="AE110" s="19">
        <f>$AE$109+IF(AND(LEN($N$15)&gt;0,INDEX('Tabelas'!$X$472:$X$578,101)&amp;""=$N$15,LEN(INDEX('Tabelas'!$Y$472:$Y$578,101)&amp;"")&gt;0),1,0)</f>
        <v/>
      </c>
      <c r="AW110" s="19">
        <f>IF(ISERROR($B$110),"",IF(ISBLANK($B$110),"",$B$110))</f>
        <v/>
      </c>
      <c r="BF110" s="19">
        <f>ISERROR($B$110)*1+ISERROR($F$110)*1</f>
        <v/>
      </c>
    </row>
    <row r="111" ht="60" customHeight="1">
      <c r="A111" s="33">
        <f>IF(LEN($AV$77)&gt;0,$AV$77,"NPC 30")</f>
        <v/>
      </c>
      <c r="B111" s="28" t="n"/>
      <c r="C111" s="24" t="n"/>
      <c r="D111" s="24" t="n"/>
      <c r="E111" s="16" t="n"/>
      <c r="F111" s="28" t="n"/>
      <c r="G111" s="24" t="n"/>
      <c r="H111" s="24" t="n"/>
      <c r="I111" s="24" t="n"/>
      <c r="J111" s="16" t="n"/>
      <c r="K111" s="26">
        <f>IF(BF111&gt;0,"O Google leu como fórmula: digite de novo com ' na frente.","")</f>
        <v/>
      </c>
      <c r="AE111" s="19">
        <f>$AE$110+IF(AND(LEN($N$15)&gt;0,INDEX('Tabelas'!$X$472:$X$578,102)&amp;""=$N$15,LEN(INDEX('Tabelas'!$Y$472:$Y$578,102)&amp;"")&gt;0),1,0)</f>
        <v/>
      </c>
      <c r="AW111" s="19">
        <f>IF(ISERROR($B$111),"",IF(ISBLANK($B$111),"",$B$111))</f>
        <v/>
      </c>
      <c r="BF111" s="19">
        <f>ISERROR($B$111)*1+ISERROR($F$111)*1</f>
        <v/>
      </c>
    </row>
    <row r="112" ht="20" customHeight="1">
      <c r="A112" s="12" t="inlineStr">
        <is>
          <t>E3 · Por dentro</t>
        </is>
      </c>
      <c r="AE112" s="19">
        <f>$AE$111+IF(AND(LEN($N$15)&gt;0,INDEX('Tabelas'!$X$472:$X$578,103)&amp;""=$N$15,LEN(INDEX('Tabelas'!$Y$472:$Y$578,103)&amp;"")&gt;0),1,0)</f>
        <v/>
      </c>
    </row>
    <row r="113">
      <c r="A113" s="7" t="inlineStr">
        <is>
          <t>NPC</t>
        </is>
      </c>
      <c r="B113" s="7" t="inlineStr">
        <is>
          <t>Motivação</t>
        </is>
      </c>
      <c r="C113" s="20" t="n"/>
      <c r="D113" s="20" t="n"/>
      <c r="E113" s="20" t="n"/>
      <c r="F113" s="7" t="inlineStr">
        <is>
          <t>Segredo</t>
        </is>
      </c>
      <c r="G113" s="20" t="n"/>
      <c r="H113" s="20" t="n"/>
      <c r="I113" s="20" t="n"/>
      <c r="J113" s="20" t="n"/>
      <c r="K113" s="7" t="inlineStr">
        <is>
          <t>Aviso</t>
        </is>
      </c>
      <c r="L113" s="20" t="n"/>
      <c r="AE113" s="19">
        <f>$AE$112+IF(AND(LEN($N$15)&gt;0,INDEX('Tabelas'!$X$472:$X$578,104)&amp;""=$N$15,LEN(INDEX('Tabelas'!$Y$472:$Y$578,104)&amp;"")&gt;0),1,0)</f>
        <v/>
      </c>
    </row>
    <row r="114" ht="60" customHeight="1">
      <c r="A114" s="32">
        <f>IF(LEN($AV$46)&gt;0,$AV$46,"NPC 1")</f>
        <v/>
      </c>
      <c r="B114" s="3" t="n"/>
      <c r="C114" s="24" t="n"/>
      <c r="D114" s="24" t="n"/>
      <c r="E114" s="16" t="n"/>
      <c r="F114" s="3" t="n"/>
      <c r="G114" s="24" t="n"/>
      <c r="H114" s="24" t="n"/>
      <c r="I114" s="24" t="n"/>
      <c r="J114" s="16" t="n"/>
      <c r="K114" s="18">
        <f>IF(BF114&gt;0,"O Google leu como fórmula: digite de novo com ' na frente.","")</f>
        <v/>
      </c>
      <c r="AE114" s="19">
        <f>$AE$113+IF(AND(LEN($N$15)&gt;0,INDEX('Tabelas'!$X$472:$X$578,105)&amp;""=$N$15,LEN(INDEX('Tabelas'!$Y$472:$Y$578,105)&amp;"")&gt;0),1,0)</f>
        <v/>
      </c>
      <c r="AW114" s="19">
        <f>IF(ISERROR($B$114),"",IF(ISBLANK($B$114),"",$B$114))</f>
        <v/>
      </c>
      <c r="BA114" s="19">
        <f>IF(ISERROR($F$114),"",IF(ISBLANK($F$114),"",$F$114))</f>
        <v/>
      </c>
      <c r="BF114" s="19">
        <f>ISERROR($B$114)*1+ISERROR($F$114)*1</f>
        <v/>
      </c>
    </row>
    <row r="115" ht="60" customHeight="1">
      <c r="A115" s="33">
        <f>IF(LEN($AV$47)&gt;0,$AV$47,"NPC 2")</f>
        <v/>
      </c>
      <c r="B115" s="28" t="n"/>
      <c r="C115" s="24" t="n"/>
      <c r="D115" s="24" t="n"/>
      <c r="E115" s="16" t="n"/>
      <c r="F115" s="28" t="n"/>
      <c r="G115" s="24" t="n"/>
      <c r="H115" s="24" t="n"/>
      <c r="I115" s="24" t="n"/>
      <c r="J115" s="16" t="n"/>
      <c r="K115" s="26">
        <f>IF(BF115&gt;0,"O Google leu como fórmula: digite de novo com ' na frente.","")</f>
        <v/>
      </c>
      <c r="AE115" s="19">
        <f>$AE$114+IF(AND(LEN($N$15)&gt;0,INDEX('Tabelas'!$X$472:$X$578,106)&amp;""=$N$15,LEN(INDEX('Tabelas'!$Y$472:$Y$578,106)&amp;"")&gt;0),1,0)</f>
        <v/>
      </c>
      <c r="AW115" s="19">
        <f>IF(ISERROR($B$115),"",IF(ISBLANK($B$115),"",$B$115))</f>
        <v/>
      </c>
      <c r="BA115" s="19">
        <f>IF(ISERROR($F$115),"",IF(ISBLANK($F$115),"",$F$115))</f>
        <v/>
      </c>
      <c r="BF115" s="19">
        <f>ISERROR($B$115)*1+ISERROR($F$115)*1</f>
        <v/>
      </c>
    </row>
    <row r="116" ht="60" customHeight="1">
      <c r="A116" s="32">
        <f>IF(LEN($AV$48)&gt;0,$AV$48,"NPC 3")</f>
        <v/>
      </c>
      <c r="B116" s="3" t="n"/>
      <c r="C116" s="24" t="n"/>
      <c r="D116" s="24" t="n"/>
      <c r="E116" s="16" t="n"/>
      <c r="F116" s="3" t="n"/>
      <c r="G116" s="24" t="n"/>
      <c r="H116" s="24" t="n"/>
      <c r="I116" s="24" t="n"/>
      <c r="J116" s="16" t="n"/>
      <c r="K116" s="18">
        <f>IF(BF116&gt;0,"O Google leu como fórmula: digite de novo com ' na frente.","")</f>
        <v/>
      </c>
      <c r="AE116" s="19">
        <f>$AE$115+IF(AND(LEN($N$15)&gt;0,INDEX('Tabelas'!$X$472:$X$578,107)&amp;""=$N$15,LEN(INDEX('Tabelas'!$Y$472:$Y$578,107)&amp;"")&gt;0),1,0)</f>
        <v/>
      </c>
      <c r="AW116" s="19">
        <f>IF(ISERROR($B$116),"",IF(ISBLANK($B$116),"",$B$116))</f>
        <v/>
      </c>
      <c r="BA116" s="19">
        <f>IF(ISERROR($F$116),"",IF(ISBLANK($F$116),"",$F$116))</f>
        <v/>
      </c>
      <c r="BF116" s="19">
        <f>ISERROR($B$116)*1+ISERROR($F$116)*1</f>
        <v/>
      </c>
    </row>
    <row r="117" ht="71" customHeight="1">
      <c r="A117" s="33">
        <f>IF(LEN($AV$49)&gt;0,$AV$49,"NPC 4")</f>
        <v/>
      </c>
      <c r="B117" s="28" t="n"/>
      <c r="C117" s="24" t="n"/>
      <c r="D117" s="24" t="n"/>
      <c r="E117" s="16" t="n"/>
      <c r="F117" s="28" t="n"/>
      <c r="G117" s="24" t="n"/>
      <c r="H117" s="24" t="n"/>
      <c r="I117" s="24" t="n"/>
      <c r="J117" s="16" t="n"/>
      <c r="K117" s="26">
        <f>IF(BF117&gt;0,"O Google leu como fórmula: digite de novo com ' na frente.","")</f>
        <v/>
      </c>
      <c r="AW117" s="19">
        <f>IF(ISERROR($B$117),"",IF(ISBLANK($B$117),"",$B$117))</f>
        <v/>
      </c>
      <c r="BA117" s="19">
        <f>IF(ISERROR($F$117),"",IF(ISBLANK($F$117),"",$F$117))</f>
        <v/>
      </c>
      <c r="BF117" s="19">
        <f>ISERROR($B$117)*1+ISERROR($F$117)*1</f>
        <v/>
      </c>
    </row>
    <row r="118" ht="60" customHeight="1">
      <c r="A118" s="32">
        <f>IF(LEN($AV$50)&gt;0,$AV$50,"NPC 5")</f>
        <v/>
      </c>
      <c r="B118" s="3" t="n"/>
      <c r="C118" s="24" t="n"/>
      <c r="D118" s="24" t="n"/>
      <c r="E118" s="16" t="n"/>
      <c r="F118" s="3" t="n"/>
      <c r="G118" s="24" t="n"/>
      <c r="H118" s="24" t="n"/>
      <c r="I118" s="24" t="n"/>
      <c r="J118" s="16" t="n"/>
      <c r="K118" s="18">
        <f>IF(BF118&gt;0,"O Google leu como fórmula: digite de novo com ' na frente.","")</f>
        <v/>
      </c>
      <c r="AW118" s="19">
        <f>IF(ISERROR($B$118),"",IF(ISBLANK($B$118),"",$B$118))</f>
        <v/>
      </c>
      <c r="BA118" s="19">
        <f>IF(ISERROR($F$118),"",IF(ISBLANK($F$118),"",$F$118))</f>
        <v/>
      </c>
      <c r="BF118" s="19">
        <f>ISERROR($B$118)*1+ISERROR($F$118)*1</f>
        <v/>
      </c>
    </row>
    <row r="119" ht="60" customHeight="1">
      <c r="A119" s="33">
        <f>IF(LEN($AV$51)&gt;0,$AV$51,"NPC 6")</f>
        <v/>
      </c>
      <c r="B119" s="28" t="n"/>
      <c r="C119" s="24" t="n"/>
      <c r="D119" s="24" t="n"/>
      <c r="E119" s="16" t="n"/>
      <c r="F119" s="28" t="n"/>
      <c r="G119" s="24" t="n"/>
      <c r="H119" s="24" t="n"/>
      <c r="I119" s="24" t="n"/>
      <c r="J119" s="16" t="n"/>
      <c r="K119" s="26">
        <f>IF(BF119&gt;0,"O Google leu como fórmula: digite de novo com ' na frente.","")</f>
        <v/>
      </c>
      <c r="AW119" s="19">
        <f>IF(ISERROR($B$119),"",IF(ISBLANK($B$119),"",$B$119))</f>
        <v/>
      </c>
      <c r="BA119" s="19">
        <f>IF(ISERROR($F$119),"",IF(ISBLANK($F$119),"",$F$119))</f>
        <v/>
      </c>
      <c r="BF119" s="19">
        <f>ISERROR($B$119)*1+ISERROR($F$119)*1</f>
        <v/>
      </c>
    </row>
    <row r="120" ht="60" customHeight="1">
      <c r="A120" s="32">
        <f>IF(LEN($AV$52)&gt;0,$AV$52,"NPC 7")</f>
        <v/>
      </c>
      <c r="B120" s="3" t="n"/>
      <c r="C120" s="24" t="n"/>
      <c r="D120" s="24" t="n"/>
      <c r="E120" s="16" t="n"/>
      <c r="F120" s="3" t="n"/>
      <c r="G120" s="24" t="n"/>
      <c r="H120" s="24" t="n"/>
      <c r="I120" s="24" t="n"/>
      <c r="J120" s="16" t="n"/>
      <c r="K120" s="18">
        <f>IF(BF120&gt;0,"O Google leu como fórmula: digite de novo com ' na frente.","")</f>
        <v/>
      </c>
      <c r="AW120" s="19">
        <f>IF(ISERROR($B$120),"",IF(ISBLANK($B$120),"",$B$120))</f>
        <v/>
      </c>
      <c r="BA120" s="19">
        <f>IF(ISERROR($F$120),"",IF(ISBLANK($F$120),"",$F$120))</f>
        <v/>
      </c>
      <c r="BF120" s="19">
        <f>ISERROR($B$120)*1+ISERROR($F$120)*1</f>
        <v/>
      </c>
    </row>
    <row r="121" ht="60" customHeight="1">
      <c r="A121" s="33">
        <f>IF(LEN($AV$53)&gt;0,$AV$53,"NPC 8")</f>
        <v/>
      </c>
      <c r="B121" s="28" t="n"/>
      <c r="C121" s="24" t="n"/>
      <c r="D121" s="24" t="n"/>
      <c r="E121" s="16" t="n"/>
      <c r="F121" s="28" t="n"/>
      <c r="G121" s="24" t="n"/>
      <c r="H121" s="24" t="n"/>
      <c r="I121" s="24" t="n"/>
      <c r="J121" s="16" t="n"/>
      <c r="K121" s="26">
        <f>IF(BF121&gt;0,"O Google leu como fórmula: digite de novo com ' na frente.","")</f>
        <v/>
      </c>
      <c r="AW121" s="19">
        <f>IF(ISERROR($B$121),"",IF(ISBLANK($B$121),"",$B$121))</f>
        <v/>
      </c>
      <c r="BA121" s="19">
        <f>IF(ISERROR($F$121),"",IF(ISBLANK($F$121),"",$F$121))</f>
        <v/>
      </c>
      <c r="BF121" s="19">
        <f>ISERROR($B$121)*1+ISERROR($F$121)*1</f>
        <v/>
      </c>
    </row>
    <row r="122" ht="60" customHeight="1">
      <c r="A122" s="32">
        <f>IF(LEN($AV$54)&gt;0,$AV$54,"NPC 9")</f>
        <v/>
      </c>
      <c r="B122" s="3" t="n"/>
      <c r="C122" s="24" t="n"/>
      <c r="D122" s="24" t="n"/>
      <c r="E122" s="16" t="n"/>
      <c r="F122" s="3" t="n"/>
      <c r="G122" s="24" t="n"/>
      <c r="H122" s="24" t="n"/>
      <c r="I122" s="24" t="n"/>
      <c r="J122" s="16" t="n"/>
      <c r="K122" s="18">
        <f>IF(BF122&gt;0,"O Google leu como fórmula: digite de novo com ' na frente.","")</f>
        <v/>
      </c>
      <c r="AW122" s="19">
        <f>IF(ISERROR($B$122),"",IF(ISBLANK($B$122),"",$B$122))</f>
        <v/>
      </c>
      <c r="BA122" s="19">
        <f>IF(ISERROR($F$122),"",IF(ISBLANK($F$122),"",$F$122))</f>
        <v/>
      </c>
      <c r="BF122" s="19">
        <f>ISERROR($B$122)*1+ISERROR($F$122)*1</f>
        <v/>
      </c>
    </row>
    <row r="123" ht="60" customHeight="1">
      <c r="A123" s="33">
        <f>IF(LEN($AV$55)&gt;0,$AV$55,"NPC 10")</f>
        <v/>
      </c>
      <c r="B123" s="28" t="n"/>
      <c r="C123" s="24" t="n"/>
      <c r="D123" s="24" t="n"/>
      <c r="E123" s="16" t="n"/>
      <c r="F123" s="28" t="n"/>
      <c r="G123" s="24" t="n"/>
      <c r="H123" s="24" t="n"/>
      <c r="I123" s="24" t="n"/>
      <c r="J123" s="16" t="n"/>
      <c r="K123" s="26">
        <f>IF(BF123&gt;0,"O Google leu como fórmula: digite de novo com ' na frente.","")</f>
        <v/>
      </c>
      <c r="AW123" s="19">
        <f>IF(ISERROR($B$123),"",IF(ISBLANK($B$123),"",$B$123))</f>
        <v/>
      </c>
      <c r="BA123" s="19">
        <f>IF(ISERROR($F$123),"",IF(ISBLANK($F$123),"",$F$123))</f>
        <v/>
      </c>
      <c r="BF123" s="19">
        <f>ISERROR($B$123)*1+ISERROR($F$123)*1</f>
        <v/>
      </c>
    </row>
    <row r="124">
      <c r="A124" s="7" t="inlineStr">
        <is>
          <t>NPC</t>
        </is>
      </c>
      <c r="B124" s="7" t="inlineStr">
        <is>
          <t>Motivação</t>
        </is>
      </c>
      <c r="C124" s="20" t="n"/>
      <c r="D124" s="20" t="n"/>
      <c r="E124" s="20" t="n"/>
      <c r="F124" s="7" t="inlineStr">
        <is>
          <t>Segredo</t>
        </is>
      </c>
      <c r="G124" s="20" t="n"/>
      <c r="H124" s="20" t="n"/>
      <c r="I124" s="20" t="n"/>
      <c r="J124" s="20" t="n"/>
      <c r="K124" s="7" t="inlineStr">
        <is>
          <t>Aviso</t>
        </is>
      </c>
      <c r="L124" s="20" t="n"/>
    </row>
    <row r="125" ht="60" customHeight="1">
      <c r="A125" s="32">
        <f>IF(LEN($AV$57)&gt;0,$AV$57,"NPC 11")</f>
        <v/>
      </c>
      <c r="B125" s="3" t="n"/>
      <c r="C125" s="24" t="n"/>
      <c r="D125" s="24" t="n"/>
      <c r="E125" s="16" t="n"/>
      <c r="F125" s="3" t="n"/>
      <c r="G125" s="24" t="n"/>
      <c r="H125" s="24" t="n"/>
      <c r="I125" s="24" t="n"/>
      <c r="J125" s="16" t="n"/>
      <c r="K125" s="18">
        <f>IF(BF125&gt;0,"O Google leu como fórmula: digite de novo com ' na frente.","")</f>
        <v/>
      </c>
      <c r="AW125" s="19">
        <f>IF(ISERROR($B$125),"",IF(ISBLANK($B$125),"",$B$125))</f>
        <v/>
      </c>
      <c r="BA125" s="19">
        <f>IF(ISERROR($F$125),"",IF(ISBLANK($F$125),"",$F$125))</f>
        <v/>
      </c>
      <c r="BF125" s="19">
        <f>ISERROR($B$125)*1+ISERROR($F$125)*1</f>
        <v/>
      </c>
    </row>
    <row r="126" ht="60" customHeight="1">
      <c r="A126" s="33">
        <f>IF(LEN($AV$58)&gt;0,$AV$58,"NPC 12")</f>
        <v/>
      </c>
      <c r="B126" s="28" t="n"/>
      <c r="C126" s="24" t="n"/>
      <c r="D126" s="24" t="n"/>
      <c r="E126" s="16" t="n"/>
      <c r="F126" s="28" t="n"/>
      <c r="G126" s="24" t="n"/>
      <c r="H126" s="24" t="n"/>
      <c r="I126" s="24" t="n"/>
      <c r="J126" s="16" t="n"/>
      <c r="K126" s="26">
        <f>IF(BF126&gt;0,"O Google leu como fórmula: digite de novo com ' na frente.","")</f>
        <v/>
      </c>
      <c r="AW126" s="19">
        <f>IF(ISERROR($B$126),"",IF(ISBLANK($B$126),"",$B$126))</f>
        <v/>
      </c>
      <c r="BA126" s="19">
        <f>IF(ISERROR($F$126),"",IF(ISBLANK($F$126),"",$F$126))</f>
        <v/>
      </c>
      <c r="BF126" s="19">
        <f>ISERROR($B$126)*1+ISERROR($F$126)*1</f>
        <v/>
      </c>
    </row>
    <row r="127" ht="60" customHeight="1">
      <c r="A127" s="32">
        <f>IF(LEN($AV$59)&gt;0,$AV$59,"NPC 13")</f>
        <v/>
      </c>
      <c r="B127" s="3" t="n"/>
      <c r="C127" s="24" t="n"/>
      <c r="D127" s="24" t="n"/>
      <c r="E127" s="16" t="n"/>
      <c r="F127" s="3" t="n"/>
      <c r="G127" s="24" t="n"/>
      <c r="H127" s="24" t="n"/>
      <c r="I127" s="24" t="n"/>
      <c r="J127" s="16" t="n"/>
      <c r="K127" s="18">
        <f>IF(BF127&gt;0,"O Google leu como fórmula: digite de novo com ' na frente.","")</f>
        <v/>
      </c>
      <c r="AW127" s="19">
        <f>IF(ISERROR($B$127),"",IF(ISBLANK($B$127),"",$B$127))</f>
        <v/>
      </c>
      <c r="BA127" s="19">
        <f>IF(ISERROR($F$127),"",IF(ISBLANK($F$127),"",$F$127))</f>
        <v/>
      </c>
      <c r="BF127" s="19">
        <f>ISERROR($B$127)*1+ISERROR($F$127)*1</f>
        <v/>
      </c>
    </row>
    <row r="128" ht="60" customHeight="1">
      <c r="A128" s="33">
        <f>IF(LEN($AV$60)&gt;0,$AV$60,"NPC 14")</f>
        <v/>
      </c>
      <c r="B128" s="28" t="n"/>
      <c r="C128" s="24" t="n"/>
      <c r="D128" s="24" t="n"/>
      <c r="E128" s="16" t="n"/>
      <c r="F128" s="28" t="n"/>
      <c r="G128" s="24" t="n"/>
      <c r="H128" s="24" t="n"/>
      <c r="I128" s="24" t="n"/>
      <c r="J128" s="16" t="n"/>
      <c r="K128" s="26">
        <f>IF(BF128&gt;0,"O Google leu como fórmula: digite de novo com ' na frente.","")</f>
        <v/>
      </c>
      <c r="AW128" s="19">
        <f>IF(ISERROR($B$128),"",IF(ISBLANK($B$128),"",$B$128))</f>
        <v/>
      </c>
      <c r="BA128" s="19">
        <f>IF(ISERROR($F$128),"",IF(ISBLANK($F$128),"",$F$128))</f>
        <v/>
      </c>
      <c r="BF128" s="19">
        <f>ISERROR($B$128)*1+ISERROR($F$128)*1</f>
        <v/>
      </c>
    </row>
    <row r="129" ht="60" customHeight="1">
      <c r="A129" s="32">
        <f>IF(LEN($AV$61)&gt;0,$AV$61,"NPC 15")</f>
        <v/>
      </c>
      <c r="B129" s="3" t="n"/>
      <c r="C129" s="24" t="n"/>
      <c r="D129" s="24" t="n"/>
      <c r="E129" s="16" t="n"/>
      <c r="F129" s="3" t="n"/>
      <c r="G129" s="24" t="n"/>
      <c r="H129" s="24" t="n"/>
      <c r="I129" s="24" t="n"/>
      <c r="J129" s="16" t="n"/>
      <c r="K129" s="18">
        <f>IF(BF129&gt;0,"O Google leu como fórmula: digite de novo com ' na frente.","")</f>
        <v/>
      </c>
      <c r="AW129" s="19">
        <f>IF(ISERROR($B$129),"",IF(ISBLANK($B$129),"",$B$129))</f>
        <v/>
      </c>
      <c r="BA129" s="19">
        <f>IF(ISERROR($F$129),"",IF(ISBLANK($F$129),"",$F$129))</f>
        <v/>
      </c>
      <c r="BF129" s="19">
        <f>ISERROR($B$129)*1+ISERROR($F$129)*1</f>
        <v/>
      </c>
    </row>
    <row r="130" ht="60" customHeight="1">
      <c r="A130" s="33">
        <f>IF(LEN($AV$62)&gt;0,$AV$62,"NPC 16")</f>
        <v/>
      </c>
      <c r="B130" s="28" t="n"/>
      <c r="C130" s="24" t="n"/>
      <c r="D130" s="24" t="n"/>
      <c r="E130" s="16" t="n"/>
      <c r="F130" s="28" t="n"/>
      <c r="G130" s="24" t="n"/>
      <c r="H130" s="24" t="n"/>
      <c r="I130" s="24" t="n"/>
      <c r="J130" s="16" t="n"/>
      <c r="K130" s="26">
        <f>IF(BF130&gt;0,"O Google leu como fórmula: digite de novo com ' na frente.","")</f>
        <v/>
      </c>
      <c r="AW130" s="19">
        <f>IF(ISERROR($B$130),"",IF(ISBLANK($B$130),"",$B$130))</f>
        <v/>
      </c>
      <c r="BA130" s="19">
        <f>IF(ISERROR($F$130),"",IF(ISBLANK($F$130),"",$F$130))</f>
        <v/>
      </c>
      <c r="BF130" s="19">
        <f>ISERROR($B$130)*1+ISERROR($F$130)*1</f>
        <v/>
      </c>
    </row>
    <row r="131" ht="60" customHeight="1">
      <c r="A131" s="32">
        <f>IF(LEN($AV$63)&gt;0,$AV$63,"NPC 17")</f>
        <v/>
      </c>
      <c r="B131" s="3" t="n"/>
      <c r="C131" s="24" t="n"/>
      <c r="D131" s="24" t="n"/>
      <c r="E131" s="16" t="n"/>
      <c r="F131" s="3" t="n"/>
      <c r="G131" s="24" t="n"/>
      <c r="H131" s="24" t="n"/>
      <c r="I131" s="24" t="n"/>
      <c r="J131" s="16" t="n"/>
      <c r="K131" s="18">
        <f>IF(BF131&gt;0,"O Google leu como fórmula: digite de novo com ' na frente.","")</f>
        <v/>
      </c>
      <c r="AW131" s="19">
        <f>IF(ISERROR($B$131),"",IF(ISBLANK($B$131),"",$B$131))</f>
        <v/>
      </c>
      <c r="BA131" s="19">
        <f>IF(ISERROR($F$131),"",IF(ISBLANK($F$131),"",$F$131))</f>
        <v/>
      </c>
      <c r="BF131" s="19">
        <f>ISERROR($B$131)*1+ISERROR($F$131)*1</f>
        <v/>
      </c>
    </row>
    <row r="132" ht="60" customHeight="1">
      <c r="A132" s="33">
        <f>IF(LEN($AV$64)&gt;0,$AV$64,"NPC 18")</f>
        <v/>
      </c>
      <c r="B132" s="28" t="n"/>
      <c r="C132" s="24" t="n"/>
      <c r="D132" s="24" t="n"/>
      <c r="E132" s="16" t="n"/>
      <c r="F132" s="28" t="n"/>
      <c r="G132" s="24" t="n"/>
      <c r="H132" s="24" t="n"/>
      <c r="I132" s="24" t="n"/>
      <c r="J132" s="16" t="n"/>
      <c r="K132" s="26">
        <f>IF(BF132&gt;0,"O Google leu como fórmula: digite de novo com ' na frente.","")</f>
        <v/>
      </c>
      <c r="AW132" s="19">
        <f>IF(ISERROR($B$132),"",IF(ISBLANK($B$132),"",$B$132))</f>
        <v/>
      </c>
      <c r="BA132" s="19">
        <f>IF(ISERROR($F$132),"",IF(ISBLANK($F$132),"",$F$132))</f>
        <v/>
      </c>
      <c r="BF132" s="19">
        <f>ISERROR($B$132)*1+ISERROR($F$132)*1</f>
        <v/>
      </c>
    </row>
    <row r="133" ht="60" customHeight="1">
      <c r="A133" s="32">
        <f>IF(LEN($AV$65)&gt;0,$AV$65,"NPC 19")</f>
        <v/>
      </c>
      <c r="B133" s="3" t="n"/>
      <c r="C133" s="24" t="n"/>
      <c r="D133" s="24" t="n"/>
      <c r="E133" s="16" t="n"/>
      <c r="F133" s="3" t="n"/>
      <c r="G133" s="24" t="n"/>
      <c r="H133" s="24" t="n"/>
      <c r="I133" s="24" t="n"/>
      <c r="J133" s="16" t="n"/>
      <c r="K133" s="18">
        <f>IF(BF133&gt;0,"O Google leu como fórmula: digite de novo com ' na frente.","")</f>
        <v/>
      </c>
      <c r="AW133" s="19">
        <f>IF(ISERROR($B$133),"",IF(ISBLANK($B$133),"",$B$133))</f>
        <v/>
      </c>
      <c r="BA133" s="19">
        <f>IF(ISERROR($F$133),"",IF(ISBLANK($F$133),"",$F$133))</f>
        <v/>
      </c>
      <c r="BF133" s="19">
        <f>ISERROR($B$133)*1+ISERROR($F$133)*1</f>
        <v/>
      </c>
    </row>
    <row r="134" ht="60" customHeight="1">
      <c r="A134" s="33">
        <f>IF(LEN($AV$66)&gt;0,$AV$66,"NPC 20")</f>
        <v/>
      </c>
      <c r="B134" s="28" t="n"/>
      <c r="C134" s="24" t="n"/>
      <c r="D134" s="24" t="n"/>
      <c r="E134" s="16" t="n"/>
      <c r="F134" s="28" t="n"/>
      <c r="G134" s="24" t="n"/>
      <c r="H134" s="24" t="n"/>
      <c r="I134" s="24" t="n"/>
      <c r="J134" s="16" t="n"/>
      <c r="K134" s="26">
        <f>IF(BF134&gt;0,"O Google leu como fórmula: digite de novo com ' na frente.","")</f>
        <v/>
      </c>
      <c r="AW134" s="19">
        <f>IF(ISERROR($B$134),"",IF(ISBLANK($B$134),"",$B$134))</f>
        <v/>
      </c>
      <c r="BA134" s="19">
        <f>IF(ISERROR($F$134),"",IF(ISBLANK($F$134),"",$F$134))</f>
        <v/>
      </c>
      <c r="BF134" s="19">
        <f>ISERROR($B$134)*1+ISERROR($F$134)*1</f>
        <v/>
      </c>
    </row>
    <row r="135">
      <c r="A135" s="7" t="inlineStr">
        <is>
          <t>NPC</t>
        </is>
      </c>
      <c r="B135" s="7" t="inlineStr">
        <is>
          <t>Motivação</t>
        </is>
      </c>
      <c r="C135" s="20" t="n"/>
      <c r="D135" s="20" t="n"/>
      <c r="E135" s="20" t="n"/>
      <c r="F135" s="7" t="inlineStr">
        <is>
          <t>Segredo</t>
        </is>
      </c>
      <c r="G135" s="20" t="n"/>
      <c r="H135" s="20" t="n"/>
      <c r="I135" s="20" t="n"/>
      <c r="J135" s="20" t="n"/>
      <c r="K135" s="7" t="inlineStr">
        <is>
          <t>Aviso</t>
        </is>
      </c>
      <c r="L135" s="20" t="n"/>
    </row>
    <row r="136" ht="60" customHeight="1">
      <c r="A136" s="32">
        <f>IF(LEN($AV$68)&gt;0,$AV$68,"NPC 21")</f>
        <v/>
      </c>
      <c r="B136" s="3" t="n"/>
      <c r="C136" s="24" t="n"/>
      <c r="D136" s="24" t="n"/>
      <c r="E136" s="16" t="n"/>
      <c r="F136" s="3" t="n"/>
      <c r="G136" s="24" t="n"/>
      <c r="H136" s="24" t="n"/>
      <c r="I136" s="24" t="n"/>
      <c r="J136" s="16" t="n"/>
      <c r="K136" s="18">
        <f>IF(BF136&gt;0,"O Google leu como fórmula: digite de novo com ' na frente.","")</f>
        <v/>
      </c>
      <c r="AW136" s="19">
        <f>IF(ISERROR($B$136),"",IF(ISBLANK($B$136),"",$B$136))</f>
        <v/>
      </c>
      <c r="BA136" s="19">
        <f>IF(ISERROR($F$136),"",IF(ISBLANK($F$136),"",$F$136))</f>
        <v/>
      </c>
      <c r="BF136" s="19">
        <f>ISERROR($B$136)*1+ISERROR($F$136)*1</f>
        <v/>
      </c>
    </row>
    <row r="137" ht="60" customHeight="1">
      <c r="A137" s="33">
        <f>IF(LEN($AV$69)&gt;0,$AV$69,"NPC 22")</f>
        <v/>
      </c>
      <c r="B137" s="28" t="n"/>
      <c r="C137" s="24" t="n"/>
      <c r="D137" s="24" t="n"/>
      <c r="E137" s="16" t="n"/>
      <c r="F137" s="28" t="n"/>
      <c r="G137" s="24" t="n"/>
      <c r="H137" s="24" t="n"/>
      <c r="I137" s="24" t="n"/>
      <c r="J137" s="16" t="n"/>
      <c r="K137" s="26">
        <f>IF(BF137&gt;0,"O Google leu como fórmula: digite de novo com ' na frente.","")</f>
        <v/>
      </c>
      <c r="AW137" s="19">
        <f>IF(ISERROR($B$137),"",IF(ISBLANK($B$137),"",$B$137))</f>
        <v/>
      </c>
      <c r="BA137" s="19">
        <f>IF(ISERROR($F$137),"",IF(ISBLANK($F$137),"",$F$137))</f>
        <v/>
      </c>
      <c r="BF137" s="19">
        <f>ISERROR($B$137)*1+ISERROR($F$137)*1</f>
        <v/>
      </c>
    </row>
    <row r="138" ht="60" customHeight="1">
      <c r="A138" s="32">
        <f>IF(LEN($AV$70)&gt;0,$AV$70,"NPC 23")</f>
        <v/>
      </c>
      <c r="B138" s="3" t="n"/>
      <c r="C138" s="24" t="n"/>
      <c r="D138" s="24" t="n"/>
      <c r="E138" s="16" t="n"/>
      <c r="F138" s="3" t="n"/>
      <c r="G138" s="24" t="n"/>
      <c r="H138" s="24" t="n"/>
      <c r="I138" s="24" t="n"/>
      <c r="J138" s="16" t="n"/>
      <c r="K138" s="18">
        <f>IF(BF138&gt;0,"O Google leu como fórmula: digite de novo com ' na frente.","")</f>
        <v/>
      </c>
      <c r="AW138" s="19">
        <f>IF(ISERROR($B$138),"",IF(ISBLANK($B$138),"",$B$138))</f>
        <v/>
      </c>
      <c r="BA138" s="19">
        <f>IF(ISERROR($F$138),"",IF(ISBLANK($F$138),"",$F$138))</f>
        <v/>
      </c>
      <c r="BF138" s="19">
        <f>ISERROR($B$138)*1+ISERROR($F$138)*1</f>
        <v/>
      </c>
    </row>
    <row r="139" ht="71" customHeight="1">
      <c r="A139" s="33">
        <f>IF(LEN($AV$71)&gt;0,$AV$71,"NPC 24")</f>
        <v/>
      </c>
      <c r="B139" s="28" t="n"/>
      <c r="C139" s="24" t="n"/>
      <c r="D139" s="24" t="n"/>
      <c r="E139" s="16" t="n"/>
      <c r="F139" s="28" t="n"/>
      <c r="G139" s="24" t="n"/>
      <c r="H139" s="24" t="n"/>
      <c r="I139" s="24" t="n"/>
      <c r="J139" s="16" t="n"/>
      <c r="K139" s="26">
        <f>IF(BF139&gt;0,"O Google leu como fórmula: digite de novo com ' na frente.","")</f>
        <v/>
      </c>
      <c r="AW139" s="19">
        <f>IF(ISERROR($B$139),"",IF(ISBLANK($B$139),"",$B$139))</f>
        <v/>
      </c>
      <c r="BA139" s="19">
        <f>IF(ISERROR($F$139),"",IF(ISBLANK($F$139),"",$F$139))</f>
        <v/>
      </c>
      <c r="BF139" s="19">
        <f>ISERROR($B$139)*1+ISERROR($F$139)*1</f>
        <v/>
      </c>
    </row>
    <row r="140" ht="71" customHeight="1">
      <c r="A140" s="32">
        <f>IF(LEN($AV$72)&gt;0,$AV$72,"NPC 25")</f>
        <v/>
      </c>
      <c r="B140" s="3" t="n"/>
      <c r="C140" s="24" t="n"/>
      <c r="D140" s="24" t="n"/>
      <c r="E140" s="16" t="n"/>
      <c r="F140" s="3" t="n"/>
      <c r="G140" s="24" t="n"/>
      <c r="H140" s="24" t="n"/>
      <c r="I140" s="24" t="n"/>
      <c r="J140" s="16" t="n"/>
      <c r="K140" s="18">
        <f>IF(BF140&gt;0,"O Google leu como fórmula: digite de novo com ' na frente.","")</f>
        <v/>
      </c>
      <c r="AW140" s="19">
        <f>IF(ISERROR($B$140),"",IF(ISBLANK($B$140),"",$B$140))</f>
        <v/>
      </c>
      <c r="BA140" s="19">
        <f>IF(ISERROR($F$140),"",IF(ISBLANK($F$140),"",$F$140))</f>
        <v/>
      </c>
      <c r="BF140" s="19">
        <f>ISERROR($B$140)*1+ISERROR($F$140)*1</f>
        <v/>
      </c>
    </row>
    <row r="141" ht="60" customHeight="1">
      <c r="A141" s="33">
        <f>IF(LEN($AV$73)&gt;0,$AV$73,"NPC 26")</f>
        <v/>
      </c>
      <c r="B141" s="28" t="n"/>
      <c r="C141" s="24" t="n"/>
      <c r="D141" s="24" t="n"/>
      <c r="E141" s="16" t="n"/>
      <c r="F141" s="28" t="n"/>
      <c r="G141" s="24" t="n"/>
      <c r="H141" s="24" t="n"/>
      <c r="I141" s="24" t="n"/>
      <c r="J141" s="16" t="n"/>
      <c r="K141" s="26">
        <f>IF(BF141&gt;0,"O Google leu como fórmula: digite de novo com ' na frente.","")</f>
        <v/>
      </c>
      <c r="AW141" s="19">
        <f>IF(ISERROR($B$141),"",IF(ISBLANK($B$141),"",$B$141))</f>
        <v/>
      </c>
      <c r="BA141" s="19">
        <f>IF(ISERROR($F$141),"",IF(ISBLANK($F$141),"",$F$141))</f>
        <v/>
      </c>
      <c r="BF141" s="19">
        <f>ISERROR($B$141)*1+ISERROR($F$141)*1</f>
        <v/>
      </c>
    </row>
    <row r="142" ht="71" customHeight="1">
      <c r="A142" s="32">
        <f>IF(LEN($AV$74)&gt;0,$AV$74,"NPC 27")</f>
        <v/>
      </c>
      <c r="B142" s="3" t="n"/>
      <c r="C142" s="24" t="n"/>
      <c r="D142" s="24" t="n"/>
      <c r="E142" s="16" t="n"/>
      <c r="F142" s="3" t="n"/>
      <c r="G142" s="24" t="n"/>
      <c r="H142" s="24" t="n"/>
      <c r="I142" s="24" t="n"/>
      <c r="J142" s="16" t="n"/>
      <c r="K142" s="18">
        <f>IF(BF142&gt;0,"O Google leu como fórmula: digite de novo com ' na frente.","")</f>
        <v/>
      </c>
      <c r="AW142" s="19">
        <f>IF(ISERROR($B$142),"",IF(ISBLANK($B$142),"",$B$142))</f>
        <v/>
      </c>
      <c r="BA142" s="19">
        <f>IF(ISERROR($F$142),"",IF(ISBLANK($F$142),"",$F$142))</f>
        <v/>
      </c>
      <c r="BF142" s="19">
        <f>ISERROR($B$142)*1+ISERROR($F$142)*1</f>
        <v/>
      </c>
    </row>
    <row r="143" ht="60" customHeight="1">
      <c r="A143" s="33">
        <f>IF(LEN($AV$75)&gt;0,$AV$75,"NPC 28")</f>
        <v/>
      </c>
      <c r="B143" s="28" t="n"/>
      <c r="C143" s="24" t="n"/>
      <c r="D143" s="24" t="n"/>
      <c r="E143" s="16" t="n"/>
      <c r="F143" s="28" t="n"/>
      <c r="G143" s="24" t="n"/>
      <c r="H143" s="24" t="n"/>
      <c r="I143" s="24" t="n"/>
      <c r="J143" s="16" t="n"/>
      <c r="K143" s="26">
        <f>IF(BF143&gt;0,"O Google leu como fórmula: digite de novo com ' na frente.","")</f>
        <v/>
      </c>
      <c r="AW143" s="19">
        <f>IF(ISERROR($B$143),"",IF(ISBLANK($B$143),"",$B$143))</f>
        <v/>
      </c>
      <c r="BA143" s="19">
        <f>IF(ISERROR($F$143),"",IF(ISBLANK($F$143),"",$F$143))</f>
        <v/>
      </c>
      <c r="BF143" s="19">
        <f>ISERROR($B$143)*1+ISERROR($F$143)*1</f>
        <v/>
      </c>
    </row>
    <row r="144" ht="60" customHeight="1">
      <c r="A144" s="32">
        <f>IF(LEN($AV$76)&gt;0,$AV$76,"NPC 29")</f>
        <v/>
      </c>
      <c r="B144" s="3" t="n"/>
      <c r="C144" s="24" t="n"/>
      <c r="D144" s="24" t="n"/>
      <c r="E144" s="16" t="n"/>
      <c r="F144" s="3" t="n"/>
      <c r="G144" s="24" t="n"/>
      <c r="H144" s="24" t="n"/>
      <c r="I144" s="24" t="n"/>
      <c r="J144" s="16" t="n"/>
      <c r="K144" s="18">
        <f>IF(BF144&gt;0,"O Google leu como fórmula: digite de novo com ' na frente.","")</f>
        <v/>
      </c>
      <c r="AW144" s="19">
        <f>IF(ISERROR($B$144),"",IF(ISBLANK($B$144),"",$B$144))</f>
        <v/>
      </c>
      <c r="BA144" s="19">
        <f>IF(ISERROR($F$144),"",IF(ISBLANK($F$144),"",$F$144))</f>
        <v/>
      </c>
      <c r="BF144" s="19">
        <f>ISERROR($B$144)*1+ISERROR($F$144)*1</f>
        <v/>
      </c>
    </row>
    <row r="145" ht="60" customHeight="1">
      <c r="A145" s="33">
        <f>IF(LEN($AV$77)&gt;0,$AV$77,"NPC 30")</f>
        <v/>
      </c>
      <c r="B145" s="28" t="n"/>
      <c r="C145" s="24" t="n"/>
      <c r="D145" s="24" t="n"/>
      <c r="E145" s="16" t="n"/>
      <c r="F145" s="28" t="n"/>
      <c r="G145" s="24" t="n"/>
      <c r="H145" s="24" t="n"/>
      <c r="I145" s="24" t="n"/>
      <c r="J145" s="16" t="n"/>
      <c r="K145" s="26">
        <f>IF(BF145&gt;0,"O Google leu como fórmula: digite de novo com ' na frente.","")</f>
        <v/>
      </c>
      <c r="AW145" s="19">
        <f>IF(ISERROR($B$145),"",IF(ISBLANK($B$145),"",$B$145))</f>
        <v/>
      </c>
      <c r="BA145" s="19">
        <f>IF(ISERROR($F$145),"",IF(ISBLANK($F$145),"",$F$145))</f>
        <v/>
      </c>
      <c r="BF145" s="19">
        <f>ISERROR($B$145)*1+ISERROR($F$145)*1</f>
        <v/>
      </c>
    </row>
    <row r="146" ht="20" customHeight="1">
      <c r="A146" s="12" t="inlineStr">
        <is>
          <t>E4 · Na mesa</t>
        </is>
      </c>
    </row>
    <row r="147">
      <c r="A147" s="7" t="inlineStr">
        <is>
          <t>NPC</t>
        </is>
      </c>
      <c r="B147" s="7" t="inlineStr">
        <is>
          <t>Maneirismo e voz</t>
        </is>
      </c>
      <c r="C147" s="20" t="n"/>
      <c r="D147" s="20" t="n"/>
      <c r="E147" s="7" t="inlineStr">
        <is>
          <t>Atitude</t>
        </is>
      </c>
      <c r="F147" s="20" t="n"/>
      <c r="G147" s="7" t="inlineStr">
        <is>
          <t>Gancho</t>
        </is>
      </c>
      <c r="H147" s="20" t="n"/>
      <c r="I147" s="20" t="n"/>
      <c r="J147" s="20" t="n"/>
      <c r="K147" s="7" t="inlineStr">
        <is>
          <t>Aviso</t>
        </is>
      </c>
      <c r="L147" s="20" t="n"/>
    </row>
    <row r="148" ht="71" customHeight="1">
      <c r="A148" s="32">
        <f>IF(LEN($AV$46)&gt;0,$AV$46,"NPC 1")</f>
        <v/>
      </c>
      <c r="B148" s="3" t="n"/>
      <c r="C148" s="24" t="n"/>
      <c r="D148" s="16" t="n"/>
      <c r="E148" s="3" t="n"/>
      <c r="F148" s="16" t="n"/>
      <c r="G148" s="3" t="n"/>
      <c r="H148" s="24" t="n"/>
      <c r="I148" s="24" t="n"/>
      <c r="J148" s="16" t="n"/>
      <c r="K148" s="18">
        <f>IF(BF148&gt;0,"O Google leu como fórmula: escolha de novo ou digite com ' na frente.","")</f>
        <v/>
      </c>
      <c r="AW148" s="19">
        <f>IF(ISERROR($B$148),"",IF(ISBLANK($B$148),"",$B$148))</f>
        <v/>
      </c>
      <c r="AZ148" s="19">
        <f>IF(ISERROR($E$148),"",IF(ISBLANK($E$148),"",$E$148))</f>
        <v/>
      </c>
      <c r="BF148" s="19">
        <f>ISERROR($B$148)*1+ISERROR($E$148)*1+ISERROR($G$148)*1</f>
        <v/>
      </c>
    </row>
    <row r="149" ht="60" customHeight="1">
      <c r="A149" s="33">
        <f>IF(LEN($AV$47)&gt;0,$AV$47,"NPC 2")</f>
        <v/>
      </c>
      <c r="B149" s="28" t="n"/>
      <c r="C149" s="24" t="n"/>
      <c r="D149" s="16" t="n"/>
      <c r="E149" s="28" t="n"/>
      <c r="F149" s="16" t="n"/>
      <c r="G149" s="28" t="n"/>
      <c r="H149" s="24" t="n"/>
      <c r="I149" s="24" t="n"/>
      <c r="J149" s="16" t="n"/>
      <c r="K149" s="26">
        <f>IF(BF149&gt;0,"O Google leu como fórmula: escolha de novo ou digite com ' na frente.","")</f>
        <v/>
      </c>
      <c r="AW149" s="19">
        <f>IF(ISERROR($B$149),"",IF(ISBLANK($B$149),"",$B$149))</f>
        <v/>
      </c>
      <c r="AZ149" s="19">
        <f>IF(ISERROR($E$149),"",IF(ISBLANK($E$149),"",$E$149))</f>
        <v/>
      </c>
      <c r="BF149" s="19">
        <f>ISERROR($B$149)*1+ISERROR($E$149)*1+ISERROR($G$149)*1</f>
        <v/>
      </c>
    </row>
    <row r="150" ht="60" customHeight="1">
      <c r="A150" s="32">
        <f>IF(LEN($AV$48)&gt;0,$AV$48,"NPC 3")</f>
        <v/>
      </c>
      <c r="B150" s="3" t="n"/>
      <c r="C150" s="24" t="n"/>
      <c r="D150" s="16" t="n"/>
      <c r="E150" s="3" t="n"/>
      <c r="F150" s="16" t="n"/>
      <c r="G150" s="3" t="n"/>
      <c r="H150" s="24" t="n"/>
      <c r="I150" s="24" t="n"/>
      <c r="J150" s="16" t="n"/>
      <c r="K150" s="18">
        <f>IF(BF150&gt;0,"O Google leu como fórmula: escolha de novo ou digite com ' na frente.","")</f>
        <v/>
      </c>
      <c r="AW150" s="19">
        <f>IF(ISERROR($B$150),"",IF(ISBLANK($B$150),"",$B$150))</f>
        <v/>
      </c>
      <c r="AZ150" s="19">
        <f>IF(ISERROR($E$150),"",IF(ISBLANK($E$150),"",$E$150))</f>
        <v/>
      </c>
      <c r="BF150" s="19">
        <f>ISERROR($B$150)*1+ISERROR($E$150)*1+ISERROR($G$150)*1</f>
        <v/>
      </c>
    </row>
    <row r="151" ht="71" customHeight="1">
      <c r="A151" s="33">
        <f>IF(LEN($AV$49)&gt;0,$AV$49,"NPC 4")</f>
        <v/>
      </c>
      <c r="B151" s="28" t="n"/>
      <c r="C151" s="24" t="n"/>
      <c r="D151" s="16" t="n"/>
      <c r="E151" s="28" t="n"/>
      <c r="F151" s="16" t="n"/>
      <c r="G151" s="28" t="n"/>
      <c r="H151" s="24" t="n"/>
      <c r="I151" s="24" t="n"/>
      <c r="J151" s="16" t="n"/>
      <c r="K151" s="26">
        <f>IF(BF151&gt;0,"O Google leu como fórmula: escolha de novo ou digite com ' na frente.","")</f>
        <v/>
      </c>
      <c r="AW151" s="19">
        <f>IF(ISERROR($B$151),"",IF(ISBLANK($B$151),"",$B$151))</f>
        <v/>
      </c>
      <c r="AZ151" s="19">
        <f>IF(ISERROR($E$151),"",IF(ISBLANK($E$151),"",$E$151))</f>
        <v/>
      </c>
      <c r="BF151" s="19">
        <f>ISERROR($B$151)*1+ISERROR($E$151)*1+ISERROR($G$151)*1</f>
        <v/>
      </c>
    </row>
    <row r="152" ht="60" customHeight="1">
      <c r="A152" s="32">
        <f>IF(LEN($AV$50)&gt;0,$AV$50,"NPC 5")</f>
        <v/>
      </c>
      <c r="B152" s="3" t="n"/>
      <c r="C152" s="24" t="n"/>
      <c r="D152" s="16" t="n"/>
      <c r="E152" s="3" t="n"/>
      <c r="F152" s="16" t="n"/>
      <c r="G152" s="3" t="n"/>
      <c r="H152" s="24" t="n"/>
      <c r="I152" s="24" t="n"/>
      <c r="J152" s="16" t="n"/>
      <c r="K152" s="18">
        <f>IF(BF152&gt;0,"O Google leu como fórmula: escolha de novo ou digite com ' na frente.","")</f>
        <v/>
      </c>
      <c r="AW152" s="19">
        <f>IF(ISERROR($B$152),"",IF(ISBLANK($B$152),"",$B$152))</f>
        <v/>
      </c>
      <c r="AZ152" s="19">
        <f>IF(ISERROR($E$152),"",IF(ISBLANK($E$152),"",$E$152))</f>
        <v/>
      </c>
      <c r="BF152" s="19">
        <f>ISERROR($B$152)*1+ISERROR($E$152)*1+ISERROR($G$152)*1</f>
        <v/>
      </c>
    </row>
    <row r="153" ht="60" customHeight="1">
      <c r="A153" s="33">
        <f>IF(LEN($AV$51)&gt;0,$AV$51,"NPC 6")</f>
        <v/>
      </c>
      <c r="B153" s="28" t="n"/>
      <c r="C153" s="24" t="n"/>
      <c r="D153" s="16" t="n"/>
      <c r="E153" s="28" t="n"/>
      <c r="F153" s="16" t="n"/>
      <c r="G153" s="28" t="n"/>
      <c r="H153" s="24" t="n"/>
      <c r="I153" s="24" t="n"/>
      <c r="J153" s="16" t="n"/>
      <c r="K153" s="26">
        <f>IF(BF153&gt;0,"O Google leu como fórmula: escolha de novo ou digite com ' na frente.","")</f>
        <v/>
      </c>
      <c r="AW153" s="19">
        <f>IF(ISERROR($B$153),"",IF(ISBLANK($B$153),"",$B$153))</f>
        <v/>
      </c>
      <c r="AZ153" s="19">
        <f>IF(ISERROR($E$153),"",IF(ISBLANK($E$153),"",$E$153))</f>
        <v/>
      </c>
      <c r="BF153" s="19">
        <f>ISERROR($B$153)*1+ISERROR($E$153)*1+ISERROR($G$153)*1</f>
        <v/>
      </c>
    </row>
    <row r="154" ht="60" customHeight="1">
      <c r="A154" s="32">
        <f>IF(LEN($AV$52)&gt;0,$AV$52,"NPC 7")</f>
        <v/>
      </c>
      <c r="B154" s="3" t="n"/>
      <c r="C154" s="24" t="n"/>
      <c r="D154" s="16" t="n"/>
      <c r="E154" s="3" t="n"/>
      <c r="F154" s="16" t="n"/>
      <c r="G154" s="3" t="n"/>
      <c r="H154" s="24" t="n"/>
      <c r="I154" s="24" t="n"/>
      <c r="J154" s="16" t="n"/>
      <c r="K154" s="18">
        <f>IF(BF154&gt;0,"O Google leu como fórmula: escolha de novo ou digite com ' na frente.","")</f>
        <v/>
      </c>
      <c r="AW154" s="19">
        <f>IF(ISERROR($B$154),"",IF(ISBLANK($B$154),"",$B$154))</f>
        <v/>
      </c>
      <c r="AZ154" s="19">
        <f>IF(ISERROR($E$154),"",IF(ISBLANK($E$154),"",$E$154))</f>
        <v/>
      </c>
      <c r="BF154" s="19">
        <f>ISERROR($B$154)*1+ISERROR($E$154)*1+ISERROR($G$154)*1</f>
        <v/>
      </c>
    </row>
    <row r="155" ht="60" customHeight="1">
      <c r="A155" s="33">
        <f>IF(LEN($AV$53)&gt;0,$AV$53,"NPC 8")</f>
        <v/>
      </c>
      <c r="B155" s="28" t="n"/>
      <c r="C155" s="24" t="n"/>
      <c r="D155" s="16" t="n"/>
      <c r="E155" s="28" t="n"/>
      <c r="F155" s="16" t="n"/>
      <c r="G155" s="28" t="n"/>
      <c r="H155" s="24" t="n"/>
      <c r="I155" s="24" t="n"/>
      <c r="J155" s="16" t="n"/>
      <c r="K155" s="26">
        <f>IF(BF155&gt;0,"O Google leu como fórmula: escolha de novo ou digite com ' na frente.","")</f>
        <v/>
      </c>
      <c r="AW155" s="19">
        <f>IF(ISERROR($B$155),"",IF(ISBLANK($B$155),"",$B$155))</f>
        <v/>
      </c>
      <c r="AZ155" s="19">
        <f>IF(ISERROR($E$155),"",IF(ISBLANK($E$155),"",$E$155))</f>
        <v/>
      </c>
      <c r="BF155" s="19">
        <f>ISERROR($B$155)*1+ISERROR($E$155)*1+ISERROR($G$155)*1</f>
        <v/>
      </c>
    </row>
    <row r="156" ht="71" customHeight="1">
      <c r="A156" s="32">
        <f>IF(LEN($AV$54)&gt;0,$AV$54,"NPC 9")</f>
        <v/>
      </c>
      <c r="B156" s="3" t="n"/>
      <c r="C156" s="24" t="n"/>
      <c r="D156" s="16" t="n"/>
      <c r="E156" s="3" t="n"/>
      <c r="F156" s="16" t="n"/>
      <c r="G156" s="3" t="n"/>
      <c r="H156" s="24" t="n"/>
      <c r="I156" s="24" t="n"/>
      <c r="J156" s="16" t="n"/>
      <c r="K156" s="18">
        <f>IF(BF156&gt;0,"O Google leu como fórmula: escolha de novo ou digite com ' na frente.","")</f>
        <v/>
      </c>
      <c r="AW156" s="19">
        <f>IF(ISERROR($B$156),"",IF(ISBLANK($B$156),"",$B$156))</f>
        <v/>
      </c>
      <c r="AZ156" s="19">
        <f>IF(ISERROR($E$156),"",IF(ISBLANK($E$156),"",$E$156))</f>
        <v/>
      </c>
      <c r="BF156" s="19">
        <f>ISERROR($B$156)*1+ISERROR($E$156)*1+ISERROR($G$156)*1</f>
        <v/>
      </c>
    </row>
    <row r="157" ht="71" customHeight="1">
      <c r="A157" s="33">
        <f>IF(LEN($AV$55)&gt;0,$AV$55,"NPC 10")</f>
        <v/>
      </c>
      <c r="B157" s="28" t="n"/>
      <c r="C157" s="24" t="n"/>
      <c r="D157" s="16" t="n"/>
      <c r="E157" s="28" t="n"/>
      <c r="F157" s="16" t="n"/>
      <c r="G157" s="28" t="n"/>
      <c r="H157" s="24" t="n"/>
      <c r="I157" s="24" t="n"/>
      <c r="J157" s="16" t="n"/>
      <c r="K157" s="26">
        <f>IF(BF157&gt;0,"O Google leu como fórmula: escolha de novo ou digite com ' na frente.","")</f>
        <v/>
      </c>
      <c r="AW157" s="19">
        <f>IF(ISERROR($B$157),"",IF(ISBLANK($B$157),"",$B$157))</f>
        <v/>
      </c>
      <c r="AZ157" s="19">
        <f>IF(ISERROR($E$157),"",IF(ISBLANK($E$157),"",$E$157))</f>
        <v/>
      </c>
      <c r="BF157" s="19">
        <f>ISERROR($B$157)*1+ISERROR($E$157)*1+ISERROR($G$157)*1</f>
        <v/>
      </c>
    </row>
    <row r="158">
      <c r="A158" s="7" t="inlineStr">
        <is>
          <t>NPC</t>
        </is>
      </c>
      <c r="B158" s="7" t="inlineStr">
        <is>
          <t>Maneirismo e voz</t>
        </is>
      </c>
      <c r="C158" s="20" t="n"/>
      <c r="D158" s="20" t="n"/>
      <c r="E158" s="7" t="inlineStr">
        <is>
          <t>Atitude</t>
        </is>
      </c>
      <c r="F158" s="20" t="n"/>
      <c r="G158" s="7" t="inlineStr">
        <is>
          <t>Gancho</t>
        </is>
      </c>
      <c r="H158" s="20" t="n"/>
      <c r="I158" s="20" t="n"/>
      <c r="J158" s="20" t="n"/>
      <c r="K158" s="7" t="inlineStr">
        <is>
          <t>Aviso</t>
        </is>
      </c>
      <c r="L158" s="20" t="n"/>
    </row>
    <row r="159" ht="60" customHeight="1">
      <c r="A159" s="32">
        <f>IF(LEN($AV$57)&gt;0,$AV$57,"NPC 11")</f>
        <v/>
      </c>
      <c r="B159" s="3" t="n"/>
      <c r="C159" s="24" t="n"/>
      <c r="D159" s="16" t="n"/>
      <c r="E159" s="3" t="n"/>
      <c r="F159" s="16" t="n"/>
      <c r="G159" s="3" t="n"/>
      <c r="H159" s="24" t="n"/>
      <c r="I159" s="24" t="n"/>
      <c r="J159" s="16" t="n"/>
      <c r="K159" s="18">
        <f>IF(BF159&gt;0,"O Google leu como fórmula: escolha de novo ou digite com ' na frente.","")</f>
        <v/>
      </c>
      <c r="AW159" s="19">
        <f>IF(ISERROR($B$159),"",IF(ISBLANK($B$159),"",$B$159))</f>
        <v/>
      </c>
      <c r="AZ159" s="19">
        <f>IF(ISERROR($E$159),"",IF(ISBLANK($E$159),"",$E$159))</f>
        <v/>
      </c>
      <c r="BF159" s="19">
        <f>ISERROR($B$159)*1+ISERROR($E$159)*1+ISERROR($G$159)*1</f>
        <v/>
      </c>
    </row>
    <row r="160" ht="60" customHeight="1">
      <c r="A160" s="33">
        <f>IF(LEN($AV$58)&gt;0,$AV$58,"NPC 12")</f>
        <v/>
      </c>
      <c r="B160" s="28" t="n"/>
      <c r="C160" s="24" t="n"/>
      <c r="D160" s="16" t="n"/>
      <c r="E160" s="28" t="n"/>
      <c r="F160" s="16" t="n"/>
      <c r="G160" s="28" t="n"/>
      <c r="H160" s="24" t="n"/>
      <c r="I160" s="24" t="n"/>
      <c r="J160" s="16" t="n"/>
      <c r="K160" s="26">
        <f>IF(BF160&gt;0,"O Google leu como fórmula: escolha de novo ou digite com ' na frente.","")</f>
        <v/>
      </c>
      <c r="AW160" s="19">
        <f>IF(ISERROR($B$160),"",IF(ISBLANK($B$160),"",$B$160))</f>
        <v/>
      </c>
      <c r="AZ160" s="19">
        <f>IF(ISERROR($E$160),"",IF(ISBLANK($E$160),"",$E$160))</f>
        <v/>
      </c>
      <c r="BF160" s="19">
        <f>ISERROR($B$160)*1+ISERROR($E$160)*1+ISERROR($G$160)*1</f>
        <v/>
      </c>
    </row>
    <row r="161" ht="60" customHeight="1">
      <c r="A161" s="32">
        <f>IF(LEN($AV$59)&gt;0,$AV$59,"NPC 13")</f>
        <v/>
      </c>
      <c r="B161" s="3" t="n"/>
      <c r="C161" s="24" t="n"/>
      <c r="D161" s="16" t="n"/>
      <c r="E161" s="3" t="n"/>
      <c r="F161" s="16" t="n"/>
      <c r="G161" s="3" t="n"/>
      <c r="H161" s="24" t="n"/>
      <c r="I161" s="24" t="n"/>
      <c r="J161" s="16" t="n"/>
      <c r="K161" s="18">
        <f>IF(BF161&gt;0,"O Google leu como fórmula: escolha de novo ou digite com ' na frente.","")</f>
        <v/>
      </c>
      <c r="AW161" s="19">
        <f>IF(ISERROR($B$161),"",IF(ISBLANK($B$161),"",$B$161))</f>
        <v/>
      </c>
      <c r="AZ161" s="19">
        <f>IF(ISERROR($E$161),"",IF(ISBLANK($E$161),"",$E$161))</f>
        <v/>
      </c>
      <c r="BF161" s="19">
        <f>ISERROR($B$161)*1+ISERROR($E$161)*1+ISERROR($G$161)*1</f>
        <v/>
      </c>
    </row>
    <row r="162" ht="60" customHeight="1">
      <c r="A162" s="33">
        <f>IF(LEN($AV$60)&gt;0,$AV$60,"NPC 14")</f>
        <v/>
      </c>
      <c r="B162" s="28" t="n"/>
      <c r="C162" s="24" t="n"/>
      <c r="D162" s="16" t="n"/>
      <c r="E162" s="28" t="n"/>
      <c r="F162" s="16" t="n"/>
      <c r="G162" s="28" t="n"/>
      <c r="H162" s="24" t="n"/>
      <c r="I162" s="24" t="n"/>
      <c r="J162" s="16" t="n"/>
      <c r="K162" s="26">
        <f>IF(BF162&gt;0,"O Google leu como fórmula: escolha de novo ou digite com ' na frente.","")</f>
        <v/>
      </c>
      <c r="AW162" s="19">
        <f>IF(ISERROR($B$162),"",IF(ISBLANK($B$162),"",$B$162))</f>
        <v/>
      </c>
      <c r="AZ162" s="19">
        <f>IF(ISERROR($E$162),"",IF(ISBLANK($E$162),"",$E$162))</f>
        <v/>
      </c>
      <c r="BF162" s="19">
        <f>ISERROR($B$162)*1+ISERROR($E$162)*1+ISERROR($G$162)*1</f>
        <v/>
      </c>
    </row>
    <row r="163" ht="60" customHeight="1">
      <c r="A163" s="32">
        <f>IF(LEN($AV$61)&gt;0,$AV$61,"NPC 15")</f>
        <v/>
      </c>
      <c r="B163" s="3" t="n"/>
      <c r="C163" s="24" t="n"/>
      <c r="D163" s="16" t="n"/>
      <c r="E163" s="3" t="n"/>
      <c r="F163" s="16" t="n"/>
      <c r="G163" s="3" t="n"/>
      <c r="H163" s="24" t="n"/>
      <c r="I163" s="24" t="n"/>
      <c r="J163" s="16" t="n"/>
      <c r="K163" s="18">
        <f>IF(BF163&gt;0,"O Google leu como fórmula: escolha de novo ou digite com ' na frente.","")</f>
        <v/>
      </c>
      <c r="AW163" s="19">
        <f>IF(ISERROR($B$163),"",IF(ISBLANK($B$163),"",$B$163))</f>
        <v/>
      </c>
      <c r="AZ163" s="19">
        <f>IF(ISERROR($E$163),"",IF(ISBLANK($E$163),"",$E$163))</f>
        <v/>
      </c>
      <c r="BF163" s="19">
        <f>ISERROR($B$163)*1+ISERROR($E$163)*1+ISERROR($G$163)*1</f>
        <v/>
      </c>
    </row>
    <row r="164" ht="71" customHeight="1">
      <c r="A164" s="33">
        <f>IF(LEN($AV$62)&gt;0,$AV$62,"NPC 16")</f>
        <v/>
      </c>
      <c r="B164" s="28" t="n"/>
      <c r="C164" s="24" t="n"/>
      <c r="D164" s="16" t="n"/>
      <c r="E164" s="28" t="n"/>
      <c r="F164" s="16" t="n"/>
      <c r="G164" s="28" t="n"/>
      <c r="H164" s="24" t="n"/>
      <c r="I164" s="24" t="n"/>
      <c r="J164" s="16" t="n"/>
      <c r="K164" s="26">
        <f>IF(BF164&gt;0,"O Google leu como fórmula: escolha de novo ou digite com ' na frente.","")</f>
        <v/>
      </c>
      <c r="AW164" s="19">
        <f>IF(ISERROR($B$164),"",IF(ISBLANK($B$164),"",$B$164))</f>
        <v/>
      </c>
      <c r="AZ164" s="19">
        <f>IF(ISERROR($E$164),"",IF(ISBLANK($E$164),"",$E$164))</f>
        <v/>
      </c>
      <c r="BF164" s="19">
        <f>ISERROR($B$164)*1+ISERROR($E$164)*1+ISERROR($G$164)*1</f>
        <v/>
      </c>
    </row>
    <row r="165" ht="60" customHeight="1">
      <c r="A165" s="32">
        <f>IF(LEN($AV$63)&gt;0,$AV$63,"NPC 17")</f>
        <v/>
      </c>
      <c r="B165" s="3" t="n"/>
      <c r="C165" s="24" t="n"/>
      <c r="D165" s="16" t="n"/>
      <c r="E165" s="3" t="n"/>
      <c r="F165" s="16" t="n"/>
      <c r="G165" s="3" t="n"/>
      <c r="H165" s="24" t="n"/>
      <c r="I165" s="24" t="n"/>
      <c r="J165" s="16" t="n"/>
      <c r="K165" s="18">
        <f>IF(BF165&gt;0,"O Google leu como fórmula: escolha de novo ou digite com ' na frente.","")</f>
        <v/>
      </c>
      <c r="AW165" s="19">
        <f>IF(ISERROR($B$165),"",IF(ISBLANK($B$165),"",$B$165))</f>
        <v/>
      </c>
      <c r="AZ165" s="19">
        <f>IF(ISERROR($E$165),"",IF(ISBLANK($E$165),"",$E$165))</f>
        <v/>
      </c>
      <c r="BF165" s="19">
        <f>ISERROR($B$165)*1+ISERROR($E$165)*1+ISERROR($G$165)*1</f>
        <v/>
      </c>
    </row>
    <row r="166" ht="60" customHeight="1">
      <c r="A166" s="33">
        <f>IF(LEN($AV$64)&gt;0,$AV$64,"NPC 18")</f>
        <v/>
      </c>
      <c r="B166" s="28" t="n"/>
      <c r="C166" s="24" t="n"/>
      <c r="D166" s="16" t="n"/>
      <c r="E166" s="28" t="n"/>
      <c r="F166" s="16" t="n"/>
      <c r="G166" s="28" t="n"/>
      <c r="H166" s="24" t="n"/>
      <c r="I166" s="24" t="n"/>
      <c r="J166" s="16" t="n"/>
      <c r="K166" s="26">
        <f>IF(BF166&gt;0,"O Google leu como fórmula: escolha de novo ou digite com ' na frente.","")</f>
        <v/>
      </c>
      <c r="AW166" s="19">
        <f>IF(ISERROR($B$166),"",IF(ISBLANK($B$166),"",$B$166))</f>
        <v/>
      </c>
      <c r="AZ166" s="19">
        <f>IF(ISERROR($E$166),"",IF(ISBLANK($E$166),"",$E$166))</f>
        <v/>
      </c>
      <c r="BF166" s="19">
        <f>ISERROR($B$166)*1+ISERROR($E$166)*1+ISERROR($G$166)*1</f>
        <v/>
      </c>
    </row>
    <row r="167" ht="60" customHeight="1">
      <c r="A167" s="32">
        <f>IF(LEN($AV$65)&gt;0,$AV$65,"NPC 19")</f>
        <v/>
      </c>
      <c r="B167" s="3" t="n"/>
      <c r="C167" s="24" t="n"/>
      <c r="D167" s="16" t="n"/>
      <c r="E167" s="3" t="n"/>
      <c r="F167" s="16" t="n"/>
      <c r="G167" s="3" t="n"/>
      <c r="H167" s="24" t="n"/>
      <c r="I167" s="24" t="n"/>
      <c r="J167" s="16" t="n"/>
      <c r="K167" s="18">
        <f>IF(BF167&gt;0,"O Google leu como fórmula: escolha de novo ou digite com ' na frente.","")</f>
        <v/>
      </c>
      <c r="AW167" s="19">
        <f>IF(ISERROR($B$167),"",IF(ISBLANK($B$167),"",$B$167))</f>
        <v/>
      </c>
      <c r="AZ167" s="19">
        <f>IF(ISERROR($E$167),"",IF(ISBLANK($E$167),"",$E$167))</f>
        <v/>
      </c>
      <c r="BF167" s="19">
        <f>ISERROR($B$167)*1+ISERROR($E$167)*1+ISERROR($G$167)*1</f>
        <v/>
      </c>
    </row>
    <row r="168" ht="60" customHeight="1">
      <c r="A168" s="33">
        <f>IF(LEN($AV$66)&gt;0,$AV$66,"NPC 20")</f>
        <v/>
      </c>
      <c r="B168" s="28" t="n"/>
      <c r="C168" s="24" t="n"/>
      <c r="D168" s="16" t="n"/>
      <c r="E168" s="28" t="n"/>
      <c r="F168" s="16" t="n"/>
      <c r="G168" s="28" t="n"/>
      <c r="H168" s="24" t="n"/>
      <c r="I168" s="24" t="n"/>
      <c r="J168" s="16" t="n"/>
      <c r="K168" s="26">
        <f>IF(BF168&gt;0,"O Google leu como fórmula: escolha de novo ou digite com ' na frente.","")</f>
        <v/>
      </c>
      <c r="AW168" s="19">
        <f>IF(ISERROR($B$168),"",IF(ISBLANK($B$168),"",$B$168))</f>
        <v/>
      </c>
      <c r="AZ168" s="19">
        <f>IF(ISERROR($E$168),"",IF(ISBLANK($E$168),"",$E$168))</f>
        <v/>
      </c>
      <c r="BF168" s="19">
        <f>ISERROR($B$168)*1+ISERROR($E$168)*1+ISERROR($G$168)*1</f>
        <v/>
      </c>
    </row>
    <row r="169">
      <c r="A169" s="7" t="inlineStr">
        <is>
          <t>NPC</t>
        </is>
      </c>
      <c r="B169" s="7" t="inlineStr">
        <is>
          <t>Maneirismo e voz</t>
        </is>
      </c>
      <c r="C169" s="20" t="n"/>
      <c r="D169" s="20" t="n"/>
      <c r="E169" s="7" t="inlineStr">
        <is>
          <t>Atitude</t>
        </is>
      </c>
      <c r="F169" s="20" t="n"/>
      <c r="G169" s="7" t="inlineStr">
        <is>
          <t>Gancho</t>
        </is>
      </c>
      <c r="H169" s="20" t="n"/>
      <c r="I169" s="20" t="n"/>
      <c r="J169" s="20" t="n"/>
      <c r="K169" s="7" t="inlineStr">
        <is>
          <t>Aviso</t>
        </is>
      </c>
      <c r="L169" s="20" t="n"/>
    </row>
    <row r="170" ht="60" customHeight="1">
      <c r="A170" s="32">
        <f>IF(LEN($AV$68)&gt;0,$AV$68,"NPC 21")</f>
        <v/>
      </c>
      <c r="B170" s="3" t="n"/>
      <c r="C170" s="24" t="n"/>
      <c r="D170" s="16" t="n"/>
      <c r="E170" s="3" t="n"/>
      <c r="F170" s="16" t="n"/>
      <c r="G170" s="3" t="n"/>
      <c r="H170" s="24" t="n"/>
      <c r="I170" s="24" t="n"/>
      <c r="J170" s="16" t="n"/>
      <c r="K170" s="18">
        <f>IF(BF170&gt;0,"O Google leu como fórmula: escolha de novo ou digite com ' na frente.","")</f>
        <v/>
      </c>
      <c r="AW170" s="19">
        <f>IF(ISERROR($B$170),"",IF(ISBLANK($B$170),"",$B$170))</f>
        <v/>
      </c>
      <c r="AZ170" s="19">
        <f>IF(ISERROR($E$170),"",IF(ISBLANK($E$170),"",$E$170))</f>
        <v/>
      </c>
      <c r="BF170" s="19">
        <f>ISERROR($B$170)*1+ISERROR($E$170)*1+ISERROR($G$170)*1</f>
        <v/>
      </c>
    </row>
    <row r="171" ht="60" customHeight="1">
      <c r="A171" s="33">
        <f>IF(LEN($AV$69)&gt;0,$AV$69,"NPC 22")</f>
        <v/>
      </c>
      <c r="B171" s="28" t="n"/>
      <c r="C171" s="24" t="n"/>
      <c r="D171" s="16" t="n"/>
      <c r="E171" s="28" t="n"/>
      <c r="F171" s="16" t="n"/>
      <c r="G171" s="28" t="n"/>
      <c r="H171" s="24" t="n"/>
      <c r="I171" s="24" t="n"/>
      <c r="J171" s="16" t="n"/>
      <c r="K171" s="26">
        <f>IF(BF171&gt;0,"O Google leu como fórmula: escolha de novo ou digite com ' na frente.","")</f>
        <v/>
      </c>
      <c r="AW171" s="19">
        <f>IF(ISERROR($B$171),"",IF(ISBLANK($B$171),"",$B$171))</f>
        <v/>
      </c>
      <c r="AZ171" s="19">
        <f>IF(ISERROR($E$171),"",IF(ISBLANK($E$171),"",$E$171))</f>
        <v/>
      </c>
      <c r="BF171" s="19">
        <f>ISERROR($B$171)*1+ISERROR($E$171)*1+ISERROR($G$171)*1</f>
        <v/>
      </c>
    </row>
    <row r="172" ht="60" customHeight="1">
      <c r="A172" s="32">
        <f>IF(LEN($AV$70)&gt;0,$AV$70,"NPC 23")</f>
        <v/>
      </c>
      <c r="B172" s="3" t="n"/>
      <c r="C172" s="24" t="n"/>
      <c r="D172" s="16" t="n"/>
      <c r="E172" s="3" t="n"/>
      <c r="F172" s="16" t="n"/>
      <c r="G172" s="3" t="n"/>
      <c r="H172" s="24" t="n"/>
      <c r="I172" s="24" t="n"/>
      <c r="J172" s="16" t="n"/>
      <c r="K172" s="18">
        <f>IF(BF172&gt;0,"O Google leu como fórmula: escolha de novo ou digite com ' na frente.","")</f>
        <v/>
      </c>
      <c r="AW172" s="19">
        <f>IF(ISERROR($B$172),"",IF(ISBLANK($B$172),"",$B$172))</f>
        <v/>
      </c>
      <c r="AZ172" s="19">
        <f>IF(ISERROR($E$172),"",IF(ISBLANK($E$172),"",$E$172))</f>
        <v/>
      </c>
      <c r="BF172" s="19">
        <f>ISERROR($B$172)*1+ISERROR($E$172)*1+ISERROR($G$172)*1</f>
        <v/>
      </c>
    </row>
    <row r="173" ht="71" customHeight="1">
      <c r="A173" s="33">
        <f>IF(LEN($AV$71)&gt;0,$AV$71,"NPC 24")</f>
        <v/>
      </c>
      <c r="B173" s="28" t="n"/>
      <c r="C173" s="24" t="n"/>
      <c r="D173" s="16" t="n"/>
      <c r="E173" s="28" t="n"/>
      <c r="F173" s="16" t="n"/>
      <c r="G173" s="28" t="n"/>
      <c r="H173" s="24" t="n"/>
      <c r="I173" s="24" t="n"/>
      <c r="J173" s="16" t="n"/>
      <c r="K173" s="26">
        <f>IF(BF173&gt;0,"O Google leu como fórmula: escolha de novo ou digite com ' na frente.","")</f>
        <v/>
      </c>
      <c r="AW173" s="19">
        <f>IF(ISERROR($B$173),"",IF(ISBLANK($B$173),"",$B$173))</f>
        <v/>
      </c>
      <c r="AZ173" s="19">
        <f>IF(ISERROR($E$173),"",IF(ISBLANK($E$173),"",$E$173))</f>
        <v/>
      </c>
      <c r="BF173" s="19">
        <f>ISERROR($B$173)*1+ISERROR($E$173)*1+ISERROR($G$173)*1</f>
        <v/>
      </c>
    </row>
    <row r="174" ht="71" customHeight="1">
      <c r="A174" s="32">
        <f>IF(LEN($AV$72)&gt;0,$AV$72,"NPC 25")</f>
        <v/>
      </c>
      <c r="B174" s="3" t="n"/>
      <c r="C174" s="24" t="n"/>
      <c r="D174" s="16" t="n"/>
      <c r="E174" s="3" t="n"/>
      <c r="F174" s="16" t="n"/>
      <c r="G174" s="3" t="n"/>
      <c r="H174" s="24" t="n"/>
      <c r="I174" s="24" t="n"/>
      <c r="J174" s="16" t="n"/>
      <c r="K174" s="18">
        <f>IF(BF174&gt;0,"O Google leu como fórmula: escolha de novo ou digite com ' na frente.","")</f>
        <v/>
      </c>
      <c r="AW174" s="19">
        <f>IF(ISERROR($B$174),"",IF(ISBLANK($B$174),"",$B$174))</f>
        <v/>
      </c>
      <c r="AZ174" s="19">
        <f>IF(ISERROR($E$174),"",IF(ISBLANK($E$174),"",$E$174))</f>
        <v/>
      </c>
      <c r="BF174" s="19">
        <f>ISERROR($B$174)*1+ISERROR($E$174)*1+ISERROR($G$174)*1</f>
        <v/>
      </c>
    </row>
    <row r="175" ht="60" customHeight="1">
      <c r="A175" s="33">
        <f>IF(LEN($AV$73)&gt;0,$AV$73,"NPC 26")</f>
        <v/>
      </c>
      <c r="B175" s="28" t="n"/>
      <c r="C175" s="24" t="n"/>
      <c r="D175" s="16" t="n"/>
      <c r="E175" s="28" t="n"/>
      <c r="F175" s="16" t="n"/>
      <c r="G175" s="28" t="n"/>
      <c r="H175" s="24" t="n"/>
      <c r="I175" s="24" t="n"/>
      <c r="J175" s="16" t="n"/>
      <c r="K175" s="26">
        <f>IF(BF175&gt;0,"O Google leu como fórmula: escolha de novo ou digite com ' na frente.","")</f>
        <v/>
      </c>
      <c r="AW175" s="19">
        <f>IF(ISERROR($B$175),"",IF(ISBLANK($B$175),"",$B$175))</f>
        <v/>
      </c>
      <c r="AZ175" s="19">
        <f>IF(ISERROR($E$175),"",IF(ISBLANK($E$175),"",$E$175))</f>
        <v/>
      </c>
      <c r="BF175" s="19">
        <f>ISERROR($B$175)*1+ISERROR($E$175)*1+ISERROR($G$175)*1</f>
        <v/>
      </c>
    </row>
    <row r="176" ht="71" customHeight="1">
      <c r="A176" s="32">
        <f>IF(LEN($AV$74)&gt;0,$AV$74,"NPC 27")</f>
        <v/>
      </c>
      <c r="B176" s="3" t="n"/>
      <c r="C176" s="24" t="n"/>
      <c r="D176" s="16" t="n"/>
      <c r="E176" s="3" t="n"/>
      <c r="F176" s="16" t="n"/>
      <c r="G176" s="3" t="n"/>
      <c r="H176" s="24" t="n"/>
      <c r="I176" s="24" t="n"/>
      <c r="J176" s="16" t="n"/>
      <c r="K176" s="18">
        <f>IF(BF176&gt;0,"O Google leu como fórmula: escolha de novo ou digite com ' na frente.","")</f>
        <v/>
      </c>
      <c r="AW176" s="19">
        <f>IF(ISERROR($B$176),"",IF(ISBLANK($B$176),"",$B$176))</f>
        <v/>
      </c>
      <c r="AZ176" s="19">
        <f>IF(ISERROR($E$176),"",IF(ISBLANK($E$176),"",$E$176))</f>
        <v/>
      </c>
      <c r="BF176" s="19">
        <f>ISERROR($B$176)*1+ISERROR($E$176)*1+ISERROR($G$176)*1</f>
        <v/>
      </c>
    </row>
    <row r="177" ht="71" customHeight="1">
      <c r="A177" s="33">
        <f>IF(LEN($AV$75)&gt;0,$AV$75,"NPC 28")</f>
        <v/>
      </c>
      <c r="B177" s="28" t="n"/>
      <c r="C177" s="24" t="n"/>
      <c r="D177" s="16" t="n"/>
      <c r="E177" s="28" t="n"/>
      <c r="F177" s="16" t="n"/>
      <c r="G177" s="28" t="n"/>
      <c r="H177" s="24" t="n"/>
      <c r="I177" s="24" t="n"/>
      <c r="J177" s="16" t="n"/>
      <c r="K177" s="26">
        <f>IF(BF177&gt;0,"O Google leu como fórmula: escolha de novo ou digite com ' na frente.","")</f>
        <v/>
      </c>
      <c r="AW177" s="19">
        <f>IF(ISERROR($B$177),"",IF(ISBLANK($B$177),"",$B$177))</f>
        <v/>
      </c>
      <c r="AZ177" s="19">
        <f>IF(ISERROR($E$177),"",IF(ISBLANK($E$177),"",$E$177))</f>
        <v/>
      </c>
      <c r="BF177" s="19">
        <f>ISERROR($B$177)*1+ISERROR($E$177)*1+ISERROR($G$177)*1</f>
        <v/>
      </c>
    </row>
    <row r="178" ht="60" customHeight="1">
      <c r="A178" s="32">
        <f>IF(LEN($AV$76)&gt;0,$AV$76,"NPC 29")</f>
        <v/>
      </c>
      <c r="B178" s="3" t="n"/>
      <c r="C178" s="24" t="n"/>
      <c r="D178" s="16" t="n"/>
      <c r="E178" s="3" t="n"/>
      <c r="F178" s="16" t="n"/>
      <c r="G178" s="3" t="n"/>
      <c r="H178" s="24" t="n"/>
      <c r="I178" s="24" t="n"/>
      <c r="J178" s="16" t="n"/>
      <c r="K178" s="18">
        <f>IF(BF178&gt;0,"O Google leu como fórmula: escolha de novo ou digite com ' na frente.","")</f>
        <v/>
      </c>
      <c r="AW178" s="19">
        <f>IF(ISERROR($B$178),"",IF(ISBLANK($B$178),"",$B$178))</f>
        <v/>
      </c>
      <c r="AZ178" s="19">
        <f>IF(ISERROR($E$178),"",IF(ISBLANK($E$178),"",$E$178))</f>
        <v/>
      </c>
      <c r="BF178" s="19">
        <f>ISERROR($B$178)*1+ISERROR($E$178)*1+ISERROR($G$178)*1</f>
        <v/>
      </c>
    </row>
    <row r="179" ht="60" customHeight="1">
      <c r="A179" s="33">
        <f>IF(LEN($AV$77)&gt;0,$AV$77,"NPC 30")</f>
        <v/>
      </c>
      <c r="B179" s="28" t="n"/>
      <c r="C179" s="24" t="n"/>
      <c r="D179" s="16" t="n"/>
      <c r="E179" s="28" t="n"/>
      <c r="F179" s="16" t="n"/>
      <c r="G179" s="28" t="n"/>
      <c r="H179" s="24" t="n"/>
      <c r="I179" s="24" t="n"/>
      <c r="J179" s="16" t="n"/>
      <c r="K179" s="26">
        <f>IF(BF179&gt;0,"O Google leu como fórmula: escolha de novo ou digite com ' na frente.","")</f>
        <v/>
      </c>
      <c r="AW179" s="19">
        <f>IF(ISERROR($B$179),"",IF(ISBLANK($B$179),"",$B$179))</f>
        <v/>
      </c>
      <c r="AZ179" s="19">
        <f>IF(ISERROR($E$179),"",IF(ISBLANK($E$179),"",$E$179))</f>
        <v/>
      </c>
      <c r="BF179" s="19">
        <f>ISERROR($B$179)*1+ISERROR($E$179)*1+ISERROR($G$179)*1</f>
        <v/>
      </c>
    </row>
    <row r="180" ht="26" customHeight="1">
      <c r="A180" s="12" t="inlineStr">
        <is>
          <t>E5 · Registro (a relação usa a escala −3 a +3 da planilha)</t>
        </is>
      </c>
      <c r="K180" s="11" t="inlineStr">
        <is>
          <t>Sugestão da planilha — não é regra do livro (H17)</t>
        </is>
      </c>
    </row>
    <row r="181" ht="26" customHeight="1">
      <c r="A181" s="7" t="inlineStr">
        <is>
          <t>NPC</t>
        </is>
      </c>
      <c r="B181" s="7" t="inlineStr">
        <is>
          <t>Relação (−3 a +3)</t>
        </is>
      </c>
      <c r="C181" s="7" t="inlineStr">
        <is>
          <t>Vivo?</t>
        </is>
      </c>
      <c r="D181" s="7" t="inlineStr">
        <is>
          <t>Sessão em que apareceu</t>
        </is>
      </c>
      <c r="E181" s="7" t="inlineStr">
        <is>
          <t>Onde está</t>
        </is>
      </c>
      <c r="F181" s="20" t="n"/>
      <c r="G181" s="20" t="n"/>
      <c r="H181" s="7" t="inlineStr">
        <is>
          <t>Notas</t>
        </is>
      </c>
      <c r="I181" s="20" t="n"/>
      <c r="J181" s="20" t="n"/>
      <c r="K181" s="7" t="inlineStr">
        <is>
          <t>Aviso</t>
        </is>
      </c>
      <c r="L181" s="20" t="n"/>
    </row>
    <row r="182" ht="60" customHeight="1">
      <c r="A182" s="32">
        <f>IF(LEN($AV$46)&gt;0,$AV$46,"NPC 1")</f>
        <v/>
      </c>
      <c r="B182" s="15" t="n"/>
      <c r="C182" s="3" t="n"/>
      <c r="D182" s="15" t="n"/>
      <c r="E182" s="3" t="n"/>
      <c r="F182" s="24" t="n"/>
      <c r="G182" s="16" t="n"/>
      <c r="H182" s="3" t="n"/>
      <c r="I182" s="24" t="n"/>
      <c r="J182" s="16" t="n"/>
      <c r="K182" s="18">
        <f>IF(BF182&gt;0,"O Google leu como fórmula: escolha de novo ou digite com ' na frente.",IF(LEN($AW$182)=0,"",IF(NOT(ISNUMBER($AW$182)),"Relação não é número (−3 a +3)",IF(OR($AW$182&lt;-3,$AW$182&gt;3,INT($AW$182)&lt;&gt;$AW$182),"Relação fora de −3 a +3",""))))</f>
        <v/>
      </c>
      <c r="AW182" s="19">
        <f>IF(ISERROR($B$182),"",IF(ISBLANK($B$182),"",$B$182))</f>
        <v/>
      </c>
      <c r="BF182" s="19">
        <f>ISERROR($B$182)*1+ISERROR($C$182)*1+ISERROR($D$182)*1+ISERROR($E$182)*1+ISERROR($H$182)*1</f>
        <v/>
      </c>
    </row>
    <row r="183" ht="60" customHeight="1">
      <c r="A183" s="33">
        <f>IF(LEN($AV$47)&gt;0,$AV$47,"NPC 2")</f>
        <v/>
      </c>
      <c r="B183" s="34" t="n"/>
      <c r="C183" s="28" t="n"/>
      <c r="D183" s="34" t="n"/>
      <c r="E183" s="28" t="n"/>
      <c r="F183" s="24" t="n"/>
      <c r="G183" s="16" t="n"/>
      <c r="H183" s="28" t="n"/>
      <c r="I183" s="24" t="n"/>
      <c r="J183" s="16" t="n"/>
      <c r="K183" s="26">
        <f>IF(BF183&gt;0,"O Google leu como fórmula: escolha de novo ou digite com ' na frente.",IF(LEN($AW$183)=0,"",IF(NOT(ISNUMBER($AW$183)),"Relação não é número (−3 a +3)",IF(OR($AW$183&lt;-3,$AW$183&gt;3,INT($AW$183)&lt;&gt;$AW$183),"Relação fora de −3 a +3",""))))</f>
        <v/>
      </c>
      <c r="AW183" s="19">
        <f>IF(ISERROR($B$183),"",IF(ISBLANK($B$183),"",$B$183))</f>
        <v/>
      </c>
      <c r="BF183" s="19">
        <f>ISERROR($B$183)*1+ISERROR($C$183)*1+ISERROR($D$183)*1+ISERROR($E$183)*1+ISERROR($H$183)*1</f>
        <v/>
      </c>
    </row>
    <row r="184" ht="60" customHeight="1">
      <c r="A184" s="32">
        <f>IF(LEN($AV$48)&gt;0,$AV$48,"NPC 3")</f>
        <v/>
      </c>
      <c r="B184" s="15" t="n"/>
      <c r="C184" s="3" t="n"/>
      <c r="D184" s="15" t="n"/>
      <c r="E184" s="3" t="n"/>
      <c r="F184" s="24" t="n"/>
      <c r="G184" s="16" t="n"/>
      <c r="H184" s="3" t="n"/>
      <c r="I184" s="24" t="n"/>
      <c r="J184" s="16" t="n"/>
      <c r="K184" s="18">
        <f>IF(BF184&gt;0,"O Google leu como fórmula: escolha de novo ou digite com ' na frente.",IF(LEN($AW$184)=0,"",IF(NOT(ISNUMBER($AW$184)),"Relação não é número (−3 a +3)",IF(OR($AW$184&lt;-3,$AW$184&gt;3,INT($AW$184)&lt;&gt;$AW$184),"Relação fora de −3 a +3",""))))</f>
        <v/>
      </c>
      <c r="AW184" s="19">
        <f>IF(ISERROR($B$184),"",IF(ISBLANK($B$184),"",$B$184))</f>
        <v/>
      </c>
      <c r="BF184" s="19">
        <f>ISERROR($B$184)*1+ISERROR($C$184)*1+ISERROR($D$184)*1+ISERROR($E$184)*1+ISERROR($H$184)*1</f>
        <v/>
      </c>
    </row>
    <row r="185" ht="71" customHeight="1">
      <c r="A185" s="33">
        <f>IF(LEN($AV$49)&gt;0,$AV$49,"NPC 4")</f>
        <v/>
      </c>
      <c r="B185" s="34" t="n"/>
      <c r="C185" s="28" t="n"/>
      <c r="D185" s="34" t="n"/>
      <c r="E185" s="28" t="n"/>
      <c r="F185" s="24" t="n"/>
      <c r="G185" s="16" t="n"/>
      <c r="H185" s="28" t="n"/>
      <c r="I185" s="24" t="n"/>
      <c r="J185" s="16" t="n"/>
      <c r="K185" s="26">
        <f>IF(BF185&gt;0,"O Google leu como fórmula: escolha de novo ou digite com ' na frente.",IF(LEN($AW$185)=0,"",IF(NOT(ISNUMBER($AW$185)),"Relação não é número (−3 a +3)",IF(OR($AW$185&lt;-3,$AW$185&gt;3,INT($AW$185)&lt;&gt;$AW$185),"Relação fora de −3 a +3",""))))</f>
        <v/>
      </c>
      <c r="AW185" s="19">
        <f>IF(ISERROR($B$185),"",IF(ISBLANK($B$185),"",$B$185))</f>
        <v/>
      </c>
      <c r="BF185" s="19">
        <f>ISERROR($B$185)*1+ISERROR($C$185)*1+ISERROR($D$185)*1+ISERROR($E$185)*1+ISERROR($H$185)*1</f>
        <v/>
      </c>
    </row>
    <row r="186" ht="60" customHeight="1">
      <c r="A186" s="32">
        <f>IF(LEN($AV$50)&gt;0,$AV$50,"NPC 5")</f>
        <v/>
      </c>
      <c r="B186" s="15" t="n"/>
      <c r="C186" s="3" t="n"/>
      <c r="D186" s="15" t="n"/>
      <c r="E186" s="3" t="n"/>
      <c r="F186" s="24" t="n"/>
      <c r="G186" s="16" t="n"/>
      <c r="H186" s="3" t="n"/>
      <c r="I186" s="24" t="n"/>
      <c r="J186" s="16" t="n"/>
      <c r="K186" s="18">
        <f>IF(BF186&gt;0,"O Google leu como fórmula: escolha de novo ou digite com ' na frente.",IF(LEN($AW$186)=0,"",IF(NOT(ISNUMBER($AW$186)),"Relação não é número (−3 a +3)",IF(OR($AW$186&lt;-3,$AW$186&gt;3,INT($AW$186)&lt;&gt;$AW$186),"Relação fora de −3 a +3",""))))</f>
        <v/>
      </c>
      <c r="AW186" s="19">
        <f>IF(ISERROR($B$186),"",IF(ISBLANK($B$186),"",$B$186))</f>
        <v/>
      </c>
      <c r="BF186" s="19">
        <f>ISERROR($B$186)*1+ISERROR($C$186)*1+ISERROR($D$186)*1+ISERROR($E$186)*1+ISERROR($H$186)*1</f>
        <v/>
      </c>
    </row>
    <row r="187" ht="60" customHeight="1">
      <c r="A187" s="33">
        <f>IF(LEN($AV$51)&gt;0,$AV$51,"NPC 6")</f>
        <v/>
      </c>
      <c r="B187" s="34" t="n"/>
      <c r="C187" s="28" t="n"/>
      <c r="D187" s="34" t="n"/>
      <c r="E187" s="28" t="n"/>
      <c r="F187" s="24" t="n"/>
      <c r="G187" s="16" t="n"/>
      <c r="H187" s="28" t="n"/>
      <c r="I187" s="24" t="n"/>
      <c r="J187" s="16" t="n"/>
      <c r="K187" s="26">
        <f>IF(BF187&gt;0,"O Google leu como fórmula: escolha de novo ou digite com ' na frente.",IF(LEN($AW$187)=0,"",IF(NOT(ISNUMBER($AW$187)),"Relação não é número (−3 a +3)",IF(OR($AW$187&lt;-3,$AW$187&gt;3,INT($AW$187)&lt;&gt;$AW$187),"Relação fora de −3 a +3",""))))</f>
        <v/>
      </c>
      <c r="AW187" s="19">
        <f>IF(ISERROR($B$187),"",IF(ISBLANK($B$187),"",$B$187))</f>
        <v/>
      </c>
      <c r="BF187" s="19">
        <f>ISERROR($B$187)*1+ISERROR($C$187)*1+ISERROR($D$187)*1+ISERROR($E$187)*1+ISERROR($H$187)*1</f>
        <v/>
      </c>
    </row>
    <row r="188" ht="60" customHeight="1">
      <c r="A188" s="32">
        <f>IF(LEN($AV$52)&gt;0,$AV$52,"NPC 7")</f>
        <v/>
      </c>
      <c r="B188" s="15" t="n"/>
      <c r="C188" s="3" t="n"/>
      <c r="D188" s="15" t="n"/>
      <c r="E188" s="3" t="n"/>
      <c r="F188" s="24" t="n"/>
      <c r="G188" s="16" t="n"/>
      <c r="H188" s="3" t="n"/>
      <c r="I188" s="24" t="n"/>
      <c r="J188" s="16" t="n"/>
      <c r="K188" s="18">
        <f>IF(BF188&gt;0,"O Google leu como fórmula: escolha de novo ou digite com ' na frente.",IF(LEN($AW$188)=0,"",IF(NOT(ISNUMBER($AW$188)),"Relação não é número (−3 a +3)",IF(OR($AW$188&lt;-3,$AW$188&gt;3,INT($AW$188)&lt;&gt;$AW$188),"Relação fora de −3 a +3",""))))</f>
        <v/>
      </c>
      <c r="AW188" s="19">
        <f>IF(ISERROR($B$188),"",IF(ISBLANK($B$188),"",$B$188))</f>
        <v/>
      </c>
      <c r="BF188" s="19">
        <f>ISERROR($B$188)*1+ISERROR($C$188)*1+ISERROR($D$188)*1+ISERROR($E$188)*1+ISERROR($H$188)*1</f>
        <v/>
      </c>
    </row>
    <row r="189" ht="60" customHeight="1">
      <c r="A189" s="33">
        <f>IF(LEN($AV$53)&gt;0,$AV$53,"NPC 8")</f>
        <v/>
      </c>
      <c r="B189" s="34" t="n"/>
      <c r="C189" s="28" t="n"/>
      <c r="D189" s="34" t="n"/>
      <c r="E189" s="28" t="n"/>
      <c r="F189" s="24" t="n"/>
      <c r="G189" s="16" t="n"/>
      <c r="H189" s="28" t="n"/>
      <c r="I189" s="24" t="n"/>
      <c r="J189" s="16" t="n"/>
      <c r="K189" s="26">
        <f>IF(BF189&gt;0,"O Google leu como fórmula: escolha de novo ou digite com ' na frente.",IF(LEN($AW$189)=0,"",IF(NOT(ISNUMBER($AW$189)),"Relação não é número (−3 a +3)",IF(OR($AW$189&lt;-3,$AW$189&gt;3,INT($AW$189)&lt;&gt;$AW$189),"Relação fora de −3 a +3",""))))</f>
        <v/>
      </c>
      <c r="AW189" s="19">
        <f>IF(ISERROR($B$189),"",IF(ISBLANK($B$189),"",$B$189))</f>
        <v/>
      </c>
      <c r="BF189" s="19">
        <f>ISERROR($B$189)*1+ISERROR($C$189)*1+ISERROR($D$189)*1+ISERROR($E$189)*1+ISERROR($H$189)*1</f>
        <v/>
      </c>
    </row>
    <row r="190" ht="60" customHeight="1">
      <c r="A190" s="32">
        <f>IF(LEN($AV$54)&gt;0,$AV$54,"NPC 9")</f>
        <v/>
      </c>
      <c r="B190" s="15" t="n"/>
      <c r="C190" s="3" t="n"/>
      <c r="D190" s="15" t="n"/>
      <c r="E190" s="3" t="n"/>
      <c r="F190" s="24" t="n"/>
      <c r="G190" s="16" t="n"/>
      <c r="H190" s="3" t="n"/>
      <c r="I190" s="24" t="n"/>
      <c r="J190" s="16" t="n"/>
      <c r="K190" s="18">
        <f>IF(BF190&gt;0,"O Google leu como fórmula: escolha de novo ou digite com ' na frente.",IF(LEN($AW$190)=0,"",IF(NOT(ISNUMBER($AW$190)),"Relação não é número (−3 a +3)",IF(OR($AW$190&lt;-3,$AW$190&gt;3,INT($AW$190)&lt;&gt;$AW$190),"Relação fora de −3 a +3",""))))</f>
        <v/>
      </c>
      <c r="AW190" s="19">
        <f>IF(ISERROR($B$190),"",IF(ISBLANK($B$190),"",$B$190))</f>
        <v/>
      </c>
      <c r="BF190" s="19">
        <f>ISERROR($B$190)*1+ISERROR($C$190)*1+ISERROR($D$190)*1+ISERROR($E$190)*1+ISERROR($H$190)*1</f>
        <v/>
      </c>
    </row>
    <row r="191" ht="60" customHeight="1">
      <c r="A191" s="33">
        <f>IF(LEN($AV$55)&gt;0,$AV$55,"NPC 10")</f>
        <v/>
      </c>
      <c r="B191" s="34" t="n"/>
      <c r="C191" s="28" t="n"/>
      <c r="D191" s="34" t="n"/>
      <c r="E191" s="28" t="n"/>
      <c r="F191" s="24" t="n"/>
      <c r="G191" s="16" t="n"/>
      <c r="H191" s="28" t="n"/>
      <c r="I191" s="24" t="n"/>
      <c r="J191" s="16" t="n"/>
      <c r="K191" s="26">
        <f>IF(BF191&gt;0,"O Google leu como fórmula: escolha de novo ou digite com ' na frente.",IF(LEN($AW$191)=0,"",IF(NOT(ISNUMBER($AW$191)),"Relação não é número (−3 a +3)",IF(OR($AW$191&lt;-3,$AW$191&gt;3,INT($AW$191)&lt;&gt;$AW$191),"Relação fora de −3 a +3",""))))</f>
        <v/>
      </c>
      <c r="AW191" s="19">
        <f>IF(ISERROR($B$191),"",IF(ISBLANK($B$191),"",$B$191))</f>
        <v/>
      </c>
      <c r="BF191" s="19">
        <f>ISERROR($B$191)*1+ISERROR($C$191)*1+ISERROR($D$191)*1+ISERROR($E$191)*1+ISERROR($H$191)*1</f>
        <v/>
      </c>
    </row>
    <row r="192" ht="26" customHeight="1">
      <c r="A192" s="7" t="inlineStr">
        <is>
          <t>NPC</t>
        </is>
      </c>
      <c r="B192" s="7" t="inlineStr">
        <is>
          <t>Relação (−3 a +3)</t>
        </is>
      </c>
      <c r="C192" s="7" t="inlineStr">
        <is>
          <t>Vivo?</t>
        </is>
      </c>
      <c r="D192" s="7" t="inlineStr">
        <is>
          <t>Sessão em que apareceu</t>
        </is>
      </c>
      <c r="E192" s="7" t="inlineStr">
        <is>
          <t>Onde está</t>
        </is>
      </c>
      <c r="F192" s="20" t="n"/>
      <c r="G192" s="20" t="n"/>
      <c r="H192" s="7" t="inlineStr">
        <is>
          <t>Notas</t>
        </is>
      </c>
      <c r="I192" s="20" t="n"/>
      <c r="J192" s="20" t="n"/>
      <c r="K192" s="7" t="inlineStr">
        <is>
          <t>Aviso</t>
        </is>
      </c>
      <c r="L192" s="20" t="n"/>
    </row>
    <row r="193" ht="60" customHeight="1">
      <c r="A193" s="32">
        <f>IF(LEN($AV$57)&gt;0,$AV$57,"NPC 11")</f>
        <v/>
      </c>
      <c r="B193" s="15" t="n"/>
      <c r="C193" s="3" t="n"/>
      <c r="D193" s="15" t="n"/>
      <c r="E193" s="3" t="n"/>
      <c r="F193" s="24" t="n"/>
      <c r="G193" s="16" t="n"/>
      <c r="H193" s="3" t="n"/>
      <c r="I193" s="24" t="n"/>
      <c r="J193" s="16" t="n"/>
      <c r="K193" s="18">
        <f>IF(BF193&gt;0,"O Google leu como fórmula: escolha de novo ou digite com ' na frente.",IF(LEN($AW$193)=0,"",IF(NOT(ISNUMBER($AW$193)),"Relação não é número (−3 a +3)",IF(OR($AW$193&lt;-3,$AW$193&gt;3,INT($AW$193)&lt;&gt;$AW$193),"Relação fora de −3 a +3",""))))</f>
        <v/>
      </c>
      <c r="AW193" s="19">
        <f>IF(ISERROR($B$193),"",IF(ISBLANK($B$193),"",$B$193))</f>
        <v/>
      </c>
      <c r="BF193" s="19">
        <f>ISERROR($B$193)*1+ISERROR($C$193)*1+ISERROR($D$193)*1+ISERROR($E$193)*1+ISERROR($H$193)*1</f>
        <v/>
      </c>
    </row>
    <row r="194" ht="60" customHeight="1">
      <c r="A194" s="33">
        <f>IF(LEN($AV$58)&gt;0,$AV$58,"NPC 12")</f>
        <v/>
      </c>
      <c r="B194" s="34" t="n"/>
      <c r="C194" s="28" t="n"/>
      <c r="D194" s="34" t="n"/>
      <c r="E194" s="28" t="n"/>
      <c r="F194" s="24" t="n"/>
      <c r="G194" s="16" t="n"/>
      <c r="H194" s="28" t="n"/>
      <c r="I194" s="24" t="n"/>
      <c r="J194" s="16" t="n"/>
      <c r="K194" s="26">
        <f>IF(BF194&gt;0,"O Google leu como fórmula: escolha de novo ou digite com ' na frente.",IF(LEN($AW$194)=0,"",IF(NOT(ISNUMBER($AW$194)),"Relação não é número (−3 a +3)",IF(OR($AW$194&lt;-3,$AW$194&gt;3,INT($AW$194)&lt;&gt;$AW$194),"Relação fora de −3 a +3",""))))</f>
        <v/>
      </c>
      <c r="AW194" s="19">
        <f>IF(ISERROR($B$194),"",IF(ISBLANK($B$194),"",$B$194))</f>
        <v/>
      </c>
      <c r="BF194" s="19">
        <f>ISERROR($B$194)*1+ISERROR($C$194)*1+ISERROR($D$194)*1+ISERROR($E$194)*1+ISERROR($H$194)*1</f>
        <v/>
      </c>
    </row>
    <row r="195" ht="60" customHeight="1">
      <c r="A195" s="32">
        <f>IF(LEN($AV$59)&gt;0,$AV$59,"NPC 13")</f>
        <v/>
      </c>
      <c r="B195" s="15" t="n"/>
      <c r="C195" s="3" t="n"/>
      <c r="D195" s="15" t="n"/>
      <c r="E195" s="3" t="n"/>
      <c r="F195" s="24" t="n"/>
      <c r="G195" s="16" t="n"/>
      <c r="H195" s="3" t="n"/>
      <c r="I195" s="24" t="n"/>
      <c r="J195" s="16" t="n"/>
      <c r="K195" s="18">
        <f>IF(BF195&gt;0,"O Google leu como fórmula: escolha de novo ou digite com ' na frente.",IF(LEN($AW$195)=0,"",IF(NOT(ISNUMBER($AW$195)),"Relação não é número (−3 a +3)",IF(OR($AW$195&lt;-3,$AW$195&gt;3,INT($AW$195)&lt;&gt;$AW$195),"Relação fora de −3 a +3",""))))</f>
        <v/>
      </c>
      <c r="AW195" s="19">
        <f>IF(ISERROR($B$195),"",IF(ISBLANK($B$195),"",$B$195))</f>
        <v/>
      </c>
      <c r="BF195" s="19">
        <f>ISERROR($B$195)*1+ISERROR($C$195)*1+ISERROR($D$195)*1+ISERROR($E$195)*1+ISERROR($H$195)*1</f>
        <v/>
      </c>
    </row>
    <row r="196" ht="60" customHeight="1">
      <c r="A196" s="33">
        <f>IF(LEN($AV$60)&gt;0,$AV$60,"NPC 14")</f>
        <v/>
      </c>
      <c r="B196" s="34" t="n"/>
      <c r="C196" s="28" t="n"/>
      <c r="D196" s="34" t="n"/>
      <c r="E196" s="28" t="n"/>
      <c r="F196" s="24" t="n"/>
      <c r="G196" s="16" t="n"/>
      <c r="H196" s="28" t="n"/>
      <c r="I196" s="24" t="n"/>
      <c r="J196" s="16" t="n"/>
      <c r="K196" s="26">
        <f>IF(BF196&gt;0,"O Google leu como fórmula: escolha de novo ou digite com ' na frente.",IF(LEN($AW$196)=0,"",IF(NOT(ISNUMBER($AW$196)),"Relação não é número (−3 a +3)",IF(OR($AW$196&lt;-3,$AW$196&gt;3,INT($AW$196)&lt;&gt;$AW$196),"Relação fora de −3 a +3",""))))</f>
        <v/>
      </c>
      <c r="AW196" s="19">
        <f>IF(ISERROR($B$196),"",IF(ISBLANK($B$196),"",$B$196))</f>
        <v/>
      </c>
      <c r="BF196" s="19">
        <f>ISERROR($B$196)*1+ISERROR($C$196)*1+ISERROR($D$196)*1+ISERROR($E$196)*1+ISERROR($H$196)*1</f>
        <v/>
      </c>
    </row>
    <row r="197" ht="71" customHeight="1">
      <c r="A197" s="32">
        <f>IF(LEN($AV$61)&gt;0,$AV$61,"NPC 15")</f>
        <v/>
      </c>
      <c r="B197" s="15" t="n"/>
      <c r="C197" s="3" t="n"/>
      <c r="D197" s="15" t="n"/>
      <c r="E197" s="3" t="n"/>
      <c r="F197" s="24" t="n"/>
      <c r="G197" s="16" t="n"/>
      <c r="H197" s="3" t="n"/>
      <c r="I197" s="24" t="n"/>
      <c r="J197" s="16" t="n"/>
      <c r="K197" s="18">
        <f>IF(BF197&gt;0,"O Google leu como fórmula: escolha de novo ou digite com ' na frente.",IF(LEN($AW$197)=0,"",IF(NOT(ISNUMBER($AW$197)),"Relação não é número (−3 a +3)",IF(OR($AW$197&lt;-3,$AW$197&gt;3,INT($AW$197)&lt;&gt;$AW$197),"Relação fora de −3 a +3",""))))</f>
        <v/>
      </c>
      <c r="AW197" s="19">
        <f>IF(ISERROR($B$197),"",IF(ISBLANK($B$197),"",$B$197))</f>
        <v/>
      </c>
      <c r="BF197" s="19">
        <f>ISERROR($B$197)*1+ISERROR($C$197)*1+ISERROR($D$197)*1+ISERROR($E$197)*1+ISERROR($H$197)*1</f>
        <v/>
      </c>
    </row>
    <row r="198" ht="60" customHeight="1">
      <c r="A198" s="33">
        <f>IF(LEN($AV$62)&gt;0,$AV$62,"NPC 16")</f>
        <v/>
      </c>
      <c r="B198" s="34" t="n"/>
      <c r="C198" s="28" t="n"/>
      <c r="D198" s="34" t="n"/>
      <c r="E198" s="28" t="n"/>
      <c r="F198" s="24" t="n"/>
      <c r="G198" s="16" t="n"/>
      <c r="H198" s="28" t="n"/>
      <c r="I198" s="24" t="n"/>
      <c r="J198" s="16" t="n"/>
      <c r="K198" s="26">
        <f>IF(BF198&gt;0,"O Google leu como fórmula: escolha de novo ou digite com ' na frente.",IF(LEN($AW$198)=0,"",IF(NOT(ISNUMBER($AW$198)),"Relação não é número (−3 a +3)",IF(OR($AW$198&lt;-3,$AW$198&gt;3,INT($AW$198)&lt;&gt;$AW$198),"Relação fora de −3 a +3",""))))</f>
        <v/>
      </c>
      <c r="AW198" s="19">
        <f>IF(ISERROR($B$198),"",IF(ISBLANK($B$198),"",$B$198))</f>
        <v/>
      </c>
      <c r="BF198" s="19">
        <f>ISERROR($B$198)*1+ISERROR($C$198)*1+ISERROR($D$198)*1+ISERROR($E$198)*1+ISERROR($H$198)*1</f>
        <v/>
      </c>
    </row>
    <row r="199" ht="60" customHeight="1">
      <c r="A199" s="32">
        <f>IF(LEN($AV$63)&gt;0,$AV$63,"NPC 17")</f>
        <v/>
      </c>
      <c r="B199" s="15" t="n"/>
      <c r="C199" s="3" t="n"/>
      <c r="D199" s="15" t="n"/>
      <c r="E199" s="3" t="n"/>
      <c r="F199" s="24" t="n"/>
      <c r="G199" s="16" t="n"/>
      <c r="H199" s="3" t="n"/>
      <c r="I199" s="24" t="n"/>
      <c r="J199" s="16" t="n"/>
      <c r="K199" s="18">
        <f>IF(BF199&gt;0,"O Google leu como fórmula: escolha de novo ou digite com ' na frente.",IF(LEN($AW$199)=0,"",IF(NOT(ISNUMBER($AW$199)),"Relação não é número (−3 a +3)",IF(OR($AW$199&lt;-3,$AW$199&gt;3,INT($AW$199)&lt;&gt;$AW$199),"Relação fora de −3 a +3",""))))</f>
        <v/>
      </c>
      <c r="AW199" s="19">
        <f>IF(ISERROR($B$199),"",IF(ISBLANK($B$199),"",$B$199))</f>
        <v/>
      </c>
      <c r="BF199" s="19">
        <f>ISERROR($B$199)*1+ISERROR($C$199)*1+ISERROR($D$199)*1+ISERROR($E$199)*1+ISERROR($H$199)*1</f>
        <v/>
      </c>
    </row>
    <row r="200" ht="60" customHeight="1">
      <c r="A200" s="33">
        <f>IF(LEN($AV$64)&gt;0,$AV$64,"NPC 18")</f>
        <v/>
      </c>
      <c r="B200" s="34" t="n"/>
      <c r="C200" s="28" t="n"/>
      <c r="D200" s="34" t="n"/>
      <c r="E200" s="28" t="n"/>
      <c r="F200" s="24" t="n"/>
      <c r="G200" s="16" t="n"/>
      <c r="H200" s="28" t="n"/>
      <c r="I200" s="24" t="n"/>
      <c r="J200" s="16" t="n"/>
      <c r="K200" s="26">
        <f>IF(BF200&gt;0,"O Google leu como fórmula: escolha de novo ou digite com ' na frente.",IF(LEN($AW$200)=0,"",IF(NOT(ISNUMBER($AW$200)),"Relação não é número (−3 a +3)",IF(OR($AW$200&lt;-3,$AW$200&gt;3,INT($AW$200)&lt;&gt;$AW$200),"Relação fora de −3 a +3",""))))</f>
        <v/>
      </c>
      <c r="AW200" s="19">
        <f>IF(ISERROR($B$200),"",IF(ISBLANK($B$200),"",$B$200))</f>
        <v/>
      </c>
      <c r="BF200" s="19">
        <f>ISERROR($B$200)*1+ISERROR($C$200)*1+ISERROR($D$200)*1+ISERROR($E$200)*1+ISERROR($H$200)*1</f>
        <v/>
      </c>
    </row>
    <row r="201" ht="60" customHeight="1">
      <c r="A201" s="32">
        <f>IF(LEN($AV$65)&gt;0,$AV$65,"NPC 19")</f>
        <v/>
      </c>
      <c r="B201" s="15" t="n"/>
      <c r="C201" s="3" t="n"/>
      <c r="D201" s="15" t="n"/>
      <c r="E201" s="3" t="n"/>
      <c r="F201" s="24" t="n"/>
      <c r="G201" s="16" t="n"/>
      <c r="H201" s="3" t="n"/>
      <c r="I201" s="24" t="n"/>
      <c r="J201" s="16" t="n"/>
      <c r="K201" s="18">
        <f>IF(BF201&gt;0,"O Google leu como fórmula: escolha de novo ou digite com ' na frente.",IF(LEN($AW$201)=0,"",IF(NOT(ISNUMBER($AW$201)),"Relação não é número (−3 a +3)",IF(OR($AW$201&lt;-3,$AW$201&gt;3,INT($AW$201)&lt;&gt;$AW$201),"Relação fora de −3 a +3",""))))</f>
        <v/>
      </c>
      <c r="AW201" s="19">
        <f>IF(ISERROR($B$201),"",IF(ISBLANK($B$201),"",$B$201))</f>
        <v/>
      </c>
      <c r="BF201" s="19">
        <f>ISERROR($B$201)*1+ISERROR($C$201)*1+ISERROR($D$201)*1+ISERROR($E$201)*1+ISERROR($H$201)*1</f>
        <v/>
      </c>
    </row>
    <row r="202" ht="60" customHeight="1">
      <c r="A202" s="33">
        <f>IF(LEN($AV$66)&gt;0,$AV$66,"NPC 20")</f>
        <v/>
      </c>
      <c r="B202" s="34" t="n"/>
      <c r="C202" s="28" t="n"/>
      <c r="D202" s="34" t="n"/>
      <c r="E202" s="28" t="n"/>
      <c r="F202" s="24" t="n"/>
      <c r="G202" s="16" t="n"/>
      <c r="H202" s="28" t="n"/>
      <c r="I202" s="24" t="n"/>
      <c r="J202" s="16" t="n"/>
      <c r="K202" s="26">
        <f>IF(BF202&gt;0,"O Google leu como fórmula: escolha de novo ou digite com ' na frente.",IF(LEN($AW$202)=0,"",IF(NOT(ISNUMBER($AW$202)),"Relação não é número (−3 a +3)",IF(OR($AW$202&lt;-3,$AW$202&gt;3,INT($AW$202)&lt;&gt;$AW$202),"Relação fora de −3 a +3",""))))</f>
        <v/>
      </c>
      <c r="AW202" s="19">
        <f>IF(ISERROR($B$202),"",IF(ISBLANK($B$202),"",$B$202))</f>
        <v/>
      </c>
      <c r="BF202" s="19">
        <f>ISERROR($B$202)*1+ISERROR($C$202)*1+ISERROR($D$202)*1+ISERROR($E$202)*1+ISERROR($H$202)*1</f>
        <v/>
      </c>
    </row>
    <row r="203" ht="26" customHeight="1">
      <c r="A203" s="7" t="inlineStr">
        <is>
          <t>NPC</t>
        </is>
      </c>
      <c r="B203" s="7" t="inlineStr">
        <is>
          <t>Relação (−3 a +3)</t>
        </is>
      </c>
      <c r="C203" s="7" t="inlineStr">
        <is>
          <t>Vivo?</t>
        </is>
      </c>
      <c r="D203" s="7" t="inlineStr">
        <is>
          <t>Sessão em que apareceu</t>
        </is>
      </c>
      <c r="E203" s="7" t="inlineStr">
        <is>
          <t>Onde está</t>
        </is>
      </c>
      <c r="F203" s="20" t="n"/>
      <c r="G203" s="20" t="n"/>
      <c r="H203" s="7" t="inlineStr">
        <is>
          <t>Notas</t>
        </is>
      </c>
      <c r="I203" s="20" t="n"/>
      <c r="J203" s="20" t="n"/>
      <c r="K203" s="7" t="inlineStr">
        <is>
          <t>Aviso</t>
        </is>
      </c>
      <c r="L203" s="20" t="n"/>
    </row>
    <row r="204" ht="71" customHeight="1">
      <c r="A204" s="32">
        <f>IF(LEN($AV$68)&gt;0,$AV$68,"NPC 21")</f>
        <v/>
      </c>
      <c r="B204" s="15" t="n"/>
      <c r="C204" s="3" t="n"/>
      <c r="D204" s="15" t="n"/>
      <c r="E204" s="3" t="n"/>
      <c r="F204" s="24" t="n"/>
      <c r="G204" s="16" t="n"/>
      <c r="H204" s="3" t="n"/>
      <c r="I204" s="24" t="n"/>
      <c r="J204" s="16" t="n"/>
      <c r="K204" s="18">
        <f>IF(BF204&gt;0,"O Google leu como fórmula: escolha de novo ou digite com ' na frente.",IF(LEN($AW$204)=0,"",IF(NOT(ISNUMBER($AW$204)),"Relação não é número (−3 a +3)",IF(OR($AW$204&lt;-3,$AW$204&gt;3,INT($AW$204)&lt;&gt;$AW$204),"Relação fora de −3 a +3",""))))</f>
        <v/>
      </c>
      <c r="AW204" s="19">
        <f>IF(ISERROR($B$204),"",IF(ISBLANK($B$204),"",$B$204))</f>
        <v/>
      </c>
      <c r="BF204" s="19">
        <f>ISERROR($B$204)*1+ISERROR($C$204)*1+ISERROR($D$204)*1+ISERROR($E$204)*1+ISERROR($H$204)*1</f>
        <v/>
      </c>
    </row>
    <row r="205" ht="60" customHeight="1">
      <c r="A205" s="33">
        <f>IF(LEN($AV$69)&gt;0,$AV$69,"NPC 22")</f>
        <v/>
      </c>
      <c r="B205" s="34" t="n"/>
      <c r="C205" s="28" t="n"/>
      <c r="D205" s="34" t="n"/>
      <c r="E205" s="28" t="n"/>
      <c r="F205" s="24" t="n"/>
      <c r="G205" s="16" t="n"/>
      <c r="H205" s="28" t="n"/>
      <c r="I205" s="24" t="n"/>
      <c r="J205" s="16" t="n"/>
      <c r="K205" s="26">
        <f>IF(BF205&gt;0,"O Google leu como fórmula: escolha de novo ou digite com ' na frente.",IF(LEN($AW$205)=0,"",IF(NOT(ISNUMBER($AW$205)),"Relação não é número (−3 a +3)",IF(OR($AW$205&lt;-3,$AW$205&gt;3,INT($AW$205)&lt;&gt;$AW$205),"Relação fora de −3 a +3",""))))</f>
        <v/>
      </c>
      <c r="AW205" s="19">
        <f>IF(ISERROR($B$205),"",IF(ISBLANK($B$205),"",$B$205))</f>
        <v/>
      </c>
      <c r="BF205" s="19">
        <f>ISERROR($B$205)*1+ISERROR($C$205)*1+ISERROR($D$205)*1+ISERROR($E$205)*1+ISERROR($H$205)*1</f>
        <v/>
      </c>
    </row>
    <row r="206" ht="60" customHeight="1">
      <c r="A206" s="32">
        <f>IF(LEN($AV$70)&gt;0,$AV$70,"NPC 23")</f>
        <v/>
      </c>
      <c r="B206" s="15" t="n"/>
      <c r="C206" s="3" t="n"/>
      <c r="D206" s="15" t="n"/>
      <c r="E206" s="3" t="n"/>
      <c r="F206" s="24" t="n"/>
      <c r="G206" s="16" t="n"/>
      <c r="H206" s="3" t="n"/>
      <c r="I206" s="24" t="n"/>
      <c r="J206" s="16" t="n"/>
      <c r="K206" s="18">
        <f>IF(BF206&gt;0,"O Google leu como fórmula: escolha de novo ou digite com ' na frente.",IF(LEN($AW$206)=0,"",IF(NOT(ISNUMBER($AW$206)),"Relação não é número (−3 a +3)",IF(OR($AW$206&lt;-3,$AW$206&gt;3,INT($AW$206)&lt;&gt;$AW$206),"Relação fora de −3 a +3",""))))</f>
        <v/>
      </c>
      <c r="AW206" s="19">
        <f>IF(ISERROR($B$206),"",IF(ISBLANK($B$206),"",$B$206))</f>
        <v/>
      </c>
      <c r="BF206" s="19">
        <f>ISERROR($B$206)*1+ISERROR($C$206)*1+ISERROR($D$206)*1+ISERROR($E$206)*1+ISERROR($H$206)*1</f>
        <v/>
      </c>
    </row>
    <row r="207" ht="71" customHeight="1">
      <c r="A207" s="33">
        <f>IF(LEN($AV$71)&gt;0,$AV$71,"NPC 24")</f>
        <v/>
      </c>
      <c r="B207" s="34" t="n"/>
      <c r="C207" s="28" t="n"/>
      <c r="D207" s="34" t="n"/>
      <c r="E207" s="28" t="n"/>
      <c r="F207" s="24" t="n"/>
      <c r="G207" s="16" t="n"/>
      <c r="H207" s="28" t="n"/>
      <c r="I207" s="24" t="n"/>
      <c r="J207" s="16" t="n"/>
      <c r="K207" s="26">
        <f>IF(BF207&gt;0,"O Google leu como fórmula: escolha de novo ou digite com ' na frente.",IF(LEN($AW$207)=0,"",IF(NOT(ISNUMBER($AW$207)),"Relação não é número (−3 a +3)",IF(OR($AW$207&lt;-3,$AW$207&gt;3,INT($AW$207)&lt;&gt;$AW$207),"Relação fora de −3 a +3",""))))</f>
        <v/>
      </c>
      <c r="AW207" s="19">
        <f>IF(ISERROR($B$207),"",IF(ISBLANK($B$207),"",$B$207))</f>
        <v/>
      </c>
      <c r="BF207" s="19">
        <f>ISERROR($B$207)*1+ISERROR($C$207)*1+ISERROR($D$207)*1+ISERROR($E$207)*1+ISERROR($H$207)*1</f>
        <v/>
      </c>
    </row>
    <row r="208" ht="71" customHeight="1">
      <c r="A208" s="32">
        <f>IF(LEN($AV$72)&gt;0,$AV$72,"NPC 25")</f>
        <v/>
      </c>
      <c r="B208" s="15" t="n"/>
      <c r="C208" s="3" t="n"/>
      <c r="D208" s="15" t="n"/>
      <c r="E208" s="3" t="n"/>
      <c r="F208" s="24" t="n"/>
      <c r="G208" s="16" t="n"/>
      <c r="H208" s="3" t="n"/>
      <c r="I208" s="24" t="n"/>
      <c r="J208" s="16" t="n"/>
      <c r="K208" s="18">
        <f>IF(BF208&gt;0,"O Google leu como fórmula: escolha de novo ou digite com ' na frente.",IF(LEN($AW$208)=0,"",IF(NOT(ISNUMBER($AW$208)),"Relação não é número (−3 a +3)",IF(OR($AW$208&lt;-3,$AW$208&gt;3,INT($AW$208)&lt;&gt;$AW$208),"Relação fora de −3 a +3",""))))</f>
        <v/>
      </c>
      <c r="AW208" s="19">
        <f>IF(ISERROR($B$208),"",IF(ISBLANK($B$208),"",$B$208))</f>
        <v/>
      </c>
      <c r="BF208" s="19">
        <f>ISERROR($B$208)*1+ISERROR($C$208)*1+ISERROR($D$208)*1+ISERROR($E$208)*1+ISERROR($H$208)*1</f>
        <v/>
      </c>
    </row>
    <row r="209" ht="71" customHeight="1">
      <c r="A209" s="33">
        <f>IF(LEN($AV$73)&gt;0,$AV$73,"NPC 26")</f>
        <v/>
      </c>
      <c r="B209" s="34" t="n"/>
      <c r="C209" s="28" t="n"/>
      <c r="D209" s="34" t="n"/>
      <c r="E209" s="28" t="n"/>
      <c r="F209" s="24" t="n"/>
      <c r="G209" s="16" t="n"/>
      <c r="H209" s="28" t="n"/>
      <c r="I209" s="24" t="n"/>
      <c r="J209" s="16" t="n"/>
      <c r="K209" s="26">
        <f>IF(BF209&gt;0,"O Google leu como fórmula: escolha de novo ou digite com ' na frente.",IF(LEN($AW$209)=0,"",IF(NOT(ISNUMBER($AW$209)),"Relação não é número (−3 a +3)",IF(OR($AW$209&lt;-3,$AW$209&gt;3,INT($AW$209)&lt;&gt;$AW$209),"Relação fora de −3 a +3",""))))</f>
        <v/>
      </c>
      <c r="AW209" s="19">
        <f>IF(ISERROR($B$209),"",IF(ISBLANK($B$209),"",$B$209))</f>
        <v/>
      </c>
      <c r="BF209" s="19">
        <f>ISERROR($B$209)*1+ISERROR($C$209)*1+ISERROR($D$209)*1+ISERROR($E$209)*1+ISERROR($H$209)*1</f>
        <v/>
      </c>
    </row>
    <row r="210" ht="71" customHeight="1">
      <c r="A210" s="32">
        <f>IF(LEN($AV$74)&gt;0,$AV$74,"NPC 27")</f>
        <v/>
      </c>
      <c r="B210" s="15" t="n"/>
      <c r="C210" s="3" t="n"/>
      <c r="D210" s="15" t="n"/>
      <c r="E210" s="3" t="n"/>
      <c r="F210" s="24" t="n"/>
      <c r="G210" s="16" t="n"/>
      <c r="H210" s="3" t="n"/>
      <c r="I210" s="24" t="n"/>
      <c r="J210" s="16" t="n"/>
      <c r="K210" s="18">
        <f>IF(BF210&gt;0,"O Google leu como fórmula: escolha de novo ou digite com ' na frente.",IF(LEN($AW$210)=0,"",IF(NOT(ISNUMBER($AW$210)),"Relação não é número (−3 a +3)",IF(OR($AW$210&lt;-3,$AW$210&gt;3,INT($AW$210)&lt;&gt;$AW$210),"Relação fora de −3 a +3",""))))</f>
        <v/>
      </c>
      <c r="AW210" s="19">
        <f>IF(ISERROR($B$210),"",IF(ISBLANK($B$210),"",$B$210))</f>
        <v/>
      </c>
      <c r="BF210" s="19">
        <f>ISERROR($B$210)*1+ISERROR($C$210)*1+ISERROR($D$210)*1+ISERROR($E$210)*1+ISERROR($H$210)*1</f>
        <v/>
      </c>
    </row>
    <row r="211" ht="71" customHeight="1">
      <c r="A211" s="33">
        <f>IF(LEN($AV$75)&gt;0,$AV$75,"NPC 28")</f>
        <v/>
      </c>
      <c r="B211" s="34" t="n"/>
      <c r="C211" s="28" t="n"/>
      <c r="D211" s="34" t="n"/>
      <c r="E211" s="28" t="n"/>
      <c r="F211" s="24" t="n"/>
      <c r="G211" s="16" t="n"/>
      <c r="H211" s="28" t="n"/>
      <c r="I211" s="24" t="n"/>
      <c r="J211" s="16" t="n"/>
      <c r="K211" s="26">
        <f>IF(BF211&gt;0,"O Google leu como fórmula: escolha de novo ou digite com ' na frente.",IF(LEN($AW$211)=0,"",IF(NOT(ISNUMBER($AW$211)),"Relação não é número (−3 a +3)",IF(OR($AW$211&lt;-3,$AW$211&gt;3,INT($AW$211)&lt;&gt;$AW$211),"Relação fora de −3 a +3",""))))</f>
        <v/>
      </c>
      <c r="AW211" s="19">
        <f>IF(ISERROR($B$211),"",IF(ISBLANK($B$211),"",$B$211))</f>
        <v/>
      </c>
      <c r="BF211" s="19">
        <f>ISERROR($B$211)*1+ISERROR($C$211)*1+ISERROR($D$211)*1+ISERROR($E$211)*1+ISERROR($H$211)*1</f>
        <v/>
      </c>
    </row>
    <row r="212" ht="60" customHeight="1">
      <c r="A212" s="32">
        <f>IF(LEN($AV$76)&gt;0,$AV$76,"NPC 29")</f>
        <v/>
      </c>
      <c r="B212" s="15" t="n"/>
      <c r="C212" s="3" t="n"/>
      <c r="D212" s="15" t="n"/>
      <c r="E212" s="3" t="n"/>
      <c r="F212" s="24" t="n"/>
      <c r="G212" s="16" t="n"/>
      <c r="H212" s="3" t="n"/>
      <c r="I212" s="24" t="n"/>
      <c r="J212" s="16" t="n"/>
      <c r="K212" s="18">
        <f>IF(BF212&gt;0,"O Google leu como fórmula: escolha de novo ou digite com ' na frente.",IF(LEN($AW$212)=0,"",IF(NOT(ISNUMBER($AW$212)),"Relação não é número (−3 a +3)",IF(OR($AW$212&lt;-3,$AW$212&gt;3,INT($AW$212)&lt;&gt;$AW$212),"Relação fora de −3 a +3",""))))</f>
        <v/>
      </c>
      <c r="AW212" s="19">
        <f>IF(ISERROR($B$212),"",IF(ISBLANK($B$212),"",$B$212))</f>
        <v/>
      </c>
      <c r="BF212" s="19">
        <f>ISERROR($B$212)*1+ISERROR($C$212)*1+ISERROR($D$212)*1+ISERROR($E$212)*1+ISERROR($H$212)*1</f>
        <v/>
      </c>
    </row>
    <row r="213" ht="60" customHeight="1">
      <c r="A213" s="33">
        <f>IF(LEN($AV$77)&gt;0,$AV$77,"NPC 30")</f>
        <v/>
      </c>
      <c r="B213" s="34" t="n"/>
      <c r="C213" s="28" t="n"/>
      <c r="D213" s="34" t="n"/>
      <c r="E213" s="28" t="n"/>
      <c r="F213" s="24" t="n"/>
      <c r="G213" s="16" t="n"/>
      <c r="H213" s="28" t="n"/>
      <c r="I213" s="24" t="n"/>
      <c r="J213" s="16" t="n"/>
      <c r="K213" s="26">
        <f>IF(BF213&gt;0,"O Google leu como fórmula: escolha de novo ou digite com ' na frente.",IF(LEN($AW$213)=0,"",IF(NOT(ISNUMBER($AW$213)),"Relação não é número (−3 a +3)",IF(OR($AW$213&lt;-3,$AW$213&gt;3,INT($AW$213)&lt;&gt;$AW$213),"Relação fora de −3 a +3",""))))</f>
        <v/>
      </c>
      <c r="AW213" s="19">
        <f>IF(ISERROR($B$213),"",IF(ISBLANK($B$213),"",$B$213))</f>
        <v/>
      </c>
      <c r="BF213" s="19">
        <f>ISERROR($B$213)*1+ISERROR($C$213)*1+ISERROR($D$213)*1+ISERROR($E$213)*1+ISERROR($H$213)*1</f>
        <v/>
      </c>
    </row>
    <row r="214"/>
    <row r="215" ht="20" customHeight="1">
      <c r="A215" s="12" t="inlineStr">
        <is>
          <t>Cartões de NPC (escolha um NPC do Elenco; imprima em A4 paisagem)</t>
        </is>
      </c>
    </row>
    <row r="216" ht="26" customHeight="1">
      <c r="A216" s="8" t="inlineStr">
        <is>
          <t>Cartão 1: NPC</t>
        </is>
      </c>
      <c r="B216" s="3" t="n"/>
      <c r="C216" s="24" t="n"/>
      <c r="D216" s="24" t="n"/>
      <c r="E216" s="16" t="n"/>
      <c r="F216" s="14" t="inlineStr">
        <is>
          <t>Cartão 2: NPC</t>
        </is>
      </c>
      <c r="G216" s="3" t="n"/>
      <c r="H216" s="24" t="n"/>
      <c r="I216" s="24" t="n"/>
      <c r="J216" s="16" t="n"/>
      <c r="K216" s="18">
        <f>IF(BF216&gt;0,"O Google leu como fórmula: escolha de novo na lista.",IF(AND(LEN($AW$216)&gt;0,NOT(ISNUMBER($AR$216))),"Cartão 1: NPC fora do Elenco",IF(AND(LEN($BB$216)&gt;0,NOT(ISNUMBER($AR$217))),"Cartão 2: NPC fora do Elenco","")))</f>
        <v/>
      </c>
      <c r="AR216" s="19">
        <f>IF(LEN($AW$216)=0,"",IFERROR(MATCH($AW$216,$AG$10:$AG$39,0),""))</f>
        <v/>
      </c>
      <c r="AW216" s="19">
        <f>IF(ISERROR($B$216),"",IF(ISBLANK($B$216),"",$B$216))</f>
        <v/>
      </c>
      <c r="BB216" s="19">
        <f>IF(ISERROR($G$216),"",IF(ISBLANK($G$216),"",$G$216))</f>
        <v/>
      </c>
      <c r="BF216" s="19">
        <f>ISERROR($B$216)*1+ISERROR($G$216)*1</f>
        <v/>
      </c>
    </row>
    <row r="217" ht="26" customHeight="1">
      <c r="A217" s="39">
        <f>IF(ISNUMBER($AR$216),INDEX($AG$10:$AG$39,$AR$216),"")</f>
        <v/>
      </c>
      <c r="F217" s="39">
        <f>IF(ISNUMBER($AR$217),INDEX($AG$10:$AG$39,$AR$217),"")</f>
        <v/>
      </c>
      <c r="AR217" s="19">
        <f>IF(LEN($BB$216)=0,"",IFERROR(MATCH($BB$216,$AG$10:$AG$39,0),""))</f>
        <v/>
      </c>
    </row>
    <row r="218" ht="37" customHeight="1">
      <c r="A218" s="4">
        <f>IF(ISNUMBER($AR$216),INDEX($AH$10:$AH$39,$AR$216)&amp;" · "&amp;INDEX($AI$10:$AI$39,$AR$216)&amp;" · "&amp;INDEX($AJ$10:$AJ$39,$AR$216),"")</f>
        <v/>
      </c>
      <c r="F218" s="4">
        <f>IF(ISNUMBER($AR$217),INDEX($AH$10:$AH$39,$AR$217)&amp;" · "&amp;INDEX($AI$10:$AI$39,$AR$217)&amp;" · "&amp;INDEX($AJ$10:$AJ$39,$AR$217),"")</f>
        <v/>
      </c>
      <c r="AR218" s="19">
        <f>IF(LEN($AW$225)=0,"",IFERROR(MATCH($AW$225,$AG$10:$AG$39,0),""))</f>
        <v/>
      </c>
    </row>
    <row r="219" ht="37" customHeight="1">
      <c r="A219" s="4">
        <f>IF(ISNUMBER($AR$216),"Aparência: "&amp;INDEX($AK$10:$AK$39,$AR$216),"")</f>
        <v/>
      </c>
      <c r="F219" s="4">
        <f>IF(ISNUMBER($AR$217),"Aparência: "&amp;INDEX($AK$10:$AK$39,$AR$217),"")</f>
        <v/>
      </c>
      <c r="AR219" s="19">
        <f>IF(LEN($BB$225)=0,"",IFERROR(MATCH($BB$225,$AG$10:$AG$39,0),""))</f>
        <v/>
      </c>
    </row>
    <row r="220" ht="37" customHeight="1">
      <c r="A220" s="4">
        <f>IF(ISNUMBER($AR$216),"Voz: "&amp;INDEX($AL$10:$AL$39,$AR$216),"")</f>
        <v/>
      </c>
      <c r="F220" s="4">
        <f>IF(ISNUMBER($AR$217),"Voz: "&amp;INDEX($AL$10:$AL$39,$AR$217),"")</f>
        <v/>
      </c>
    </row>
    <row r="221" ht="37" customHeight="1">
      <c r="A221" s="4">
        <f>IF(ISNUMBER($AR$216),"Quer: "&amp;INDEX($AM$10:$AM$39,$AR$216),"")</f>
        <v/>
      </c>
      <c r="F221" s="4">
        <f>IF(ISNUMBER($AR$217),"Quer: "&amp;INDEX($AM$10:$AM$39,$AR$217),"")</f>
        <v/>
      </c>
    </row>
    <row r="222" ht="37" customHeight="1">
      <c r="A222" s="4">
        <f>IF(ISNUMBER($AR$216),"Esconde: "&amp;INDEX($AN$10:$AN$39,$AR$216),"")</f>
        <v/>
      </c>
      <c r="F222" s="4">
        <f>IF(ISNUMBER($AR$217),"Esconde: "&amp;INDEX($AN$10:$AN$39,$AR$217),"")</f>
        <v/>
      </c>
    </row>
    <row r="223">
      <c r="A223" s="4">
        <f>IF(ISNUMBER($AR$216),"Atitude: "&amp;INDEX($AO$10:$AO$39,$AR$216)&amp;" · Papel: "&amp;INDEX($AP$10:$AP$39,$AR$216),"")</f>
        <v/>
      </c>
      <c r="F223" s="4">
        <f>IF(ISNUMBER($AR$217),"Atitude: "&amp;INDEX($AO$10:$AO$39,$AR$217)&amp;" · Papel: "&amp;INDEX($AP$10:$AP$39,$AR$217),"")</f>
        <v/>
      </c>
    </row>
    <row r="224"/>
    <row r="225" ht="26" customHeight="1">
      <c r="A225" s="8" t="inlineStr">
        <is>
          <t>Cartão 3: NPC</t>
        </is>
      </c>
      <c r="B225" s="3" t="n"/>
      <c r="C225" s="24" t="n"/>
      <c r="D225" s="24" t="n"/>
      <c r="E225" s="16" t="n"/>
      <c r="F225" s="14" t="inlineStr">
        <is>
          <t>Cartão 4: NPC</t>
        </is>
      </c>
      <c r="G225" s="3" t="n"/>
      <c r="H225" s="24" t="n"/>
      <c r="I225" s="24" t="n"/>
      <c r="J225" s="16" t="n"/>
      <c r="K225" s="18">
        <f>IF(BF225&gt;0,"O Google leu como fórmula: escolha de novo na lista.",IF(AND(LEN($AW$225)&gt;0,NOT(ISNUMBER($AR$218))),"Cartão 3: NPC fora do Elenco",IF(AND(LEN($BB$225)&gt;0,NOT(ISNUMBER($AR$219))),"Cartão 4: NPC fora do Elenco","")))</f>
        <v/>
      </c>
      <c r="AW225" s="19">
        <f>IF(ISERROR($B$225),"",IF(ISBLANK($B$225),"",$B$225))</f>
        <v/>
      </c>
      <c r="BB225" s="19">
        <f>IF(ISERROR($G$225),"",IF(ISBLANK($G$225),"",$G$225))</f>
        <v/>
      </c>
      <c r="BF225" s="19">
        <f>ISERROR($B$225)*1+ISERROR($G$225)*1</f>
        <v/>
      </c>
    </row>
    <row r="226" ht="26" customHeight="1">
      <c r="A226" s="39">
        <f>IF(ISNUMBER($AR$218),INDEX($AG$10:$AG$39,$AR$218),"")</f>
        <v/>
      </c>
      <c r="F226" s="39">
        <f>IF(ISNUMBER($AR$219),INDEX($AG$10:$AG$39,$AR$219),"")</f>
        <v/>
      </c>
    </row>
    <row r="227" ht="37" customHeight="1">
      <c r="A227" s="4">
        <f>IF(ISNUMBER($AR$218),INDEX($AH$10:$AH$39,$AR$218)&amp;" · "&amp;INDEX($AI$10:$AI$39,$AR$218)&amp;" · "&amp;INDEX($AJ$10:$AJ$39,$AR$218),"")</f>
        <v/>
      </c>
      <c r="F227" s="4">
        <f>IF(ISNUMBER($AR$219),INDEX($AH$10:$AH$39,$AR$219)&amp;" · "&amp;INDEX($AI$10:$AI$39,$AR$219)&amp;" · "&amp;INDEX($AJ$10:$AJ$39,$AR$219),"")</f>
        <v/>
      </c>
    </row>
    <row r="228" ht="37" customHeight="1">
      <c r="A228" s="4">
        <f>IF(ISNUMBER($AR$218),"Aparência: "&amp;INDEX($AK$10:$AK$39,$AR$218),"")</f>
        <v/>
      </c>
      <c r="F228" s="4">
        <f>IF(ISNUMBER($AR$219),"Aparência: "&amp;INDEX($AK$10:$AK$39,$AR$219),"")</f>
        <v/>
      </c>
    </row>
    <row r="229" ht="37" customHeight="1">
      <c r="A229" s="4">
        <f>IF(ISNUMBER($AR$218),"Voz: "&amp;INDEX($AL$10:$AL$39,$AR$218),"")</f>
        <v/>
      </c>
      <c r="F229" s="4">
        <f>IF(ISNUMBER($AR$219),"Voz: "&amp;INDEX($AL$10:$AL$39,$AR$219),"")</f>
        <v/>
      </c>
    </row>
    <row r="230" ht="37" customHeight="1">
      <c r="A230" s="4">
        <f>IF(ISNUMBER($AR$218),"Quer: "&amp;INDEX($AM$10:$AM$39,$AR$218),"")</f>
        <v/>
      </c>
      <c r="F230" s="4">
        <f>IF(ISNUMBER($AR$219),"Quer: "&amp;INDEX($AM$10:$AM$39,$AR$219),"")</f>
        <v/>
      </c>
    </row>
    <row r="231" ht="37" customHeight="1">
      <c r="A231" s="4">
        <f>IF(ISNUMBER($AR$218),"Esconde: "&amp;INDEX($AN$10:$AN$39,$AR$218),"")</f>
        <v/>
      </c>
      <c r="F231" s="4">
        <f>IF(ISNUMBER($AR$219),"Esconde: "&amp;INDEX($AN$10:$AN$39,$AR$219),"")</f>
        <v/>
      </c>
    </row>
    <row r="232">
      <c r="A232" s="4">
        <f>IF(ISNUMBER($AR$218),"Atitude: "&amp;INDEX($AO$10:$AO$39,$AR$218)&amp;" · Papel: "&amp;INDEX($AP$10:$AP$39,$AR$218),"")</f>
        <v/>
      </c>
      <c r="F232" s="4">
        <f>IF(ISNUMBER($AR$219),"Atitude: "&amp;INDEX($AO$10:$AO$39,$AR$219)&amp;" · Papel: "&amp;INDEX($AP$10:$AP$39,$AR$219),"")</f>
        <v/>
      </c>
    </row>
  </sheetData>
  <mergeCells count="717">
    <mergeCell ref="D60:E60"/>
    <mergeCell ref="G225:J225"/>
    <mergeCell ref="K177:L177"/>
    <mergeCell ref="K104:L104"/>
    <mergeCell ref="B139:E139"/>
    <mergeCell ref="D45:E45"/>
    <mergeCell ref="E171:F171"/>
    <mergeCell ref="K81:L81"/>
    <mergeCell ref="H75:J75"/>
    <mergeCell ref="F36:J36"/>
    <mergeCell ref="K99:L99"/>
    <mergeCell ref="D70:E70"/>
    <mergeCell ref="E173:F173"/>
    <mergeCell ref="F70:G70"/>
    <mergeCell ref="E212:G212"/>
    <mergeCell ref="E148:F148"/>
    <mergeCell ref="F100:J100"/>
    <mergeCell ref="K180:L180"/>
    <mergeCell ref="D7:E7"/>
    <mergeCell ref="F231:J231"/>
    <mergeCell ref="E166:F166"/>
    <mergeCell ref="K155:L155"/>
    <mergeCell ref="F102:J102"/>
    <mergeCell ref="D71:E71"/>
    <mergeCell ref="F71:G71"/>
    <mergeCell ref="E168:F168"/>
    <mergeCell ref="K157:L157"/>
    <mergeCell ref="B55:C55"/>
    <mergeCell ref="G171:J171"/>
    <mergeCell ref="K101:L101"/>
    <mergeCell ref="D73:E73"/>
    <mergeCell ref="K172:L172"/>
    <mergeCell ref="B87:E87"/>
    <mergeCell ref="A78:L78"/>
    <mergeCell ref="K92:L92"/>
    <mergeCell ref="K152:L152"/>
    <mergeCell ref="E205:G205"/>
    <mergeCell ref="F128:J128"/>
    <mergeCell ref="B15:H15"/>
    <mergeCell ref="E161:F161"/>
    <mergeCell ref="F113:J113"/>
    <mergeCell ref="B138:E138"/>
    <mergeCell ref="K185:L185"/>
    <mergeCell ref="F45:G45"/>
    <mergeCell ref="K106:L106"/>
    <mergeCell ref="D66:E66"/>
    <mergeCell ref="B53:C53"/>
    <mergeCell ref="F66:G66"/>
    <mergeCell ref="D53:E53"/>
    <mergeCell ref="K56:L56"/>
    <mergeCell ref="D47:E47"/>
    <mergeCell ref="K105:L105"/>
    <mergeCell ref="B140:E140"/>
    <mergeCell ref="F47:G47"/>
    <mergeCell ref="K170:L170"/>
    <mergeCell ref="K120:L120"/>
    <mergeCell ref="F46:G46"/>
    <mergeCell ref="K107:L107"/>
    <mergeCell ref="F61:G61"/>
    <mergeCell ref="E195:G195"/>
    <mergeCell ref="H196:J196"/>
    <mergeCell ref="B150:D150"/>
    <mergeCell ref="F48:G48"/>
    <mergeCell ref="E174:F174"/>
    <mergeCell ref="B152:D152"/>
    <mergeCell ref="F73:G73"/>
    <mergeCell ref="F116:J116"/>
    <mergeCell ref="K196:L196"/>
    <mergeCell ref="H191:J191"/>
    <mergeCell ref="G154:J154"/>
    <mergeCell ref="F103:J103"/>
    <mergeCell ref="K183:L183"/>
    <mergeCell ref="E182:G182"/>
    <mergeCell ref="I11:J11"/>
    <mergeCell ref="B95:E95"/>
    <mergeCell ref="F118:J118"/>
    <mergeCell ref="K198:L198"/>
    <mergeCell ref="K54:L54"/>
    <mergeCell ref="B89:E89"/>
    <mergeCell ref="K173:L173"/>
    <mergeCell ref="H203:J203"/>
    <mergeCell ref="B97:E97"/>
    <mergeCell ref="A215:L215"/>
    <mergeCell ref="E158:F158"/>
    <mergeCell ref="H71:J71"/>
    <mergeCell ref="F129:J129"/>
    <mergeCell ref="B21:H21"/>
    <mergeCell ref="B34:C34"/>
    <mergeCell ref="E208:G208"/>
    <mergeCell ref="B163:D163"/>
    <mergeCell ref="F121:J121"/>
    <mergeCell ref="K176:L176"/>
    <mergeCell ref="F131:J131"/>
    <mergeCell ref="K97:L97"/>
    <mergeCell ref="E162:F162"/>
    <mergeCell ref="B23:H23"/>
    <mergeCell ref="E210:G210"/>
    <mergeCell ref="B165:D165"/>
    <mergeCell ref="H181:J181"/>
    <mergeCell ref="D55:E55"/>
    <mergeCell ref="F37:J37"/>
    <mergeCell ref="E185:G185"/>
    <mergeCell ref="K191:L191"/>
    <mergeCell ref="D67:E67"/>
    <mergeCell ref="B76:C76"/>
    <mergeCell ref="E164:F164"/>
    <mergeCell ref="K57:L57"/>
    <mergeCell ref="K128:L128"/>
    <mergeCell ref="K184:L184"/>
    <mergeCell ref="K171:L171"/>
    <mergeCell ref="D69:E69"/>
    <mergeCell ref="B108:E108"/>
    <mergeCell ref="F69:G69"/>
    <mergeCell ref="K121:L121"/>
    <mergeCell ref="B83:E83"/>
    <mergeCell ref="B143:E143"/>
    <mergeCell ref="K123:L123"/>
    <mergeCell ref="E201:G201"/>
    <mergeCell ref="F84:J84"/>
    <mergeCell ref="B85:E85"/>
    <mergeCell ref="K110:L110"/>
    <mergeCell ref="G173:J173"/>
    <mergeCell ref="H72:J72"/>
    <mergeCell ref="H199:J199"/>
    <mergeCell ref="F51:G51"/>
    <mergeCell ref="F86:J86"/>
    <mergeCell ref="F142:J142"/>
    <mergeCell ref="K174:L174"/>
    <mergeCell ref="F80:J80"/>
    <mergeCell ref="H186:J186"/>
    <mergeCell ref="A217:E217"/>
    <mergeCell ref="K75:L75"/>
    <mergeCell ref="G155:J155"/>
    <mergeCell ref="E196:G196"/>
    <mergeCell ref="E183:G183"/>
    <mergeCell ref="I12:J12"/>
    <mergeCell ref="F144:J144"/>
    <mergeCell ref="K12:L12"/>
    <mergeCell ref="G170:J170"/>
    <mergeCell ref="B96:E96"/>
    <mergeCell ref="G157:J157"/>
    <mergeCell ref="E198:G198"/>
    <mergeCell ref="B153:D153"/>
    <mergeCell ref="I14:J14"/>
    <mergeCell ref="B111:E111"/>
    <mergeCell ref="K70:L70"/>
    <mergeCell ref="E179:F179"/>
    <mergeCell ref="G172:J172"/>
    <mergeCell ref="F67:G67"/>
    <mergeCell ref="G28:J28"/>
    <mergeCell ref="B98:E98"/>
    <mergeCell ref="B225:E225"/>
    <mergeCell ref="H54:J54"/>
    <mergeCell ref="K103:L103"/>
    <mergeCell ref="E159:F159"/>
    <mergeCell ref="A230:E230"/>
    <mergeCell ref="H56:J56"/>
    <mergeCell ref="K167:L167"/>
    <mergeCell ref="A232:E232"/>
    <mergeCell ref="B148:D148"/>
    <mergeCell ref="B179:D179"/>
    <mergeCell ref="F137:J137"/>
    <mergeCell ref="B166:D166"/>
    <mergeCell ref="F124:J124"/>
    <mergeCell ref="F99:J99"/>
    <mergeCell ref="K192:L192"/>
    <mergeCell ref="E186:G186"/>
    <mergeCell ref="H187:J187"/>
    <mergeCell ref="G150:J150"/>
    <mergeCell ref="B77:C77"/>
    <mergeCell ref="D6:E6"/>
    <mergeCell ref="D77:E77"/>
    <mergeCell ref="F139:J139"/>
    <mergeCell ref="K129:L129"/>
    <mergeCell ref="B168:D168"/>
    <mergeCell ref="B91:E91"/>
    <mergeCell ref="K194:L194"/>
    <mergeCell ref="K50:L50"/>
    <mergeCell ref="F138:J138"/>
    <mergeCell ref="K181:L181"/>
    <mergeCell ref="B109:E109"/>
    <mergeCell ref="K131:L131"/>
    <mergeCell ref="K58:L58"/>
    <mergeCell ref="B93:E93"/>
    <mergeCell ref="K52:L52"/>
    <mergeCell ref="D72:E72"/>
    <mergeCell ref="F72:G72"/>
    <mergeCell ref="K195:L195"/>
    <mergeCell ref="G160:J160"/>
    <mergeCell ref="B86:E86"/>
    <mergeCell ref="G147:J147"/>
    <mergeCell ref="G174:J174"/>
    <mergeCell ref="B49:C49"/>
    <mergeCell ref="H200:J200"/>
    <mergeCell ref="B101:E101"/>
    <mergeCell ref="E204:G204"/>
    <mergeCell ref="B159:D159"/>
    <mergeCell ref="K53:L53"/>
    <mergeCell ref="F92:J92"/>
    <mergeCell ref="I20:J20"/>
    <mergeCell ref="B38:E38"/>
    <mergeCell ref="H202:J202"/>
    <mergeCell ref="H58:J58"/>
    <mergeCell ref="B167:D167"/>
    <mergeCell ref="E206:G206"/>
    <mergeCell ref="I13:J13"/>
    <mergeCell ref="B63:C63"/>
    <mergeCell ref="B161:D161"/>
    <mergeCell ref="A220:E220"/>
    <mergeCell ref="H73:J73"/>
    <mergeCell ref="K205:L205"/>
    <mergeCell ref="G163:J163"/>
    <mergeCell ref="H60:J60"/>
    <mergeCell ref="F87:J87"/>
    <mergeCell ref="F54:G54"/>
    <mergeCell ref="I15:J15"/>
    <mergeCell ref="F218:J218"/>
    <mergeCell ref="K15:L15"/>
    <mergeCell ref="A222:E222"/>
    <mergeCell ref="K142:L142"/>
    <mergeCell ref="B175:D175"/>
    <mergeCell ref="K80:L80"/>
    <mergeCell ref="F6:G6"/>
    <mergeCell ref="B104:E104"/>
    <mergeCell ref="B162:D162"/>
    <mergeCell ref="K175:L175"/>
    <mergeCell ref="A3:L3"/>
    <mergeCell ref="K55:L55"/>
    <mergeCell ref="G165:J165"/>
    <mergeCell ref="F89:J89"/>
    <mergeCell ref="K79:L79"/>
    <mergeCell ref="B114:E114"/>
    <mergeCell ref="K144:L144"/>
    <mergeCell ref="B35:E35"/>
    <mergeCell ref="E147:F147"/>
    <mergeCell ref="B106:E106"/>
    <mergeCell ref="G158:J158"/>
    <mergeCell ref="H57:J57"/>
    <mergeCell ref="A5:L5"/>
    <mergeCell ref="K119:L119"/>
    <mergeCell ref="A32:L32"/>
    <mergeCell ref="K208:L208"/>
    <mergeCell ref="E40:F40"/>
    <mergeCell ref="F101:J101"/>
    <mergeCell ref="H213:J213"/>
    <mergeCell ref="G176:J176"/>
    <mergeCell ref="B130:E130"/>
    <mergeCell ref="B117:E117"/>
    <mergeCell ref="F140:J140"/>
    <mergeCell ref="F115:J115"/>
    <mergeCell ref="F229:J229"/>
    <mergeCell ref="B132:E132"/>
    <mergeCell ref="B119:E119"/>
    <mergeCell ref="E181:G181"/>
    <mergeCell ref="K66:L66"/>
    <mergeCell ref="K197:L197"/>
    <mergeCell ref="K124:L124"/>
    <mergeCell ref="K74:L74"/>
    <mergeCell ref="K68:L68"/>
    <mergeCell ref="B7:C7"/>
    <mergeCell ref="B127:E127"/>
    <mergeCell ref="A226:E226"/>
    <mergeCell ref="D63:E63"/>
    <mergeCell ref="H52:J52"/>
    <mergeCell ref="E160:F160"/>
    <mergeCell ref="H70:J70"/>
    <mergeCell ref="B71:C71"/>
    <mergeCell ref="A228:E228"/>
    <mergeCell ref="H45:J45"/>
    <mergeCell ref="B58:C58"/>
    <mergeCell ref="B52:C52"/>
    <mergeCell ref="K213:L213"/>
    <mergeCell ref="D52:E52"/>
    <mergeCell ref="E207:G207"/>
    <mergeCell ref="H208:J208"/>
    <mergeCell ref="F95:J95"/>
    <mergeCell ref="A221:E221"/>
    <mergeCell ref="H47:J47"/>
    <mergeCell ref="B60:C60"/>
    <mergeCell ref="K150:L150"/>
    <mergeCell ref="B177:D177"/>
    <mergeCell ref="F232:J232"/>
    <mergeCell ref="B164:D164"/>
    <mergeCell ref="F97:J97"/>
    <mergeCell ref="I21:J21"/>
    <mergeCell ref="F219:J219"/>
    <mergeCell ref="B122:E122"/>
    <mergeCell ref="A223:E223"/>
    <mergeCell ref="A29:L29"/>
    <mergeCell ref="G179:J179"/>
    <mergeCell ref="H76:J76"/>
    <mergeCell ref="B105:E105"/>
    <mergeCell ref="G39:J39"/>
    <mergeCell ref="G166:J166"/>
    <mergeCell ref="F90:J90"/>
    <mergeCell ref="A44:L44"/>
    <mergeCell ref="I23:J23"/>
    <mergeCell ref="B120:E120"/>
    <mergeCell ref="K145:L145"/>
    <mergeCell ref="K216:L216"/>
    <mergeCell ref="B107:E107"/>
    <mergeCell ref="K210:L210"/>
    <mergeCell ref="H63:J63"/>
    <mergeCell ref="K160:L160"/>
    <mergeCell ref="H50:J50"/>
    <mergeCell ref="K147:L147"/>
    <mergeCell ref="G167:J167"/>
    <mergeCell ref="B45:C45"/>
    <mergeCell ref="K18:L18"/>
    <mergeCell ref="F123:J123"/>
    <mergeCell ref="B47:C47"/>
    <mergeCell ref="B59:C59"/>
    <mergeCell ref="B46:C46"/>
    <mergeCell ref="D46:E46"/>
    <mergeCell ref="F108:J108"/>
    <mergeCell ref="B133:E133"/>
    <mergeCell ref="K163:L163"/>
    <mergeCell ref="F143:J143"/>
    <mergeCell ref="B48:C48"/>
    <mergeCell ref="K100:L100"/>
    <mergeCell ref="B135:E135"/>
    <mergeCell ref="E197:G197"/>
    <mergeCell ref="K94:L94"/>
    <mergeCell ref="K165:L165"/>
    <mergeCell ref="K140:L140"/>
    <mergeCell ref="B73:C73"/>
    <mergeCell ref="K102:L102"/>
    <mergeCell ref="E167:F167"/>
    <mergeCell ref="K77:L77"/>
    <mergeCell ref="K204:L204"/>
    <mergeCell ref="H7:I7"/>
    <mergeCell ref="F134:J134"/>
    <mergeCell ref="E169:F169"/>
    <mergeCell ref="H209:J209"/>
    <mergeCell ref="H184:J184"/>
    <mergeCell ref="F96:J96"/>
    <mergeCell ref="B74:C74"/>
    <mergeCell ref="A231:E231"/>
    <mergeCell ref="B68:C68"/>
    <mergeCell ref="D74:E74"/>
    <mergeCell ref="D68:E68"/>
    <mergeCell ref="B88:E88"/>
    <mergeCell ref="H211:J211"/>
    <mergeCell ref="B82:E82"/>
    <mergeCell ref="F98:J98"/>
    <mergeCell ref="B128:E128"/>
    <mergeCell ref="K87:L87"/>
    <mergeCell ref="D59:E59"/>
    <mergeCell ref="G216:J216"/>
    <mergeCell ref="K49:L49"/>
    <mergeCell ref="F227:J227"/>
    <mergeCell ref="K95:L95"/>
    <mergeCell ref="K89:L89"/>
    <mergeCell ref="K113:L113"/>
    <mergeCell ref="K88:L88"/>
    <mergeCell ref="B123:E123"/>
    <mergeCell ref="K26:L26"/>
    <mergeCell ref="K153:L153"/>
    <mergeCell ref="B110:E110"/>
    <mergeCell ref="G40:J40"/>
    <mergeCell ref="E156:F156"/>
    <mergeCell ref="E153:F153"/>
    <mergeCell ref="H66:J66"/>
    <mergeCell ref="B67:C67"/>
    <mergeCell ref="B61:C61"/>
    <mergeCell ref="K90:L90"/>
    <mergeCell ref="E155:F155"/>
    <mergeCell ref="B16:H16"/>
    <mergeCell ref="D61:E61"/>
    <mergeCell ref="B158:D158"/>
    <mergeCell ref="D48:E48"/>
    <mergeCell ref="B141:E141"/>
    <mergeCell ref="B69:C69"/>
    <mergeCell ref="F126:J126"/>
    <mergeCell ref="E157:F157"/>
    <mergeCell ref="B18:H18"/>
    <mergeCell ref="F109:J109"/>
    <mergeCell ref="B160:D160"/>
    <mergeCell ref="K115:L115"/>
    <mergeCell ref="D62:E62"/>
    <mergeCell ref="B11:H11"/>
    <mergeCell ref="D56:E56"/>
    <mergeCell ref="F56:G56"/>
    <mergeCell ref="F111:J111"/>
    <mergeCell ref="K179:L179"/>
    <mergeCell ref="B136:E136"/>
    <mergeCell ref="K166:L166"/>
    <mergeCell ref="B64:C64"/>
    <mergeCell ref="D64:E64"/>
    <mergeCell ref="B51:C51"/>
    <mergeCell ref="K116:L116"/>
    <mergeCell ref="K141:L141"/>
    <mergeCell ref="D51:E51"/>
    <mergeCell ref="K168:L168"/>
    <mergeCell ref="F57:G57"/>
    <mergeCell ref="H192:J192"/>
    <mergeCell ref="K143:L143"/>
    <mergeCell ref="K118:L118"/>
    <mergeCell ref="E175:F175"/>
    <mergeCell ref="G168:J168"/>
    <mergeCell ref="K21:L21"/>
    <mergeCell ref="E191:G191"/>
    <mergeCell ref="B129:E129"/>
    <mergeCell ref="E170:F170"/>
    <mergeCell ref="K63:L63"/>
    <mergeCell ref="F33:G33"/>
    <mergeCell ref="K134:L134"/>
    <mergeCell ref="F114:J114"/>
    <mergeCell ref="F35:J35"/>
    <mergeCell ref="F228:J228"/>
    <mergeCell ref="D75:E75"/>
    <mergeCell ref="K96:L96"/>
    <mergeCell ref="F75:G75"/>
    <mergeCell ref="B131:E131"/>
    <mergeCell ref="F62:G62"/>
    <mergeCell ref="K98:L98"/>
    <mergeCell ref="E154:F154"/>
    <mergeCell ref="H67:J67"/>
    <mergeCell ref="B6:C6"/>
    <mergeCell ref="F130:J130"/>
    <mergeCell ref="E172:F172"/>
    <mergeCell ref="B17:H17"/>
    <mergeCell ref="H205:J205"/>
    <mergeCell ref="K156:L156"/>
    <mergeCell ref="F117:J117"/>
    <mergeCell ref="K93:L93"/>
    <mergeCell ref="F132:J132"/>
    <mergeCell ref="A146:L146"/>
    <mergeCell ref="B19:H19"/>
    <mergeCell ref="F64:G64"/>
    <mergeCell ref="F119:J119"/>
    <mergeCell ref="B84:E84"/>
    <mergeCell ref="K16:L16"/>
    <mergeCell ref="K187:L187"/>
    <mergeCell ref="B72:C72"/>
    <mergeCell ref="B142:E142"/>
    <mergeCell ref="K189:L189"/>
    <mergeCell ref="K45:L45"/>
    <mergeCell ref="B80:E80"/>
    <mergeCell ref="B20:H20"/>
    <mergeCell ref="D65:E65"/>
    <mergeCell ref="F127:J127"/>
    <mergeCell ref="K188:L188"/>
    <mergeCell ref="B79:E79"/>
    <mergeCell ref="K11:L11"/>
    <mergeCell ref="K126:L126"/>
    <mergeCell ref="K182:L182"/>
    <mergeCell ref="H194:J194"/>
    <mergeCell ref="K109:L109"/>
    <mergeCell ref="B144:E144"/>
    <mergeCell ref="K47:L47"/>
    <mergeCell ref="K169:L169"/>
    <mergeCell ref="E177:F177"/>
    <mergeCell ref="K46:L46"/>
    <mergeCell ref="F50:G50"/>
    <mergeCell ref="B81:E81"/>
    <mergeCell ref="F145:J145"/>
    <mergeCell ref="E149:F149"/>
    <mergeCell ref="K111:L111"/>
    <mergeCell ref="E176:F176"/>
    <mergeCell ref="G169:J169"/>
    <mergeCell ref="H195:J195"/>
    <mergeCell ref="H189:J189"/>
    <mergeCell ref="E199:G199"/>
    <mergeCell ref="B154:D154"/>
    <mergeCell ref="F38:J38"/>
    <mergeCell ref="E178:F178"/>
    <mergeCell ref="K71:L71"/>
    <mergeCell ref="E192:G192"/>
    <mergeCell ref="H197:J197"/>
    <mergeCell ref="H53:J53"/>
    <mergeCell ref="B156:D156"/>
    <mergeCell ref="K73:L73"/>
    <mergeCell ref="B13:H13"/>
    <mergeCell ref="B155:D155"/>
    <mergeCell ref="E194:G194"/>
    <mergeCell ref="H55:J55"/>
    <mergeCell ref="B149:D149"/>
    <mergeCell ref="F82:J82"/>
    <mergeCell ref="F49:G49"/>
    <mergeCell ref="K162:L162"/>
    <mergeCell ref="K137:L137"/>
    <mergeCell ref="B28:E28"/>
    <mergeCell ref="B99:E99"/>
    <mergeCell ref="B151:D151"/>
    <mergeCell ref="A41:L41"/>
    <mergeCell ref="K201:L201"/>
    <mergeCell ref="K164:L164"/>
    <mergeCell ref="B92:E92"/>
    <mergeCell ref="F65:G65"/>
    <mergeCell ref="K139:L139"/>
    <mergeCell ref="G153:J153"/>
    <mergeCell ref="K114:L114"/>
    <mergeCell ref="H182:J182"/>
    <mergeCell ref="G164:J164"/>
    <mergeCell ref="B94:E94"/>
    <mergeCell ref="F55:G55"/>
    <mergeCell ref="H190:J190"/>
    <mergeCell ref="H6:I6"/>
    <mergeCell ref="F133:J133"/>
    <mergeCell ref="B40:D40"/>
    <mergeCell ref="H183:J183"/>
    <mergeCell ref="B125:E125"/>
    <mergeCell ref="E187:G187"/>
    <mergeCell ref="H48:J48"/>
    <mergeCell ref="F135:J135"/>
    <mergeCell ref="B22:H22"/>
    <mergeCell ref="K59:L59"/>
    <mergeCell ref="F122:J122"/>
    <mergeCell ref="K130:L130"/>
    <mergeCell ref="K190:L190"/>
    <mergeCell ref="H185:J185"/>
    <mergeCell ref="K117:L117"/>
    <mergeCell ref="E189:G189"/>
    <mergeCell ref="D58:E58"/>
    <mergeCell ref="K61:L61"/>
    <mergeCell ref="K132:L132"/>
    <mergeCell ref="F58:G58"/>
    <mergeCell ref="B145:E145"/>
    <mergeCell ref="K48:L48"/>
    <mergeCell ref="F52:G52"/>
    <mergeCell ref="K125:L125"/>
    <mergeCell ref="A1:L1"/>
    <mergeCell ref="F60:G60"/>
    <mergeCell ref="H74:J74"/>
    <mergeCell ref="K62:L62"/>
    <mergeCell ref="H68:J68"/>
    <mergeCell ref="E200:G200"/>
    <mergeCell ref="K193:L193"/>
    <mergeCell ref="K127:L127"/>
    <mergeCell ref="F53:G53"/>
    <mergeCell ref="F88:J88"/>
    <mergeCell ref="H188:J188"/>
    <mergeCell ref="H201:J201"/>
    <mergeCell ref="B170:D170"/>
    <mergeCell ref="F68:G68"/>
    <mergeCell ref="E202:G202"/>
    <mergeCell ref="B157:D157"/>
    <mergeCell ref="F217:J217"/>
    <mergeCell ref="H69:J69"/>
    <mergeCell ref="B36:E36"/>
    <mergeCell ref="B172:D172"/>
    <mergeCell ref="G159:J159"/>
    <mergeCell ref="F83:J83"/>
    <mergeCell ref="A218:E218"/>
    <mergeCell ref="I16:J16"/>
    <mergeCell ref="B113:E113"/>
    <mergeCell ref="K138:L138"/>
    <mergeCell ref="K76:L76"/>
    <mergeCell ref="K209:L209"/>
    <mergeCell ref="B100:E100"/>
    <mergeCell ref="K203:L203"/>
    <mergeCell ref="H198:J198"/>
    <mergeCell ref="G161:J161"/>
    <mergeCell ref="F110:J110"/>
    <mergeCell ref="F85:J85"/>
    <mergeCell ref="K178:L178"/>
    <mergeCell ref="I18:J18"/>
    <mergeCell ref="B115:E115"/>
    <mergeCell ref="K67:L67"/>
    <mergeCell ref="B102:E102"/>
    <mergeCell ref="K186:L186"/>
    <mergeCell ref="E184:G184"/>
    <mergeCell ref="F141:J141"/>
    <mergeCell ref="H210:J210"/>
    <mergeCell ref="E163:F163"/>
    <mergeCell ref="G156:J156"/>
    <mergeCell ref="F230:J230"/>
    <mergeCell ref="E213:G213"/>
    <mergeCell ref="B33:C33"/>
    <mergeCell ref="D33:E33"/>
    <mergeCell ref="E188:G188"/>
    <mergeCell ref="H193:J193"/>
    <mergeCell ref="F136:J136"/>
    <mergeCell ref="B176:D176"/>
    <mergeCell ref="K69:L69"/>
    <mergeCell ref="H64:J64"/>
    <mergeCell ref="A229:E229"/>
    <mergeCell ref="E190:G190"/>
    <mergeCell ref="H51:J51"/>
    <mergeCell ref="K158:L158"/>
    <mergeCell ref="D34:E34"/>
    <mergeCell ref="K133:L133"/>
    <mergeCell ref="F63:G63"/>
    <mergeCell ref="F34:G34"/>
    <mergeCell ref="B66:C66"/>
    <mergeCell ref="B147:D147"/>
    <mergeCell ref="F74:G74"/>
    <mergeCell ref="B171:D171"/>
    <mergeCell ref="K64:L64"/>
    <mergeCell ref="K135:L135"/>
    <mergeCell ref="K51:L51"/>
    <mergeCell ref="G149:J149"/>
    <mergeCell ref="K122:L122"/>
    <mergeCell ref="D76:E76"/>
    <mergeCell ref="K72:L72"/>
    <mergeCell ref="F76:G76"/>
    <mergeCell ref="B90:E90"/>
    <mergeCell ref="G151:J151"/>
    <mergeCell ref="G178:J178"/>
    <mergeCell ref="H77:J77"/>
    <mergeCell ref="H33:J33"/>
    <mergeCell ref="H204:J204"/>
    <mergeCell ref="F91:J91"/>
    <mergeCell ref="A43:L43"/>
    <mergeCell ref="B173:D173"/>
    <mergeCell ref="K211:L211"/>
    <mergeCell ref="H206:J206"/>
    <mergeCell ref="F93:J93"/>
    <mergeCell ref="I17:J17"/>
    <mergeCell ref="A219:E219"/>
    <mergeCell ref="F220:J220"/>
    <mergeCell ref="K17:L17"/>
    <mergeCell ref="G175:J175"/>
    <mergeCell ref="K148:L148"/>
    <mergeCell ref="K82:L82"/>
    <mergeCell ref="G162:J162"/>
    <mergeCell ref="E203:G203"/>
    <mergeCell ref="I19:J19"/>
    <mergeCell ref="B116:E116"/>
    <mergeCell ref="F222:J222"/>
    <mergeCell ref="K19:L19"/>
    <mergeCell ref="K212:L212"/>
    <mergeCell ref="G177:J177"/>
    <mergeCell ref="B103:E103"/>
    <mergeCell ref="B37:E37"/>
    <mergeCell ref="K6:L6"/>
    <mergeCell ref="B39:D39"/>
    <mergeCell ref="G148:J148"/>
    <mergeCell ref="K206:L206"/>
    <mergeCell ref="H59:J59"/>
    <mergeCell ref="H46:J46"/>
    <mergeCell ref="B54:C54"/>
    <mergeCell ref="K83:L83"/>
    <mergeCell ref="A25:L25"/>
    <mergeCell ref="B118:E118"/>
    <mergeCell ref="E151:F151"/>
    <mergeCell ref="H61:J61"/>
    <mergeCell ref="B56:C56"/>
    <mergeCell ref="E150:F150"/>
    <mergeCell ref="E39:F39"/>
    <mergeCell ref="B178:D178"/>
    <mergeCell ref="F7:G7"/>
    <mergeCell ref="K60:L60"/>
    <mergeCell ref="D49:E49"/>
    <mergeCell ref="E152:F152"/>
    <mergeCell ref="H65:J65"/>
    <mergeCell ref="F104:J104"/>
    <mergeCell ref="B134:E134"/>
    <mergeCell ref="F79:J79"/>
    <mergeCell ref="K159:L159"/>
    <mergeCell ref="B57:C57"/>
    <mergeCell ref="B121:E121"/>
    <mergeCell ref="F106:J106"/>
    <mergeCell ref="K199:L199"/>
    <mergeCell ref="E193:G193"/>
    <mergeCell ref="A112:L112"/>
    <mergeCell ref="F81:J81"/>
    <mergeCell ref="K161:L161"/>
    <mergeCell ref="K136:L136"/>
    <mergeCell ref="K207:L207"/>
    <mergeCell ref="K225:L225"/>
    <mergeCell ref="C8:J8"/>
    <mergeCell ref="F77:G77"/>
    <mergeCell ref="K7:L7"/>
    <mergeCell ref="H212:J212"/>
    <mergeCell ref="K200:L200"/>
    <mergeCell ref="K65:L65"/>
    <mergeCell ref="G152:J152"/>
    <mergeCell ref="F226:J226"/>
    <mergeCell ref="H34:J34"/>
    <mergeCell ref="D54:E54"/>
    <mergeCell ref="E209:G209"/>
    <mergeCell ref="K202:L202"/>
    <mergeCell ref="B75:C75"/>
    <mergeCell ref="H49:J49"/>
    <mergeCell ref="B62:C62"/>
    <mergeCell ref="H207:J207"/>
    <mergeCell ref="E211:G211"/>
    <mergeCell ref="K108:L108"/>
    <mergeCell ref="F221:J221"/>
    <mergeCell ref="B124:E124"/>
    <mergeCell ref="A180:J180"/>
    <mergeCell ref="E165:F165"/>
    <mergeCell ref="K154:L154"/>
    <mergeCell ref="B216:E216"/>
    <mergeCell ref="B174:D174"/>
    <mergeCell ref="F59:G59"/>
    <mergeCell ref="B70:C70"/>
    <mergeCell ref="F223:J223"/>
    <mergeCell ref="K20:L20"/>
    <mergeCell ref="A227:E227"/>
    <mergeCell ref="K91:L91"/>
    <mergeCell ref="B126:E126"/>
    <mergeCell ref="K85:L85"/>
    <mergeCell ref="D57:E57"/>
    <mergeCell ref="F94:J94"/>
    <mergeCell ref="I22:J22"/>
    <mergeCell ref="K84:L84"/>
    <mergeCell ref="K22:L22"/>
    <mergeCell ref="K149:L149"/>
    <mergeCell ref="B169:D169"/>
    <mergeCell ref="H62:J62"/>
    <mergeCell ref="A10:L10"/>
    <mergeCell ref="K86:L86"/>
    <mergeCell ref="F125:J125"/>
    <mergeCell ref="B12:H12"/>
    <mergeCell ref="K151:L151"/>
    <mergeCell ref="B65:C65"/>
    <mergeCell ref="A30:L30"/>
    <mergeCell ref="B14:H14"/>
    <mergeCell ref="F105:J105"/>
    <mergeCell ref="F120:J120"/>
    <mergeCell ref="B50:C50"/>
    <mergeCell ref="F107:J107"/>
    <mergeCell ref="D50:E50"/>
    <mergeCell ref="B137:E137"/>
  </mergeCells>
  <conditionalFormatting sqref="K7">
    <cfRule type="expression" priority="1" dxfId="0">
      <formula>LEN(K7)&gt;0</formula>
    </cfRule>
  </conditionalFormatting>
  <conditionalFormatting sqref="K15">
    <cfRule type="expression" priority="2" dxfId="0">
      <formula>LEN(K15)&gt;0</formula>
    </cfRule>
  </conditionalFormatting>
  <conditionalFormatting sqref="K16">
    <cfRule type="expression" priority="3" dxfId="0">
      <formula>LEN(K16)&gt;0</formula>
    </cfRule>
  </conditionalFormatting>
  <conditionalFormatting sqref="K17">
    <cfRule type="expression" priority="4" dxfId="0">
      <formula>LEN(K17)&gt;0</formula>
    </cfRule>
  </conditionalFormatting>
  <conditionalFormatting sqref="K19">
    <cfRule type="expression" priority="5" dxfId="0">
      <formula>LEN(K19)&gt;0</formula>
    </cfRule>
  </conditionalFormatting>
  <conditionalFormatting sqref="K20">
    <cfRule type="expression" priority="6" dxfId="0">
      <formula>LEN(K20)&gt;0</formula>
    </cfRule>
  </conditionalFormatting>
  <conditionalFormatting sqref="K21">
    <cfRule type="expression" priority="7" dxfId="0">
      <formula>LEN(K21)&gt;0</formula>
    </cfRule>
  </conditionalFormatting>
  <conditionalFormatting sqref="K12">
    <cfRule type="expression" priority="8" dxfId="0">
      <formula>LEN(K12)&gt;0</formula>
    </cfRule>
  </conditionalFormatting>
  <conditionalFormatting sqref="K18">
    <cfRule type="expression" priority="9" dxfId="0">
      <formula>LEN(K18)&gt;0</formula>
    </cfRule>
  </conditionalFormatting>
  <conditionalFormatting sqref="K22">
    <cfRule type="expression" priority="10" dxfId="0">
      <formula>LEN(K22)&gt;0</formula>
    </cfRule>
  </conditionalFormatting>
  <conditionalFormatting sqref="K46">
    <cfRule type="expression" priority="11" dxfId="0">
      <formula>LEN(K46)&gt;0</formula>
    </cfRule>
  </conditionalFormatting>
  <conditionalFormatting sqref="K47">
    <cfRule type="expression" priority="12" dxfId="0">
      <formula>LEN(K47)&gt;0</formula>
    </cfRule>
  </conditionalFormatting>
  <conditionalFormatting sqref="K48">
    <cfRule type="expression" priority="13" dxfId="0">
      <formula>LEN(K48)&gt;0</formula>
    </cfRule>
  </conditionalFormatting>
  <conditionalFormatting sqref="K49">
    <cfRule type="expression" priority="14" dxfId="0">
      <formula>LEN(K49)&gt;0</formula>
    </cfRule>
  </conditionalFormatting>
  <conditionalFormatting sqref="K50">
    <cfRule type="expression" priority="15" dxfId="0">
      <formula>LEN(K50)&gt;0</formula>
    </cfRule>
  </conditionalFormatting>
  <conditionalFormatting sqref="K51">
    <cfRule type="expression" priority="16" dxfId="0">
      <formula>LEN(K51)&gt;0</formula>
    </cfRule>
  </conditionalFormatting>
  <conditionalFormatting sqref="K52">
    <cfRule type="expression" priority="17" dxfId="0">
      <formula>LEN(K52)&gt;0</formula>
    </cfRule>
  </conditionalFormatting>
  <conditionalFormatting sqref="K53">
    <cfRule type="expression" priority="18" dxfId="0">
      <formula>LEN(K53)&gt;0</formula>
    </cfRule>
  </conditionalFormatting>
  <conditionalFormatting sqref="K54">
    <cfRule type="expression" priority="19" dxfId="0">
      <formula>LEN(K54)&gt;0</formula>
    </cfRule>
  </conditionalFormatting>
  <conditionalFormatting sqref="K55">
    <cfRule type="expression" priority="20" dxfId="0">
      <formula>LEN(K55)&gt;0</formula>
    </cfRule>
  </conditionalFormatting>
  <conditionalFormatting sqref="K57">
    <cfRule type="expression" priority="21" dxfId="0">
      <formula>LEN(K57)&gt;0</formula>
    </cfRule>
  </conditionalFormatting>
  <conditionalFormatting sqref="K58">
    <cfRule type="expression" priority="22" dxfId="0">
      <formula>LEN(K58)&gt;0</formula>
    </cfRule>
  </conditionalFormatting>
  <conditionalFormatting sqref="K59">
    <cfRule type="expression" priority="23" dxfId="0">
      <formula>LEN(K59)&gt;0</formula>
    </cfRule>
  </conditionalFormatting>
  <conditionalFormatting sqref="K60">
    <cfRule type="expression" priority="24" dxfId="0">
      <formula>LEN(K60)&gt;0</formula>
    </cfRule>
  </conditionalFormatting>
  <conditionalFormatting sqref="K61">
    <cfRule type="expression" priority="25" dxfId="0">
      <formula>LEN(K61)&gt;0</formula>
    </cfRule>
  </conditionalFormatting>
  <conditionalFormatting sqref="K62">
    <cfRule type="expression" priority="26" dxfId="0">
      <formula>LEN(K62)&gt;0</formula>
    </cfRule>
  </conditionalFormatting>
  <conditionalFormatting sqref="K63">
    <cfRule type="expression" priority="27" dxfId="0">
      <formula>LEN(K63)&gt;0</formula>
    </cfRule>
  </conditionalFormatting>
  <conditionalFormatting sqref="K64">
    <cfRule type="expression" priority="28" dxfId="0">
      <formula>LEN(K64)&gt;0</formula>
    </cfRule>
  </conditionalFormatting>
  <conditionalFormatting sqref="K65">
    <cfRule type="expression" priority="29" dxfId="0">
      <formula>LEN(K65)&gt;0</formula>
    </cfRule>
  </conditionalFormatting>
  <conditionalFormatting sqref="K66">
    <cfRule type="expression" priority="30" dxfId="0">
      <formula>LEN(K66)&gt;0</formula>
    </cfRule>
  </conditionalFormatting>
  <conditionalFormatting sqref="K68">
    <cfRule type="expression" priority="31" dxfId="0">
      <formula>LEN(K68)&gt;0</formula>
    </cfRule>
  </conditionalFormatting>
  <conditionalFormatting sqref="K69">
    <cfRule type="expression" priority="32" dxfId="0">
      <formula>LEN(K69)&gt;0</formula>
    </cfRule>
  </conditionalFormatting>
  <conditionalFormatting sqref="K70">
    <cfRule type="expression" priority="33" dxfId="0">
      <formula>LEN(K70)&gt;0</formula>
    </cfRule>
  </conditionalFormatting>
  <conditionalFormatting sqref="K71">
    <cfRule type="expression" priority="34" dxfId="0">
      <formula>LEN(K71)&gt;0</formula>
    </cfRule>
  </conditionalFormatting>
  <conditionalFormatting sqref="K72">
    <cfRule type="expression" priority="35" dxfId="0">
      <formula>LEN(K72)&gt;0</formula>
    </cfRule>
  </conditionalFormatting>
  <conditionalFormatting sqref="K73">
    <cfRule type="expression" priority="36" dxfId="0">
      <formula>LEN(K73)&gt;0</formula>
    </cfRule>
  </conditionalFormatting>
  <conditionalFormatting sqref="K74">
    <cfRule type="expression" priority="37" dxfId="0">
      <formula>LEN(K74)&gt;0</formula>
    </cfRule>
  </conditionalFormatting>
  <conditionalFormatting sqref="K75">
    <cfRule type="expression" priority="38" dxfId="0">
      <formula>LEN(K75)&gt;0</formula>
    </cfRule>
  </conditionalFormatting>
  <conditionalFormatting sqref="K76">
    <cfRule type="expression" priority="39" dxfId="0">
      <formula>LEN(K76)&gt;0</formula>
    </cfRule>
  </conditionalFormatting>
  <conditionalFormatting sqref="K77">
    <cfRule type="expression" priority="40" dxfId="0">
      <formula>LEN(K77)&gt;0</formula>
    </cfRule>
  </conditionalFormatting>
  <conditionalFormatting sqref="K80">
    <cfRule type="expression" priority="41" dxfId="0">
      <formula>LEN(K80)&gt;0</formula>
    </cfRule>
  </conditionalFormatting>
  <conditionalFormatting sqref="K81">
    <cfRule type="expression" priority="42" dxfId="0">
      <formula>LEN(K81)&gt;0</formula>
    </cfRule>
  </conditionalFormatting>
  <conditionalFormatting sqref="K82">
    <cfRule type="expression" priority="43" dxfId="0">
      <formula>LEN(K82)&gt;0</formula>
    </cfRule>
  </conditionalFormatting>
  <conditionalFormatting sqref="K83">
    <cfRule type="expression" priority="44" dxfId="0">
      <formula>LEN(K83)&gt;0</formula>
    </cfRule>
  </conditionalFormatting>
  <conditionalFormatting sqref="K84">
    <cfRule type="expression" priority="45" dxfId="0">
      <formula>LEN(K84)&gt;0</formula>
    </cfRule>
  </conditionalFormatting>
  <conditionalFormatting sqref="K85">
    <cfRule type="expression" priority="46" dxfId="0">
      <formula>LEN(K85)&gt;0</formula>
    </cfRule>
  </conditionalFormatting>
  <conditionalFormatting sqref="K86">
    <cfRule type="expression" priority="47" dxfId="0">
      <formula>LEN(K86)&gt;0</formula>
    </cfRule>
  </conditionalFormatting>
  <conditionalFormatting sqref="K87">
    <cfRule type="expression" priority="48" dxfId="0">
      <formula>LEN(K87)&gt;0</formula>
    </cfRule>
  </conditionalFormatting>
  <conditionalFormatting sqref="K88">
    <cfRule type="expression" priority="49" dxfId="0">
      <formula>LEN(K88)&gt;0</formula>
    </cfRule>
  </conditionalFormatting>
  <conditionalFormatting sqref="K89">
    <cfRule type="expression" priority="50" dxfId="0">
      <formula>LEN(K89)&gt;0</formula>
    </cfRule>
  </conditionalFormatting>
  <conditionalFormatting sqref="K91">
    <cfRule type="expression" priority="51" dxfId="0">
      <formula>LEN(K91)&gt;0</formula>
    </cfRule>
  </conditionalFormatting>
  <conditionalFormatting sqref="K92">
    <cfRule type="expression" priority="52" dxfId="0">
      <formula>LEN(K92)&gt;0</formula>
    </cfRule>
  </conditionalFormatting>
  <conditionalFormatting sqref="K93">
    <cfRule type="expression" priority="53" dxfId="0">
      <formula>LEN(K93)&gt;0</formula>
    </cfRule>
  </conditionalFormatting>
  <conditionalFormatting sqref="K94">
    <cfRule type="expression" priority="54" dxfId="0">
      <formula>LEN(K94)&gt;0</formula>
    </cfRule>
  </conditionalFormatting>
  <conditionalFormatting sqref="K95">
    <cfRule type="expression" priority="55" dxfId="0">
      <formula>LEN(K95)&gt;0</formula>
    </cfRule>
  </conditionalFormatting>
  <conditionalFormatting sqref="K96">
    <cfRule type="expression" priority="56" dxfId="0">
      <formula>LEN(K96)&gt;0</formula>
    </cfRule>
  </conditionalFormatting>
  <conditionalFormatting sqref="K97">
    <cfRule type="expression" priority="57" dxfId="0">
      <formula>LEN(K97)&gt;0</formula>
    </cfRule>
  </conditionalFormatting>
  <conditionalFormatting sqref="K98">
    <cfRule type="expression" priority="58" dxfId="0">
      <formula>LEN(K98)&gt;0</formula>
    </cfRule>
  </conditionalFormatting>
  <conditionalFormatting sqref="K99">
    <cfRule type="expression" priority="59" dxfId="0">
      <formula>LEN(K99)&gt;0</formula>
    </cfRule>
  </conditionalFormatting>
  <conditionalFormatting sqref="K100">
    <cfRule type="expression" priority="60" dxfId="0">
      <formula>LEN(K100)&gt;0</formula>
    </cfRule>
  </conditionalFormatting>
  <conditionalFormatting sqref="K102">
    <cfRule type="expression" priority="61" dxfId="0">
      <formula>LEN(K102)&gt;0</formula>
    </cfRule>
  </conditionalFormatting>
  <conditionalFormatting sqref="K103">
    <cfRule type="expression" priority="62" dxfId="0">
      <formula>LEN(K103)&gt;0</formula>
    </cfRule>
  </conditionalFormatting>
  <conditionalFormatting sqref="K104">
    <cfRule type="expression" priority="63" dxfId="0">
      <formula>LEN(K104)&gt;0</formula>
    </cfRule>
  </conditionalFormatting>
  <conditionalFormatting sqref="K105">
    <cfRule type="expression" priority="64" dxfId="0">
      <formula>LEN(K105)&gt;0</formula>
    </cfRule>
  </conditionalFormatting>
  <conditionalFormatting sqref="K106">
    <cfRule type="expression" priority="65" dxfId="0">
      <formula>LEN(K106)&gt;0</formula>
    </cfRule>
  </conditionalFormatting>
  <conditionalFormatting sqref="K107">
    <cfRule type="expression" priority="66" dxfId="0">
      <formula>LEN(K107)&gt;0</formula>
    </cfRule>
  </conditionalFormatting>
  <conditionalFormatting sqref="K108">
    <cfRule type="expression" priority="67" dxfId="0">
      <formula>LEN(K108)&gt;0</formula>
    </cfRule>
  </conditionalFormatting>
  <conditionalFormatting sqref="K109">
    <cfRule type="expression" priority="68" dxfId="0">
      <formula>LEN(K109)&gt;0</formula>
    </cfRule>
  </conditionalFormatting>
  <conditionalFormatting sqref="K110">
    <cfRule type="expression" priority="69" dxfId="0">
      <formula>LEN(K110)&gt;0</formula>
    </cfRule>
  </conditionalFormatting>
  <conditionalFormatting sqref="K111">
    <cfRule type="expression" priority="70" dxfId="0">
      <formula>LEN(K111)&gt;0</formula>
    </cfRule>
  </conditionalFormatting>
  <conditionalFormatting sqref="K114">
    <cfRule type="expression" priority="71" dxfId="0">
      <formula>LEN(K114)&gt;0</formula>
    </cfRule>
  </conditionalFormatting>
  <conditionalFormatting sqref="K115">
    <cfRule type="expression" priority="72" dxfId="0">
      <formula>LEN(K115)&gt;0</formula>
    </cfRule>
  </conditionalFormatting>
  <conditionalFormatting sqref="K116">
    <cfRule type="expression" priority="73" dxfId="0">
      <formula>LEN(K116)&gt;0</formula>
    </cfRule>
  </conditionalFormatting>
  <conditionalFormatting sqref="K117">
    <cfRule type="expression" priority="74" dxfId="0">
      <formula>LEN(K117)&gt;0</formula>
    </cfRule>
  </conditionalFormatting>
  <conditionalFormatting sqref="K118">
    <cfRule type="expression" priority="75" dxfId="0">
      <formula>LEN(K118)&gt;0</formula>
    </cfRule>
  </conditionalFormatting>
  <conditionalFormatting sqref="K119">
    <cfRule type="expression" priority="76" dxfId="0">
      <formula>LEN(K119)&gt;0</formula>
    </cfRule>
  </conditionalFormatting>
  <conditionalFormatting sqref="K120">
    <cfRule type="expression" priority="77" dxfId="0">
      <formula>LEN(K120)&gt;0</formula>
    </cfRule>
  </conditionalFormatting>
  <conditionalFormatting sqref="K121">
    <cfRule type="expression" priority="78" dxfId="0">
      <formula>LEN(K121)&gt;0</formula>
    </cfRule>
  </conditionalFormatting>
  <conditionalFormatting sqref="K122">
    <cfRule type="expression" priority="79" dxfId="0">
      <formula>LEN(K122)&gt;0</formula>
    </cfRule>
  </conditionalFormatting>
  <conditionalFormatting sqref="K123">
    <cfRule type="expression" priority="80" dxfId="0">
      <formula>LEN(K123)&gt;0</formula>
    </cfRule>
  </conditionalFormatting>
  <conditionalFormatting sqref="K125">
    <cfRule type="expression" priority="81" dxfId="0">
      <formula>LEN(K125)&gt;0</formula>
    </cfRule>
  </conditionalFormatting>
  <conditionalFormatting sqref="K126">
    <cfRule type="expression" priority="82" dxfId="0">
      <formula>LEN(K126)&gt;0</formula>
    </cfRule>
  </conditionalFormatting>
  <conditionalFormatting sqref="K127">
    <cfRule type="expression" priority="83" dxfId="0">
      <formula>LEN(K127)&gt;0</formula>
    </cfRule>
  </conditionalFormatting>
  <conditionalFormatting sqref="K128">
    <cfRule type="expression" priority="84" dxfId="0">
      <formula>LEN(K128)&gt;0</formula>
    </cfRule>
  </conditionalFormatting>
  <conditionalFormatting sqref="K129">
    <cfRule type="expression" priority="85" dxfId="0">
      <formula>LEN(K129)&gt;0</formula>
    </cfRule>
  </conditionalFormatting>
  <conditionalFormatting sqref="K130">
    <cfRule type="expression" priority="86" dxfId="0">
      <formula>LEN(K130)&gt;0</formula>
    </cfRule>
  </conditionalFormatting>
  <conditionalFormatting sqref="K131">
    <cfRule type="expression" priority="87" dxfId="0">
      <formula>LEN(K131)&gt;0</formula>
    </cfRule>
  </conditionalFormatting>
  <conditionalFormatting sqref="K132">
    <cfRule type="expression" priority="88" dxfId="0">
      <formula>LEN(K132)&gt;0</formula>
    </cfRule>
  </conditionalFormatting>
  <conditionalFormatting sqref="K133">
    <cfRule type="expression" priority="89" dxfId="0">
      <formula>LEN(K133)&gt;0</formula>
    </cfRule>
  </conditionalFormatting>
  <conditionalFormatting sqref="K134">
    <cfRule type="expression" priority="90" dxfId="0">
      <formula>LEN(K134)&gt;0</formula>
    </cfRule>
  </conditionalFormatting>
  <conditionalFormatting sqref="K136">
    <cfRule type="expression" priority="91" dxfId="0">
      <formula>LEN(K136)&gt;0</formula>
    </cfRule>
  </conditionalFormatting>
  <conditionalFormatting sqref="K137">
    <cfRule type="expression" priority="92" dxfId="0">
      <formula>LEN(K137)&gt;0</formula>
    </cfRule>
  </conditionalFormatting>
  <conditionalFormatting sqref="K138">
    <cfRule type="expression" priority="93" dxfId="0">
      <formula>LEN(K138)&gt;0</formula>
    </cfRule>
  </conditionalFormatting>
  <conditionalFormatting sqref="K139">
    <cfRule type="expression" priority="94" dxfId="0">
      <formula>LEN(K139)&gt;0</formula>
    </cfRule>
  </conditionalFormatting>
  <conditionalFormatting sqref="K140">
    <cfRule type="expression" priority="95" dxfId="0">
      <formula>LEN(K140)&gt;0</formula>
    </cfRule>
  </conditionalFormatting>
  <conditionalFormatting sqref="K141">
    <cfRule type="expression" priority="96" dxfId="0">
      <formula>LEN(K141)&gt;0</formula>
    </cfRule>
  </conditionalFormatting>
  <conditionalFormatting sqref="K142">
    <cfRule type="expression" priority="97" dxfId="0">
      <formula>LEN(K142)&gt;0</formula>
    </cfRule>
  </conditionalFormatting>
  <conditionalFormatting sqref="K143">
    <cfRule type="expression" priority="98" dxfId="0">
      <formula>LEN(K143)&gt;0</formula>
    </cfRule>
  </conditionalFormatting>
  <conditionalFormatting sqref="K144">
    <cfRule type="expression" priority="99" dxfId="0">
      <formula>LEN(K144)&gt;0</formula>
    </cfRule>
  </conditionalFormatting>
  <conditionalFormatting sqref="K145">
    <cfRule type="expression" priority="100" dxfId="0">
      <formula>LEN(K145)&gt;0</formula>
    </cfRule>
  </conditionalFormatting>
  <conditionalFormatting sqref="K148">
    <cfRule type="expression" priority="101" dxfId="0">
      <formula>LEN(K148)&gt;0</formula>
    </cfRule>
  </conditionalFormatting>
  <conditionalFormatting sqref="K149">
    <cfRule type="expression" priority="102" dxfId="0">
      <formula>LEN(K149)&gt;0</formula>
    </cfRule>
  </conditionalFormatting>
  <conditionalFormatting sqref="K150">
    <cfRule type="expression" priority="103" dxfId="0">
      <formula>LEN(K150)&gt;0</formula>
    </cfRule>
  </conditionalFormatting>
  <conditionalFormatting sqref="K151">
    <cfRule type="expression" priority="104" dxfId="0">
      <formula>LEN(K151)&gt;0</formula>
    </cfRule>
  </conditionalFormatting>
  <conditionalFormatting sqref="K152">
    <cfRule type="expression" priority="105" dxfId="0">
      <formula>LEN(K152)&gt;0</formula>
    </cfRule>
  </conditionalFormatting>
  <conditionalFormatting sqref="K153">
    <cfRule type="expression" priority="106" dxfId="0">
      <formula>LEN(K153)&gt;0</formula>
    </cfRule>
  </conditionalFormatting>
  <conditionalFormatting sqref="K154">
    <cfRule type="expression" priority="107" dxfId="0">
      <formula>LEN(K154)&gt;0</formula>
    </cfRule>
  </conditionalFormatting>
  <conditionalFormatting sqref="K155">
    <cfRule type="expression" priority="108" dxfId="0">
      <formula>LEN(K155)&gt;0</formula>
    </cfRule>
  </conditionalFormatting>
  <conditionalFormatting sqref="K156">
    <cfRule type="expression" priority="109" dxfId="0">
      <formula>LEN(K156)&gt;0</formula>
    </cfRule>
  </conditionalFormatting>
  <conditionalFormatting sqref="K157">
    <cfRule type="expression" priority="110" dxfId="0">
      <formula>LEN(K157)&gt;0</formula>
    </cfRule>
  </conditionalFormatting>
  <conditionalFormatting sqref="K159">
    <cfRule type="expression" priority="111" dxfId="0">
      <formula>LEN(K159)&gt;0</formula>
    </cfRule>
  </conditionalFormatting>
  <conditionalFormatting sqref="K160">
    <cfRule type="expression" priority="112" dxfId="0">
      <formula>LEN(K160)&gt;0</formula>
    </cfRule>
  </conditionalFormatting>
  <conditionalFormatting sqref="K161">
    <cfRule type="expression" priority="113" dxfId="0">
      <formula>LEN(K161)&gt;0</formula>
    </cfRule>
  </conditionalFormatting>
  <conditionalFormatting sqref="K162">
    <cfRule type="expression" priority="114" dxfId="0">
      <formula>LEN(K162)&gt;0</formula>
    </cfRule>
  </conditionalFormatting>
  <conditionalFormatting sqref="K163">
    <cfRule type="expression" priority="115" dxfId="0">
      <formula>LEN(K163)&gt;0</formula>
    </cfRule>
  </conditionalFormatting>
  <conditionalFormatting sqref="K164">
    <cfRule type="expression" priority="116" dxfId="0">
      <formula>LEN(K164)&gt;0</formula>
    </cfRule>
  </conditionalFormatting>
  <conditionalFormatting sqref="K165">
    <cfRule type="expression" priority="117" dxfId="0">
      <formula>LEN(K165)&gt;0</formula>
    </cfRule>
  </conditionalFormatting>
  <conditionalFormatting sqref="K166">
    <cfRule type="expression" priority="118" dxfId="0">
      <formula>LEN(K166)&gt;0</formula>
    </cfRule>
  </conditionalFormatting>
  <conditionalFormatting sqref="K167">
    <cfRule type="expression" priority="119" dxfId="0">
      <formula>LEN(K167)&gt;0</formula>
    </cfRule>
  </conditionalFormatting>
  <conditionalFormatting sqref="K168">
    <cfRule type="expression" priority="120" dxfId="0">
      <formula>LEN(K168)&gt;0</formula>
    </cfRule>
  </conditionalFormatting>
  <conditionalFormatting sqref="K170">
    <cfRule type="expression" priority="121" dxfId="0">
      <formula>LEN(K170)&gt;0</formula>
    </cfRule>
  </conditionalFormatting>
  <conditionalFormatting sqref="K171">
    <cfRule type="expression" priority="122" dxfId="0">
      <formula>LEN(K171)&gt;0</formula>
    </cfRule>
  </conditionalFormatting>
  <conditionalFormatting sqref="K172">
    <cfRule type="expression" priority="123" dxfId="0">
      <formula>LEN(K172)&gt;0</formula>
    </cfRule>
  </conditionalFormatting>
  <conditionalFormatting sqref="K173">
    <cfRule type="expression" priority="124" dxfId="0">
      <formula>LEN(K173)&gt;0</formula>
    </cfRule>
  </conditionalFormatting>
  <conditionalFormatting sqref="K174">
    <cfRule type="expression" priority="125" dxfId="0">
      <formula>LEN(K174)&gt;0</formula>
    </cfRule>
  </conditionalFormatting>
  <conditionalFormatting sqref="K175">
    <cfRule type="expression" priority="126" dxfId="0">
      <formula>LEN(K175)&gt;0</formula>
    </cfRule>
  </conditionalFormatting>
  <conditionalFormatting sqref="K176">
    <cfRule type="expression" priority="127" dxfId="0">
      <formula>LEN(K176)&gt;0</formula>
    </cfRule>
  </conditionalFormatting>
  <conditionalFormatting sqref="K177">
    <cfRule type="expression" priority="128" dxfId="0">
      <formula>LEN(K177)&gt;0</formula>
    </cfRule>
  </conditionalFormatting>
  <conditionalFormatting sqref="K178">
    <cfRule type="expression" priority="129" dxfId="0">
      <formula>LEN(K178)&gt;0</formula>
    </cfRule>
  </conditionalFormatting>
  <conditionalFormatting sqref="K179">
    <cfRule type="expression" priority="130" dxfId="0">
      <formula>LEN(K179)&gt;0</formula>
    </cfRule>
  </conditionalFormatting>
  <conditionalFormatting sqref="K182">
    <cfRule type="expression" priority="131" dxfId="0">
      <formula>LEN(K182)&gt;0</formula>
    </cfRule>
  </conditionalFormatting>
  <conditionalFormatting sqref="K183">
    <cfRule type="expression" priority="132" dxfId="0">
      <formula>LEN(K183)&gt;0</formula>
    </cfRule>
  </conditionalFormatting>
  <conditionalFormatting sqref="K184">
    <cfRule type="expression" priority="133" dxfId="0">
      <formula>LEN(K184)&gt;0</formula>
    </cfRule>
  </conditionalFormatting>
  <conditionalFormatting sqref="K185">
    <cfRule type="expression" priority="134" dxfId="0">
      <formula>LEN(K185)&gt;0</formula>
    </cfRule>
  </conditionalFormatting>
  <conditionalFormatting sqref="K186">
    <cfRule type="expression" priority="135" dxfId="0">
      <formula>LEN(K186)&gt;0</formula>
    </cfRule>
  </conditionalFormatting>
  <conditionalFormatting sqref="K187">
    <cfRule type="expression" priority="136" dxfId="0">
      <formula>LEN(K187)&gt;0</formula>
    </cfRule>
  </conditionalFormatting>
  <conditionalFormatting sqref="K188">
    <cfRule type="expression" priority="137" dxfId="0">
      <formula>LEN(K188)&gt;0</formula>
    </cfRule>
  </conditionalFormatting>
  <conditionalFormatting sqref="K189">
    <cfRule type="expression" priority="138" dxfId="0">
      <formula>LEN(K189)&gt;0</formula>
    </cfRule>
  </conditionalFormatting>
  <conditionalFormatting sqref="K190">
    <cfRule type="expression" priority="139" dxfId="0">
      <formula>LEN(K190)&gt;0</formula>
    </cfRule>
  </conditionalFormatting>
  <conditionalFormatting sqref="K191">
    <cfRule type="expression" priority="140" dxfId="0">
      <formula>LEN(K191)&gt;0</formula>
    </cfRule>
  </conditionalFormatting>
  <conditionalFormatting sqref="K193">
    <cfRule type="expression" priority="141" dxfId="0">
      <formula>LEN(K193)&gt;0</formula>
    </cfRule>
  </conditionalFormatting>
  <conditionalFormatting sqref="K194">
    <cfRule type="expression" priority="142" dxfId="0">
      <formula>LEN(K194)&gt;0</formula>
    </cfRule>
  </conditionalFormatting>
  <conditionalFormatting sqref="K195">
    <cfRule type="expression" priority="143" dxfId="0">
      <formula>LEN(K195)&gt;0</formula>
    </cfRule>
  </conditionalFormatting>
  <conditionalFormatting sqref="K196">
    <cfRule type="expression" priority="144" dxfId="0">
      <formula>LEN(K196)&gt;0</formula>
    </cfRule>
  </conditionalFormatting>
  <conditionalFormatting sqref="K197">
    <cfRule type="expression" priority="145" dxfId="0">
      <formula>LEN(K197)&gt;0</formula>
    </cfRule>
  </conditionalFormatting>
  <conditionalFormatting sqref="K198">
    <cfRule type="expression" priority="146" dxfId="0">
      <formula>LEN(K198)&gt;0</formula>
    </cfRule>
  </conditionalFormatting>
  <conditionalFormatting sqref="K199">
    <cfRule type="expression" priority="147" dxfId="0">
      <formula>LEN(K199)&gt;0</formula>
    </cfRule>
  </conditionalFormatting>
  <conditionalFormatting sqref="K200">
    <cfRule type="expression" priority="148" dxfId="0">
      <formula>LEN(K200)&gt;0</formula>
    </cfRule>
  </conditionalFormatting>
  <conditionalFormatting sqref="K201">
    <cfRule type="expression" priority="149" dxfId="0">
      <formula>LEN(K201)&gt;0</formula>
    </cfRule>
  </conditionalFormatting>
  <conditionalFormatting sqref="K202">
    <cfRule type="expression" priority="150" dxfId="0">
      <formula>LEN(K202)&gt;0</formula>
    </cfRule>
  </conditionalFormatting>
  <conditionalFormatting sqref="K204">
    <cfRule type="expression" priority="151" dxfId="0">
      <formula>LEN(K204)&gt;0</formula>
    </cfRule>
  </conditionalFormatting>
  <conditionalFormatting sqref="K205">
    <cfRule type="expression" priority="152" dxfId="0">
      <formula>LEN(K205)&gt;0</formula>
    </cfRule>
  </conditionalFormatting>
  <conditionalFormatting sqref="K206">
    <cfRule type="expression" priority="153" dxfId="0">
      <formula>LEN(K206)&gt;0</formula>
    </cfRule>
  </conditionalFormatting>
  <conditionalFormatting sqref="K207">
    <cfRule type="expression" priority="154" dxfId="0">
      <formula>LEN(K207)&gt;0</formula>
    </cfRule>
  </conditionalFormatting>
  <conditionalFormatting sqref="K208">
    <cfRule type="expression" priority="155" dxfId="0">
      <formula>LEN(K208)&gt;0</formula>
    </cfRule>
  </conditionalFormatting>
  <conditionalFormatting sqref="K209">
    <cfRule type="expression" priority="156" dxfId="0">
      <formula>LEN(K209)&gt;0</formula>
    </cfRule>
  </conditionalFormatting>
  <conditionalFormatting sqref="K210">
    <cfRule type="expression" priority="157" dxfId="0">
      <formula>LEN(K210)&gt;0</formula>
    </cfRule>
  </conditionalFormatting>
  <conditionalFormatting sqref="K211">
    <cfRule type="expression" priority="158" dxfId="0">
      <formula>LEN(K211)&gt;0</formula>
    </cfRule>
  </conditionalFormatting>
  <conditionalFormatting sqref="K212">
    <cfRule type="expression" priority="159" dxfId="0">
      <formula>LEN(K212)&gt;0</formula>
    </cfRule>
  </conditionalFormatting>
  <conditionalFormatting sqref="K213">
    <cfRule type="expression" priority="160" dxfId="0">
      <formula>LEN(K213)&gt;0</formula>
    </cfRule>
  </conditionalFormatting>
  <conditionalFormatting sqref="K216">
    <cfRule type="expression" priority="161" dxfId="0">
      <formula>LEN(K216)&gt;0</formula>
    </cfRule>
  </conditionalFormatting>
  <conditionalFormatting sqref="K225">
    <cfRule type="expression" priority="162" dxfId="0">
      <formula>LEN(K225)&gt;0</formula>
    </cfRule>
  </conditionalFormatting>
  <dataValidations count="520">
    <dataValidation sqref="A7" showDropDown="0" showInputMessage="0" showErrorMessage="1" allowBlank="1" errorTitle="Valor fora da faixa" error="Rolagem nº: use um número inteiro de 1 a 1000000." type="whole" errorStyle="warning" operator="between">
      <formula1>1</formula1>
      <formula2>1000000</formula2>
    </dataValidation>
    <dataValidation sqref="B7" showDropDown="0" showInputMessage="0" showErrorMessage="1" allowBlank="1" errorTitle="Fora da lista" error="Raça: escolha um valor da lista. A planilha pode não reconhecer outro valor." type="list" errorStyle="warning">
      <formula1>'Dados'!$BM$6:$BM$13</formula1>
    </dataValidation>
    <dataValidation sqref="D7" showDropDown="0" showInputMessage="0" showErrorMessage="1" allowBlank="1" errorTitle="Fora da lista" error="Caminho: escolha um valor da lista. A planilha pode não reconhecer outro valor." type="list" errorStyle="warning">
      <formula1>'Dados'!$BN$6:$BN$16</formula1>
    </dataValidation>
    <dataValidation sqref="F7" showDropDown="0" showInputMessage="0" showErrorMessage="1" allowBlank="1" errorTitle="Fora da lista" error="Papel na história: escolha um valor da lista. A planilha pode não reconhecer outro valor." type="list" errorStyle="warning">
      <formula1>'Dados'!$BO$6:$BO$13</formula1>
    </dataValidation>
    <dataValidation sqref="H7" showDropDown="0" showInputMessage="0" showErrorMessage="1" allowBlank="1" errorTitle="Fora da lista" error="Bloco de combate: escolha um valor da lista. A planilha pode não reconhecer outro valor." type="list" errorStyle="warning">
      <formula1>'Dados'!$BR$6:$BR$12</formula1>
    </dataValidation>
    <dataValidation sqref="J7" showDropDown="0" showInputMessage="0" showErrorMessage="1" allowBlank="1" errorTitle="Fora da lista" error="Tipo do bloco: escolha um valor da lista. A planilha pode não reconhecer outro valor." type="list" errorStyle="warning">
      <formula1>'Dados'!$BS$6:$BS$7</formula1>
    </dataValidation>
    <dataValidation sqref="A46" showDropDown="0" showInputMessage="0" showErrorMessage="1" allowBlank="1" errorTitle="Texto longo" error="Nome completo: até 80 caracteres." type="textLength" errorStyle="warning" operator="lessThanOrEqual">
      <formula1>80</formula1>
    </dataValidation>
    <dataValidation sqref="B46" showDropDown="0" showInputMessage="0" showErrorMessage="1" allowBlank="1" errorTitle="Fora da lista" error="Raça: escolha um valor da lista. A planilha pode não reconhecer outro valor." type="list" errorStyle="warning">
      <formula1>'Dados'!$AR$6:$AR$12</formula1>
    </dataValidation>
    <dataValidation sqref="D46" showDropDown="0" showInputMessage="0" showErrorMessage="1" allowBlank="1" errorTitle="Fora da lista" error="Caminho: escolha um valor da lista. A planilha pode não reconhecer outro valor." type="list" errorStyle="warning">
      <formula1>'Dados'!$BP$6:$BP$15</formula1>
    </dataValidation>
    <dataValidation sqref="F46" showDropDown="0" showInputMessage="0" showErrorMessage="1" allowBlank="1" errorTitle="Fora da lista" error="Papel: escolha um valor da lista. A planilha pode não reconhecer outro valor." type="list" errorStyle="warning">
      <formula1>'Dados'!$BQ$6:$BQ$12</formula1>
    </dataValidation>
    <dataValidation sqref="H46" showDropDown="0" showInputMessage="0" showErrorMessage="1" allowBlank="1" errorTitle="Texto longo" error="Ocupação: até 120 caracteres." type="textLength" errorStyle="warning" operator="lessThanOrEqual">
      <formula1>120</formula1>
    </dataValidation>
    <dataValidation sqref="A47" showDropDown="0" showInputMessage="0" showErrorMessage="1" allowBlank="1" errorTitle="Texto longo" error="Nome completo: até 80 caracteres." type="textLength" errorStyle="warning" operator="lessThanOrEqual">
      <formula1>80</formula1>
    </dataValidation>
    <dataValidation sqref="B47" showDropDown="0" showInputMessage="0" showErrorMessage="1" allowBlank="1" errorTitle="Fora da lista" error="Raça: escolha um valor da lista. A planilha pode não reconhecer outro valor." type="list" errorStyle="warning">
      <formula1>'Dados'!$AR$6:$AR$12</formula1>
    </dataValidation>
    <dataValidation sqref="D47" showDropDown="0" showInputMessage="0" showErrorMessage="1" allowBlank="1" errorTitle="Fora da lista" error="Caminho: escolha um valor da lista. A planilha pode não reconhecer outro valor." type="list" errorStyle="warning">
      <formula1>'Dados'!$BP$6:$BP$15</formula1>
    </dataValidation>
    <dataValidation sqref="F47" showDropDown="0" showInputMessage="0" showErrorMessage="1" allowBlank="1" errorTitle="Fora da lista" error="Papel: escolha um valor da lista. A planilha pode não reconhecer outro valor." type="list" errorStyle="warning">
      <formula1>'Dados'!$BQ$6:$BQ$12</formula1>
    </dataValidation>
    <dataValidation sqref="H47" showDropDown="0" showInputMessage="0" showErrorMessage="1" allowBlank="1" errorTitle="Texto longo" error="Ocupação: até 120 caracteres." type="textLength" errorStyle="warning" operator="lessThanOrEqual">
      <formula1>120</formula1>
    </dataValidation>
    <dataValidation sqref="A48" showDropDown="0" showInputMessage="0" showErrorMessage="1" allowBlank="1" errorTitle="Texto longo" error="Nome completo: até 80 caracteres." type="textLength" errorStyle="warning" operator="lessThanOrEqual">
      <formula1>80</formula1>
    </dataValidation>
    <dataValidation sqref="B48" showDropDown="0" showInputMessage="0" showErrorMessage="1" allowBlank="1" errorTitle="Fora da lista" error="Raça: escolha um valor da lista. A planilha pode não reconhecer outro valor." type="list" errorStyle="warning">
      <formula1>'Dados'!$AR$6:$AR$12</formula1>
    </dataValidation>
    <dataValidation sqref="D48" showDropDown="0" showInputMessage="0" showErrorMessage="1" allowBlank="1" errorTitle="Fora da lista" error="Caminho: escolha um valor da lista. A planilha pode não reconhecer outro valor." type="list" errorStyle="warning">
      <formula1>'Dados'!$BP$6:$BP$15</formula1>
    </dataValidation>
    <dataValidation sqref="F48" showDropDown="0" showInputMessage="0" showErrorMessage="1" allowBlank="1" errorTitle="Fora da lista" error="Papel: escolha um valor da lista. A planilha pode não reconhecer outro valor." type="list" errorStyle="warning">
      <formula1>'Dados'!$BQ$6:$BQ$12</formula1>
    </dataValidation>
    <dataValidation sqref="H48" showDropDown="0" showInputMessage="0" showErrorMessage="1" allowBlank="1" errorTitle="Texto longo" error="Ocupação: até 120 caracteres." type="textLength" errorStyle="warning" operator="lessThanOrEqual">
      <formula1>120</formula1>
    </dataValidation>
    <dataValidation sqref="A49" showDropDown="0" showInputMessage="0" showErrorMessage="1" allowBlank="1" errorTitle="Texto longo" error="Nome completo: até 80 caracteres." type="textLength" errorStyle="warning" operator="lessThanOrEqual">
      <formula1>80</formula1>
    </dataValidation>
    <dataValidation sqref="B49" showDropDown="0" showInputMessage="0" showErrorMessage="1" allowBlank="1" errorTitle="Fora da lista" error="Raça: escolha um valor da lista. A planilha pode não reconhecer outro valor." type="list" errorStyle="warning">
      <formula1>'Dados'!$AR$6:$AR$12</formula1>
    </dataValidation>
    <dataValidation sqref="D49" showDropDown="0" showInputMessage="0" showErrorMessage="1" allowBlank="1" errorTitle="Fora da lista" error="Caminho: escolha um valor da lista. A planilha pode não reconhecer outro valor." type="list" errorStyle="warning">
      <formula1>'Dados'!$BP$6:$BP$15</formula1>
    </dataValidation>
    <dataValidation sqref="F49" showDropDown="0" showInputMessage="0" showErrorMessage="1" allowBlank="1" errorTitle="Fora da lista" error="Papel: escolha um valor da lista. A planilha pode não reconhecer outro valor." type="list" errorStyle="warning">
      <formula1>'Dados'!$BQ$6:$BQ$12</formula1>
    </dataValidation>
    <dataValidation sqref="H49" showDropDown="0" showInputMessage="0" showErrorMessage="1" allowBlank="1" errorTitle="Texto longo" error="Ocupação: até 120 caracteres." type="textLength" errorStyle="warning" operator="lessThanOrEqual">
      <formula1>120</formula1>
    </dataValidation>
    <dataValidation sqref="A50" showDropDown="0" showInputMessage="0" showErrorMessage="1" allowBlank="1" errorTitle="Texto longo" error="Nome completo: até 80 caracteres." type="textLength" errorStyle="warning" operator="lessThanOrEqual">
      <formula1>80</formula1>
    </dataValidation>
    <dataValidation sqref="B50" showDropDown="0" showInputMessage="0" showErrorMessage="1" allowBlank="1" errorTitle="Fora da lista" error="Raça: escolha um valor da lista. A planilha pode não reconhecer outro valor." type="list" errorStyle="warning">
      <formula1>'Dados'!$AR$6:$AR$12</formula1>
    </dataValidation>
    <dataValidation sqref="D50" showDropDown="0" showInputMessage="0" showErrorMessage="1" allowBlank="1" errorTitle="Fora da lista" error="Caminho: escolha um valor da lista. A planilha pode não reconhecer outro valor." type="list" errorStyle="warning">
      <formula1>'Dados'!$BP$6:$BP$15</formula1>
    </dataValidation>
    <dataValidation sqref="F50" showDropDown="0" showInputMessage="0" showErrorMessage="1" allowBlank="1" errorTitle="Fora da lista" error="Papel: escolha um valor da lista. A planilha pode não reconhecer outro valor." type="list" errorStyle="warning">
      <formula1>'Dados'!$BQ$6:$BQ$12</formula1>
    </dataValidation>
    <dataValidation sqref="H50" showDropDown="0" showInputMessage="0" showErrorMessage="1" allowBlank="1" errorTitle="Texto longo" error="Ocupação: até 120 caracteres." type="textLength" errorStyle="warning" operator="lessThanOrEqual">
      <formula1>120</formula1>
    </dataValidation>
    <dataValidation sqref="A51" showDropDown="0" showInputMessage="0" showErrorMessage="1" allowBlank="1" errorTitle="Texto longo" error="Nome completo: até 80 caracteres." type="textLength" errorStyle="warning" operator="lessThanOrEqual">
      <formula1>80</formula1>
    </dataValidation>
    <dataValidation sqref="B51" showDropDown="0" showInputMessage="0" showErrorMessage="1" allowBlank="1" errorTitle="Fora da lista" error="Raça: escolha um valor da lista. A planilha pode não reconhecer outro valor." type="list" errorStyle="warning">
      <formula1>'Dados'!$AR$6:$AR$12</formula1>
    </dataValidation>
    <dataValidation sqref="D51" showDropDown="0" showInputMessage="0" showErrorMessage="1" allowBlank="1" errorTitle="Fora da lista" error="Caminho: escolha um valor da lista. A planilha pode não reconhecer outro valor." type="list" errorStyle="warning">
      <formula1>'Dados'!$BP$6:$BP$15</formula1>
    </dataValidation>
    <dataValidation sqref="F51" showDropDown="0" showInputMessage="0" showErrorMessage="1" allowBlank="1" errorTitle="Fora da lista" error="Papel: escolha um valor da lista. A planilha pode não reconhecer outro valor." type="list" errorStyle="warning">
      <formula1>'Dados'!$BQ$6:$BQ$12</formula1>
    </dataValidation>
    <dataValidation sqref="H51" showDropDown="0" showInputMessage="0" showErrorMessage="1" allowBlank="1" errorTitle="Texto longo" error="Ocupação: até 120 caracteres." type="textLength" errorStyle="warning" operator="lessThanOrEqual">
      <formula1>120</formula1>
    </dataValidation>
    <dataValidation sqref="A52" showDropDown="0" showInputMessage="0" showErrorMessage="1" allowBlank="1" errorTitle="Texto longo" error="Nome completo: até 80 caracteres." type="textLength" errorStyle="warning" operator="lessThanOrEqual">
      <formula1>80</formula1>
    </dataValidation>
    <dataValidation sqref="B52" showDropDown="0" showInputMessage="0" showErrorMessage="1" allowBlank="1" errorTitle="Fora da lista" error="Raça: escolha um valor da lista. A planilha pode não reconhecer outro valor." type="list" errorStyle="warning">
      <formula1>'Dados'!$AR$6:$AR$12</formula1>
    </dataValidation>
    <dataValidation sqref="D52" showDropDown="0" showInputMessage="0" showErrorMessage="1" allowBlank="1" errorTitle="Fora da lista" error="Caminho: escolha um valor da lista. A planilha pode não reconhecer outro valor." type="list" errorStyle="warning">
      <formula1>'Dados'!$BP$6:$BP$15</formula1>
    </dataValidation>
    <dataValidation sqref="F52" showDropDown="0" showInputMessage="0" showErrorMessage="1" allowBlank="1" errorTitle="Fora da lista" error="Papel: escolha um valor da lista. A planilha pode não reconhecer outro valor." type="list" errorStyle="warning">
      <formula1>'Dados'!$BQ$6:$BQ$12</formula1>
    </dataValidation>
    <dataValidation sqref="H52" showDropDown="0" showInputMessage="0" showErrorMessage="1" allowBlank="1" errorTitle="Texto longo" error="Ocupação: até 120 caracteres." type="textLength" errorStyle="warning" operator="lessThanOrEqual">
      <formula1>120</formula1>
    </dataValidation>
    <dataValidation sqref="A53" showDropDown="0" showInputMessage="0" showErrorMessage="1" allowBlank="1" errorTitle="Texto longo" error="Nome completo: até 80 caracteres." type="textLength" errorStyle="warning" operator="lessThanOrEqual">
      <formula1>80</formula1>
    </dataValidation>
    <dataValidation sqref="B53" showDropDown="0" showInputMessage="0" showErrorMessage="1" allowBlank="1" errorTitle="Fora da lista" error="Raça: escolha um valor da lista. A planilha pode não reconhecer outro valor." type="list" errorStyle="warning">
      <formula1>'Dados'!$AR$6:$AR$12</formula1>
    </dataValidation>
    <dataValidation sqref="D53" showDropDown="0" showInputMessage="0" showErrorMessage="1" allowBlank="1" errorTitle="Fora da lista" error="Caminho: escolha um valor da lista. A planilha pode não reconhecer outro valor." type="list" errorStyle="warning">
      <formula1>'Dados'!$BP$6:$BP$15</formula1>
    </dataValidation>
    <dataValidation sqref="F53" showDropDown="0" showInputMessage="0" showErrorMessage="1" allowBlank="1" errorTitle="Fora da lista" error="Papel: escolha um valor da lista. A planilha pode não reconhecer outro valor." type="list" errorStyle="warning">
      <formula1>'Dados'!$BQ$6:$BQ$12</formula1>
    </dataValidation>
    <dataValidation sqref="H53" showDropDown="0" showInputMessage="0" showErrorMessage="1" allowBlank="1" errorTitle="Texto longo" error="Ocupação: até 120 caracteres." type="textLength" errorStyle="warning" operator="lessThanOrEqual">
      <formula1>120</formula1>
    </dataValidation>
    <dataValidation sqref="A54" showDropDown="0" showInputMessage="0" showErrorMessage="1" allowBlank="1" errorTitle="Texto longo" error="Nome completo: até 80 caracteres." type="textLength" errorStyle="warning" operator="lessThanOrEqual">
      <formula1>80</formula1>
    </dataValidation>
    <dataValidation sqref="B54" showDropDown="0" showInputMessage="0" showErrorMessage="1" allowBlank="1" errorTitle="Fora da lista" error="Raça: escolha um valor da lista. A planilha pode não reconhecer outro valor." type="list" errorStyle="warning">
      <formula1>'Dados'!$AR$6:$AR$12</formula1>
    </dataValidation>
    <dataValidation sqref="D54" showDropDown="0" showInputMessage="0" showErrorMessage="1" allowBlank="1" errorTitle="Fora da lista" error="Caminho: escolha um valor da lista. A planilha pode não reconhecer outro valor." type="list" errorStyle="warning">
      <formula1>'Dados'!$BP$6:$BP$15</formula1>
    </dataValidation>
    <dataValidation sqref="F54" showDropDown="0" showInputMessage="0" showErrorMessage="1" allowBlank="1" errorTitle="Fora da lista" error="Papel: escolha um valor da lista. A planilha pode não reconhecer outro valor." type="list" errorStyle="warning">
      <formula1>'Dados'!$BQ$6:$BQ$12</formula1>
    </dataValidation>
    <dataValidation sqref="H54" showDropDown="0" showInputMessage="0" showErrorMessage="1" allowBlank="1" errorTitle="Texto longo" error="Ocupação: até 120 caracteres." type="textLength" errorStyle="warning" operator="lessThanOrEqual">
      <formula1>120</formula1>
    </dataValidation>
    <dataValidation sqref="A55" showDropDown="0" showInputMessage="0" showErrorMessage="1" allowBlank="1" errorTitle="Texto longo" error="Nome completo: até 80 caracteres." type="textLength" errorStyle="warning" operator="lessThanOrEqual">
      <formula1>80</formula1>
    </dataValidation>
    <dataValidation sqref="B55" showDropDown="0" showInputMessage="0" showErrorMessage="1" allowBlank="1" errorTitle="Fora da lista" error="Raça: escolha um valor da lista. A planilha pode não reconhecer outro valor." type="list" errorStyle="warning">
      <formula1>'Dados'!$AR$6:$AR$12</formula1>
    </dataValidation>
    <dataValidation sqref="D55" showDropDown="0" showInputMessage="0" showErrorMessage="1" allowBlank="1" errorTitle="Fora da lista" error="Caminho: escolha um valor da lista. A planilha pode não reconhecer outro valor." type="list" errorStyle="warning">
      <formula1>'Dados'!$BP$6:$BP$15</formula1>
    </dataValidation>
    <dataValidation sqref="F55" showDropDown="0" showInputMessage="0" showErrorMessage="1" allowBlank="1" errorTitle="Fora da lista" error="Papel: escolha um valor da lista. A planilha pode não reconhecer outro valor." type="list" errorStyle="warning">
      <formula1>'Dados'!$BQ$6:$BQ$12</formula1>
    </dataValidation>
    <dataValidation sqref="H55" showDropDown="0" showInputMessage="0" showErrorMessage="1" allowBlank="1" errorTitle="Texto longo" error="Ocupação: até 120 caracteres." type="textLength" errorStyle="warning" operator="lessThanOrEqual">
      <formula1>120</formula1>
    </dataValidation>
    <dataValidation sqref="A57" showDropDown="0" showInputMessage="0" showErrorMessage="1" allowBlank="1" errorTitle="Texto longo" error="Nome completo: até 80 caracteres." type="textLength" errorStyle="warning" operator="lessThanOrEqual">
      <formula1>80</formula1>
    </dataValidation>
    <dataValidation sqref="B57" showDropDown="0" showInputMessage="0" showErrorMessage="1" allowBlank="1" errorTitle="Fora da lista" error="Raça: escolha um valor da lista. A planilha pode não reconhecer outro valor." type="list" errorStyle="warning">
      <formula1>'Dados'!$AR$6:$AR$12</formula1>
    </dataValidation>
    <dataValidation sqref="D57" showDropDown="0" showInputMessage="0" showErrorMessage="1" allowBlank="1" errorTitle="Fora da lista" error="Caminho: escolha um valor da lista. A planilha pode não reconhecer outro valor." type="list" errorStyle="warning">
      <formula1>'Dados'!$BP$6:$BP$15</formula1>
    </dataValidation>
    <dataValidation sqref="F57" showDropDown="0" showInputMessage="0" showErrorMessage="1" allowBlank="1" errorTitle="Fora da lista" error="Papel: escolha um valor da lista. A planilha pode não reconhecer outro valor." type="list" errorStyle="warning">
      <formula1>'Dados'!$BQ$6:$BQ$12</formula1>
    </dataValidation>
    <dataValidation sqref="H57" showDropDown="0" showInputMessage="0" showErrorMessage="1" allowBlank="1" errorTitle="Texto longo" error="Ocupação: até 120 caracteres." type="textLength" errorStyle="warning" operator="lessThanOrEqual">
      <formula1>120</formula1>
    </dataValidation>
    <dataValidation sqref="A58" showDropDown="0" showInputMessage="0" showErrorMessage="1" allowBlank="1" errorTitle="Texto longo" error="Nome completo: até 80 caracteres." type="textLength" errorStyle="warning" operator="lessThanOrEqual">
      <formula1>80</formula1>
    </dataValidation>
    <dataValidation sqref="B58" showDropDown="0" showInputMessage="0" showErrorMessage="1" allowBlank="1" errorTitle="Fora da lista" error="Raça: escolha um valor da lista. A planilha pode não reconhecer outro valor." type="list" errorStyle="warning">
      <formula1>'Dados'!$AR$6:$AR$12</formula1>
    </dataValidation>
    <dataValidation sqref="D58" showDropDown="0" showInputMessage="0" showErrorMessage="1" allowBlank="1" errorTitle="Fora da lista" error="Caminho: escolha um valor da lista. A planilha pode não reconhecer outro valor." type="list" errorStyle="warning">
      <formula1>'Dados'!$BP$6:$BP$15</formula1>
    </dataValidation>
    <dataValidation sqref="F58" showDropDown="0" showInputMessage="0" showErrorMessage="1" allowBlank="1" errorTitle="Fora da lista" error="Papel: escolha um valor da lista. A planilha pode não reconhecer outro valor." type="list" errorStyle="warning">
      <formula1>'Dados'!$BQ$6:$BQ$12</formula1>
    </dataValidation>
    <dataValidation sqref="H58" showDropDown="0" showInputMessage="0" showErrorMessage="1" allowBlank="1" errorTitle="Texto longo" error="Ocupação: até 120 caracteres." type="textLength" errorStyle="warning" operator="lessThanOrEqual">
      <formula1>120</formula1>
    </dataValidation>
    <dataValidation sqref="A59" showDropDown="0" showInputMessage="0" showErrorMessage="1" allowBlank="1" errorTitle="Texto longo" error="Nome completo: até 80 caracteres." type="textLength" errorStyle="warning" operator="lessThanOrEqual">
      <formula1>80</formula1>
    </dataValidation>
    <dataValidation sqref="B59" showDropDown="0" showInputMessage="0" showErrorMessage="1" allowBlank="1" errorTitle="Fora da lista" error="Raça: escolha um valor da lista. A planilha pode não reconhecer outro valor." type="list" errorStyle="warning">
      <formula1>'Dados'!$AR$6:$AR$12</formula1>
    </dataValidation>
    <dataValidation sqref="D59" showDropDown="0" showInputMessage="0" showErrorMessage="1" allowBlank="1" errorTitle="Fora da lista" error="Caminho: escolha um valor da lista. A planilha pode não reconhecer outro valor." type="list" errorStyle="warning">
      <formula1>'Dados'!$BP$6:$BP$15</formula1>
    </dataValidation>
    <dataValidation sqref="F59" showDropDown="0" showInputMessage="0" showErrorMessage="1" allowBlank="1" errorTitle="Fora da lista" error="Papel: escolha um valor da lista. A planilha pode não reconhecer outro valor." type="list" errorStyle="warning">
      <formula1>'Dados'!$BQ$6:$BQ$12</formula1>
    </dataValidation>
    <dataValidation sqref="H59" showDropDown="0" showInputMessage="0" showErrorMessage="1" allowBlank="1" errorTitle="Texto longo" error="Ocupação: até 120 caracteres." type="textLength" errorStyle="warning" operator="lessThanOrEqual">
      <formula1>120</formula1>
    </dataValidation>
    <dataValidation sqref="A60" showDropDown="0" showInputMessage="0" showErrorMessage="1" allowBlank="1" errorTitle="Texto longo" error="Nome completo: até 80 caracteres." type="textLength" errorStyle="warning" operator="lessThanOrEqual">
      <formula1>80</formula1>
    </dataValidation>
    <dataValidation sqref="B60" showDropDown="0" showInputMessage="0" showErrorMessage="1" allowBlank="1" errorTitle="Fora da lista" error="Raça: escolha um valor da lista. A planilha pode não reconhecer outro valor." type="list" errorStyle="warning">
      <formula1>'Dados'!$AR$6:$AR$12</formula1>
    </dataValidation>
    <dataValidation sqref="D60" showDropDown="0" showInputMessage="0" showErrorMessage="1" allowBlank="1" errorTitle="Fora da lista" error="Caminho: escolha um valor da lista. A planilha pode não reconhecer outro valor." type="list" errorStyle="warning">
      <formula1>'Dados'!$BP$6:$BP$15</formula1>
    </dataValidation>
    <dataValidation sqref="F60" showDropDown="0" showInputMessage="0" showErrorMessage="1" allowBlank="1" errorTitle="Fora da lista" error="Papel: escolha um valor da lista. A planilha pode não reconhecer outro valor." type="list" errorStyle="warning">
      <formula1>'Dados'!$BQ$6:$BQ$12</formula1>
    </dataValidation>
    <dataValidation sqref="H60" showDropDown="0" showInputMessage="0" showErrorMessage="1" allowBlank="1" errorTitle="Texto longo" error="Ocupação: até 120 caracteres." type="textLength" errorStyle="warning" operator="lessThanOrEqual">
      <formula1>120</formula1>
    </dataValidation>
    <dataValidation sqref="A61" showDropDown="0" showInputMessage="0" showErrorMessage="1" allowBlank="1" errorTitle="Texto longo" error="Nome completo: até 80 caracteres." type="textLength" errorStyle="warning" operator="lessThanOrEqual">
      <formula1>80</formula1>
    </dataValidation>
    <dataValidation sqref="B61" showDropDown="0" showInputMessage="0" showErrorMessage="1" allowBlank="1" errorTitle="Fora da lista" error="Raça: escolha um valor da lista. A planilha pode não reconhecer outro valor." type="list" errorStyle="warning">
      <formula1>'Dados'!$AR$6:$AR$12</formula1>
    </dataValidation>
    <dataValidation sqref="D61" showDropDown="0" showInputMessage="0" showErrorMessage="1" allowBlank="1" errorTitle="Fora da lista" error="Caminho: escolha um valor da lista. A planilha pode não reconhecer outro valor." type="list" errorStyle="warning">
      <formula1>'Dados'!$BP$6:$BP$15</formula1>
    </dataValidation>
    <dataValidation sqref="F61" showDropDown="0" showInputMessage="0" showErrorMessage="1" allowBlank="1" errorTitle="Fora da lista" error="Papel: escolha um valor da lista. A planilha pode não reconhecer outro valor." type="list" errorStyle="warning">
      <formula1>'Dados'!$BQ$6:$BQ$12</formula1>
    </dataValidation>
    <dataValidation sqref="H61" showDropDown="0" showInputMessage="0" showErrorMessage="1" allowBlank="1" errorTitle="Texto longo" error="Ocupação: até 120 caracteres." type="textLength" errorStyle="warning" operator="lessThanOrEqual">
      <formula1>120</formula1>
    </dataValidation>
    <dataValidation sqref="A62" showDropDown="0" showInputMessage="0" showErrorMessage="1" allowBlank="1" errorTitle="Texto longo" error="Nome completo: até 80 caracteres." type="textLength" errorStyle="warning" operator="lessThanOrEqual">
      <formula1>80</formula1>
    </dataValidation>
    <dataValidation sqref="B62" showDropDown="0" showInputMessage="0" showErrorMessage="1" allowBlank="1" errorTitle="Fora da lista" error="Raça: escolha um valor da lista. A planilha pode não reconhecer outro valor." type="list" errorStyle="warning">
      <formula1>'Dados'!$AR$6:$AR$12</formula1>
    </dataValidation>
    <dataValidation sqref="D62" showDropDown="0" showInputMessage="0" showErrorMessage="1" allowBlank="1" errorTitle="Fora da lista" error="Caminho: escolha um valor da lista. A planilha pode não reconhecer outro valor." type="list" errorStyle="warning">
      <formula1>'Dados'!$BP$6:$BP$15</formula1>
    </dataValidation>
    <dataValidation sqref="F62" showDropDown="0" showInputMessage="0" showErrorMessage="1" allowBlank="1" errorTitle="Fora da lista" error="Papel: escolha um valor da lista. A planilha pode não reconhecer outro valor." type="list" errorStyle="warning">
      <formula1>'Dados'!$BQ$6:$BQ$12</formula1>
    </dataValidation>
    <dataValidation sqref="H62" showDropDown="0" showInputMessage="0" showErrorMessage="1" allowBlank="1" errorTitle="Texto longo" error="Ocupação: até 120 caracteres." type="textLength" errorStyle="warning" operator="lessThanOrEqual">
      <formula1>120</formula1>
    </dataValidation>
    <dataValidation sqref="A63" showDropDown="0" showInputMessage="0" showErrorMessage="1" allowBlank="1" errorTitle="Texto longo" error="Nome completo: até 80 caracteres." type="textLength" errorStyle="warning" operator="lessThanOrEqual">
      <formula1>80</formula1>
    </dataValidation>
    <dataValidation sqref="B63" showDropDown="0" showInputMessage="0" showErrorMessage="1" allowBlank="1" errorTitle="Fora da lista" error="Raça: escolha um valor da lista. A planilha pode não reconhecer outro valor." type="list" errorStyle="warning">
      <formula1>'Dados'!$AR$6:$AR$12</formula1>
    </dataValidation>
    <dataValidation sqref="D63" showDropDown="0" showInputMessage="0" showErrorMessage="1" allowBlank="1" errorTitle="Fora da lista" error="Caminho: escolha um valor da lista. A planilha pode não reconhecer outro valor." type="list" errorStyle="warning">
      <formula1>'Dados'!$BP$6:$BP$15</formula1>
    </dataValidation>
    <dataValidation sqref="F63" showDropDown="0" showInputMessage="0" showErrorMessage="1" allowBlank="1" errorTitle="Fora da lista" error="Papel: escolha um valor da lista. A planilha pode não reconhecer outro valor." type="list" errorStyle="warning">
      <formula1>'Dados'!$BQ$6:$BQ$12</formula1>
    </dataValidation>
    <dataValidation sqref="H63" showDropDown="0" showInputMessage="0" showErrorMessage="1" allowBlank="1" errorTitle="Texto longo" error="Ocupação: até 120 caracteres." type="textLength" errorStyle="warning" operator="lessThanOrEqual">
      <formula1>120</formula1>
    </dataValidation>
    <dataValidation sqref="A64" showDropDown="0" showInputMessage="0" showErrorMessage="1" allowBlank="1" errorTitle="Texto longo" error="Nome completo: até 80 caracteres." type="textLength" errorStyle="warning" operator="lessThanOrEqual">
      <formula1>80</formula1>
    </dataValidation>
    <dataValidation sqref="B64" showDropDown="0" showInputMessage="0" showErrorMessage="1" allowBlank="1" errorTitle="Fora da lista" error="Raça: escolha um valor da lista. A planilha pode não reconhecer outro valor." type="list" errorStyle="warning">
      <formula1>'Dados'!$AR$6:$AR$12</formula1>
    </dataValidation>
    <dataValidation sqref="D64" showDropDown="0" showInputMessage="0" showErrorMessage="1" allowBlank="1" errorTitle="Fora da lista" error="Caminho: escolha um valor da lista. A planilha pode não reconhecer outro valor." type="list" errorStyle="warning">
      <formula1>'Dados'!$BP$6:$BP$15</formula1>
    </dataValidation>
    <dataValidation sqref="F64" showDropDown="0" showInputMessage="0" showErrorMessage="1" allowBlank="1" errorTitle="Fora da lista" error="Papel: escolha um valor da lista. A planilha pode não reconhecer outro valor." type="list" errorStyle="warning">
      <formula1>'Dados'!$BQ$6:$BQ$12</formula1>
    </dataValidation>
    <dataValidation sqref="H64" showDropDown="0" showInputMessage="0" showErrorMessage="1" allowBlank="1" errorTitle="Texto longo" error="Ocupação: até 120 caracteres." type="textLength" errorStyle="warning" operator="lessThanOrEqual">
      <formula1>120</formula1>
    </dataValidation>
    <dataValidation sqref="A65" showDropDown="0" showInputMessage="0" showErrorMessage="1" allowBlank="1" errorTitle="Texto longo" error="Nome completo: até 80 caracteres." type="textLength" errorStyle="warning" operator="lessThanOrEqual">
      <formula1>80</formula1>
    </dataValidation>
    <dataValidation sqref="B65" showDropDown="0" showInputMessage="0" showErrorMessage="1" allowBlank="1" errorTitle="Fora da lista" error="Raça: escolha um valor da lista. A planilha pode não reconhecer outro valor." type="list" errorStyle="warning">
      <formula1>'Dados'!$AR$6:$AR$12</formula1>
    </dataValidation>
    <dataValidation sqref="D65" showDropDown="0" showInputMessage="0" showErrorMessage="1" allowBlank="1" errorTitle="Fora da lista" error="Caminho: escolha um valor da lista. A planilha pode não reconhecer outro valor." type="list" errorStyle="warning">
      <formula1>'Dados'!$BP$6:$BP$15</formula1>
    </dataValidation>
    <dataValidation sqref="F65" showDropDown="0" showInputMessage="0" showErrorMessage="1" allowBlank="1" errorTitle="Fora da lista" error="Papel: escolha um valor da lista. A planilha pode não reconhecer outro valor." type="list" errorStyle="warning">
      <formula1>'Dados'!$BQ$6:$BQ$12</formula1>
    </dataValidation>
    <dataValidation sqref="H65" showDropDown="0" showInputMessage="0" showErrorMessage="1" allowBlank="1" errorTitle="Texto longo" error="Ocupação: até 120 caracteres." type="textLength" errorStyle="warning" operator="lessThanOrEqual">
      <formula1>120</formula1>
    </dataValidation>
    <dataValidation sqref="A66" showDropDown="0" showInputMessage="0" showErrorMessage="1" allowBlank="1" errorTitle="Texto longo" error="Nome completo: até 80 caracteres." type="textLength" errorStyle="warning" operator="lessThanOrEqual">
      <formula1>80</formula1>
    </dataValidation>
    <dataValidation sqref="B66" showDropDown="0" showInputMessage="0" showErrorMessage="1" allowBlank="1" errorTitle="Fora da lista" error="Raça: escolha um valor da lista. A planilha pode não reconhecer outro valor." type="list" errorStyle="warning">
      <formula1>'Dados'!$AR$6:$AR$12</formula1>
    </dataValidation>
    <dataValidation sqref="D66" showDropDown="0" showInputMessage="0" showErrorMessage="1" allowBlank="1" errorTitle="Fora da lista" error="Caminho: escolha um valor da lista. A planilha pode não reconhecer outro valor." type="list" errorStyle="warning">
      <formula1>'Dados'!$BP$6:$BP$15</formula1>
    </dataValidation>
    <dataValidation sqref="F66" showDropDown="0" showInputMessage="0" showErrorMessage="1" allowBlank="1" errorTitle="Fora da lista" error="Papel: escolha um valor da lista. A planilha pode não reconhecer outro valor." type="list" errorStyle="warning">
      <formula1>'Dados'!$BQ$6:$BQ$12</formula1>
    </dataValidation>
    <dataValidation sqref="H66" showDropDown="0" showInputMessage="0" showErrorMessage="1" allowBlank="1" errorTitle="Texto longo" error="Ocupação: até 120 caracteres." type="textLength" errorStyle="warning" operator="lessThanOrEqual">
      <formula1>120</formula1>
    </dataValidation>
    <dataValidation sqref="A68" showDropDown="0" showInputMessage="0" showErrorMessage="1" allowBlank="1" errorTitle="Texto longo" error="Nome completo: até 80 caracteres." type="textLength" errorStyle="warning" operator="lessThanOrEqual">
      <formula1>80</formula1>
    </dataValidation>
    <dataValidation sqref="B68" showDropDown="0" showInputMessage="0" showErrorMessage="1" allowBlank="1" errorTitle="Fora da lista" error="Raça: escolha um valor da lista. A planilha pode não reconhecer outro valor." type="list" errorStyle="warning">
      <formula1>'Dados'!$AR$6:$AR$12</formula1>
    </dataValidation>
    <dataValidation sqref="D68" showDropDown="0" showInputMessage="0" showErrorMessage="1" allowBlank="1" errorTitle="Fora da lista" error="Caminho: escolha um valor da lista. A planilha pode não reconhecer outro valor." type="list" errorStyle="warning">
      <formula1>'Dados'!$BP$6:$BP$15</formula1>
    </dataValidation>
    <dataValidation sqref="F68" showDropDown="0" showInputMessage="0" showErrorMessage="1" allowBlank="1" errorTitle="Fora da lista" error="Papel: escolha um valor da lista. A planilha pode não reconhecer outro valor." type="list" errorStyle="warning">
      <formula1>'Dados'!$BQ$6:$BQ$12</formula1>
    </dataValidation>
    <dataValidation sqref="H68" showDropDown="0" showInputMessage="0" showErrorMessage="1" allowBlank="1" errorTitle="Texto longo" error="Ocupação: até 120 caracteres." type="textLength" errorStyle="warning" operator="lessThanOrEqual">
      <formula1>120</formula1>
    </dataValidation>
    <dataValidation sqref="A69" showDropDown="0" showInputMessage="0" showErrorMessage="1" allowBlank="1" errorTitle="Texto longo" error="Nome completo: até 80 caracteres." type="textLength" errorStyle="warning" operator="lessThanOrEqual">
      <formula1>80</formula1>
    </dataValidation>
    <dataValidation sqref="B69" showDropDown="0" showInputMessage="0" showErrorMessage="1" allowBlank="1" errorTitle="Fora da lista" error="Raça: escolha um valor da lista. A planilha pode não reconhecer outro valor." type="list" errorStyle="warning">
      <formula1>'Dados'!$AR$6:$AR$12</formula1>
    </dataValidation>
    <dataValidation sqref="D69" showDropDown="0" showInputMessage="0" showErrorMessage="1" allowBlank="1" errorTitle="Fora da lista" error="Caminho: escolha um valor da lista. A planilha pode não reconhecer outro valor." type="list" errorStyle="warning">
      <formula1>'Dados'!$BP$6:$BP$15</formula1>
    </dataValidation>
    <dataValidation sqref="F69" showDropDown="0" showInputMessage="0" showErrorMessage="1" allowBlank="1" errorTitle="Fora da lista" error="Papel: escolha um valor da lista. A planilha pode não reconhecer outro valor." type="list" errorStyle="warning">
      <formula1>'Dados'!$BQ$6:$BQ$12</formula1>
    </dataValidation>
    <dataValidation sqref="H69" showDropDown="0" showInputMessage="0" showErrorMessage="1" allowBlank="1" errorTitle="Texto longo" error="Ocupação: até 120 caracteres." type="textLength" errorStyle="warning" operator="lessThanOrEqual">
      <formula1>120</formula1>
    </dataValidation>
    <dataValidation sqref="A70" showDropDown="0" showInputMessage="0" showErrorMessage="1" allowBlank="1" errorTitle="Texto longo" error="Nome completo: até 80 caracteres." type="textLength" errorStyle="warning" operator="lessThanOrEqual">
      <formula1>80</formula1>
    </dataValidation>
    <dataValidation sqref="B70" showDropDown="0" showInputMessage="0" showErrorMessage="1" allowBlank="1" errorTitle="Fora da lista" error="Raça: escolha um valor da lista. A planilha pode não reconhecer outro valor." type="list" errorStyle="warning">
      <formula1>'Dados'!$AR$6:$AR$12</formula1>
    </dataValidation>
    <dataValidation sqref="D70" showDropDown="0" showInputMessage="0" showErrorMessage="1" allowBlank="1" errorTitle="Fora da lista" error="Caminho: escolha um valor da lista. A planilha pode não reconhecer outro valor." type="list" errorStyle="warning">
      <formula1>'Dados'!$BP$6:$BP$15</formula1>
    </dataValidation>
    <dataValidation sqref="F70" showDropDown="0" showInputMessage="0" showErrorMessage="1" allowBlank="1" errorTitle="Fora da lista" error="Papel: escolha um valor da lista. A planilha pode não reconhecer outro valor." type="list" errorStyle="warning">
      <formula1>'Dados'!$BQ$6:$BQ$12</formula1>
    </dataValidation>
    <dataValidation sqref="H70" showDropDown="0" showInputMessage="0" showErrorMessage="1" allowBlank="1" errorTitle="Texto longo" error="Ocupação: até 120 caracteres." type="textLength" errorStyle="warning" operator="lessThanOrEqual">
      <formula1>120</formula1>
    </dataValidation>
    <dataValidation sqref="A71" showDropDown="0" showInputMessage="0" showErrorMessage="1" allowBlank="1" errorTitle="Texto longo" error="Nome completo: até 80 caracteres." type="textLength" errorStyle="warning" operator="lessThanOrEqual">
      <formula1>80</formula1>
    </dataValidation>
    <dataValidation sqref="B71" showDropDown="0" showInputMessage="0" showErrorMessage="1" allowBlank="1" errorTitle="Fora da lista" error="Raça: escolha um valor da lista. A planilha pode não reconhecer outro valor." type="list" errorStyle="warning">
      <formula1>'Dados'!$AR$6:$AR$12</formula1>
    </dataValidation>
    <dataValidation sqref="D71" showDropDown="0" showInputMessage="0" showErrorMessage="1" allowBlank="1" errorTitle="Fora da lista" error="Caminho: escolha um valor da lista. A planilha pode não reconhecer outro valor." type="list" errorStyle="warning">
      <formula1>'Dados'!$BP$6:$BP$15</formula1>
    </dataValidation>
    <dataValidation sqref="F71" showDropDown="0" showInputMessage="0" showErrorMessage="1" allowBlank="1" errorTitle="Fora da lista" error="Papel: escolha um valor da lista. A planilha pode não reconhecer outro valor." type="list" errorStyle="warning">
      <formula1>'Dados'!$BQ$6:$BQ$12</formula1>
    </dataValidation>
    <dataValidation sqref="H71" showDropDown="0" showInputMessage="0" showErrorMessage="1" allowBlank="1" errorTitle="Texto longo" error="Ocupação: até 120 caracteres." type="textLength" errorStyle="warning" operator="lessThanOrEqual">
      <formula1>120</formula1>
    </dataValidation>
    <dataValidation sqref="A72" showDropDown="0" showInputMessage="0" showErrorMessage="1" allowBlank="1" errorTitle="Texto longo" error="Nome completo: até 80 caracteres." type="textLength" errorStyle="warning" operator="lessThanOrEqual">
      <formula1>80</formula1>
    </dataValidation>
    <dataValidation sqref="B72" showDropDown="0" showInputMessage="0" showErrorMessage="1" allowBlank="1" errorTitle="Fora da lista" error="Raça: escolha um valor da lista. A planilha pode não reconhecer outro valor." type="list" errorStyle="warning">
      <formula1>'Dados'!$AR$6:$AR$12</formula1>
    </dataValidation>
    <dataValidation sqref="D72" showDropDown="0" showInputMessage="0" showErrorMessage="1" allowBlank="1" errorTitle="Fora da lista" error="Caminho: escolha um valor da lista. A planilha pode não reconhecer outro valor." type="list" errorStyle="warning">
      <formula1>'Dados'!$BP$6:$BP$15</formula1>
    </dataValidation>
    <dataValidation sqref="F72" showDropDown="0" showInputMessage="0" showErrorMessage="1" allowBlank="1" errorTitle="Fora da lista" error="Papel: escolha um valor da lista. A planilha pode não reconhecer outro valor." type="list" errorStyle="warning">
      <formula1>'Dados'!$BQ$6:$BQ$12</formula1>
    </dataValidation>
    <dataValidation sqref="H72" showDropDown="0" showInputMessage="0" showErrorMessage="1" allowBlank="1" errorTitle="Texto longo" error="Ocupação: até 120 caracteres." type="textLength" errorStyle="warning" operator="lessThanOrEqual">
      <formula1>120</formula1>
    </dataValidation>
    <dataValidation sqref="A73" showDropDown="0" showInputMessage="0" showErrorMessage="1" allowBlank="1" errorTitle="Texto longo" error="Nome completo: até 80 caracteres." type="textLength" errorStyle="warning" operator="lessThanOrEqual">
      <formula1>80</formula1>
    </dataValidation>
    <dataValidation sqref="B73" showDropDown="0" showInputMessage="0" showErrorMessage="1" allowBlank="1" errorTitle="Fora da lista" error="Raça: escolha um valor da lista. A planilha pode não reconhecer outro valor." type="list" errorStyle="warning">
      <formula1>'Dados'!$AR$6:$AR$12</formula1>
    </dataValidation>
    <dataValidation sqref="D73" showDropDown="0" showInputMessage="0" showErrorMessage="1" allowBlank="1" errorTitle="Fora da lista" error="Caminho: escolha um valor da lista. A planilha pode não reconhecer outro valor." type="list" errorStyle="warning">
      <formula1>'Dados'!$BP$6:$BP$15</formula1>
    </dataValidation>
    <dataValidation sqref="F73" showDropDown="0" showInputMessage="0" showErrorMessage="1" allowBlank="1" errorTitle="Fora da lista" error="Papel: escolha um valor da lista. A planilha pode não reconhecer outro valor." type="list" errorStyle="warning">
      <formula1>'Dados'!$BQ$6:$BQ$12</formula1>
    </dataValidation>
    <dataValidation sqref="H73" showDropDown="0" showInputMessage="0" showErrorMessage="1" allowBlank="1" errorTitle="Texto longo" error="Ocupação: até 120 caracteres." type="textLength" errorStyle="warning" operator="lessThanOrEqual">
      <formula1>120</formula1>
    </dataValidation>
    <dataValidation sqref="A74" showDropDown="0" showInputMessage="0" showErrorMessage="1" allowBlank="1" errorTitle="Texto longo" error="Nome completo: até 80 caracteres." type="textLength" errorStyle="warning" operator="lessThanOrEqual">
      <formula1>80</formula1>
    </dataValidation>
    <dataValidation sqref="B74" showDropDown="0" showInputMessage="0" showErrorMessage="1" allowBlank="1" errorTitle="Fora da lista" error="Raça: escolha um valor da lista. A planilha pode não reconhecer outro valor." type="list" errorStyle="warning">
      <formula1>'Dados'!$AR$6:$AR$12</formula1>
    </dataValidation>
    <dataValidation sqref="D74" showDropDown="0" showInputMessage="0" showErrorMessage="1" allowBlank="1" errorTitle="Fora da lista" error="Caminho: escolha um valor da lista. A planilha pode não reconhecer outro valor." type="list" errorStyle="warning">
      <formula1>'Dados'!$BP$6:$BP$15</formula1>
    </dataValidation>
    <dataValidation sqref="F74" showDropDown="0" showInputMessage="0" showErrorMessage="1" allowBlank="1" errorTitle="Fora da lista" error="Papel: escolha um valor da lista. A planilha pode não reconhecer outro valor." type="list" errorStyle="warning">
      <formula1>'Dados'!$BQ$6:$BQ$12</formula1>
    </dataValidation>
    <dataValidation sqref="H74" showDropDown="0" showInputMessage="0" showErrorMessage="1" allowBlank="1" errorTitle="Texto longo" error="Ocupação: até 120 caracteres." type="textLength" errorStyle="warning" operator="lessThanOrEqual">
      <formula1>120</formula1>
    </dataValidation>
    <dataValidation sqref="A75" showDropDown="0" showInputMessage="0" showErrorMessage="1" allowBlank="1" errorTitle="Texto longo" error="Nome completo: até 80 caracteres." type="textLength" errorStyle="warning" operator="lessThanOrEqual">
      <formula1>80</formula1>
    </dataValidation>
    <dataValidation sqref="B75" showDropDown="0" showInputMessage="0" showErrorMessage="1" allowBlank="1" errorTitle="Fora da lista" error="Raça: escolha um valor da lista. A planilha pode não reconhecer outro valor." type="list" errorStyle="warning">
      <formula1>'Dados'!$AR$6:$AR$12</formula1>
    </dataValidation>
    <dataValidation sqref="D75" showDropDown="0" showInputMessage="0" showErrorMessage="1" allowBlank="1" errorTitle="Fora da lista" error="Caminho: escolha um valor da lista. A planilha pode não reconhecer outro valor." type="list" errorStyle="warning">
      <formula1>'Dados'!$BP$6:$BP$15</formula1>
    </dataValidation>
    <dataValidation sqref="F75" showDropDown="0" showInputMessage="0" showErrorMessage="1" allowBlank="1" errorTitle="Fora da lista" error="Papel: escolha um valor da lista. A planilha pode não reconhecer outro valor." type="list" errorStyle="warning">
      <formula1>'Dados'!$BQ$6:$BQ$12</formula1>
    </dataValidation>
    <dataValidation sqref="H75" showDropDown="0" showInputMessage="0" showErrorMessage="1" allowBlank="1" errorTitle="Texto longo" error="Ocupação: até 120 caracteres." type="textLength" errorStyle="warning" operator="lessThanOrEqual">
      <formula1>120</formula1>
    </dataValidation>
    <dataValidation sqref="A76" showDropDown="0" showInputMessage="0" showErrorMessage="1" allowBlank="1" errorTitle="Texto longo" error="Nome completo: até 80 caracteres." type="textLength" errorStyle="warning" operator="lessThanOrEqual">
      <formula1>80</formula1>
    </dataValidation>
    <dataValidation sqref="B76" showDropDown="0" showInputMessage="0" showErrorMessage="1" allowBlank="1" errorTitle="Fora da lista" error="Raça: escolha um valor da lista. A planilha pode não reconhecer outro valor." type="list" errorStyle="warning">
      <formula1>'Dados'!$AR$6:$AR$12</formula1>
    </dataValidation>
    <dataValidation sqref="D76" showDropDown="0" showInputMessage="0" showErrorMessage="1" allowBlank="1" errorTitle="Fora da lista" error="Caminho: escolha um valor da lista. A planilha pode não reconhecer outro valor." type="list" errorStyle="warning">
      <formula1>'Dados'!$BP$6:$BP$15</formula1>
    </dataValidation>
    <dataValidation sqref="F76" showDropDown="0" showInputMessage="0" showErrorMessage="1" allowBlank="1" errorTitle="Fora da lista" error="Papel: escolha um valor da lista. A planilha pode não reconhecer outro valor." type="list" errorStyle="warning">
      <formula1>'Dados'!$BQ$6:$BQ$12</formula1>
    </dataValidation>
    <dataValidation sqref="H76" showDropDown="0" showInputMessage="0" showErrorMessage="1" allowBlank="1" errorTitle="Texto longo" error="Ocupação: até 120 caracteres." type="textLength" errorStyle="warning" operator="lessThanOrEqual">
      <formula1>120</formula1>
    </dataValidation>
    <dataValidation sqref="A77" showDropDown="0" showInputMessage="0" showErrorMessage="1" allowBlank="1" errorTitle="Texto longo" error="Nome completo: até 80 caracteres." type="textLength" errorStyle="warning" operator="lessThanOrEqual">
      <formula1>80</formula1>
    </dataValidation>
    <dataValidation sqref="B77" showDropDown="0" showInputMessage="0" showErrorMessage="1" allowBlank="1" errorTitle="Fora da lista" error="Raça: escolha um valor da lista. A planilha pode não reconhecer outro valor." type="list" errorStyle="warning">
      <formula1>'Dados'!$AR$6:$AR$12</formula1>
    </dataValidation>
    <dataValidation sqref="D77" showDropDown="0" showInputMessage="0" showErrorMessage="1" allowBlank="1" errorTitle="Fora da lista" error="Caminho: escolha um valor da lista. A planilha pode não reconhecer outro valor." type="list" errorStyle="warning">
      <formula1>'Dados'!$BP$6:$BP$15</formula1>
    </dataValidation>
    <dataValidation sqref="F77" showDropDown="0" showInputMessage="0" showErrorMessage="1" allowBlank="1" errorTitle="Fora da lista" error="Papel: escolha um valor da lista. A planilha pode não reconhecer outro valor." type="list" errorStyle="warning">
      <formula1>'Dados'!$BQ$6:$BQ$12</formula1>
    </dataValidation>
    <dataValidation sqref="H77" showDropDown="0" showInputMessage="0" showErrorMessage="1" allowBlank="1" errorTitle="Texto longo" error="Ocupação: até 120 caracteres." type="textLength" errorStyle="warning" operator="lessThanOrEqual">
      <formula1>120</formula1>
    </dataValidation>
    <dataValidation sqref="B80" showDropDown="0" showInputMessage="0" showErrorMessage="1" allowBlank="1" errorTitle="Texto longo" error="Aparência: até 200 caracteres." type="textLength" errorStyle="warning" operator="lessThanOrEqual">
      <formula1>200</formula1>
    </dataValidation>
    <dataValidation sqref="F80" showDropDown="0" showInputMessage="0" showErrorMessage="1" allowBlank="1" errorTitle="Texto longo" error="Personalidade: até 200 caracteres." type="textLength" errorStyle="warning" operator="lessThanOrEqual">
      <formula1>200</formula1>
    </dataValidation>
    <dataValidation sqref="B81" showDropDown="0" showInputMessage="0" showErrorMessage="1" allowBlank="1" errorTitle="Texto longo" error="Aparência: até 200 caracteres." type="textLength" errorStyle="warning" operator="lessThanOrEqual">
      <formula1>200</formula1>
    </dataValidation>
    <dataValidation sqref="F81" showDropDown="0" showInputMessage="0" showErrorMessage="1" allowBlank="1" errorTitle="Texto longo" error="Personalidade: até 200 caracteres." type="textLength" errorStyle="warning" operator="lessThanOrEqual">
      <formula1>200</formula1>
    </dataValidation>
    <dataValidation sqref="B82" showDropDown="0" showInputMessage="0" showErrorMessage="1" allowBlank="1" errorTitle="Texto longo" error="Aparência: até 200 caracteres." type="textLength" errorStyle="warning" operator="lessThanOrEqual">
      <formula1>200</formula1>
    </dataValidation>
    <dataValidation sqref="F82" showDropDown="0" showInputMessage="0" showErrorMessage="1" allowBlank="1" errorTitle="Texto longo" error="Personalidade: até 200 caracteres." type="textLength" errorStyle="warning" operator="lessThanOrEqual">
      <formula1>200</formula1>
    </dataValidation>
    <dataValidation sqref="B83" showDropDown="0" showInputMessage="0" showErrorMessage="1" allowBlank="1" errorTitle="Texto longo" error="Aparência: até 200 caracteres." type="textLength" errorStyle="warning" operator="lessThanOrEqual">
      <formula1>200</formula1>
    </dataValidation>
    <dataValidation sqref="F83" showDropDown="0" showInputMessage="0" showErrorMessage="1" allowBlank="1" errorTitle="Texto longo" error="Personalidade: até 200 caracteres." type="textLength" errorStyle="warning" operator="lessThanOrEqual">
      <formula1>200</formula1>
    </dataValidation>
    <dataValidation sqref="B84" showDropDown="0" showInputMessage="0" showErrorMessage="1" allowBlank="1" errorTitle="Texto longo" error="Aparência: até 200 caracteres." type="textLength" errorStyle="warning" operator="lessThanOrEqual">
      <formula1>200</formula1>
    </dataValidation>
    <dataValidation sqref="F84" showDropDown="0" showInputMessage="0" showErrorMessage="1" allowBlank="1" errorTitle="Texto longo" error="Personalidade: até 200 caracteres." type="textLength" errorStyle="warning" operator="lessThanOrEqual">
      <formula1>200</formula1>
    </dataValidation>
    <dataValidation sqref="B85" showDropDown="0" showInputMessage="0" showErrorMessage="1" allowBlank="1" errorTitle="Texto longo" error="Aparência: até 200 caracteres." type="textLength" errorStyle="warning" operator="lessThanOrEqual">
      <formula1>200</formula1>
    </dataValidation>
    <dataValidation sqref="F85" showDropDown="0" showInputMessage="0" showErrorMessage="1" allowBlank="1" errorTitle="Texto longo" error="Personalidade: até 200 caracteres." type="textLength" errorStyle="warning" operator="lessThanOrEqual">
      <formula1>200</formula1>
    </dataValidation>
    <dataValidation sqref="B86" showDropDown="0" showInputMessage="0" showErrorMessage="1" allowBlank="1" errorTitle="Texto longo" error="Aparência: até 200 caracteres." type="textLength" errorStyle="warning" operator="lessThanOrEqual">
      <formula1>200</formula1>
    </dataValidation>
    <dataValidation sqref="F86" showDropDown="0" showInputMessage="0" showErrorMessage="1" allowBlank="1" errorTitle="Texto longo" error="Personalidade: até 200 caracteres." type="textLength" errorStyle="warning" operator="lessThanOrEqual">
      <formula1>200</formula1>
    </dataValidation>
    <dataValidation sqref="B87" showDropDown="0" showInputMessage="0" showErrorMessage="1" allowBlank="1" errorTitle="Texto longo" error="Aparência: até 200 caracteres." type="textLength" errorStyle="warning" operator="lessThanOrEqual">
      <formula1>200</formula1>
    </dataValidation>
    <dataValidation sqref="F87" showDropDown="0" showInputMessage="0" showErrorMessage="1" allowBlank="1" errorTitle="Texto longo" error="Personalidade: até 200 caracteres." type="textLength" errorStyle="warning" operator="lessThanOrEqual">
      <formula1>200</formula1>
    </dataValidation>
    <dataValidation sqref="B88" showDropDown="0" showInputMessage="0" showErrorMessage="1" allowBlank="1" errorTitle="Texto longo" error="Aparência: até 200 caracteres." type="textLength" errorStyle="warning" operator="lessThanOrEqual">
      <formula1>200</formula1>
    </dataValidation>
    <dataValidation sqref="F88" showDropDown="0" showInputMessage="0" showErrorMessage="1" allowBlank="1" errorTitle="Texto longo" error="Personalidade: até 200 caracteres." type="textLength" errorStyle="warning" operator="lessThanOrEqual">
      <formula1>200</formula1>
    </dataValidation>
    <dataValidation sqref="B89" showDropDown="0" showInputMessage="0" showErrorMessage="1" allowBlank="1" errorTitle="Texto longo" error="Aparência: até 200 caracteres." type="textLength" errorStyle="warning" operator="lessThanOrEqual">
      <formula1>200</formula1>
    </dataValidation>
    <dataValidation sqref="F89" showDropDown="0" showInputMessage="0" showErrorMessage="1" allowBlank="1" errorTitle="Texto longo" error="Personalidade: até 200 caracteres." type="textLength" errorStyle="warning" operator="lessThanOrEqual">
      <formula1>200</formula1>
    </dataValidation>
    <dataValidation sqref="B91" showDropDown="0" showInputMessage="0" showErrorMessage="1" allowBlank="1" errorTitle="Texto longo" error="Aparência: até 200 caracteres." type="textLength" errorStyle="warning" operator="lessThanOrEqual">
      <formula1>200</formula1>
    </dataValidation>
    <dataValidation sqref="F91" showDropDown="0" showInputMessage="0" showErrorMessage="1" allowBlank="1" errorTitle="Texto longo" error="Personalidade: até 200 caracteres." type="textLength" errorStyle="warning" operator="lessThanOrEqual">
      <formula1>200</formula1>
    </dataValidation>
    <dataValidation sqref="B92" showDropDown="0" showInputMessage="0" showErrorMessage="1" allowBlank="1" errorTitle="Texto longo" error="Aparência: até 200 caracteres." type="textLength" errorStyle="warning" operator="lessThanOrEqual">
      <formula1>200</formula1>
    </dataValidation>
    <dataValidation sqref="F92" showDropDown="0" showInputMessage="0" showErrorMessage="1" allowBlank="1" errorTitle="Texto longo" error="Personalidade: até 200 caracteres." type="textLength" errorStyle="warning" operator="lessThanOrEqual">
      <formula1>200</formula1>
    </dataValidation>
    <dataValidation sqref="B93" showDropDown="0" showInputMessage="0" showErrorMessage="1" allowBlank="1" errorTitle="Texto longo" error="Aparência: até 200 caracteres." type="textLength" errorStyle="warning" operator="lessThanOrEqual">
      <formula1>200</formula1>
    </dataValidation>
    <dataValidation sqref="F93" showDropDown="0" showInputMessage="0" showErrorMessage="1" allowBlank="1" errorTitle="Texto longo" error="Personalidade: até 200 caracteres." type="textLength" errorStyle="warning" operator="lessThanOrEqual">
      <formula1>200</formula1>
    </dataValidation>
    <dataValidation sqref="B94" showDropDown="0" showInputMessage="0" showErrorMessage="1" allowBlank="1" errorTitle="Texto longo" error="Aparência: até 200 caracteres." type="textLength" errorStyle="warning" operator="lessThanOrEqual">
      <formula1>200</formula1>
    </dataValidation>
    <dataValidation sqref="F94" showDropDown="0" showInputMessage="0" showErrorMessage="1" allowBlank="1" errorTitle="Texto longo" error="Personalidade: até 200 caracteres." type="textLength" errorStyle="warning" operator="lessThanOrEqual">
      <formula1>200</formula1>
    </dataValidation>
    <dataValidation sqref="B95" showDropDown="0" showInputMessage="0" showErrorMessage="1" allowBlank="1" errorTitle="Texto longo" error="Aparência: até 200 caracteres." type="textLength" errorStyle="warning" operator="lessThanOrEqual">
      <formula1>200</formula1>
    </dataValidation>
    <dataValidation sqref="F95" showDropDown="0" showInputMessage="0" showErrorMessage="1" allowBlank="1" errorTitle="Texto longo" error="Personalidade: até 200 caracteres." type="textLength" errorStyle="warning" operator="lessThanOrEqual">
      <formula1>200</formula1>
    </dataValidation>
    <dataValidation sqref="B96" showDropDown="0" showInputMessage="0" showErrorMessage="1" allowBlank="1" errorTitle="Texto longo" error="Aparência: até 200 caracteres." type="textLength" errorStyle="warning" operator="lessThanOrEqual">
      <formula1>200</formula1>
    </dataValidation>
    <dataValidation sqref="F96" showDropDown="0" showInputMessage="0" showErrorMessage="1" allowBlank="1" errorTitle="Texto longo" error="Personalidade: até 200 caracteres." type="textLength" errorStyle="warning" operator="lessThanOrEqual">
      <formula1>200</formula1>
    </dataValidation>
    <dataValidation sqref="B97" showDropDown="0" showInputMessage="0" showErrorMessage="1" allowBlank="1" errorTitle="Texto longo" error="Aparência: até 200 caracteres." type="textLength" errorStyle="warning" operator="lessThanOrEqual">
      <formula1>200</formula1>
    </dataValidation>
    <dataValidation sqref="F97" showDropDown="0" showInputMessage="0" showErrorMessage="1" allowBlank="1" errorTitle="Texto longo" error="Personalidade: até 200 caracteres." type="textLength" errorStyle="warning" operator="lessThanOrEqual">
      <formula1>200</formula1>
    </dataValidation>
    <dataValidation sqref="B98" showDropDown="0" showInputMessage="0" showErrorMessage="1" allowBlank="1" errorTitle="Texto longo" error="Aparência: até 200 caracteres." type="textLength" errorStyle="warning" operator="lessThanOrEqual">
      <formula1>200</formula1>
    </dataValidation>
    <dataValidation sqref="F98" showDropDown="0" showInputMessage="0" showErrorMessage="1" allowBlank="1" errorTitle="Texto longo" error="Personalidade: até 200 caracteres." type="textLength" errorStyle="warning" operator="lessThanOrEqual">
      <formula1>200</formula1>
    </dataValidation>
    <dataValidation sqref="B99" showDropDown="0" showInputMessage="0" showErrorMessage="1" allowBlank="1" errorTitle="Texto longo" error="Aparência: até 200 caracteres." type="textLength" errorStyle="warning" operator="lessThanOrEqual">
      <formula1>200</formula1>
    </dataValidation>
    <dataValidation sqref="F99" showDropDown="0" showInputMessage="0" showErrorMessage="1" allowBlank="1" errorTitle="Texto longo" error="Personalidade: até 200 caracteres." type="textLength" errorStyle="warning" operator="lessThanOrEqual">
      <formula1>200</formula1>
    </dataValidation>
    <dataValidation sqref="B100" showDropDown="0" showInputMessage="0" showErrorMessage="1" allowBlank="1" errorTitle="Texto longo" error="Aparência: até 200 caracteres." type="textLength" errorStyle="warning" operator="lessThanOrEqual">
      <formula1>200</formula1>
    </dataValidation>
    <dataValidation sqref="F100" showDropDown="0" showInputMessage="0" showErrorMessage="1" allowBlank="1" errorTitle="Texto longo" error="Personalidade: até 200 caracteres." type="textLength" errorStyle="warning" operator="lessThanOrEqual">
      <formula1>200</formula1>
    </dataValidation>
    <dataValidation sqref="B102" showDropDown="0" showInputMessage="0" showErrorMessage="1" allowBlank="1" errorTitle="Texto longo" error="Aparência: até 200 caracteres." type="textLength" errorStyle="warning" operator="lessThanOrEqual">
      <formula1>200</formula1>
    </dataValidation>
    <dataValidation sqref="F102" showDropDown="0" showInputMessage="0" showErrorMessage="1" allowBlank="1" errorTitle="Texto longo" error="Personalidade: até 200 caracteres." type="textLength" errorStyle="warning" operator="lessThanOrEqual">
      <formula1>200</formula1>
    </dataValidation>
    <dataValidation sqref="B103" showDropDown="0" showInputMessage="0" showErrorMessage="1" allowBlank="1" errorTitle="Texto longo" error="Aparência: até 200 caracteres." type="textLength" errorStyle="warning" operator="lessThanOrEqual">
      <formula1>200</formula1>
    </dataValidation>
    <dataValidation sqref="F103" showDropDown="0" showInputMessage="0" showErrorMessage="1" allowBlank="1" errorTitle="Texto longo" error="Personalidade: até 200 caracteres." type="textLength" errorStyle="warning" operator="lessThanOrEqual">
      <formula1>200</formula1>
    </dataValidation>
    <dataValidation sqref="B104" showDropDown="0" showInputMessage="0" showErrorMessage="1" allowBlank="1" errorTitle="Texto longo" error="Aparência: até 200 caracteres." type="textLength" errorStyle="warning" operator="lessThanOrEqual">
      <formula1>200</formula1>
    </dataValidation>
    <dataValidation sqref="F104" showDropDown="0" showInputMessage="0" showErrorMessage="1" allowBlank="1" errorTitle="Texto longo" error="Personalidade: até 200 caracteres." type="textLength" errorStyle="warning" operator="lessThanOrEqual">
      <formula1>200</formula1>
    </dataValidation>
    <dataValidation sqref="B105" showDropDown="0" showInputMessage="0" showErrorMessage="1" allowBlank="1" errorTitle="Texto longo" error="Aparência: até 200 caracteres." type="textLength" errorStyle="warning" operator="lessThanOrEqual">
      <formula1>200</formula1>
    </dataValidation>
    <dataValidation sqref="F105" showDropDown="0" showInputMessage="0" showErrorMessage="1" allowBlank="1" errorTitle="Texto longo" error="Personalidade: até 200 caracteres." type="textLength" errorStyle="warning" operator="lessThanOrEqual">
      <formula1>200</formula1>
    </dataValidation>
    <dataValidation sqref="B106" showDropDown="0" showInputMessage="0" showErrorMessage="1" allowBlank="1" errorTitle="Texto longo" error="Aparência: até 200 caracteres." type="textLength" errorStyle="warning" operator="lessThanOrEqual">
      <formula1>200</formula1>
    </dataValidation>
    <dataValidation sqref="F106" showDropDown="0" showInputMessage="0" showErrorMessage="1" allowBlank="1" errorTitle="Texto longo" error="Personalidade: até 200 caracteres." type="textLength" errorStyle="warning" operator="lessThanOrEqual">
      <formula1>200</formula1>
    </dataValidation>
    <dataValidation sqref="B107" showDropDown="0" showInputMessage="0" showErrorMessage="1" allowBlank="1" errorTitle="Texto longo" error="Aparência: até 200 caracteres." type="textLength" errorStyle="warning" operator="lessThanOrEqual">
      <formula1>200</formula1>
    </dataValidation>
    <dataValidation sqref="F107" showDropDown="0" showInputMessage="0" showErrorMessage="1" allowBlank="1" errorTitle="Texto longo" error="Personalidade: até 200 caracteres." type="textLength" errorStyle="warning" operator="lessThanOrEqual">
      <formula1>200</formula1>
    </dataValidation>
    <dataValidation sqref="B108" showDropDown="0" showInputMessage="0" showErrorMessage="1" allowBlank="1" errorTitle="Texto longo" error="Aparência: até 200 caracteres." type="textLength" errorStyle="warning" operator="lessThanOrEqual">
      <formula1>200</formula1>
    </dataValidation>
    <dataValidation sqref="F108" showDropDown="0" showInputMessage="0" showErrorMessage="1" allowBlank="1" errorTitle="Texto longo" error="Personalidade: até 200 caracteres." type="textLength" errorStyle="warning" operator="lessThanOrEqual">
      <formula1>200</formula1>
    </dataValidation>
    <dataValidation sqref="B109" showDropDown="0" showInputMessage="0" showErrorMessage="1" allowBlank="1" errorTitle="Texto longo" error="Aparência: até 200 caracteres." type="textLength" errorStyle="warning" operator="lessThanOrEqual">
      <formula1>200</formula1>
    </dataValidation>
    <dataValidation sqref="F109" showDropDown="0" showInputMessage="0" showErrorMessage="1" allowBlank="1" errorTitle="Texto longo" error="Personalidade: até 200 caracteres." type="textLength" errorStyle="warning" operator="lessThanOrEqual">
      <formula1>200</formula1>
    </dataValidation>
    <dataValidation sqref="B110" showDropDown="0" showInputMessage="0" showErrorMessage="1" allowBlank="1" errorTitle="Texto longo" error="Aparência: até 200 caracteres." type="textLength" errorStyle="warning" operator="lessThanOrEqual">
      <formula1>200</formula1>
    </dataValidation>
    <dataValidation sqref="F110" showDropDown="0" showInputMessage="0" showErrorMessage="1" allowBlank="1" errorTitle="Texto longo" error="Personalidade: até 200 caracteres." type="textLength" errorStyle="warning" operator="lessThanOrEqual">
      <formula1>200</formula1>
    </dataValidation>
    <dataValidation sqref="B111" showDropDown="0" showInputMessage="0" showErrorMessage="1" allowBlank="1" errorTitle="Texto longo" error="Aparência: até 200 caracteres." type="textLength" errorStyle="warning" operator="lessThanOrEqual">
      <formula1>200</formula1>
    </dataValidation>
    <dataValidation sqref="F111" showDropDown="0" showInputMessage="0" showErrorMessage="1" allowBlank="1" errorTitle="Texto longo" error="Personalidade: até 200 caracteres." type="textLength" errorStyle="warning" operator="lessThanOrEqual">
      <formula1>200</formula1>
    </dataValidation>
    <dataValidation sqref="B114" showDropDown="0" showInputMessage="0" showErrorMessage="1" allowBlank="1" errorTitle="Texto longo" error="Motivação: até 200 caracteres." type="textLength" errorStyle="warning" operator="lessThanOrEqual">
      <formula1>200</formula1>
    </dataValidation>
    <dataValidation sqref="F114" showDropDown="0" showInputMessage="0" showErrorMessage="1" allowBlank="1" errorTitle="Texto longo" error="Segredo: até 200 caracteres." type="textLength" errorStyle="warning" operator="lessThanOrEqual">
      <formula1>200</formula1>
    </dataValidation>
    <dataValidation sqref="B115" showDropDown="0" showInputMessage="0" showErrorMessage="1" allowBlank="1" errorTitle="Texto longo" error="Motivação: até 200 caracteres." type="textLength" errorStyle="warning" operator="lessThanOrEqual">
      <formula1>200</formula1>
    </dataValidation>
    <dataValidation sqref="F115" showDropDown="0" showInputMessage="0" showErrorMessage="1" allowBlank="1" errorTitle="Texto longo" error="Segredo: até 200 caracteres." type="textLength" errorStyle="warning" operator="lessThanOrEqual">
      <formula1>200</formula1>
    </dataValidation>
    <dataValidation sqref="B116" showDropDown="0" showInputMessage="0" showErrorMessage="1" allowBlank="1" errorTitle="Texto longo" error="Motivação: até 200 caracteres." type="textLength" errorStyle="warning" operator="lessThanOrEqual">
      <formula1>200</formula1>
    </dataValidation>
    <dataValidation sqref="F116" showDropDown="0" showInputMessage="0" showErrorMessage="1" allowBlank="1" errorTitle="Texto longo" error="Segredo: até 200 caracteres." type="textLength" errorStyle="warning" operator="lessThanOrEqual">
      <formula1>200</formula1>
    </dataValidation>
    <dataValidation sqref="B117" showDropDown="0" showInputMessage="0" showErrorMessage="1" allowBlank="1" errorTitle="Texto longo" error="Motivação: até 200 caracteres." type="textLength" errorStyle="warning" operator="lessThanOrEqual">
      <formula1>200</formula1>
    </dataValidation>
    <dataValidation sqref="F117" showDropDown="0" showInputMessage="0" showErrorMessage="1" allowBlank="1" errorTitle="Texto longo" error="Segredo: até 200 caracteres." type="textLength" errorStyle="warning" operator="lessThanOrEqual">
      <formula1>200</formula1>
    </dataValidation>
    <dataValidation sqref="B118" showDropDown="0" showInputMessage="0" showErrorMessage="1" allowBlank="1" errorTitle="Texto longo" error="Motivação: até 200 caracteres." type="textLength" errorStyle="warning" operator="lessThanOrEqual">
      <formula1>200</formula1>
    </dataValidation>
    <dataValidation sqref="F118" showDropDown="0" showInputMessage="0" showErrorMessage="1" allowBlank="1" errorTitle="Texto longo" error="Segredo: até 200 caracteres." type="textLength" errorStyle="warning" operator="lessThanOrEqual">
      <formula1>200</formula1>
    </dataValidation>
    <dataValidation sqref="B119" showDropDown="0" showInputMessage="0" showErrorMessage="1" allowBlank="1" errorTitle="Texto longo" error="Motivação: até 200 caracteres." type="textLength" errorStyle="warning" operator="lessThanOrEqual">
      <formula1>200</formula1>
    </dataValidation>
    <dataValidation sqref="F119" showDropDown="0" showInputMessage="0" showErrorMessage="1" allowBlank="1" errorTitle="Texto longo" error="Segredo: até 200 caracteres." type="textLength" errorStyle="warning" operator="lessThanOrEqual">
      <formula1>200</formula1>
    </dataValidation>
    <dataValidation sqref="B120" showDropDown="0" showInputMessage="0" showErrorMessage="1" allowBlank="1" errorTitle="Texto longo" error="Motivação: até 200 caracteres." type="textLength" errorStyle="warning" operator="lessThanOrEqual">
      <formula1>200</formula1>
    </dataValidation>
    <dataValidation sqref="F120" showDropDown="0" showInputMessage="0" showErrorMessage="1" allowBlank="1" errorTitle="Texto longo" error="Segredo: até 200 caracteres." type="textLength" errorStyle="warning" operator="lessThanOrEqual">
      <formula1>200</formula1>
    </dataValidation>
    <dataValidation sqref="B121" showDropDown="0" showInputMessage="0" showErrorMessage="1" allowBlank="1" errorTitle="Texto longo" error="Motivação: até 200 caracteres." type="textLength" errorStyle="warning" operator="lessThanOrEqual">
      <formula1>200</formula1>
    </dataValidation>
    <dataValidation sqref="F121" showDropDown="0" showInputMessage="0" showErrorMessage="1" allowBlank="1" errorTitle="Texto longo" error="Segredo: até 200 caracteres." type="textLength" errorStyle="warning" operator="lessThanOrEqual">
      <formula1>200</formula1>
    </dataValidation>
    <dataValidation sqref="B122" showDropDown="0" showInputMessage="0" showErrorMessage="1" allowBlank="1" errorTitle="Texto longo" error="Motivação: até 200 caracteres." type="textLength" errorStyle="warning" operator="lessThanOrEqual">
      <formula1>200</formula1>
    </dataValidation>
    <dataValidation sqref="F122" showDropDown="0" showInputMessage="0" showErrorMessage="1" allowBlank="1" errorTitle="Texto longo" error="Segredo: até 200 caracteres." type="textLength" errorStyle="warning" operator="lessThanOrEqual">
      <formula1>200</formula1>
    </dataValidation>
    <dataValidation sqref="B123" showDropDown="0" showInputMessage="0" showErrorMessage="1" allowBlank="1" errorTitle="Texto longo" error="Motivação: até 200 caracteres." type="textLength" errorStyle="warning" operator="lessThanOrEqual">
      <formula1>200</formula1>
    </dataValidation>
    <dataValidation sqref="F123" showDropDown="0" showInputMessage="0" showErrorMessage="1" allowBlank="1" errorTitle="Texto longo" error="Segredo: até 200 caracteres." type="textLength" errorStyle="warning" operator="lessThanOrEqual">
      <formula1>200</formula1>
    </dataValidation>
    <dataValidation sqref="B125" showDropDown="0" showInputMessage="0" showErrorMessage="1" allowBlank="1" errorTitle="Texto longo" error="Motivação: até 200 caracteres." type="textLength" errorStyle="warning" operator="lessThanOrEqual">
      <formula1>200</formula1>
    </dataValidation>
    <dataValidation sqref="F125" showDropDown="0" showInputMessage="0" showErrorMessage="1" allowBlank="1" errorTitle="Texto longo" error="Segredo: até 200 caracteres." type="textLength" errorStyle="warning" operator="lessThanOrEqual">
      <formula1>200</formula1>
    </dataValidation>
    <dataValidation sqref="B126" showDropDown="0" showInputMessage="0" showErrorMessage="1" allowBlank="1" errorTitle="Texto longo" error="Motivação: até 200 caracteres." type="textLength" errorStyle="warning" operator="lessThanOrEqual">
      <formula1>200</formula1>
    </dataValidation>
    <dataValidation sqref="F126" showDropDown="0" showInputMessage="0" showErrorMessage="1" allowBlank="1" errorTitle="Texto longo" error="Segredo: até 200 caracteres." type="textLength" errorStyle="warning" operator="lessThanOrEqual">
      <formula1>200</formula1>
    </dataValidation>
    <dataValidation sqref="B127" showDropDown="0" showInputMessage="0" showErrorMessage="1" allowBlank="1" errorTitle="Texto longo" error="Motivação: até 200 caracteres." type="textLength" errorStyle="warning" operator="lessThanOrEqual">
      <formula1>200</formula1>
    </dataValidation>
    <dataValidation sqref="F127" showDropDown="0" showInputMessage="0" showErrorMessage="1" allowBlank="1" errorTitle="Texto longo" error="Segredo: até 200 caracteres." type="textLength" errorStyle="warning" operator="lessThanOrEqual">
      <formula1>200</formula1>
    </dataValidation>
    <dataValidation sqref="B128" showDropDown="0" showInputMessage="0" showErrorMessage="1" allowBlank="1" errorTitle="Texto longo" error="Motivação: até 200 caracteres." type="textLength" errorStyle="warning" operator="lessThanOrEqual">
      <formula1>200</formula1>
    </dataValidation>
    <dataValidation sqref="F128" showDropDown="0" showInputMessage="0" showErrorMessage="1" allowBlank="1" errorTitle="Texto longo" error="Segredo: até 200 caracteres." type="textLength" errorStyle="warning" operator="lessThanOrEqual">
      <formula1>200</formula1>
    </dataValidation>
    <dataValidation sqref="B129" showDropDown="0" showInputMessage="0" showErrorMessage="1" allowBlank="1" errorTitle="Texto longo" error="Motivação: até 200 caracteres." type="textLength" errorStyle="warning" operator="lessThanOrEqual">
      <formula1>200</formula1>
    </dataValidation>
    <dataValidation sqref="F129" showDropDown="0" showInputMessage="0" showErrorMessage="1" allowBlank="1" errorTitle="Texto longo" error="Segredo: até 200 caracteres." type="textLength" errorStyle="warning" operator="lessThanOrEqual">
      <formula1>200</formula1>
    </dataValidation>
    <dataValidation sqref="B130" showDropDown="0" showInputMessage="0" showErrorMessage="1" allowBlank="1" errorTitle="Texto longo" error="Motivação: até 200 caracteres." type="textLength" errorStyle="warning" operator="lessThanOrEqual">
      <formula1>200</formula1>
    </dataValidation>
    <dataValidation sqref="F130" showDropDown="0" showInputMessage="0" showErrorMessage="1" allowBlank="1" errorTitle="Texto longo" error="Segredo: até 200 caracteres." type="textLength" errorStyle="warning" operator="lessThanOrEqual">
      <formula1>200</formula1>
    </dataValidation>
    <dataValidation sqref="B131" showDropDown="0" showInputMessage="0" showErrorMessage="1" allowBlank="1" errorTitle="Texto longo" error="Motivação: até 200 caracteres." type="textLength" errorStyle="warning" operator="lessThanOrEqual">
      <formula1>200</formula1>
    </dataValidation>
    <dataValidation sqref="F131" showDropDown="0" showInputMessage="0" showErrorMessage="1" allowBlank="1" errorTitle="Texto longo" error="Segredo: até 200 caracteres." type="textLength" errorStyle="warning" operator="lessThanOrEqual">
      <formula1>200</formula1>
    </dataValidation>
    <dataValidation sqref="B132" showDropDown="0" showInputMessage="0" showErrorMessage="1" allowBlank="1" errorTitle="Texto longo" error="Motivação: até 200 caracteres." type="textLength" errorStyle="warning" operator="lessThanOrEqual">
      <formula1>200</formula1>
    </dataValidation>
    <dataValidation sqref="F132" showDropDown="0" showInputMessage="0" showErrorMessage="1" allowBlank="1" errorTitle="Texto longo" error="Segredo: até 200 caracteres." type="textLength" errorStyle="warning" operator="lessThanOrEqual">
      <formula1>200</formula1>
    </dataValidation>
    <dataValidation sqref="B133" showDropDown="0" showInputMessage="0" showErrorMessage="1" allowBlank="1" errorTitle="Texto longo" error="Motivação: até 200 caracteres." type="textLength" errorStyle="warning" operator="lessThanOrEqual">
      <formula1>200</formula1>
    </dataValidation>
    <dataValidation sqref="F133" showDropDown="0" showInputMessage="0" showErrorMessage="1" allowBlank="1" errorTitle="Texto longo" error="Segredo: até 200 caracteres." type="textLength" errorStyle="warning" operator="lessThanOrEqual">
      <formula1>200</formula1>
    </dataValidation>
    <dataValidation sqref="B134" showDropDown="0" showInputMessage="0" showErrorMessage="1" allowBlank="1" errorTitle="Texto longo" error="Motivação: até 200 caracteres." type="textLength" errorStyle="warning" operator="lessThanOrEqual">
      <formula1>200</formula1>
    </dataValidation>
    <dataValidation sqref="F134" showDropDown="0" showInputMessage="0" showErrorMessage="1" allowBlank="1" errorTitle="Texto longo" error="Segredo: até 200 caracteres." type="textLength" errorStyle="warning" operator="lessThanOrEqual">
      <formula1>200</formula1>
    </dataValidation>
    <dataValidation sqref="B136" showDropDown="0" showInputMessage="0" showErrorMessage="1" allowBlank="1" errorTitle="Texto longo" error="Motivação: até 200 caracteres." type="textLength" errorStyle="warning" operator="lessThanOrEqual">
      <formula1>200</formula1>
    </dataValidation>
    <dataValidation sqref="F136" showDropDown="0" showInputMessage="0" showErrorMessage="1" allowBlank="1" errorTitle="Texto longo" error="Segredo: até 200 caracteres." type="textLength" errorStyle="warning" operator="lessThanOrEqual">
      <formula1>200</formula1>
    </dataValidation>
    <dataValidation sqref="B137" showDropDown="0" showInputMessage="0" showErrorMessage="1" allowBlank="1" errorTitle="Texto longo" error="Motivação: até 200 caracteres." type="textLength" errorStyle="warning" operator="lessThanOrEqual">
      <formula1>200</formula1>
    </dataValidation>
    <dataValidation sqref="F137" showDropDown="0" showInputMessage="0" showErrorMessage="1" allowBlank="1" errorTitle="Texto longo" error="Segredo: até 200 caracteres." type="textLength" errorStyle="warning" operator="lessThanOrEqual">
      <formula1>200</formula1>
    </dataValidation>
    <dataValidation sqref="B138" showDropDown="0" showInputMessage="0" showErrorMessage="1" allowBlank="1" errorTitle="Texto longo" error="Motivação: até 200 caracteres." type="textLength" errorStyle="warning" operator="lessThanOrEqual">
      <formula1>200</formula1>
    </dataValidation>
    <dataValidation sqref="F138" showDropDown="0" showInputMessage="0" showErrorMessage="1" allowBlank="1" errorTitle="Texto longo" error="Segredo: até 200 caracteres." type="textLength" errorStyle="warning" operator="lessThanOrEqual">
      <formula1>200</formula1>
    </dataValidation>
    <dataValidation sqref="B139" showDropDown="0" showInputMessage="0" showErrorMessage="1" allowBlank="1" errorTitle="Texto longo" error="Motivação: até 200 caracteres." type="textLength" errorStyle="warning" operator="lessThanOrEqual">
      <formula1>200</formula1>
    </dataValidation>
    <dataValidation sqref="F139" showDropDown="0" showInputMessage="0" showErrorMessage="1" allowBlank="1" errorTitle="Texto longo" error="Segredo: até 200 caracteres." type="textLength" errorStyle="warning" operator="lessThanOrEqual">
      <formula1>200</formula1>
    </dataValidation>
    <dataValidation sqref="B140" showDropDown="0" showInputMessage="0" showErrorMessage="1" allowBlank="1" errorTitle="Texto longo" error="Motivação: até 200 caracteres." type="textLength" errorStyle="warning" operator="lessThanOrEqual">
      <formula1>200</formula1>
    </dataValidation>
    <dataValidation sqref="F140" showDropDown="0" showInputMessage="0" showErrorMessage="1" allowBlank="1" errorTitle="Texto longo" error="Segredo: até 200 caracteres." type="textLength" errorStyle="warning" operator="lessThanOrEqual">
      <formula1>200</formula1>
    </dataValidation>
    <dataValidation sqref="B141" showDropDown="0" showInputMessage="0" showErrorMessage="1" allowBlank="1" errorTitle="Texto longo" error="Motivação: até 200 caracteres." type="textLength" errorStyle="warning" operator="lessThanOrEqual">
      <formula1>200</formula1>
    </dataValidation>
    <dataValidation sqref="F141" showDropDown="0" showInputMessage="0" showErrorMessage="1" allowBlank="1" errorTitle="Texto longo" error="Segredo: até 200 caracteres." type="textLength" errorStyle="warning" operator="lessThanOrEqual">
      <formula1>200</formula1>
    </dataValidation>
    <dataValidation sqref="B142" showDropDown="0" showInputMessage="0" showErrorMessage="1" allowBlank="1" errorTitle="Texto longo" error="Motivação: até 200 caracteres." type="textLength" errorStyle="warning" operator="lessThanOrEqual">
      <formula1>200</formula1>
    </dataValidation>
    <dataValidation sqref="F142" showDropDown="0" showInputMessage="0" showErrorMessage="1" allowBlank="1" errorTitle="Texto longo" error="Segredo: até 200 caracteres." type="textLength" errorStyle="warning" operator="lessThanOrEqual">
      <formula1>200</formula1>
    </dataValidation>
    <dataValidation sqref="B143" showDropDown="0" showInputMessage="0" showErrorMessage="1" allowBlank="1" errorTitle="Texto longo" error="Motivação: até 200 caracteres." type="textLength" errorStyle="warning" operator="lessThanOrEqual">
      <formula1>200</formula1>
    </dataValidation>
    <dataValidation sqref="F143" showDropDown="0" showInputMessage="0" showErrorMessage="1" allowBlank="1" errorTitle="Texto longo" error="Segredo: até 200 caracteres." type="textLength" errorStyle="warning" operator="lessThanOrEqual">
      <formula1>200</formula1>
    </dataValidation>
    <dataValidation sqref="B144" showDropDown="0" showInputMessage="0" showErrorMessage="1" allowBlank="1" errorTitle="Texto longo" error="Motivação: até 200 caracteres." type="textLength" errorStyle="warning" operator="lessThanOrEqual">
      <formula1>200</formula1>
    </dataValidation>
    <dataValidation sqref="F144" showDropDown="0" showInputMessage="0" showErrorMessage="1" allowBlank="1" errorTitle="Texto longo" error="Segredo: até 200 caracteres." type="textLength" errorStyle="warning" operator="lessThanOrEqual">
      <formula1>200</formula1>
    </dataValidation>
    <dataValidation sqref="B145" showDropDown="0" showInputMessage="0" showErrorMessage="1" allowBlank="1" errorTitle="Texto longo" error="Motivação: até 200 caracteres." type="textLength" errorStyle="warning" operator="lessThanOrEqual">
      <formula1>200</formula1>
    </dataValidation>
    <dataValidation sqref="F145" showDropDown="0" showInputMessage="0" showErrorMessage="1" allowBlank="1" errorTitle="Texto longo" error="Segredo: até 200 caracteres." type="textLength" errorStyle="warning" operator="lessThanOrEqual">
      <formula1>200</formula1>
    </dataValidation>
    <dataValidation sqref="B148" showDropDown="0" showInputMessage="0" showErrorMessage="1" allowBlank="1" errorTitle="Texto longo" error="Maneirismo e voz: até 200 caracteres." type="textLength" errorStyle="warning" operator="lessThanOrEqual">
      <formula1>200</formula1>
    </dataValidation>
    <dataValidation sqref="E148" showDropDown="0" showInputMessage="0" showErrorMessage="1" allowBlank="1" errorTitle="Fora da lista" error="Atitude: escolha um valor da lista. A planilha pode não reconhecer outro valor." type="list" errorStyle="warning">
      <formula1>$AT$10:$AT$109</formula1>
    </dataValidation>
    <dataValidation sqref="G148" showDropDown="0" showInputMessage="0" showErrorMessage="1" allowBlank="1" errorTitle="Texto longo" error="Gancho: até 200 caracteres." type="textLength" errorStyle="warning" operator="lessThanOrEqual">
      <formula1>200</formula1>
    </dataValidation>
    <dataValidation sqref="B149" showDropDown="0" showInputMessage="0" showErrorMessage="1" allowBlank="1" errorTitle="Texto longo" error="Maneirismo e voz: até 200 caracteres." type="textLength" errorStyle="warning" operator="lessThanOrEqual">
      <formula1>200</formula1>
    </dataValidation>
    <dataValidation sqref="E149" showDropDown="0" showInputMessage="0" showErrorMessage="1" allowBlank="1" errorTitle="Fora da lista" error="Atitude: escolha um valor da lista. A planilha pode não reconhecer outro valor." type="list" errorStyle="warning">
      <formula1>$AT$10:$AT$109</formula1>
    </dataValidation>
    <dataValidation sqref="G149" showDropDown="0" showInputMessage="0" showErrorMessage="1" allowBlank="1" errorTitle="Texto longo" error="Gancho: até 200 caracteres." type="textLength" errorStyle="warning" operator="lessThanOrEqual">
      <formula1>200</formula1>
    </dataValidation>
    <dataValidation sqref="B150" showDropDown="0" showInputMessage="0" showErrorMessage="1" allowBlank="1" errorTitle="Texto longo" error="Maneirismo e voz: até 200 caracteres." type="textLength" errorStyle="warning" operator="lessThanOrEqual">
      <formula1>200</formula1>
    </dataValidation>
    <dataValidation sqref="E150" showDropDown="0" showInputMessage="0" showErrorMessage="1" allowBlank="1" errorTitle="Fora da lista" error="Atitude: escolha um valor da lista. A planilha pode não reconhecer outro valor." type="list" errorStyle="warning">
      <formula1>$AT$10:$AT$109</formula1>
    </dataValidation>
    <dataValidation sqref="G150" showDropDown="0" showInputMessage="0" showErrorMessage="1" allowBlank="1" errorTitle="Texto longo" error="Gancho: até 200 caracteres." type="textLength" errorStyle="warning" operator="lessThanOrEqual">
      <formula1>200</formula1>
    </dataValidation>
    <dataValidation sqref="B151" showDropDown="0" showInputMessage="0" showErrorMessage="1" allowBlank="1" errorTitle="Texto longo" error="Maneirismo e voz: até 200 caracteres." type="textLength" errorStyle="warning" operator="lessThanOrEqual">
      <formula1>200</formula1>
    </dataValidation>
    <dataValidation sqref="E151" showDropDown="0" showInputMessage="0" showErrorMessage="1" allowBlank="1" errorTitle="Fora da lista" error="Atitude: escolha um valor da lista. A planilha pode não reconhecer outro valor." type="list" errorStyle="warning">
      <formula1>$AT$10:$AT$109</formula1>
    </dataValidation>
    <dataValidation sqref="G151" showDropDown="0" showInputMessage="0" showErrorMessage="1" allowBlank="1" errorTitle="Texto longo" error="Gancho: até 200 caracteres." type="textLength" errorStyle="warning" operator="lessThanOrEqual">
      <formula1>200</formula1>
    </dataValidation>
    <dataValidation sqref="B152" showDropDown="0" showInputMessage="0" showErrorMessage="1" allowBlank="1" errorTitle="Texto longo" error="Maneirismo e voz: até 200 caracteres." type="textLength" errorStyle="warning" operator="lessThanOrEqual">
      <formula1>200</formula1>
    </dataValidation>
    <dataValidation sqref="E152" showDropDown="0" showInputMessage="0" showErrorMessage="1" allowBlank="1" errorTitle="Fora da lista" error="Atitude: escolha um valor da lista. A planilha pode não reconhecer outro valor." type="list" errorStyle="warning">
      <formula1>$AT$10:$AT$109</formula1>
    </dataValidation>
    <dataValidation sqref="G152" showDropDown="0" showInputMessage="0" showErrorMessage="1" allowBlank="1" errorTitle="Texto longo" error="Gancho: até 200 caracteres." type="textLength" errorStyle="warning" operator="lessThanOrEqual">
      <formula1>200</formula1>
    </dataValidation>
    <dataValidation sqref="B153" showDropDown="0" showInputMessage="0" showErrorMessage="1" allowBlank="1" errorTitle="Texto longo" error="Maneirismo e voz: até 200 caracteres." type="textLength" errorStyle="warning" operator="lessThanOrEqual">
      <formula1>200</formula1>
    </dataValidation>
    <dataValidation sqref="E153" showDropDown="0" showInputMessage="0" showErrorMessage="1" allowBlank="1" errorTitle="Fora da lista" error="Atitude: escolha um valor da lista. A planilha pode não reconhecer outro valor." type="list" errorStyle="warning">
      <formula1>$AT$10:$AT$109</formula1>
    </dataValidation>
    <dataValidation sqref="G153" showDropDown="0" showInputMessage="0" showErrorMessage="1" allowBlank="1" errorTitle="Texto longo" error="Gancho: até 200 caracteres." type="textLength" errorStyle="warning" operator="lessThanOrEqual">
      <formula1>200</formula1>
    </dataValidation>
    <dataValidation sqref="B154" showDropDown="0" showInputMessage="0" showErrorMessage="1" allowBlank="1" errorTitle="Texto longo" error="Maneirismo e voz: até 200 caracteres." type="textLength" errorStyle="warning" operator="lessThanOrEqual">
      <formula1>200</formula1>
    </dataValidation>
    <dataValidation sqref="E154" showDropDown="0" showInputMessage="0" showErrorMessage="1" allowBlank="1" errorTitle="Fora da lista" error="Atitude: escolha um valor da lista. A planilha pode não reconhecer outro valor." type="list" errorStyle="warning">
      <formula1>$AT$10:$AT$109</formula1>
    </dataValidation>
    <dataValidation sqref="G154" showDropDown="0" showInputMessage="0" showErrorMessage="1" allowBlank="1" errorTitle="Texto longo" error="Gancho: até 200 caracteres." type="textLength" errorStyle="warning" operator="lessThanOrEqual">
      <formula1>200</formula1>
    </dataValidation>
    <dataValidation sqref="B155" showDropDown="0" showInputMessage="0" showErrorMessage="1" allowBlank="1" errorTitle="Texto longo" error="Maneirismo e voz: até 200 caracteres." type="textLength" errorStyle="warning" operator="lessThanOrEqual">
      <formula1>200</formula1>
    </dataValidation>
    <dataValidation sqref="E155" showDropDown="0" showInputMessage="0" showErrorMessage="1" allowBlank="1" errorTitle="Fora da lista" error="Atitude: escolha um valor da lista. A planilha pode não reconhecer outro valor." type="list" errorStyle="warning">
      <formula1>$AT$10:$AT$109</formula1>
    </dataValidation>
    <dataValidation sqref="G155" showDropDown="0" showInputMessage="0" showErrorMessage="1" allowBlank="1" errorTitle="Texto longo" error="Gancho: até 200 caracteres." type="textLength" errorStyle="warning" operator="lessThanOrEqual">
      <formula1>200</formula1>
    </dataValidation>
    <dataValidation sqref="B156" showDropDown="0" showInputMessage="0" showErrorMessage="1" allowBlank="1" errorTitle="Texto longo" error="Maneirismo e voz: até 200 caracteres." type="textLength" errorStyle="warning" operator="lessThanOrEqual">
      <formula1>200</formula1>
    </dataValidation>
    <dataValidation sqref="E156" showDropDown="0" showInputMessage="0" showErrorMessage="1" allowBlank="1" errorTitle="Fora da lista" error="Atitude: escolha um valor da lista. A planilha pode não reconhecer outro valor." type="list" errorStyle="warning">
      <formula1>$AT$10:$AT$109</formula1>
    </dataValidation>
    <dataValidation sqref="G156" showDropDown="0" showInputMessage="0" showErrorMessage="1" allowBlank="1" errorTitle="Texto longo" error="Gancho: até 200 caracteres." type="textLength" errorStyle="warning" operator="lessThanOrEqual">
      <formula1>200</formula1>
    </dataValidation>
    <dataValidation sqref="B157" showDropDown="0" showInputMessage="0" showErrorMessage="1" allowBlank="1" errorTitle="Texto longo" error="Maneirismo e voz: até 200 caracteres." type="textLength" errorStyle="warning" operator="lessThanOrEqual">
      <formula1>200</formula1>
    </dataValidation>
    <dataValidation sqref="E157" showDropDown="0" showInputMessage="0" showErrorMessage="1" allowBlank="1" errorTitle="Fora da lista" error="Atitude: escolha um valor da lista. A planilha pode não reconhecer outro valor." type="list" errorStyle="warning">
      <formula1>$AT$10:$AT$109</formula1>
    </dataValidation>
    <dataValidation sqref="G157" showDropDown="0" showInputMessage="0" showErrorMessage="1" allowBlank="1" errorTitle="Texto longo" error="Gancho: até 200 caracteres." type="textLength" errorStyle="warning" operator="lessThanOrEqual">
      <formula1>200</formula1>
    </dataValidation>
    <dataValidation sqref="B159" showDropDown="0" showInputMessage="0" showErrorMessage="1" allowBlank="1" errorTitle="Texto longo" error="Maneirismo e voz: até 200 caracteres." type="textLength" errorStyle="warning" operator="lessThanOrEqual">
      <formula1>200</formula1>
    </dataValidation>
    <dataValidation sqref="E159" showDropDown="0" showInputMessage="0" showErrorMessage="1" allowBlank="1" errorTitle="Fora da lista" error="Atitude: escolha um valor da lista. A planilha pode não reconhecer outro valor." type="list" errorStyle="warning">
      <formula1>$AT$10:$AT$109</formula1>
    </dataValidation>
    <dataValidation sqref="G159" showDropDown="0" showInputMessage="0" showErrorMessage="1" allowBlank="1" errorTitle="Texto longo" error="Gancho: até 200 caracteres." type="textLength" errorStyle="warning" operator="lessThanOrEqual">
      <formula1>200</formula1>
    </dataValidation>
    <dataValidation sqref="B160" showDropDown="0" showInputMessage="0" showErrorMessage="1" allowBlank="1" errorTitle="Texto longo" error="Maneirismo e voz: até 200 caracteres." type="textLength" errorStyle="warning" operator="lessThanOrEqual">
      <formula1>200</formula1>
    </dataValidation>
    <dataValidation sqref="E160" showDropDown="0" showInputMessage="0" showErrorMessage="1" allowBlank="1" errorTitle="Fora da lista" error="Atitude: escolha um valor da lista. A planilha pode não reconhecer outro valor." type="list" errorStyle="warning">
      <formula1>$AT$10:$AT$109</formula1>
    </dataValidation>
    <dataValidation sqref="G160" showDropDown="0" showInputMessage="0" showErrorMessage="1" allowBlank="1" errorTitle="Texto longo" error="Gancho: até 200 caracteres." type="textLength" errorStyle="warning" operator="lessThanOrEqual">
      <formula1>200</formula1>
    </dataValidation>
    <dataValidation sqref="B161" showDropDown="0" showInputMessage="0" showErrorMessage="1" allowBlank="1" errorTitle="Texto longo" error="Maneirismo e voz: até 200 caracteres." type="textLength" errorStyle="warning" operator="lessThanOrEqual">
      <formula1>200</formula1>
    </dataValidation>
    <dataValidation sqref="E161" showDropDown="0" showInputMessage="0" showErrorMessage="1" allowBlank="1" errorTitle="Fora da lista" error="Atitude: escolha um valor da lista. A planilha pode não reconhecer outro valor." type="list" errorStyle="warning">
      <formula1>$AT$10:$AT$109</formula1>
    </dataValidation>
    <dataValidation sqref="G161" showDropDown="0" showInputMessage="0" showErrorMessage="1" allowBlank="1" errorTitle="Texto longo" error="Gancho: até 200 caracteres." type="textLength" errorStyle="warning" operator="lessThanOrEqual">
      <formula1>200</formula1>
    </dataValidation>
    <dataValidation sqref="B162" showDropDown="0" showInputMessage="0" showErrorMessage="1" allowBlank="1" errorTitle="Texto longo" error="Maneirismo e voz: até 200 caracteres." type="textLength" errorStyle="warning" operator="lessThanOrEqual">
      <formula1>200</formula1>
    </dataValidation>
    <dataValidation sqref="E162" showDropDown="0" showInputMessage="0" showErrorMessage="1" allowBlank="1" errorTitle="Fora da lista" error="Atitude: escolha um valor da lista. A planilha pode não reconhecer outro valor." type="list" errorStyle="warning">
      <formula1>$AT$10:$AT$109</formula1>
    </dataValidation>
    <dataValidation sqref="G162" showDropDown="0" showInputMessage="0" showErrorMessage="1" allowBlank="1" errorTitle="Texto longo" error="Gancho: até 200 caracteres." type="textLength" errorStyle="warning" operator="lessThanOrEqual">
      <formula1>200</formula1>
    </dataValidation>
    <dataValidation sqref="B163" showDropDown="0" showInputMessage="0" showErrorMessage="1" allowBlank="1" errorTitle="Texto longo" error="Maneirismo e voz: até 200 caracteres." type="textLength" errorStyle="warning" operator="lessThanOrEqual">
      <formula1>200</formula1>
    </dataValidation>
    <dataValidation sqref="E163" showDropDown="0" showInputMessage="0" showErrorMessage="1" allowBlank="1" errorTitle="Fora da lista" error="Atitude: escolha um valor da lista. A planilha pode não reconhecer outro valor." type="list" errorStyle="warning">
      <formula1>$AT$10:$AT$109</formula1>
    </dataValidation>
    <dataValidation sqref="G163" showDropDown="0" showInputMessage="0" showErrorMessage="1" allowBlank="1" errorTitle="Texto longo" error="Gancho: até 200 caracteres." type="textLength" errorStyle="warning" operator="lessThanOrEqual">
      <formula1>200</formula1>
    </dataValidation>
    <dataValidation sqref="B164" showDropDown="0" showInputMessage="0" showErrorMessage="1" allowBlank="1" errorTitle="Texto longo" error="Maneirismo e voz: até 200 caracteres." type="textLength" errorStyle="warning" operator="lessThanOrEqual">
      <formula1>200</formula1>
    </dataValidation>
    <dataValidation sqref="E164" showDropDown="0" showInputMessage="0" showErrorMessage="1" allowBlank="1" errorTitle="Fora da lista" error="Atitude: escolha um valor da lista. A planilha pode não reconhecer outro valor." type="list" errorStyle="warning">
      <formula1>$AT$10:$AT$109</formula1>
    </dataValidation>
    <dataValidation sqref="G164" showDropDown="0" showInputMessage="0" showErrorMessage="1" allowBlank="1" errorTitle="Texto longo" error="Gancho: até 200 caracteres." type="textLength" errorStyle="warning" operator="lessThanOrEqual">
      <formula1>200</formula1>
    </dataValidation>
    <dataValidation sqref="B165" showDropDown="0" showInputMessage="0" showErrorMessage="1" allowBlank="1" errorTitle="Texto longo" error="Maneirismo e voz: até 200 caracteres." type="textLength" errorStyle="warning" operator="lessThanOrEqual">
      <formula1>200</formula1>
    </dataValidation>
    <dataValidation sqref="E165" showDropDown="0" showInputMessage="0" showErrorMessage="1" allowBlank="1" errorTitle="Fora da lista" error="Atitude: escolha um valor da lista. A planilha pode não reconhecer outro valor." type="list" errorStyle="warning">
      <formula1>$AT$10:$AT$109</formula1>
    </dataValidation>
    <dataValidation sqref="G165" showDropDown="0" showInputMessage="0" showErrorMessage="1" allowBlank="1" errorTitle="Texto longo" error="Gancho: até 200 caracteres." type="textLength" errorStyle="warning" operator="lessThanOrEqual">
      <formula1>200</formula1>
    </dataValidation>
    <dataValidation sqref="B166" showDropDown="0" showInputMessage="0" showErrorMessage="1" allowBlank="1" errorTitle="Texto longo" error="Maneirismo e voz: até 200 caracteres." type="textLength" errorStyle="warning" operator="lessThanOrEqual">
      <formula1>200</formula1>
    </dataValidation>
    <dataValidation sqref="E166" showDropDown="0" showInputMessage="0" showErrorMessage="1" allowBlank="1" errorTitle="Fora da lista" error="Atitude: escolha um valor da lista. A planilha pode não reconhecer outro valor." type="list" errorStyle="warning">
      <formula1>$AT$10:$AT$109</formula1>
    </dataValidation>
    <dataValidation sqref="G166" showDropDown="0" showInputMessage="0" showErrorMessage="1" allowBlank="1" errorTitle="Texto longo" error="Gancho: até 200 caracteres." type="textLength" errorStyle="warning" operator="lessThanOrEqual">
      <formula1>200</formula1>
    </dataValidation>
    <dataValidation sqref="B167" showDropDown="0" showInputMessage="0" showErrorMessage="1" allowBlank="1" errorTitle="Texto longo" error="Maneirismo e voz: até 200 caracteres." type="textLength" errorStyle="warning" operator="lessThanOrEqual">
      <formula1>200</formula1>
    </dataValidation>
    <dataValidation sqref="E167" showDropDown="0" showInputMessage="0" showErrorMessage="1" allowBlank="1" errorTitle="Fora da lista" error="Atitude: escolha um valor da lista. A planilha pode não reconhecer outro valor." type="list" errorStyle="warning">
      <formula1>$AT$10:$AT$109</formula1>
    </dataValidation>
    <dataValidation sqref="G167" showDropDown="0" showInputMessage="0" showErrorMessage="1" allowBlank="1" errorTitle="Texto longo" error="Gancho: até 200 caracteres." type="textLength" errorStyle="warning" operator="lessThanOrEqual">
      <formula1>200</formula1>
    </dataValidation>
    <dataValidation sqref="B168" showDropDown="0" showInputMessage="0" showErrorMessage="1" allowBlank="1" errorTitle="Texto longo" error="Maneirismo e voz: até 200 caracteres." type="textLength" errorStyle="warning" operator="lessThanOrEqual">
      <formula1>200</formula1>
    </dataValidation>
    <dataValidation sqref="E168" showDropDown="0" showInputMessage="0" showErrorMessage="1" allowBlank="1" errorTitle="Fora da lista" error="Atitude: escolha um valor da lista. A planilha pode não reconhecer outro valor." type="list" errorStyle="warning">
      <formula1>$AT$10:$AT$109</formula1>
    </dataValidation>
    <dataValidation sqref="G168" showDropDown="0" showInputMessage="0" showErrorMessage="1" allowBlank="1" errorTitle="Texto longo" error="Gancho: até 200 caracteres." type="textLength" errorStyle="warning" operator="lessThanOrEqual">
      <formula1>200</formula1>
    </dataValidation>
    <dataValidation sqref="B170" showDropDown="0" showInputMessage="0" showErrorMessage="1" allowBlank="1" errorTitle="Texto longo" error="Maneirismo e voz: até 200 caracteres." type="textLength" errorStyle="warning" operator="lessThanOrEqual">
      <formula1>200</formula1>
    </dataValidation>
    <dataValidation sqref="E170" showDropDown="0" showInputMessage="0" showErrorMessage="1" allowBlank="1" errorTitle="Fora da lista" error="Atitude: escolha um valor da lista. A planilha pode não reconhecer outro valor." type="list" errorStyle="warning">
      <formula1>$AT$10:$AT$109</formula1>
    </dataValidation>
    <dataValidation sqref="G170" showDropDown="0" showInputMessage="0" showErrorMessage="1" allowBlank="1" errorTitle="Texto longo" error="Gancho: até 200 caracteres." type="textLength" errorStyle="warning" operator="lessThanOrEqual">
      <formula1>200</formula1>
    </dataValidation>
    <dataValidation sqref="B171" showDropDown="0" showInputMessage="0" showErrorMessage="1" allowBlank="1" errorTitle="Texto longo" error="Maneirismo e voz: até 200 caracteres." type="textLength" errorStyle="warning" operator="lessThanOrEqual">
      <formula1>200</formula1>
    </dataValidation>
    <dataValidation sqref="E171" showDropDown="0" showInputMessage="0" showErrorMessage="1" allowBlank="1" errorTitle="Fora da lista" error="Atitude: escolha um valor da lista. A planilha pode não reconhecer outro valor." type="list" errorStyle="warning">
      <formula1>$AT$10:$AT$109</formula1>
    </dataValidation>
    <dataValidation sqref="G171" showDropDown="0" showInputMessage="0" showErrorMessage="1" allowBlank="1" errorTitle="Texto longo" error="Gancho: até 200 caracteres." type="textLength" errorStyle="warning" operator="lessThanOrEqual">
      <formula1>200</formula1>
    </dataValidation>
    <dataValidation sqref="B172" showDropDown="0" showInputMessage="0" showErrorMessage="1" allowBlank="1" errorTitle="Texto longo" error="Maneirismo e voz: até 200 caracteres." type="textLength" errorStyle="warning" operator="lessThanOrEqual">
      <formula1>200</formula1>
    </dataValidation>
    <dataValidation sqref="E172" showDropDown="0" showInputMessage="0" showErrorMessage="1" allowBlank="1" errorTitle="Fora da lista" error="Atitude: escolha um valor da lista. A planilha pode não reconhecer outro valor." type="list" errorStyle="warning">
      <formula1>$AT$10:$AT$109</formula1>
    </dataValidation>
    <dataValidation sqref="G172" showDropDown="0" showInputMessage="0" showErrorMessage="1" allowBlank="1" errorTitle="Texto longo" error="Gancho: até 200 caracteres." type="textLength" errorStyle="warning" operator="lessThanOrEqual">
      <formula1>200</formula1>
    </dataValidation>
    <dataValidation sqref="B173" showDropDown="0" showInputMessage="0" showErrorMessage="1" allowBlank="1" errorTitle="Texto longo" error="Maneirismo e voz: até 200 caracteres." type="textLength" errorStyle="warning" operator="lessThanOrEqual">
      <formula1>200</formula1>
    </dataValidation>
    <dataValidation sqref="E173" showDropDown="0" showInputMessage="0" showErrorMessage="1" allowBlank="1" errorTitle="Fora da lista" error="Atitude: escolha um valor da lista. A planilha pode não reconhecer outro valor." type="list" errorStyle="warning">
      <formula1>$AT$10:$AT$109</formula1>
    </dataValidation>
    <dataValidation sqref="G173" showDropDown="0" showInputMessage="0" showErrorMessage="1" allowBlank="1" errorTitle="Texto longo" error="Gancho: até 200 caracteres." type="textLength" errorStyle="warning" operator="lessThanOrEqual">
      <formula1>200</formula1>
    </dataValidation>
    <dataValidation sqref="B174" showDropDown="0" showInputMessage="0" showErrorMessage="1" allowBlank="1" errorTitle="Texto longo" error="Maneirismo e voz: até 200 caracteres." type="textLength" errorStyle="warning" operator="lessThanOrEqual">
      <formula1>200</formula1>
    </dataValidation>
    <dataValidation sqref="E174" showDropDown="0" showInputMessage="0" showErrorMessage="1" allowBlank="1" errorTitle="Fora da lista" error="Atitude: escolha um valor da lista. A planilha pode não reconhecer outro valor." type="list" errorStyle="warning">
      <formula1>$AT$10:$AT$109</formula1>
    </dataValidation>
    <dataValidation sqref="G174" showDropDown="0" showInputMessage="0" showErrorMessage="1" allowBlank="1" errorTitle="Texto longo" error="Gancho: até 200 caracteres." type="textLength" errorStyle="warning" operator="lessThanOrEqual">
      <formula1>200</formula1>
    </dataValidation>
    <dataValidation sqref="B175" showDropDown="0" showInputMessage="0" showErrorMessage="1" allowBlank="1" errorTitle="Texto longo" error="Maneirismo e voz: até 200 caracteres." type="textLength" errorStyle="warning" operator="lessThanOrEqual">
      <formula1>200</formula1>
    </dataValidation>
    <dataValidation sqref="E175" showDropDown="0" showInputMessage="0" showErrorMessage="1" allowBlank="1" errorTitle="Fora da lista" error="Atitude: escolha um valor da lista. A planilha pode não reconhecer outro valor." type="list" errorStyle="warning">
      <formula1>$AT$10:$AT$109</formula1>
    </dataValidation>
    <dataValidation sqref="G175" showDropDown="0" showInputMessage="0" showErrorMessage="1" allowBlank="1" errorTitle="Texto longo" error="Gancho: até 200 caracteres." type="textLength" errorStyle="warning" operator="lessThanOrEqual">
      <formula1>200</formula1>
    </dataValidation>
    <dataValidation sqref="B176" showDropDown="0" showInputMessage="0" showErrorMessage="1" allowBlank="1" errorTitle="Texto longo" error="Maneirismo e voz: até 200 caracteres." type="textLength" errorStyle="warning" operator="lessThanOrEqual">
      <formula1>200</formula1>
    </dataValidation>
    <dataValidation sqref="E176" showDropDown="0" showInputMessage="0" showErrorMessage="1" allowBlank="1" errorTitle="Fora da lista" error="Atitude: escolha um valor da lista. A planilha pode não reconhecer outro valor." type="list" errorStyle="warning">
      <formula1>$AT$10:$AT$109</formula1>
    </dataValidation>
    <dataValidation sqref="G176" showDropDown="0" showInputMessage="0" showErrorMessage="1" allowBlank="1" errorTitle="Texto longo" error="Gancho: até 200 caracteres." type="textLength" errorStyle="warning" operator="lessThanOrEqual">
      <formula1>200</formula1>
    </dataValidation>
    <dataValidation sqref="B177" showDropDown="0" showInputMessage="0" showErrorMessage="1" allowBlank="1" errorTitle="Texto longo" error="Maneirismo e voz: até 200 caracteres." type="textLength" errorStyle="warning" operator="lessThanOrEqual">
      <formula1>200</formula1>
    </dataValidation>
    <dataValidation sqref="E177" showDropDown="0" showInputMessage="0" showErrorMessage="1" allowBlank="1" errorTitle="Fora da lista" error="Atitude: escolha um valor da lista. A planilha pode não reconhecer outro valor." type="list" errorStyle="warning">
      <formula1>$AT$10:$AT$109</formula1>
    </dataValidation>
    <dataValidation sqref="G177" showDropDown="0" showInputMessage="0" showErrorMessage="1" allowBlank="1" errorTitle="Texto longo" error="Gancho: até 200 caracteres." type="textLength" errorStyle="warning" operator="lessThanOrEqual">
      <formula1>200</formula1>
    </dataValidation>
    <dataValidation sqref="B178" showDropDown="0" showInputMessage="0" showErrorMessage="1" allowBlank="1" errorTitle="Texto longo" error="Maneirismo e voz: até 200 caracteres." type="textLength" errorStyle="warning" operator="lessThanOrEqual">
      <formula1>200</formula1>
    </dataValidation>
    <dataValidation sqref="E178" showDropDown="0" showInputMessage="0" showErrorMessage="1" allowBlank="1" errorTitle="Fora da lista" error="Atitude: escolha um valor da lista. A planilha pode não reconhecer outro valor." type="list" errorStyle="warning">
      <formula1>$AT$10:$AT$109</formula1>
    </dataValidation>
    <dataValidation sqref="G178" showDropDown="0" showInputMessage="0" showErrorMessage="1" allowBlank="1" errorTitle="Texto longo" error="Gancho: até 200 caracteres." type="textLength" errorStyle="warning" operator="lessThanOrEqual">
      <formula1>200</formula1>
    </dataValidation>
    <dataValidation sqref="B179" showDropDown="0" showInputMessage="0" showErrorMessage="1" allowBlank="1" errorTitle="Texto longo" error="Maneirismo e voz: até 200 caracteres." type="textLength" errorStyle="warning" operator="lessThanOrEqual">
      <formula1>200</formula1>
    </dataValidation>
    <dataValidation sqref="E179" showDropDown="0" showInputMessage="0" showErrorMessage="1" allowBlank="1" errorTitle="Fora da lista" error="Atitude: escolha um valor da lista. A planilha pode não reconhecer outro valor." type="list" errorStyle="warning">
      <formula1>$AT$10:$AT$109</formula1>
    </dataValidation>
    <dataValidation sqref="G179" showDropDown="0" showInputMessage="0" showErrorMessage="1" allowBlank="1" errorTitle="Texto longo" error="Gancho: até 200 caracteres." type="textLength" errorStyle="warning" operator="lessThanOrEqual">
      <formula1>200</formula1>
    </dataValidation>
    <dataValidation sqref="B182" showDropDown="0" showInputMessage="0" showErrorMessage="1" allowBlank="1" errorTitle="Valor fora da faixa" error="Relação (−3 a +3): use um número inteiro de -3 a 3." type="whole" errorStyle="warning" operator="between">
      <formula1>-3</formula1>
      <formula2>3</formula2>
    </dataValidation>
    <dataValidation sqref="C182" showDropDown="0" showInputMessage="0" showErrorMessage="1" allowBlank="1" errorTitle="Fora da lista" error="Vivo?: escolha um valor da lista. A planilha pode não reconhecer outro valor." type="list" errorStyle="warning">
      <formula1>'Dados'!$AT$6:$AT$7</formula1>
    </dataValidation>
    <dataValidation sqref="D182" showDropDown="0" showInputMessage="0" showErrorMessage="1" allowBlank="1" errorTitle="Valor fora da faixa" error="Sessão em que apareceu: use um número inteiro de 1 a 999." type="whole" errorStyle="warning" operator="between">
      <formula1>1</formula1>
      <formula2>999</formula2>
    </dataValidation>
    <dataValidation sqref="E182" showDropDown="0" showInputMessage="0" showErrorMessage="1" allowBlank="1" errorTitle="Texto longo" error="Onde está: até 120 caracteres." type="textLength" errorStyle="warning" operator="lessThanOrEqual">
      <formula1>120</formula1>
    </dataValidation>
    <dataValidation sqref="H182" showDropDown="0" showInputMessage="0" showErrorMessage="1" allowBlank="1" errorTitle="Texto longo" error="Notas: até 200 caracteres." type="textLength" errorStyle="warning" operator="lessThanOrEqual">
      <formula1>200</formula1>
    </dataValidation>
    <dataValidation sqref="B183" showDropDown="0" showInputMessage="0" showErrorMessage="1" allowBlank="1" errorTitle="Valor fora da faixa" error="Relação (−3 a +3): use um número inteiro de -3 a 3." type="whole" errorStyle="warning" operator="between">
      <formula1>-3</formula1>
      <formula2>3</formula2>
    </dataValidation>
    <dataValidation sqref="C183" showDropDown="0" showInputMessage="0" showErrorMessage="1" allowBlank="1" errorTitle="Fora da lista" error="Vivo?: escolha um valor da lista. A planilha pode não reconhecer outro valor." type="list" errorStyle="warning">
      <formula1>'Dados'!$AT$6:$AT$7</formula1>
    </dataValidation>
    <dataValidation sqref="D183" showDropDown="0" showInputMessage="0" showErrorMessage="1" allowBlank="1" errorTitle="Valor fora da faixa" error="Sessão em que apareceu: use um número inteiro de 1 a 999." type="whole" errorStyle="warning" operator="between">
      <formula1>1</formula1>
      <formula2>999</formula2>
    </dataValidation>
    <dataValidation sqref="E183" showDropDown="0" showInputMessage="0" showErrorMessage="1" allowBlank="1" errorTitle="Texto longo" error="Onde está: até 120 caracteres." type="textLength" errorStyle="warning" operator="lessThanOrEqual">
      <formula1>120</formula1>
    </dataValidation>
    <dataValidation sqref="H183" showDropDown="0" showInputMessage="0" showErrorMessage="1" allowBlank="1" errorTitle="Texto longo" error="Notas: até 200 caracteres." type="textLength" errorStyle="warning" operator="lessThanOrEqual">
      <formula1>200</formula1>
    </dataValidation>
    <dataValidation sqref="B184" showDropDown="0" showInputMessage="0" showErrorMessage="1" allowBlank="1" errorTitle="Valor fora da faixa" error="Relação (−3 a +3): use um número inteiro de -3 a 3." type="whole" errorStyle="warning" operator="between">
      <formula1>-3</formula1>
      <formula2>3</formula2>
    </dataValidation>
    <dataValidation sqref="C184" showDropDown="0" showInputMessage="0" showErrorMessage="1" allowBlank="1" errorTitle="Fora da lista" error="Vivo?: escolha um valor da lista. A planilha pode não reconhecer outro valor." type="list" errorStyle="warning">
      <formula1>'Dados'!$AT$6:$AT$7</formula1>
    </dataValidation>
    <dataValidation sqref="D184" showDropDown="0" showInputMessage="0" showErrorMessage="1" allowBlank="1" errorTitle="Valor fora da faixa" error="Sessão em que apareceu: use um número inteiro de 1 a 999." type="whole" errorStyle="warning" operator="between">
      <formula1>1</formula1>
      <formula2>999</formula2>
    </dataValidation>
    <dataValidation sqref="E184" showDropDown="0" showInputMessage="0" showErrorMessage="1" allowBlank="1" errorTitle="Texto longo" error="Onde está: até 120 caracteres." type="textLength" errorStyle="warning" operator="lessThanOrEqual">
      <formula1>120</formula1>
    </dataValidation>
    <dataValidation sqref="H184" showDropDown="0" showInputMessage="0" showErrorMessage="1" allowBlank="1" errorTitle="Texto longo" error="Notas: até 200 caracteres." type="textLength" errorStyle="warning" operator="lessThanOrEqual">
      <formula1>200</formula1>
    </dataValidation>
    <dataValidation sqref="B185" showDropDown="0" showInputMessage="0" showErrorMessage="1" allowBlank="1" errorTitle="Valor fora da faixa" error="Relação (−3 a +3): use um número inteiro de -3 a 3." type="whole" errorStyle="warning" operator="between">
      <formula1>-3</formula1>
      <formula2>3</formula2>
    </dataValidation>
    <dataValidation sqref="C185" showDropDown="0" showInputMessage="0" showErrorMessage="1" allowBlank="1" errorTitle="Fora da lista" error="Vivo?: escolha um valor da lista. A planilha pode não reconhecer outro valor." type="list" errorStyle="warning">
      <formula1>'Dados'!$AT$6:$AT$7</formula1>
    </dataValidation>
    <dataValidation sqref="D185" showDropDown="0" showInputMessage="0" showErrorMessage="1" allowBlank="1" errorTitle="Valor fora da faixa" error="Sessão em que apareceu: use um número inteiro de 1 a 999." type="whole" errorStyle="warning" operator="between">
      <formula1>1</formula1>
      <formula2>999</formula2>
    </dataValidation>
    <dataValidation sqref="E185" showDropDown="0" showInputMessage="0" showErrorMessage="1" allowBlank="1" errorTitle="Texto longo" error="Onde está: até 120 caracteres." type="textLength" errorStyle="warning" operator="lessThanOrEqual">
      <formula1>120</formula1>
    </dataValidation>
    <dataValidation sqref="H185" showDropDown="0" showInputMessage="0" showErrorMessage="1" allowBlank="1" errorTitle="Texto longo" error="Notas: até 200 caracteres." type="textLength" errorStyle="warning" operator="lessThanOrEqual">
      <formula1>200</formula1>
    </dataValidation>
    <dataValidation sqref="B186" showDropDown="0" showInputMessage="0" showErrorMessage="1" allowBlank="1" errorTitle="Valor fora da faixa" error="Relação (−3 a +3): use um número inteiro de -3 a 3." type="whole" errorStyle="warning" operator="between">
      <formula1>-3</formula1>
      <formula2>3</formula2>
    </dataValidation>
    <dataValidation sqref="C186" showDropDown="0" showInputMessage="0" showErrorMessage="1" allowBlank="1" errorTitle="Fora da lista" error="Vivo?: escolha um valor da lista. A planilha pode não reconhecer outro valor." type="list" errorStyle="warning">
      <formula1>'Dados'!$AT$6:$AT$7</formula1>
    </dataValidation>
    <dataValidation sqref="D186" showDropDown="0" showInputMessage="0" showErrorMessage="1" allowBlank="1" errorTitle="Valor fora da faixa" error="Sessão em que apareceu: use um número inteiro de 1 a 999." type="whole" errorStyle="warning" operator="between">
      <formula1>1</formula1>
      <formula2>999</formula2>
    </dataValidation>
    <dataValidation sqref="E186" showDropDown="0" showInputMessage="0" showErrorMessage="1" allowBlank="1" errorTitle="Texto longo" error="Onde está: até 120 caracteres." type="textLength" errorStyle="warning" operator="lessThanOrEqual">
      <formula1>120</formula1>
    </dataValidation>
    <dataValidation sqref="H186" showDropDown="0" showInputMessage="0" showErrorMessage="1" allowBlank="1" errorTitle="Texto longo" error="Notas: até 200 caracteres." type="textLength" errorStyle="warning" operator="lessThanOrEqual">
      <formula1>200</formula1>
    </dataValidation>
    <dataValidation sqref="B187" showDropDown="0" showInputMessage="0" showErrorMessage="1" allowBlank="1" errorTitle="Valor fora da faixa" error="Relação (−3 a +3): use um número inteiro de -3 a 3." type="whole" errorStyle="warning" operator="between">
      <formula1>-3</formula1>
      <formula2>3</formula2>
    </dataValidation>
    <dataValidation sqref="C187" showDropDown="0" showInputMessage="0" showErrorMessage="1" allowBlank="1" errorTitle="Fora da lista" error="Vivo?: escolha um valor da lista. A planilha pode não reconhecer outro valor." type="list" errorStyle="warning">
      <formula1>'Dados'!$AT$6:$AT$7</formula1>
    </dataValidation>
    <dataValidation sqref="D187" showDropDown="0" showInputMessage="0" showErrorMessage="1" allowBlank="1" errorTitle="Valor fora da faixa" error="Sessão em que apareceu: use um número inteiro de 1 a 999." type="whole" errorStyle="warning" operator="between">
      <formula1>1</formula1>
      <formula2>999</formula2>
    </dataValidation>
    <dataValidation sqref="E187" showDropDown="0" showInputMessage="0" showErrorMessage="1" allowBlank="1" errorTitle="Texto longo" error="Onde está: até 120 caracteres." type="textLength" errorStyle="warning" operator="lessThanOrEqual">
      <formula1>120</formula1>
    </dataValidation>
    <dataValidation sqref="H187" showDropDown="0" showInputMessage="0" showErrorMessage="1" allowBlank="1" errorTitle="Texto longo" error="Notas: até 200 caracteres." type="textLength" errorStyle="warning" operator="lessThanOrEqual">
      <formula1>200</formula1>
    </dataValidation>
    <dataValidation sqref="B188" showDropDown="0" showInputMessage="0" showErrorMessage="1" allowBlank="1" errorTitle="Valor fora da faixa" error="Relação (−3 a +3): use um número inteiro de -3 a 3." type="whole" errorStyle="warning" operator="between">
      <formula1>-3</formula1>
      <formula2>3</formula2>
    </dataValidation>
    <dataValidation sqref="C188" showDropDown="0" showInputMessage="0" showErrorMessage="1" allowBlank="1" errorTitle="Fora da lista" error="Vivo?: escolha um valor da lista. A planilha pode não reconhecer outro valor." type="list" errorStyle="warning">
      <formula1>'Dados'!$AT$6:$AT$7</formula1>
    </dataValidation>
    <dataValidation sqref="D188" showDropDown="0" showInputMessage="0" showErrorMessage="1" allowBlank="1" errorTitle="Valor fora da faixa" error="Sessão em que apareceu: use um número inteiro de 1 a 999." type="whole" errorStyle="warning" operator="between">
      <formula1>1</formula1>
      <formula2>999</formula2>
    </dataValidation>
    <dataValidation sqref="E188" showDropDown="0" showInputMessage="0" showErrorMessage="1" allowBlank="1" errorTitle="Texto longo" error="Onde está: até 120 caracteres." type="textLength" errorStyle="warning" operator="lessThanOrEqual">
      <formula1>120</formula1>
    </dataValidation>
    <dataValidation sqref="H188" showDropDown="0" showInputMessage="0" showErrorMessage="1" allowBlank="1" errorTitle="Texto longo" error="Notas: até 200 caracteres." type="textLength" errorStyle="warning" operator="lessThanOrEqual">
      <formula1>200</formula1>
    </dataValidation>
    <dataValidation sqref="B189" showDropDown="0" showInputMessage="0" showErrorMessage="1" allowBlank="1" errorTitle="Valor fora da faixa" error="Relação (−3 a +3): use um número inteiro de -3 a 3." type="whole" errorStyle="warning" operator="between">
      <formula1>-3</formula1>
      <formula2>3</formula2>
    </dataValidation>
    <dataValidation sqref="C189" showDropDown="0" showInputMessage="0" showErrorMessage="1" allowBlank="1" errorTitle="Fora da lista" error="Vivo?: escolha um valor da lista. A planilha pode não reconhecer outro valor." type="list" errorStyle="warning">
      <formula1>'Dados'!$AT$6:$AT$7</formula1>
    </dataValidation>
    <dataValidation sqref="D189" showDropDown="0" showInputMessage="0" showErrorMessage="1" allowBlank="1" errorTitle="Valor fora da faixa" error="Sessão em que apareceu: use um número inteiro de 1 a 999." type="whole" errorStyle="warning" operator="between">
      <formula1>1</formula1>
      <formula2>999</formula2>
    </dataValidation>
    <dataValidation sqref="E189" showDropDown="0" showInputMessage="0" showErrorMessage="1" allowBlank="1" errorTitle="Texto longo" error="Onde está: até 120 caracteres." type="textLength" errorStyle="warning" operator="lessThanOrEqual">
      <formula1>120</formula1>
    </dataValidation>
    <dataValidation sqref="H189" showDropDown="0" showInputMessage="0" showErrorMessage="1" allowBlank="1" errorTitle="Texto longo" error="Notas: até 200 caracteres." type="textLength" errorStyle="warning" operator="lessThanOrEqual">
      <formula1>200</formula1>
    </dataValidation>
    <dataValidation sqref="B190" showDropDown="0" showInputMessage="0" showErrorMessage="1" allowBlank="1" errorTitle="Valor fora da faixa" error="Relação (−3 a +3): use um número inteiro de -3 a 3." type="whole" errorStyle="warning" operator="between">
      <formula1>-3</formula1>
      <formula2>3</formula2>
    </dataValidation>
    <dataValidation sqref="C190" showDropDown="0" showInputMessage="0" showErrorMessage="1" allowBlank="1" errorTitle="Fora da lista" error="Vivo?: escolha um valor da lista. A planilha pode não reconhecer outro valor." type="list" errorStyle="warning">
      <formula1>'Dados'!$AT$6:$AT$7</formula1>
    </dataValidation>
    <dataValidation sqref="D190" showDropDown="0" showInputMessage="0" showErrorMessage="1" allowBlank="1" errorTitle="Valor fora da faixa" error="Sessão em que apareceu: use um número inteiro de 1 a 999." type="whole" errorStyle="warning" operator="between">
      <formula1>1</formula1>
      <formula2>999</formula2>
    </dataValidation>
    <dataValidation sqref="E190" showDropDown="0" showInputMessage="0" showErrorMessage="1" allowBlank="1" errorTitle="Texto longo" error="Onde está: até 120 caracteres." type="textLength" errorStyle="warning" operator="lessThanOrEqual">
      <formula1>120</formula1>
    </dataValidation>
    <dataValidation sqref="H190" showDropDown="0" showInputMessage="0" showErrorMessage="1" allowBlank="1" errorTitle="Texto longo" error="Notas: até 200 caracteres." type="textLength" errorStyle="warning" operator="lessThanOrEqual">
      <formula1>200</formula1>
    </dataValidation>
    <dataValidation sqref="B191" showDropDown="0" showInputMessage="0" showErrorMessage="1" allowBlank="1" errorTitle="Valor fora da faixa" error="Relação (−3 a +3): use um número inteiro de -3 a 3." type="whole" errorStyle="warning" operator="between">
      <formula1>-3</formula1>
      <formula2>3</formula2>
    </dataValidation>
    <dataValidation sqref="C191" showDropDown="0" showInputMessage="0" showErrorMessage="1" allowBlank="1" errorTitle="Fora da lista" error="Vivo?: escolha um valor da lista. A planilha pode não reconhecer outro valor." type="list" errorStyle="warning">
      <formula1>'Dados'!$AT$6:$AT$7</formula1>
    </dataValidation>
    <dataValidation sqref="D191" showDropDown="0" showInputMessage="0" showErrorMessage="1" allowBlank="1" errorTitle="Valor fora da faixa" error="Sessão em que apareceu: use um número inteiro de 1 a 999." type="whole" errorStyle="warning" operator="between">
      <formula1>1</formula1>
      <formula2>999</formula2>
    </dataValidation>
    <dataValidation sqref="E191" showDropDown="0" showInputMessage="0" showErrorMessage="1" allowBlank="1" errorTitle="Texto longo" error="Onde está: até 120 caracteres." type="textLength" errorStyle="warning" operator="lessThanOrEqual">
      <formula1>120</formula1>
    </dataValidation>
    <dataValidation sqref="H191" showDropDown="0" showInputMessage="0" showErrorMessage="1" allowBlank="1" errorTitle="Texto longo" error="Notas: até 200 caracteres." type="textLength" errorStyle="warning" operator="lessThanOrEqual">
      <formula1>200</formula1>
    </dataValidation>
    <dataValidation sqref="B193" showDropDown="0" showInputMessage="0" showErrorMessage="1" allowBlank="1" errorTitle="Valor fora da faixa" error="Relação (−3 a +3): use um número inteiro de -3 a 3." type="whole" errorStyle="warning" operator="between">
      <formula1>-3</formula1>
      <formula2>3</formula2>
    </dataValidation>
    <dataValidation sqref="C193" showDropDown="0" showInputMessage="0" showErrorMessage="1" allowBlank="1" errorTitle="Fora da lista" error="Vivo?: escolha um valor da lista. A planilha pode não reconhecer outro valor." type="list" errorStyle="warning">
      <formula1>'Dados'!$AT$6:$AT$7</formula1>
    </dataValidation>
    <dataValidation sqref="D193" showDropDown="0" showInputMessage="0" showErrorMessage="1" allowBlank="1" errorTitle="Valor fora da faixa" error="Sessão em que apareceu: use um número inteiro de 1 a 999." type="whole" errorStyle="warning" operator="between">
      <formula1>1</formula1>
      <formula2>999</formula2>
    </dataValidation>
    <dataValidation sqref="E193" showDropDown="0" showInputMessage="0" showErrorMessage="1" allowBlank="1" errorTitle="Texto longo" error="Onde está: até 120 caracteres." type="textLength" errorStyle="warning" operator="lessThanOrEqual">
      <formula1>120</formula1>
    </dataValidation>
    <dataValidation sqref="H193" showDropDown="0" showInputMessage="0" showErrorMessage="1" allowBlank="1" errorTitle="Texto longo" error="Notas: até 200 caracteres." type="textLength" errorStyle="warning" operator="lessThanOrEqual">
      <formula1>200</formula1>
    </dataValidation>
    <dataValidation sqref="B194" showDropDown="0" showInputMessage="0" showErrorMessage="1" allowBlank="1" errorTitle="Valor fora da faixa" error="Relação (−3 a +3): use um número inteiro de -3 a 3." type="whole" errorStyle="warning" operator="between">
      <formula1>-3</formula1>
      <formula2>3</formula2>
    </dataValidation>
    <dataValidation sqref="C194" showDropDown="0" showInputMessage="0" showErrorMessage="1" allowBlank="1" errorTitle="Fora da lista" error="Vivo?: escolha um valor da lista. A planilha pode não reconhecer outro valor." type="list" errorStyle="warning">
      <formula1>'Dados'!$AT$6:$AT$7</formula1>
    </dataValidation>
    <dataValidation sqref="D194" showDropDown="0" showInputMessage="0" showErrorMessage="1" allowBlank="1" errorTitle="Valor fora da faixa" error="Sessão em que apareceu: use um número inteiro de 1 a 999." type="whole" errorStyle="warning" operator="between">
      <formula1>1</formula1>
      <formula2>999</formula2>
    </dataValidation>
    <dataValidation sqref="E194" showDropDown="0" showInputMessage="0" showErrorMessage="1" allowBlank="1" errorTitle="Texto longo" error="Onde está: até 120 caracteres." type="textLength" errorStyle="warning" operator="lessThanOrEqual">
      <formula1>120</formula1>
    </dataValidation>
    <dataValidation sqref="H194" showDropDown="0" showInputMessage="0" showErrorMessage="1" allowBlank="1" errorTitle="Texto longo" error="Notas: até 200 caracteres." type="textLength" errorStyle="warning" operator="lessThanOrEqual">
      <formula1>200</formula1>
    </dataValidation>
    <dataValidation sqref="B195" showDropDown="0" showInputMessage="0" showErrorMessage="1" allowBlank="1" errorTitle="Valor fora da faixa" error="Relação (−3 a +3): use um número inteiro de -3 a 3." type="whole" errorStyle="warning" operator="between">
      <formula1>-3</formula1>
      <formula2>3</formula2>
    </dataValidation>
    <dataValidation sqref="C195" showDropDown="0" showInputMessage="0" showErrorMessage="1" allowBlank="1" errorTitle="Fora da lista" error="Vivo?: escolha um valor da lista. A planilha pode não reconhecer outro valor." type="list" errorStyle="warning">
      <formula1>'Dados'!$AT$6:$AT$7</formula1>
    </dataValidation>
    <dataValidation sqref="D195" showDropDown="0" showInputMessage="0" showErrorMessage="1" allowBlank="1" errorTitle="Valor fora da faixa" error="Sessão em que apareceu: use um número inteiro de 1 a 999." type="whole" errorStyle="warning" operator="between">
      <formula1>1</formula1>
      <formula2>999</formula2>
    </dataValidation>
    <dataValidation sqref="E195" showDropDown="0" showInputMessage="0" showErrorMessage="1" allowBlank="1" errorTitle="Texto longo" error="Onde está: até 120 caracteres." type="textLength" errorStyle="warning" operator="lessThanOrEqual">
      <formula1>120</formula1>
    </dataValidation>
    <dataValidation sqref="H195" showDropDown="0" showInputMessage="0" showErrorMessage="1" allowBlank="1" errorTitle="Texto longo" error="Notas: até 200 caracteres." type="textLength" errorStyle="warning" operator="lessThanOrEqual">
      <formula1>200</formula1>
    </dataValidation>
    <dataValidation sqref="B196" showDropDown="0" showInputMessage="0" showErrorMessage="1" allowBlank="1" errorTitle="Valor fora da faixa" error="Relação (−3 a +3): use um número inteiro de -3 a 3." type="whole" errorStyle="warning" operator="between">
      <formula1>-3</formula1>
      <formula2>3</formula2>
    </dataValidation>
    <dataValidation sqref="C196" showDropDown="0" showInputMessage="0" showErrorMessage="1" allowBlank="1" errorTitle="Fora da lista" error="Vivo?: escolha um valor da lista. A planilha pode não reconhecer outro valor." type="list" errorStyle="warning">
      <formula1>'Dados'!$AT$6:$AT$7</formula1>
    </dataValidation>
    <dataValidation sqref="D196" showDropDown="0" showInputMessage="0" showErrorMessage="1" allowBlank="1" errorTitle="Valor fora da faixa" error="Sessão em que apareceu: use um número inteiro de 1 a 999." type="whole" errorStyle="warning" operator="between">
      <formula1>1</formula1>
      <formula2>999</formula2>
    </dataValidation>
    <dataValidation sqref="E196" showDropDown="0" showInputMessage="0" showErrorMessage="1" allowBlank="1" errorTitle="Texto longo" error="Onde está: até 120 caracteres." type="textLength" errorStyle="warning" operator="lessThanOrEqual">
      <formula1>120</formula1>
    </dataValidation>
    <dataValidation sqref="H196" showDropDown="0" showInputMessage="0" showErrorMessage="1" allowBlank="1" errorTitle="Texto longo" error="Notas: até 200 caracteres." type="textLength" errorStyle="warning" operator="lessThanOrEqual">
      <formula1>200</formula1>
    </dataValidation>
    <dataValidation sqref="B197" showDropDown="0" showInputMessage="0" showErrorMessage="1" allowBlank="1" errorTitle="Valor fora da faixa" error="Relação (−3 a +3): use um número inteiro de -3 a 3." type="whole" errorStyle="warning" operator="between">
      <formula1>-3</formula1>
      <formula2>3</formula2>
    </dataValidation>
    <dataValidation sqref="C197" showDropDown="0" showInputMessage="0" showErrorMessage="1" allowBlank="1" errorTitle="Fora da lista" error="Vivo?: escolha um valor da lista. A planilha pode não reconhecer outro valor." type="list" errorStyle="warning">
      <formula1>'Dados'!$AT$6:$AT$7</formula1>
    </dataValidation>
    <dataValidation sqref="D197" showDropDown="0" showInputMessage="0" showErrorMessage="1" allowBlank="1" errorTitle="Valor fora da faixa" error="Sessão em que apareceu: use um número inteiro de 1 a 999." type="whole" errorStyle="warning" operator="between">
      <formula1>1</formula1>
      <formula2>999</formula2>
    </dataValidation>
    <dataValidation sqref="E197" showDropDown="0" showInputMessage="0" showErrorMessage="1" allowBlank="1" errorTitle="Texto longo" error="Onde está: até 120 caracteres." type="textLength" errorStyle="warning" operator="lessThanOrEqual">
      <formula1>120</formula1>
    </dataValidation>
    <dataValidation sqref="H197" showDropDown="0" showInputMessage="0" showErrorMessage="1" allowBlank="1" errorTitle="Texto longo" error="Notas: até 200 caracteres." type="textLength" errorStyle="warning" operator="lessThanOrEqual">
      <formula1>200</formula1>
    </dataValidation>
    <dataValidation sqref="B198" showDropDown="0" showInputMessage="0" showErrorMessage="1" allowBlank="1" errorTitle="Valor fora da faixa" error="Relação (−3 a +3): use um número inteiro de -3 a 3." type="whole" errorStyle="warning" operator="between">
      <formula1>-3</formula1>
      <formula2>3</formula2>
    </dataValidation>
    <dataValidation sqref="C198" showDropDown="0" showInputMessage="0" showErrorMessage="1" allowBlank="1" errorTitle="Fora da lista" error="Vivo?: escolha um valor da lista. A planilha pode não reconhecer outro valor." type="list" errorStyle="warning">
      <formula1>'Dados'!$AT$6:$AT$7</formula1>
    </dataValidation>
    <dataValidation sqref="D198" showDropDown="0" showInputMessage="0" showErrorMessage="1" allowBlank="1" errorTitle="Valor fora da faixa" error="Sessão em que apareceu: use um número inteiro de 1 a 999." type="whole" errorStyle="warning" operator="between">
      <formula1>1</formula1>
      <formula2>999</formula2>
    </dataValidation>
    <dataValidation sqref="E198" showDropDown="0" showInputMessage="0" showErrorMessage="1" allowBlank="1" errorTitle="Texto longo" error="Onde está: até 120 caracteres." type="textLength" errorStyle="warning" operator="lessThanOrEqual">
      <formula1>120</formula1>
    </dataValidation>
    <dataValidation sqref="H198" showDropDown="0" showInputMessage="0" showErrorMessage="1" allowBlank="1" errorTitle="Texto longo" error="Notas: até 200 caracteres." type="textLength" errorStyle="warning" operator="lessThanOrEqual">
      <formula1>200</formula1>
    </dataValidation>
    <dataValidation sqref="B199" showDropDown="0" showInputMessage="0" showErrorMessage="1" allowBlank="1" errorTitle="Valor fora da faixa" error="Relação (−3 a +3): use um número inteiro de -3 a 3." type="whole" errorStyle="warning" operator="between">
      <formula1>-3</formula1>
      <formula2>3</formula2>
    </dataValidation>
    <dataValidation sqref="C199" showDropDown="0" showInputMessage="0" showErrorMessage="1" allowBlank="1" errorTitle="Fora da lista" error="Vivo?: escolha um valor da lista. A planilha pode não reconhecer outro valor." type="list" errorStyle="warning">
      <formula1>'Dados'!$AT$6:$AT$7</formula1>
    </dataValidation>
    <dataValidation sqref="D199" showDropDown="0" showInputMessage="0" showErrorMessage="1" allowBlank="1" errorTitle="Valor fora da faixa" error="Sessão em que apareceu: use um número inteiro de 1 a 999." type="whole" errorStyle="warning" operator="between">
      <formula1>1</formula1>
      <formula2>999</formula2>
    </dataValidation>
    <dataValidation sqref="E199" showDropDown="0" showInputMessage="0" showErrorMessage="1" allowBlank="1" errorTitle="Texto longo" error="Onde está: até 120 caracteres." type="textLength" errorStyle="warning" operator="lessThanOrEqual">
      <formula1>120</formula1>
    </dataValidation>
    <dataValidation sqref="H199" showDropDown="0" showInputMessage="0" showErrorMessage="1" allowBlank="1" errorTitle="Texto longo" error="Notas: até 200 caracteres." type="textLength" errorStyle="warning" operator="lessThanOrEqual">
      <formula1>200</formula1>
    </dataValidation>
    <dataValidation sqref="B200" showDropDown="0" showInputMessage="0" showErrorMessage="1" allowBlank="1" errorTitle="Valor fora da faixa" error="Relação (−3 a +3): use um número inteiro de -3 a 3." type="whole" errorStyle="warning" operator="between">
      <formula1>-3</formula1>
      <formula2>3</formula2>
    </dataValidation>
    <dataValidation sqref="C200" showDropDown="0" showInputMessage="0" showErrorMessage="1" allowBlank="1" errorTitle="Fora da lista" error="Vivo?: escolha um valor da lista. A planilha pode não reconhecer outro valor." type="list" errorStyle="warning">
      <formula1>'Dados'!$AT$6:$AT$7</formula1>
    </dataValidation>
    <dataValidation sqref="D200" showDropDown="0" showInputMessage="0" showErrorMessage="1" allowBlank="1" errorTitle="Valor fora da faixa" error="Sessão em que apareceu: use um número inteiro de 1 a 999." type="whole" errorStyle="warning" operator="between">
      <formula1>1</formula1>
      <formula2>999</formula2>
    </dataValidation>
    <dataValidation sqref="E200" showDropDown="0" showInputMessage="0" showErrorMessage="1" allowBlank="1" errorTitle="Texto longo" error="Onde está: até 120 caracteres." type="textLength" errorStyle="warning" operator="lessThanOrEqual">
      <formula1>120</formula1>
    </dataValidation>
    <dataValidation sqref="H200" showDropDown="0" showInputMessage="0" showErrorMessage="1" allowBlank="1" errorTitle="Texto longo" error="Notas: até 200 caracteres." type="textLength" errorStyle="warning" operator="lessThanOrEqual">
      <formula1>200</formula1>
    </dataValidation>
    <dataValidation sqref="B201" showDropDown="0" showInputMessage="0" showErrorMessage="1" allowBlank="1" errorTitle="Valor fora da faixa" error="Relação (−3 a +3): use um número inteiro de -3 a 3." type="whole" errorStyle="warning" operator="between">
      <formula1>-3</formula1>
      <formula2>3</formula2>
    </dataValidation>
    <dataValidation sqref="C201" showDropDown="0" showInputMessage="0" showErrorMessage="1" allowBlank="1" errorTitle="Fora da lista" error="Vivo?: escolha um valor da lista. A planilha pode não reconhecer outro valor." type="list" errorStyle="warning">
      <formula1>'Dados'!$AT$6:$AT$7</formula1>
    </dataValidation>
    <dataValidation sqref="D201" showDropDown="0" showInputMessage="0" showErrorMessage="1" allowBlank="1" errorTitle="Valor fora da faixa" error="Sessão em que apareceu: use um número inteiro de 1 a 999." type="whole" errorStyle="warning" operator="between">
      <formula1>1</formula1>
      <formula2>999</formula2>
    </dataValidation>
    <dataValidation sqref="E201" showDropDown="0" showInputMessage="0" showErrorMessage="1" allowBlank="1" errorTitle="Texto longo" error="Onde está: até 120 caracteres." type="textLength" errorStyle="warning" operator="lessThanOrEqual">
      <formula1>120</formula1>
    </dataValidation>
    <dataValidation sqref="H201" showDropDown="0" showInputMessage="0" showErrorMessage="1" allowBlank="1" errorTitle="Texto longo" error="Notas: até 200 caracteres." type="textLength" errorStyle="warning" operator="lessThanOrEqual">
      <formula1>200</formula1>
    </dataValidation>
    <dataValidation sqref="B202" showDropDown="0" showInputMessage="0" showErrorMessage="1" allowBlank="1" errorTitle="Valor fora da faixa" error="Relação (−3 a +3): use um número inteiro de -3 a 3." type="whole" errorStyle="warning" operator="between">
      <formula1>-3</formula1>
      <formula2>3</formula2>
    </dataValidation>
    <dataValidation sqref="C202" showDropDown="0" showInputMessage="0" showErrorMessage="1" allowBlank="1" errorTitle="Fora da lista" error="Vivo?: escolha um valor da lista. A planilha pode não reconhecer outro valor." type="list" errorStyle="warning">
      <formula1>'Dados'!$AT$6:$AT$7</formula1>
    </dataValidation>
    <dataValidation sqref="D202" showDropDown="0" showInputMessage="0" showErrorMessage="1" allowBlank="1" errorTitle="Valor fora da faixa" error="Sessão em que apareceu: use um número inteiro de 1 a 999." type="whole" errorStyle="warning" operator="between">
      <formula1>1</formula1>
      <formula2>999</formula2>
    </dataValidation>
    <dataValidation sqref="E202" showDropDown="0" showInputMessage="0" showErrorMessage="1" allowBlank="1" errorTitle="Texto longo" error="Onde está: até 120 caracteres." type="textLength" errorStyle="warning" operator="lessThanOrEqual">
      <formula1>120</formula1>
    </dataValidation>
    <dataValidation sqref="H202" showDropDown="0" showInputMessage="0" showErrorMessage="1" allowBlank="1" errorTitle="Texto longo" error="Notas: até 200 caracteres." type="textLength" errorStyle="warning" operator="lessThanOrEqual">
      <formula1>200</formula1>
    </dataValidation>
    <dataValidation sqref="B204" showDropDown="0" showInputMessage="0" showErrorMessage="1" allowBlank="1" errorTitle="Valor fora da faixa" error="Relação (−3 a +3): use um número inteiro de -3 a 3." type="whole" errorStyle="warning" operator="between">
      <formula1>-3</formula1>
      <formula2>3</formula2>
    </dataValidation>
    <dataValidation sqref="C204" showDropDown="0" showInputMessage="0" showErrorMessage="1" allowBlank="1" errorTitle="Fora da lista" error="Vivo?: escolha um valor da lista. A planilha pode não reconhecer outro valor." type="list" errorStyle="warning">
      <formula1>'Dados'!$AT$6:$AT$7</formula1>
    </dataValidation>
    <dataValidation sqref="D204" showDropDown="0" showInputMessage="0" showErrorMessage="1" allowBlank="1" errorTitle="Valor fora da faixa" error="Sessão em que apareceu: use um número inteiro de 1 a 999." type="whole" errorStyle="warning" operator="between">
      <formula1>1</formula1>
      <formula2>999</formula2>
    </dataValidation>
    <dataValidation sqref="E204" showDropDown="0" showInputMessage="0" showErrorMessage="1" allowBlank="1" errorTitle="Texto longo" error="Onde está: até 120 caracteres." type="textLength" errorStyle="warning" operator="lessThanOrEqual">
      <formula1>120</formula1>
    </dataValidation>
    <dataValidation sqref="H204" showDropDown="0" showInputMessage="0" showErrorMessage="1" allowBlank="1" errorTitle="Texto longo" error="Notas: até 200 caracteres." type="textLength" errorStyle="warning" operator="lessThanOrEqual">
      <formula1>200</formula1>
    </dataValidation>
    <dataValidation sqref="B205" showDropDown="0" showInputMessage="0" showErrorMessage="1" allowBlank="1" errorTitle="Valor fora da faixa" error="Relação (−3 a +3): use um número inteiro de -3 a 3." type="whole" errorStyle="warning" operator="between">
      <formula1>-3</formula1>
      <formula2>3</formula2>
    </dataValidation>
    <dataValidation sqref="C205" showDropDown="0" showInputMessage="0" showErrorMessage="1" allowBlank="1" errorTitle="Fora da lista" error="Vivo?: escolha um valor da lista. A planilha pode não reconhecer outro valor." type="list" errorStyle="warning">
      <formula1>'Dados'!$AT$6:$AT$7</formula1>
    </dataValidation>
    <dataValidation sqref="D205" showDropDown="0" showInputMessage="0" showErrorMessage="1" allowBlank="1" errorTitle="Valor fora da faixa" error="Sessão em que apareceu: use um número inteiro de 1 a 999." type="whole" errorStyle="warning" operator="between">
      <formula1>1</formula1>
      <formula2>999</formula2>
    </dataValidation>
    <dataValidation sqref="E205" showDropDown="0" showInputMessage="0" showErrorMessage="1" allowBlank="1" errorTitle="Texto longo" error="Onde está: até 120 caracteres." type="textLength" errorStyle="warning" operator="lessThanOrEqual">
      <formula1>120</formula1>
    </dataValidation>
    <dataValidation sqref="H205" showDropDown="0" showInputMessage="0" showErrorMessage="1" allowBlank="1" errorTitle="Texto longo" error="Notas: até 200 caracteres." type="textLength" errorStyle="warning" operator="lessThanOrEqual">
      <formula1>200</formula1>
    </dataValidation>
    <dataValidation sqref="B206" showDropDown="0" showInputMessage="0" showErrorMessage="1" allowBlank="1" errorTitle="Valor fora da faixa" error="Relação (−3 a +3): use um número inteiro de -3 a 3." type="whole" errorStyle="warning" operator="between">
      <formula1>-3</formula1>
      <formula2>3</formula2>
    </dataValidation>
    <dataValidation sqref="C206" showDropDown="0" showInputMessage="0" showErrorMessage="1" allowBlank="1" errorTitle="Fora da lista" error="Vivo?: escolha um valor da lista. A planilha pode não reconhecer outro valor." type="list" errorStyle="warning">
      <formula1>'Dados'!$AT$6:$AT$7</formula1>
    </dataValidation>
    <dataValidation sqref="D206" showDropDown="0" showInputMessage="0" showErrorMessage="1" allowBlank="1" errorTitle="Valor fora da faixa" error="Sessão em que apareceu: use um número inteiro de 1 a 999." type="whole" errorStyle="warning" operator="between">
      <formula1>1</formula1>
      <formula2>999</formula2>
    </dataValidation>
    <dataValidation sqref="E206" showDropDown="0" showInputMessage="0" showErrorMessage="1" allowBlank="1" errorTitle="Texto longo" error="Onde está: até 120 caracteres." type="textLength" errorStyle="warning" operator="lessThanOrEqual">
      <formula1>120</formula1>
    </dataValidation>
    <dataValidation sqref="H206" showDropDown="0" showInputMessage="0" showErrorMessage="1" allowBlank="1" errorTitle="Texto longo" error="Notas: até 200 caracteres." type="textLength" errorStyle="warning" operator="lessThanOrEqual">
      <formula1>200</formula1>
    </dataValidation>
    <dataValidation sqref="B207" showDropDown="0" showInputMessage="0" showErrorMessage="1" allowBlank="1" errorTitle="Valor fora da faixa" error="Relação (−3 a +3): use um número inteiro de -3 a 3." type="whole" errorStyle="warning" operator="between">
      <formula1>-3</formula1>
      <formula2>3</formula2>
    </dataValidation>
    <dataValidation sqref="C207" showDropDown="0" showInputMessage="0" showErrorMessage="1" allowBlank="1" errorTitle="Fora da lista" error="Vivo?: escolha um valor da lista. A planilha pode não reconhecer outro valor." type="list" errorStyle="warning">
      <formula1>'Dados'!$AT$6:$AT$7</formula1>
    </dataValidation>
    <dataValidation sqref="D207" showDropDown="0" showInputMessage="0" showErrorMessage="1" allowBlank="1" errorTitle="Valor fora da faixa" error="Sessão em que apareceu: use um número inteiro de 1 a 999." type="whole" errorStyle="warning" operator="between">
      <formula1>1</formula1>
      <formula2>999</formula2>
    </dataValidation>
    <dataValidation sqref="E207" showDropDown="0" showInputMessage="0" showErrorMessage="1" allowBlank="1" errorTitle="Texto longo" error="Onde está: até 120 caracteres." type="textLength" errorStyle="warning" operator="lessThanOrEqual">
      <formula1>120</formula1>
    </dataValidation>
    <dataValidation sqref="H207" showDropDown="0" showInputMessage="0" showErrorMessage="1" allowBlank="1" errorTitle="Texto longo" error="Notas: até 200 caracteres." type="textLength" errorStyle="warning" operator="lessThanOrEqual">
      <formula1>200</formula1>
    </dataValidation>
    <dataValidation sqref="B208" showDropDown="0" showInputMessage="0" showErrorMessage="1" allowBlank="1" errorTitle="Valor fora da faixa" error="Relação (−3 a +3): use um número inteiro de -3 a 3." type="whole" errorStyle="warning" operator="between">
      <formula1>-3</formula1>
      <formula2>3</formula2>
    </dataValidation>
    <dataValidation sqref="C208" showDropDown="0" showInputMessage="0" showErrorMessage="1" allowBlank="1" errorTitle="Fora da lista" error="Vivo?: escolha um valor da lista. A planilha pode não reconhecer outro valor." type="list" errorStyle="warning">
      <formula1>'Dados'!$AT$6:$AT$7</formula1>
    </dataValidation>
    <dataValidation sqref="D208" showDropDown="0" showInputMessage="0" showErrorMessage="1" allowBlank="1" errorTitle="Valor fora da faixa" error="Sessão em que apareceu: use um número inteiro de 1 a 999." type="whole" errorStyle="warning" operator="between">
      <formula1>1</formula1>
      <formula2>999</formula2>
    </dataValidation>
    <dataValidation sqref="E208" showDropDown="0" showInputMessage="0" showErrorMessage="1" allowBlank="1" errorTitle="Texto longo" error="Onde está: até 120 caracteres." type="textLength" errorStyle="warning" operator="lessThanOrEqual">
      <formula1>120</formula1>
    </dataValidation>
    <dataValidation sqref="H208" showDropDown="0" showInputMessage="0" showErrorMessage="1" allowBlank="1" errorTitle="Texto longo" error="Notas: até 200 caracteres." type="textLength" errorStyle="warning" operator="lessThanOrEqual">
      <formula1>200</formula1>
    </dataValidation>
    <dataValidation sqref="B209" showDropDown="0" showInputMessage="0" showErrorMessage="1" allowBlank="1" errorTitle="Valor fora da faixa" error="Relação (−3 a +3): use um número inteiro de -3 a 3." type="whole" errorStyle="warning" operator="between">
      <formula1>-3</formula1>
      <formula2>3</formula2>
    </dataValidation>
    <dataValidation sqref="C209" showDropDown="0" showInputMessage="0" showErrorMessage="1" allowBlank="1" errorTitle="Fora da lista" error="Vivo?: escolha um valor da lista. A planilha pode não reconhecer outro valor." type="list" errorStyle="warning">
      <formula1>'Dados'!$AT$6:$AT$7</formula1>
    </dataValidation>
    <dataValidation sqref="D209" showDropDown="0" showInputMessage="0" showErrorMessage="1" allowBlank="1" errorTitle="Valor fora da faixa" error="Sessão em que apareceu: use um número inteiro de 1 a 999." type="whole" errorStyle="warning" operator="between">
      <formula1>1</formula1>
      <formula2>999</formula2>
    </dataValidation>
    <dataValidation sqref="E209" showDropDown="0" showInputMessage="0" showErrorMessage="1" allowBlank="1" errorTitle="Texto longo" error="Onde está: até 120 caracteres." type="textLength" errorStyle="warning" operator="lessThanOrEqual">
      <formula1>120</formula1>
    </dataValidation>
    <dataValidation sqref="H209" showDropDown="0" showInputMessage="0" showErrorMessage="1" allowBlank="1" errorTitle="Texto longo" error="Notas: até 200 caracteres." type="textLength" errorStyle="warning" operator="lessThanOrEqual">
      <formula1>200</formula1>
    </dataValidation>
    <dataValidation sqref="B210" showDropDown="0" showInputMessage="0" showErrorMessage="1" allowBlank="1" errorTitle="Valor fora da faixa" error="Relação (−3 a +3): use um número inteiro de -3 a 3." type="whole" errorStyle="warning" operator="between">
      <formula1>-3</formula1>
      <formula2>3</formula2>
    </dataValidation>
    <dataValidation sqref="C210" showDropDown="0" showInputMessage="0" showErrorMessage="1" allowBlank="1" errorTitle="Fora da lista" error="Vivo?: escolha um valor da lista. A planilha pode não reconhecer outro valor." type="list" errorStyle="warning">
      <formula1>'Dados'!$AT$6:$AT$7</formula1>
    </dataValidation>
    <dataValidation sqref="D210" showDropDown="0" showInputMessage="0" showErrorMessage="1" allowBlank="1" errorTitle="Valor fora da faixa" error="Sessão em que apareceu: use um número inteiro de 1 a 999." type="whole" errorStyle="warning" operator="between">
      <formula1>1</formula1>
      <formula2>999</formula2>
    </dataValidation>
    <dataValidation sqref="E210" showDropDown="0" showInputMessage="0" showErrorMessage="1" allowBlank="1" errorTitle="Texto longo" error="Onde está: até 120 caracteres." type="textLength" errorStyle="warning" operator="lessThanOrEqual">
      <formula1>120</formula1>
    </dataValidation>
    <dataValidation sqref="H210" showDropDown="0" showInputMessage="0" showErrorMessage="1" allowBlank="1" errorTitle="Texto longo" error="Notas: até 200 caracteres." type="textLength" errorStyle="warning" operator="lessThanOrEqual">
      <formula1>200</formula1>
    </dataValidation>
    <dataValidation sqref="B211" showDropDown="0" showInputMessage="0" showErrorMessage="1" allowBlank="1" errorTitle="Valor fora da faixa" error="Relação (−3 a +3): use um número inteiro de -3 a 3." type="whole" errorStyle="warning" operator="between">
      <formula1>-3</formula1>
      <formula2>3</formula2>
    </dataValidation>
    <dataValidation sqref="C211" showDropDown="0" showInputMessage="0" showErrorMessage="1" allowBlank="1" errorTitle="Fora da lista" error="Vivo?: escolha um valor da lista. A planilha pode não reconhecer outro valor." type="list" errorStyle="warning">
      <formula1>'Dados'!$AT$6:$AT$7</formula1>
    </dataValidation>
    <dataValidation sqref="D211" showDropDown="0" showInputMessage="0" showErrorMessage="1" allowBlank="1" errorTitle="Valor fora da faixa" error="Sessão em que apareceu: use um número inteiro de 1 a 999." type="whole" errorStyle="warning" operator="between">
      <formula1>1</formula1>
      <formula2>999</formula2>
    </dataValidation>
    <dataValidation sqref="E211" showDropDown="0" showInputMessage="0" showErrorMessage="1" allowBlank="1" errorTitle="Texto longo" error="Onde está: até 120 caracteres." type="textLength" errorStyle="warning" operator="lessThanOrEqual">
      <formula1>120</formula1>
    </dataValidation>
    <dataValidation sqref="H211" showDropDown="0" showInputMessage="0" showErrorMessage="1" allowBlank="1" errorTitle="Texto longo" error="Notas: até 200 caracteres." type="textLength" errorStyle="warning" operator="lessThanOrEqual">
      <formula1>200</formula1>
    </dataValidation>
    <dataValidation sqref="B212" showDropDown="0" showInputMessage="0" showErrorMessage="1" allowBlank="1" errorTitle="Valor fora da faixa" error="Relação (−3 a +3): use um número inteiro de -3 a 3." type="whole" errorStyle="warning" operator="between">
      <formula1>-3</formula1>
      <formula2>3</formula2>
    </dataValidation>
    <dataValidation sqref="C212" showDropDown="0" showInputMessage="0" showErrorMessage="1" allowBlank="1" errorTitle="Fora da lista" error="Vivo?: escolha um valor da lista. A planilha pode não reconhecer outro valor." type="list" errorStyle="warning">
      <formula1>'Dados'!$AT$6:$AT$7</formula1>
    </dataValidation>
    <dataValidation sqref="D212" showDropDown="0" showInputMessage="0" showErrorMessage="1" allowBlank="1" errorTitle="Valor fora da faixa" error="Sessão em que apareceu: use um número inteiro de 1 a 999." type="whole" errorStyle="warning" operator="between">
      <formula1>1</formula1>
      <formula2>999</formula2>
    </dataValidation>
    <dataValidation sqref="E212" showDropDown="0" showInputMessage="0" showErrorMessage="1" allowBlank="1" errorTitle="Texto longo" error="Onde está: até 120 caracteres." type="textLength" errorStyle="warning" operator="lessThanOrEqual">
      <formula1>120</formula1>
    </dataValidation>
    <dataValidation sqref="H212" showDropDown="0" showInputMessage="0" showErrorMessage="1" allowBlank="1" errorTitle="Texto longo" error="Notas: até 200 caracteres." type="textLength" errorStyle="warning" operator="lessThanOrEqual">
      <formula1>200</formula1>
    </dataValidation>
    <dataValidation sqref="B213" showDropDown="0" showInputMessage="0" showErrorMessage="1" allowBlank="1" errorTitle="Valor fora da faixa" error="Relação (−3 a +3): use um número inteiro de -3 a 3." type="whole" errorStyle="warning" operator="between">
      <formula1>-3</formula1>
      <formula2>3</formula2>
    </dataValidation>
    <dataValidation sqref="C213" showDropDown="0" showInputMessage="0" showErrorMessage="1" allowBlank="1" errorTitle="Fora da lista" error="Vivo?: escolha um valor da lista. A planilha pode não reconhecer outro valor." type="list" errorStyle="warning">
      <formula1>'Dados'!$AT$6:$AT$7</formula1>
    </dataValidation>
    <dataValidation sqref="D213" showDropDown="0" showInputMessage="0" showErrorMessage="1" allowBlank="1" errorTitle="Valor fora da faixa" error="Sessão em que apareceu: use um número inteiro de 1 a 999." type="whole" errorStyle="warning" operator="between">
      <formula1>1</formula1>
      <formula2>999</formula2>
    </dataValidation>
    <dataValidation sqref="E213" showDropDown="0" showInputMessage="0" showErrorMessage="1" allowBlank="1" errorTitle="Texto longo" error="Onde está: até 120 caracteres." type="textLength" errorStyle="warning" operator="lessThanOrEqual">
      <formula1>120</formula1>
    </dataValidation>
    <dataValidation sqref="H213" showDropDown="0" showInputMessage="0" showErrorMessage="1" allowBlank="1" errorTitle="Texto longo" error="Notas: até 200 caracteres." type="textLength" errorStyle="warning" operator="lessThanOrEqual">
      <formula1>200</formula1>
    </dataValidation>
    <dataValidation sqref="B216" showDropDown="0" showInputMessage="0" showErrorMessage="1" allowBlank="1" errorTitle="Fora da lista" error="NPC do Elenco: escolha um valor da lista. A planilha pode não reconhecer outro valor." type="list" errorStyle="warning">
      <formula1>'NPCs'!$AG$10:$AG$39</formula1>
    </dataValidation>
    <dataValidation sqref="G216" showDropDown="0" showInputMessage="0" showErrorMessage="1" allowBlank="1" errorTitle="Fora da lista" error="NPC do Elenco: escolha um valor da lista. A planilha pode não reconhecer outro valor." type="list" errorStyle="warning">
      <formula1>'NPCs'!$AG$10:$AG$39</formula1>
    </dataValidation>
    <dataValidation sqref="B225" showDropDown="0" showInputMessage="0" showErrorMessage="1" allowBlank="1" errorTitle="Fora da lista" error="NPC do Elenco: escolha um valor da lista. A planilha pode não reconhecer outro valor." type="list" errorStyle="warning">
      <formula1>'NPCs'!$AG$10:$AG$39</formula1>
    </dataValidation>
    <dataValidation sqref="G225" showDropDown="0" showInputMessage="0" showErrorMessage="1" allowBlank="1" errorTitle="Fora da lista" error="NPC do Elenco: escolha um valor da lista. A planilha pode não reconhecer outro valor." type="list" errorStyle="warning">
      <formula1>'NPCs'!$AG$10:$AG$39</formula1>
    </dataValidation>
  </dataValidations>
  <pageMargins left="0.75" right="0.75" top="1" bottom="1" header="0.5" footer="0.5"/>
  <pageSetup orientation="landscape" paperSize="9"/>
</worksheet>
</file>

<file path=xl/worksheets/sheet7.xml><?xml version="1.0" encoding="utf-8"?>
<worksheet xmlns="http://schemas.openxmlformats.org/spreadsheetml/2006/main">
  <sheetPr>
    <outlinePr summaryBelow="1" summaryRight="1"/>
    <pageSetUpPr/>
  </sheetPr>
  <dimension ref="A1:EA219"/>
  <sheetViews>
    <sheetView showGridLines="1" workbookViewId="0">
      <selection activeCell="A1" sqref="A1"/>
    </sheetView>
  </sheetViews>
  <sheetFormatPr baseColWidth="8" defaultRowHeight="15"/>
  <cols>
    <col width="20.786" customWidth="1" min="1" max="1"/>
    <col width="13.643" customWidth="1" min="2" max="2"/>
    <col width="13.643"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1.5" customWidth="1" min="11" max="11"/>
    <col width="21.5"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width="13" customWidth="1" min="61" max="61"/>
    <col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 hidden="1" width="13" customWidth="1" min="89" max="89"/>
    <col hidden="1" width="13" customWidth="1" min="90" max="90"/>
    <col hidden="1" width="13" customWidth="1" min="91" max="91"/>
    <col hidden="1" width="13" customWidth="1" min="92" max="92"/>
    <col hidden="1" width="13" customWidth="1" min="93" max="93"/>
    <col hidden="1" width="13" customWidth="1" min="94" max="94"/>
    <col hidden="1" width="13" customWidth="1" min="95" max="95"/>
    <col hidden="1" width="13" customWidth="1" min="96" max="96"/>
    <col hidden="1" width="13" customWidth="1" min="97" max="97"/>
    <col hidden="1" width="13" customWidth="1" min="98" max="98"/>
    <col hidden="1" width="13" customWidth="1" min="99" max="99"/>
    <col hidden="1" width="13" customWidth="1" min="100" max="100"/>
    <col hidden="1" width="13" customWidth="1" min="101" max="101"/>
    <col hidden="1" width="13" customWidth="1" min="102" max="102"/>
    <col hidden="1" width="13" customWidth="1" min="103" max="103"/>
    <col hidden="1" width="13" customWidth="1" min="104" max="104"/>
    <col hidden="1" width="13" customWidth="1" min="105" max="105"/>
    <col hidden="1" width="13" customWidth="1" min="106" max="106"/>
    <col hidden="1" width="13" customWidth="1" min="107" max="107"/>
    <col hidden="1" width="13" customWidth="1" min="108" max="108"/>
    <col hidden="1" width="13" customWidth="1" min="109" max="109"/>
    <col hidden="1" width="13" customWidth="1" min="110" max="110"/>
    <col hidden="1" width="13" customWidth="1" min="111" max="111"/>
    <col hidden="1" width="13" customWidth="1" min="112" max="112"/>
    <col hidden="1" width="13" customWidth="1" min="113" max="113"/>
    <col hidden="1" width="13" customWidth="1" min="114" max="114"/>
    <col hidden="1" width="13" customWidth="1" min="115" max="115"/>
    <col hidden="1" width="13" customWidth="1" min="116" max="116"/>
    <col hidden="1" width="13" customWidth="1" min="117" max="117"/>
    <col hidden="1" width="13" customWidth="1" min="118" max="118"/>
    <col hidden="1" width="13" customWidth="1" min="119" max="119"/>
    <col width="13" customWidth="1" min="120" max="120"/>
    <col hidden="1" width="13" customWidth="1" min="121" max="121"/>
    <col hidden="1" width="13" customWidth="1" min="122" max="122"/>
    <col hidden="1" width="13" customWidth="1" min="123" max="123"/>
    <col hidden="1" width="13" customWidth="1" min="124" max="124"/>
    <col hidden="1" width="13" customWidth="1" min="125" max="125"/>
    <col hidden="1" width="13" customWidth="1" min="126" max="126"/>
    <col hidden="1" width="13" customWidth="1" min="127" max="127"/>
    <col hidden="1" width="13" customWidth="1" min="128" max="128"/>
    <col hidden="1" width="13" customWidth="1" min="129" max="129"/>
    <col hidden="1" width="13" customWidth="1" min="130" max="130"/>
    <col hidden="1" width="13" customWidth="1" min="131" max="131"/>
  </cols>
  <sheetData>
    <row r="1" ht="24" customHeight="1">
      <c r="A1" s="1" t="inlineStr">
        <is>
          <t>Inimigos — Explorando Galáxias v1.1</t>
        </is>
      </c>
    </row>
    <row r="2" ht="37" customHeight="1">
      <c r="A2" s="2"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Criador de Inimigos: uma linha por inimigo da campanha, com a ficha de 28.1 pronta.</t>
        </is>
      </c>
    </row>
    <row r="4"/>
    <row r="5" ht="20" customHeight="1">
      <c r="A5" s="12" t="inlineStr">
        <is>
          <t>Criador de Inimigos — uma linha por inimigo da campanha (28.1, 28.3, 28.4)</t>
        </is>
      </c>
    </row>
    <row r="6">
      <c r="A6" s="11" t="inlineStr">
        <is>
          <t>Modo vazio = Faixa do livro; Faixa vazia = faixa do grupo; Tipo vazio = Comum (no modo Ajustar, o da base). A tabela já alimenta as listas de Encontros e Combate: não precisa copiar nada.</t>
        </is>
      </c>
    </row>
    <row r="7" ht="37" customHeight="1">
      <c r="A7" s="8" t="inlineStr">
        <is>
          <t>Rolagem nº (Fraquezas sugeridas)</t>
        </is>
      </c>
      <c r="B7" s="15" t="n"/>
      <c r="C7" s="17">
        <f>IF(ISNUMBER($DR$7),IF(AND($DR$7&gt;=1,$DR$7&lt;=1000000,INT($DR$7)=$DR$7),$DR$7,1),1)</f>
        <v/>
      </c>
      <c r="D7" s="11" t="inlineStr">
        <is>
          <t>Some 1 para sortear outra ordem de Fraquezas sugeridas.</t>
        </is>
      </c>
      <c r="K7" s="18">
        <f>IF(EA7&gt;0,"O Google leu como fórmula: digite de novo com ' na frente.",IF(LEN($DR$7)=0,"",IF(ISNUMBER($DR$7),IF(AND($DR$7&gt;=1,$DR$7&lt;=1000000,INT($DR$7)=$DR$7),"","Rolagem nº fora de 1 a 1.000.000: usando 1"),"Rolagem nº fora de 1 a 1.000.000: usando 1")))</f>
        <v/>
      </c>
      <c r="DR7" s="19">
        <f>IF(ISERROR($B$7),"",IF(ISBLANK($B$7),"",$B$7))</f>
        <v/>
      </c>
      <c r="EA7" s="19">
        <f>ISERROR($B$7)*1</f>
        <v/>
      </c>
    </row>
    <row r="8"/>
    <row r="9" ht="20" customHeight="1">
      <c r="A9" s="12" t="inlineStr">
        <is>
          <t>I1 · Conceito (preencha)</t>
        </is>
      </c>
    </row>
    <row r="10" ht="26" customHeight="1">
      <c r="A10" s="7" t="inlineStr">
        <is>
          <t>Nome</t>
        </is>
      </c>
      <c r="B10" s="7" t="inlineStr">
        <is>
          <t>Modo</t>
        </is>
      </c>
      <c r="C10" s="20" t="n"/>
      <c r="D10" s="7" t="inlineStr">
        <is>
          <t>Base do bestiário (modo Ajustar)</t>
        </is>
      </c>
      <c r="E10" s="20" t="n"/>
      <c r="F10" s="20" t="n"/>
      <c r="G10" s="7" t="inlineStr">
        <is>
          <t>Faixa</t>
        </is>
      </c>
      <c r="H10" s="7" t="inlineStr">
        <is>
          <t>Nível (modo Por nível)</t>
        </is>
      </c>
      <c r="I10" s="7" t="inlineStr">
        <is>
          <t>Tipo</t>
        </is>
      </c>
      <c r="J10" s="7" t="inlineStr">
        <is>
          <t>Fases (Boss, 1 a 3)</t>
        </is>
      </c>
      <c r="K10" s="7" t="inlineStr">
        <is>
          <t>Aviso</t>
        </is>
      </c>
      <c r="L10" s="20" t="n"/>
    </row>
    <row r="11" ht="26" customHeight="1">
      <c r="A11" s="30" t="n"/>
      <c r="B11" s="3" t="n"/>
      <c r="C11" s="16" t="n"/>
      <c r="D11" s="3" t="n"/>
      <c r="E11" s="24" t="n"/>
      <c r="F11" s="16" t="n"/>
      <c r="G11" s="36" t="n"/>
      <c r="H11" s="15" t="n"/>
      <c r="I11" s="36" t="n"/>
      <c r="J11" s="15" t="n"/>
      <c r="K11" s="18">
        <f>IF(EA11&gt;0,"O Google leu como fórmula: escolha de novo ou digite com ' na frente.",IF(LEN($DQ$11)=0,IF(LEN($DR$11&amp;$DT$11&amp;$DY$11)&gt;0,"Linha sem nome: o inimigo não entra nas listas",""),IF(COUNTIF($DQ$11:$DQ$22,$DQ$11)&gt;1,"Nome repetido na tabela",IF(COUNTIF('Dados'!$B$92:$B$123,$DQ$11)&gt;0,"Nome igual a uma criatura do bestiário: dê outro nome",IF(AND($BK$11="Ajustar do bestiário",$BL$11=0),"Modo Ajustar sem base do bestiário válida",IF(AND(LEN($DZ$11)&gt;0,$BN$11&lt;&gt;"Boss"),"Fases só valem para Boss (28.5)",IF(AND(ISNUMBER($DX$11),OR($DX$11&lt;1,$DX$11&gt;20)),"Nível fora de 1 a 20: usando o limite",IF(AND(LEN($DY$11)&gt;0,COUNTIF('Dados'!$AO$6:$AO$8,$DY$11)=0),"Tipo fora da lista: usando Comum",""))))))))</f>
        <v/>
      </c>
      <c r="N11" s="19">
        <f>IF(LEN($DQ$11)=0,"",$DQ$11)</f>
        <v/>
      </c>
      <c r="O11" s="19">
        <f>IF(LEN($DQ$11)=0,"",$BN$11)</f>
        <v/>
      </c>
      <c r="P11" s="19">
        <f>IF(LEN($DQ$11)=0,"",$BQ$11)</f>
        <v/>
      </c>
      <c r="Q11" s="19">
        <f>IF(LEN($DQ$11)=0,"",$BU$11)</f>
        <v/>
      </c>
      <c r="R11" s="19">
        <f>IF(LEN($DQ$11)=0,"",IFERROR(INDEX('Dados'!$E$38:$E$52,MATCH($BS$11,'Dados'!$A$38:$A$52,0)),""))</f>
        <v/>
      </c>
      <c r="S11" s="19">
        <f>IF(LEN($DQ$11)=0,"",IFERROR(INDEX('Dados'!$F$38:$F$52,MATCH($BS$11,'Dados'!$A$38:$A$52,0)),""))</f>
        <v/>
      </c>
      <c r="T11" s="19">
        <f>IF(LEN($DQ$11)=0,"",IFERROR(INDEX('Dados'!$G$38:$G$52,MATCH($BS$11,'Dados'!$A$38:$A$52,0)),""))</f>
        <v/>
      </c>
      <c r="U11" s="19">
        <f>IF(LEN($DQ$11)=0,"",IFERROR(INDEX('Dados'!$H$38:$H$52,MATCH($BS$11,'Dados'!$A$38:$A$52,0)),""))</f>
        <v/>
      </c>
      <c r="V11" s="19">
        <f>IF(LEN($DQ$11)=0,"",IFERROR(INDEX('Dados'!$I$38:$I$52,MATCH($BS$11,'Dados'!$A$38:$A$52,0)),""))</f>
        <v/>
      </c>
      <c r="W11" s="19">
        <f>IF(LEN($DQ$11)=0,"",IFERROR(INDEX('Dados'!$J$38:$J$52,MATCH($BS$11,'Dados'!$A$38:$A$52,0)),""))</f>
        <v/>
      </c>
      <c r="X11" s="19">
        <f>IF(LEN($DQ$11)=0,"",IFERROR(INDEX('Dados'!$K$38:$K$52,MATCH($BS$11,'Dados'!$A$38:$A$52,0)),""))</f>
        <v/>
      </c>
      <c r="Y11" s="19">
        <f>IF(LEN($DQ$11)=0,"",IFERROR(INDEX('Dados'!$L$38:$L$52,MATCH($BS$11,'Dados'!$A$38:$A$52,0)),""))</f>
        <v/>
      </c>
      <c r="Z11" s="19">
        <f>IF(LEN($DQ$11)=0,"",IFERROR(INDEX('Dados'!$M$38:$M$52,MATCH($BS$11,'Dados'!$A$38:$A$52,0)),""))</f>
        <v/>
      </c>
      <c r="AA11" s="19">
        <f>IF(LEN($DQ$11)=0,"",$BY$11)</f>
        <v/>
      </c>
      <c r="AB11" s="19">
        <f>IF(LEN($DQ$11)=0,"",$BZ$11)</f>
        <v/>
      </c>
      <c r="AC11" s="19">
        <f>IF(LEN($DQ$11)=0,"",$CA$11)</f>
        <v/>
      </c>
      <c r="AD11" s="19">
        <f>IF(LEN($DQ$11)=0,"",$CB$11)</f>
        <v/>
      </c>
      <c r="AE11" s="19">
        <f>IF(LEN($DQ$11)=0,"",$CC$11)</f>
        <v/>
      </c>
      <c r="AF11" s="19">
        <f>IF(LEN($DQ$11)=0,"",IF($DV$26="Sim","Pode",IF($DV$26="Não","Não",IF($BL$11=1,IFERROR(INDEX('Dados'!$V$92:$V$123,$BM$11)&amp;"",""),"Não declarado"))))</f>
        <v/>
      </c>
      <c r="AG11" s="19">
        <f>IF(LEN($DQ$11)=0,"",$BV$11)</f>
        <v/>
      </c>
      <c r="AH11" s="19">
        <f>IF(LEN($DQ$11)=0,"",IFERROR(INDEX('Dados'!$Q$38:$Q$52,MATCH($BS$11,'Dados'!$A$38:$A$52,0)),""))</f>
        <v/>
      </c>
      <c r="AI11" s="19">
        <f>IF(LEN($DQ$11)=0,"",IF(AND($BL$11=1,$DT$11="Escória de Stellaron"),1.5,1)*$BU$11)</f>
        <v/>
      </c>
      <c r="AJ11" s="19">
        <f>IF(LEN($DQ$11)=0,"",IFERROR(INDEX('Dados'!$P$38:$P$52,MATCH($BS$11,'Dados'!$A$38:$A$52,0)),""))</f>
        <v/>
      </c>
      <c r="AK11" s="19">
        <f>IF(LEN($DQ$11)=0,"",IF($BV$11=2,INT($BU$11/2),IF($BV$11=3,INT(2*$BU$11/3),"")))</f>
        <v/>
      </c>
      <c r="AL11" s="19">
        <f>IF(LEN($DQ$11)=0,"",IF($BV$11=3,INT($BU$11/3),""))</f>
        <v/>
      </c>
      <c r="AM11" s="19">
        <f>IF(OR(LEN($DQ$11)=0,$BV$11&lt;2),"",IFERROR(INDEX($DT$88:$DT$112,MATCH($DQ$11&amp;"|2",$N$88:$N$112,0))&amp;"",IF($BL$11=1,IFERROR(INDEX('Dados'!$G$127:$G$138,MATCH($DT$11&amp;"|2",'Dados'!$A$127:$A$138,0)),""),"")))</f>
        <v/>
      </c>
      <c r="AN11" s="19">
        <f>IF(OR(LEN($DQ$11)=0,$BV$11&lt;2),"",IFERROR(INDEX($DU$88:$DU$112,MATCH($DQ$11&amp;"|2",$N$88:$N$112,0))&amp;"",IF($BL$11=1,IFERROR(INDEX('Dados'!$H$127:$H$138,MATCH($DT$11&amp;"|2",'Dados'!$A$127:$A$138,0)),""),"")))</f>
        <v/>
      </c>
      <c r="AO11" s="19">
        <f>IF(OR(LEN($DQ$11)=0,$BV$11&lt;2),"",IFERROR(INDEX($DV$88:$DV$112,MATCH($DQ$11&amp;"|2",$N$88:$N$112,0))&amp;"",IF($BL$11=1,IFERROR(INDEX('Dados'!$I$127:$I$138,MATCH($DT$11&amp;"|2",'Dados'!$A$127:$A$138,0)),""),"")))</f>
        <v/>
      </c>
      <c r="AP11" s="19">
        <f>IF(OR(LEN($DQ$11)=0,$BV$11&lt;2),"",IFERROR(INDEX($DW$88:$DW$112,MATCH($DQ$11&amp;"|2",$N$88:$N$112,0))&amp;"",IF($BL$11=1,IFERROR(INDEX('Dados'!$J$127:$J$138,MATCH($DT$11&amp;"|2",'Dados'!$A$127:$A$138,0)),""),"")))</f>
        <v/>
      </c>
      <c r="AQ11" s="19">
        <f>IF(OR(LEN($DQ$11)=0,$BV$11&lt;2),"",IF(ISNUMBER(MATCH($DQ$11&amp;"|2",$N$88:$N$112,0)),IF(ISNUMBER(INDEX($DX$88:$DX$112,MATCH($DQ$11&amp;"|2",$N$88:$N$112,0))),MIN(IFERROR(INDEX('Dados'!$G$38:$G$52,MATCH($BS$11,'Dados'!$A$38:$A$52,0)),""),INDEX($DX$88:$DX$112,MATCH($DQ$11&amp;"|2",$N$88:$N$112,0))),IFERROR(INDEX('Dados'!$G$38:$G$52,MATCH($BS$11,'Dados'!$A$38:$A$52,0)),"")),IF($BL$11=1,IFERROR(MIN(IFERROR(INDEX('Dados'!$G$38:$G$52,MATCH($BS$11,'Dados'!$A$38:$A$52,0)),""),INT(INDEX('Dados'!$K$127:$K$138,MATCH($DT$11&amp;"|2",'Dados'!$A$127:$A$138,0))*IFERROR(INDEX('Dados'!$G$38:$G$52,MATCH($BS$11,'Dados'!$A$38:$A$52,0)),"")/$CH$11)),IFERROR(INDEX('Dados'!$G$38:$G$52,MATCH($BS$11,'Dados'!$A$38:$A$52,0)),"")),IFERROR(INDEX('Dados'!$G$38:$G$52,MATCH($BS$11,'Dados'!$A$38:$A$52,0)),""))))</f>
        <v/>
      </c>
      <c r="AR11" s="19">
        <f>IF(OR(LEN($DQ$11)=0,$BV$11&lt;3),"",IFERROR(INDEX($DT$88:$DT$112,MATCH($DQ$11&amp;"|3",$N$88:$N$112,0))&amp;"",IF($BL$11=1,IFERROR(INDEX('Dados'!$G$127:$G$138,MATCH($DT$11&amp;"|3",'Dados'!$A$127:$A$138,0)),""),"")))</f>
        <v/>
      </c>
      <c r="AS11" s="19">
        <f>IF(OR(LEN($DQ$11)=0,$BV$11&lt;3),"",IFERROR(INDEX($DU$88:$DU$112,MATCH($DQ$11&amp;"|3",$N$88:$N$112,0))&amp;"",IF($BL$11=1,IFERROR(INDEX('Dados'!$H$127:$H$138,MATCH($DT$11&amp;"|3",'Dados'!$A$127:$A$138,0)),""),"")))</f>
        <v/>
      </c>
      <c r="AT11" s="19">
        <f>IF(OR(LEN($DQ$11)=0,$BV$11&lt;3),"",IFERROR(INDEX($DV$88:$DV$112,MATCH($DQ$11&amp;"|3",$N$88:$N$112,0))&amp;"",IF($BL$11=1,IFERROR(INDEX('Dados'!$I$127:$I$138,MATCH($DT$11&amp;"|3",'Dados'!$A$127:$A$138,0)),""),"")))</f>
        <v/>
      </c>
      <c r="AU11" s="19">
        <f>IF(OR(LEN($DQ$11)=0,$BV$11&lt;3),"",IFERROR(INDEX($DW$88:$DW$112,MATCH($DQ$11&amp;"|3",$N$88:$N$112,0))&amp;"",IF($BL$11=1,IFERROR(INDEX('Dados'!$J$127:$J$138,MATCH($DT$11&amp;"|3",'Dados'!$A$127:$A$138,0)),""),"")))</f>
        <v/>
      </c>
      <c r="AV11" s="19">
        <f>IF(OR(LEN($DQ$11)=0,$BV$11&lt;3),"",IF(ISNUMBER(MATCH($DQ$11&amp;"|3",$N$88:$N$112,0)),IF(ISNUMBER(INDEX($DX$88:$DX$112,MATCH($DQ$11&amp;"|3",$N$88:$N$112,0))),MIN(IFERROR(INDEX('Dados'!$G$38:$G$52,MATCH($BS$11,'Dados'!$A$38:$A$52,0)),""),INDEX($DX$88:$DX$112,MATCH($DQ$11&amp;"|3",$N$88:$N$112,0))),IFERROR(INDEX('Dados'!$G$38:$G$52,MATCH($BS$11,'Dados'!$A$38:$A$52,0)),"")),IF($BL$11=1,IFERROR(MIN(IFERROR(INDEX('Dados'!$G$38:$G$52,MATCH($BS$11,'Dados'!$A$38:$A$52,0)),""),INT(INDEX('Dados'!$K$127:$K$138,MATCH($DT$11&amp;"|3",'Dados'!$A$127:$A$138,0))*IFERROR(INDEX('Dados'!$G$38:$G$52,MATCH($BS$11,'Dados'!$A$38:$A$52,0)),"")/$CH$11)),IFERROR(INDEX('Dados'!$G$38:$G$52,MATCH($BS$11,'Dados'!$A$38:$A$52,0)),"")),IFERROR(INDEX('Dados'!$G$38:$G$52,MATCH($BS$11,'Dados'!$A$38:$A$52,0)),""))))</f>
        <v/>
      </c>
      <c r="AW11" s="19">
        <f>IF(LEN($DQ$11)=0,"",IF($BL$11=1,IFERROR(INDEX('Dados'!$AF$92:$AF$123,$BM$11)&amp;"",""),IFERROR(INDEX($DU$116:$DU$153,MATCH($DQ$11&amp;"|1",$Q$116:$Q$153,0))&amp;"","")))</f>
        <v/>
      </c>
      <c r="AX11" s="19">
        <f>IF(LEN($DQ$11)=0,"",IF($BL$11=1,IF(ISNUMBER(IFERROR(INDEX('Dados'!$AG$92:$AG$123,$BM$11),"")),IF(IFERROR(INDEX('Dados'!$AG$92:$AG$123,$BM$11),"")&gt;0,IFERROR(INDEX('Dados'!$AG$92:$AG$123,$BM$11),""),""),""),IFERROR(INDEX($DY$116:$DY$153,MATCH($DQ$11&amp;"|1",$Q$116:$Q$153,0))+0,"")))</f>
        <v/>
      </c>
      <c r="AY11" s="19">
        <f>IF(LEN($DQ$11)=0,"",IF($BL$11=1,IFERROR(INDEX('Dados'!$AH$92:$AH$123,$BM$11)&amp;"",""),IFERROR(INDEX($DU$116:$DU$153,MATCH($DQ$11&amp;"|2",$Q$116:$Q$153,0))&amp;"","")))</f>
        <v/>
      </c>
      <c r="AZ11" s="19">
        <f>IF(LEN($DQ$11)=0,"",IF($BL$11=1,IF(ISNUMBER(IFERROR(INDEX('Dados'!$AI$92:$AI$123,$BM$11),"")),IF(IFERROR(INDEX('Dados'!$AI$92:$AI$123,$BM$11),"")&gt;0,IFERROR(INDEX('Dados'!$AI$92:$AI$123,$BM$11),""),""),""),IFERROR(INDEX($DY$116:$DY$153,MATCH($DQ$11&amp;"|2",$Q$116:$Q$153,0))+0,"")))</f>
        <v/>
      </c>
      <c r="BA11" s="19">
        <f>IF(LEN($DQ$11)=0,"",IF($BL$11=1,IFERROR(INDEX('Dados'!$AJ$92:$AJ$123,$BM$11)&amp;"",""),IFERROR(INDEX($DU$116:$DU$153,MATCH($DQ$11&amp;"|3",$Q$116:$Q$153,0))&amp;"","")))</f>
        <v/>
      </c>
      <c r="BB11" s="19">
        <f>IF(LEN($DQ$11)=0,"",IF($BL$11=1,IF(ISNUMBER(IFERROR(INDEX('Dados'!$AK$92:$AK$123,$BM$11),"")),IF(IFERROR(INDEX('Dados'!$AK$92:$AK$123,$BM$11),"")&gt;0,IFERROR(INDEX('Dados'!$AK$92:$AK$123,$BM$11),""),""),""),IFERROR(INDEX($DY$116:$DY$153,MATCH($DQ$11&amp;"|3",$Q$116:$Q$153,0))+0,"")))</f>
        <v/>
      </c>
      <c r="BC11" s="19">
        <f>IF(LEN($DQ$11)=0,"",IF(LEN($DR$26)&gt;0,$DR$26,IF($BL$11=1,IFERROR(INDEX('Dados'!$E$92:$E$123,$BM$11)&amp;"",""),"")))</f>
        <v/>
      </c>
      <c r="BD11" s="19">
        <f>IF(AND(LEN($DR$26)=0,$BL$11=1),IFERROR(INDEX('Dados'!$AD$92:$AD$123,$BM$11)&amp;"",""),"")</f>
        <v/>
      </c>
      <c r="BE11" s="19">
        <f>IF(LEN($DQ$11)=0,"",INDEX('Dados'!$F$7:$F$11,$BR$11))</f>
        <v/>
      </c>
      <c r="BF11" s="19">
        <f>IF(LEN($DQ$11)=0,"",$BR$11)</f>
        <v/>
      </c>
      <c r="BG11" s="19">
        <f>$G$42</f>
        <v/>
      </c>
      <c r="BH11" s="19">
        <f>"Campanha"</f>
        <v/>
      </c>
      <c r="BK11" s="19">
        <f>IF(COUNTIF('Dados'!$AQ$6:$AQ$8,$DR$11)&gt;0,$DR$11,"Faixa do livro")</f>
        <v/>
      </c>
      <c r="BL11" s="19">
        <f>IF(AND($BK$11="Ajustar do bestiário",ISNUMBER($BM$11)),1,0)</f>
        <v/>
      </c>
      <c r="BM11" s="19">
        <f>IFERROR(MATCH($DT$11,'Dados'!$B$92:$B$123,0),"")</f>
        <v/>
      </c>
      <c r="BN11" s="19">
        <f>IF(COUNTIF('Dados'!$AO$6:$AO$8,$DY$11)&gt;0,$DY$11,IF($BL$11=1,IFERROR(INDEX('Dados'!$C$92:$C$123,$BM$11),""),"Comum"))</f>
        <v/>
      </c>
      <c r="BO11" s="19">
        <f>MATCH($BN$11,'Dados'!$AO$6:$AO$8,0)</f>
        <v/>
      </c>
      <c r="BP11" s="19">
        <f>IF(ISNUMBER($DX$11),MIN(20,MAX(1,INT($DX$11))),'Campanha'!$B$17)</f>
        <v/>
      </c>
      <c r="BQ11" s="19">
        <f>IF($BK$11="Por nível — Sugestão",INDEX('Dados'!$B$7:$B$11,INT(($BP$11-1)/4)+1),IF(LEN(IFERROR(INDEX('Dados'!$B$7:$B$11,MATCH($DW$11,'Dados'!$AP$6:$AP$10,0)),""))&gt;0,IFERROR(INDEX('Dados'!$B$7:$B$11,MATCH($DW$11,'Dados'!$AP$6:$AP$10,0)),""),'Campanha'!$B$19))</f>
        <v/>
      </c>
      <c r="BR11" s="19">
        <f>MATCH($BQ$11,'Dados'!$B$7:$B$11,0)</f>
        <v/>
      </c>
      <c r="BS11" s="19">
        <f>$BQ$11&amp;"|"&amp;$BN$11</f>
        <v/>
      </c>
      <c r="BT11" s="19">
        <f>MIN(4,MAX(1,INT(($BP$11-3)/4)+1))</f>
        <v/>
      </c>
      <c r="BU11" s="19">
        <f>IF($BK$11="Por nível — Sugestão",INT(IF($BP$11&lt;=3,INDEX('Dados'!$D$38:$D$52,$BO$11),IF($BP$11&gt;=19,INDEX('Dados'!$D$38:$D$52,12+$BO$11),INDEX('Dados'!$D$38:$D$52,($BT$11-1)*3+$BO$11)+(INDEX('Dados'!$D$38:$D$52,$BT$11*3+$BO$11)-INDEX('Dados'!$D$38:$D$52,($BT$11-1)*3+$BO$11))*($BP$11-(4*$BT$11-1))/4))),IFERROR(INDEX('Dados'!$D$38:$D$52,MATCH($BS$11,'Dados'!$A$38:$A$52,0)),""))</f>
        <v/>
      </c>
      <c r="BV11" s="19">
        <f>IF($BN$11&lt;&gt;"Boss",1,IF(AND(ISNUMBER($DZ$11),$DZ$11&gt;=1,$DZ$11&lt;=3),INT($DZ$11),IF($BL$11=1,MAX(1,IFERROR(INDEX('Dados'!$F$92:$F$123,$BM$11),"")),1)))</f>
        <v/>
      </c>
      <c r="BW11" s="19">
        <f>IFERROR(INDEX('Dados'!$O$38:$O$52,MATCH($BS$11,'Dados'!$A$38:$A$52,0)),"")</f>
        <v/>
      </c>
      <c r="BX11" s="19">
        <f>IF(AND(LEN($DR$42)=0,LEN($DS$42)=0,LEN($DT$42)=0,LEN($DU$42)=0),1,0)</f>
        <v/>
      </c>
      <c r="BY11" s="19">
        <f>IF(LEN($DQ$11)=0,"",IF($BX$11=0,$DR$42&amp;"",IF($BL$11=1,IFERROR(INDEX('Dados'!$Q$92:$Q$123,$BM$11)&amp;"",""),IF(1&lt;=$BW$11,$CD$11,""))))</f>
        <v/>
      </c>
      <c r="BZ11" s="19">
        <f>IF(LEN($DQ$11)=0,"",IF($BX$11=0,$DS$42&amp;"",IF($BL$11=1,IFERROR(INDEX('Dados'!$R$92:$R$123,$BM$11)&amp;"",""),IF(2&lt;=$BW$11,$CE$11,""))))</f>
        <v/>
      </c>
      <c r="CA11" s="19">
        <f>IF(LEN($DQ$11)=0,"",IF($BX$11=0,$DT$42&amp;"",IF($BL$11=1,IFERROR(INDEX('Dados'!$S$92:$S$123,$BM$11)&amp;"",""),IF(3&lt;=$BW$11,$CF$11,""))))</f>
        <v/>
      </c>
      <c r="CB11" s="19">
        <f>IF(LEN($DQ$11)=0,"",IF($BX$11=0,$DU$42&amp;"",IF($BL$11=1,IFERROR(INDEX('Dados'!$T$92:$T$123,$BM$11)&amp;"",""),IF(4&lt;=$BW$11,$CG$11,""))))</f>
        <v/>
      </c>
      <c r="CC11" s="19">
        <f>IF(LEN($DV$42)&gt;0,$DV$42,IF($BL$11=1,IFERROR(INDEX('Dados'!$U$92:$U$123,$BM$11)&amp;"",""),""))</f>
        <v/>
      </c>
      <c r="CD11" s="19">
        <f>INDEX('Dados'!$A$301:$A$307,MATCH(SMALL($DI$11:$DO$11,1),$DI$11:$DO$11,0))</f>
        <v/>
      </c>
      <c r="CE11" s="19">
        <f>INDEX('Dados'!$A$301:$A$307,MATCH(SMALL($DI$11:$DO$11,2),$DI$11:$DO$11,0))</f>
        <v/>
      </c>
      <c r="CF11" s="19">
        <f>INDEX('Dados'!$A$301:$A$307,MATCH(SMALL($DI$11:$DO$11,3),$DI$11:$DO$11,0))</f>
        <v/>
      </c>
      <c r="CG11" s="19">
        <f>INDEX('Dados'!$A$301:$A$307,MATCH(SMALL($DI$11:$DO$11,4),$DI$11:$DO$11,0))</f>
        <v/>
      </c>
      <c r="CH11" s="19">
        <f>IF($BL$11=1,IFERROR(INDEX('Dados'!$J$92:$J$123,$BM$11),""),"")</f>
        <v/>
      </c>
      <c r="CI11" s="19">
        <f>IF($BL$11=1,IFERROR(INDEX('Dados'!$G$92:$G$123,$BM$11),""),"")</f>
        <v/>
      </c>
      <c r="CJ11" s="19">
        <f>IFERROR(INDEX('Dados'!$S$38:$S$52,MATCH($BS$11,'Dados'!$A$38:$A$52,0)),"")</f>
        <v/>
      </c>
      <c r="CK11" s="19">
        <f>IFERROR(INDEX('Dados'!$T$38:$T$52,MATCH($BS$11,'Dados'!$A$38:$A$52,0)),"")</f>
        <v/>
      </c>
      <c r="CL11" s="19">
        <f>IFERROR(INDEX('Dados'!$J$38:$J$52,MATCH($BQ$11&amp;"|Comum",'Dados'!$A$38:$A$52,0)),"")</f>
        <v/>
      </c>
      <c r="CM11" s="19">
        <f>IFERROR(INDEX('Dados'!$K$38:$K$52,MATCH($BQ$11&amp;"|Comum",'Dados'!$A$38:$A$52,0)),"")</f>
        <v/>
      </c>
      <c r="CN11" s="19">
        <f>MOD(MOD(MOD((MOD('Início'!$E$15+104729*$C$7+15167889,2147483646)+1)*16807,2147483647)*16807,2147483647)*16807,2147483647)</f>
        <v/>
      </c>
      <c r="CO11" s="19">
        <f>MOD(MOD(MOD((MOD(MOD(INT($CN$11/65536)*$CN$11,2147483647)*65536+MOD($CN$11,65536)*$CN$11,2147483647))*16807,2147483647)*16807,2147483647)*16807,2147483647)</f>
        <v/>
      </c>
      <c r="CP11" s="19">
        <f>MOD(MOD(MOD((MOD($CO$11+INT($CO$11/65536)*MOD($CO$11,65536),2147483646)+1)*16807,2147483647)*16807,2147483647)*16807,2147483647)</f>
        <v/>
      </c>
      <c r="CQ11" s="19">
        <f>MOD(MOD(MOD((MOD('Início'!$E$15+104729*$C$7+16467598,2147483646)+1)*16807,2147483647)*16807,2147483647)*16807,2147483647)</f>
        <v/>
      </c>
      <c r="CR11" s="19">
        <f>MOD(MOD(MOD((MOD(MOD(INT($CQ$11/65536)*$CQ$11,2147483647)*65536+MOD($CQ$11,65536)*$CQ$11,2147483647))*16807,2147483647)*16807,2147483647)*16807,2147483647)</f>
        <v/>
      </c>
      <c r="CS11" s="19">
        <f>MOD(MOD(MOD((MOD($CR$11+INT($CR$11/65536)*MOD($CR$11,65536),2147483646)+1)*16807,2147483647)*16807,2147483647)*16807,2147483647)</f>
        <v/>
      </c>
      <c r="CT11" s="19">
        <f>MOD(MOD(MOD((MOD('Início'!$E$15+104729*$C$7+17767307,2147483646)+1)*16807,2147483647)*16807,2147483647)*16807,2147483647)</f>
        <v/>
      </c>
      <c r="CU11" s="19">
        <f>MOD(MOD(MOD((MOD(MOD(INT($CT$11/65536)*$CT$11,2147483647)*65536+MOD($CT$11,65536)*$CT$11,2147483647))*16807,2147483647)*16807,2147483647)*16807,2147483647)</f>
        <v/>
      </c>
      <c r="CV11" s="19">
        <f>MOD(MOD(MOD((MOD($CU$11+INT($CU$11/65536)*MOD($CU$11,65536),2147483646)+1)*16807,2147483647)*16807,2147483647)*16807,2147483647)</f>
        <v/>
      </c>
      <c r="CW11" s="19">
        <f>MOD(MOD(MOD((MOD('Início'!$E$15+104729*$C$7+19067016,2147483646)+1)*16807,2147483647)*16807,2147483647)*16807,2147483647)</f>
        <v/>
      </c>
      <c r="CX11" s="19">
        <f>MOD(MOD(MOD((MOD(MOD(INT($CW$11/65536)*$CW$11,2147483647)*65536+MOD($CW$11,65536)*$CW$11,2147483647))*16807,2147483647)*16807,2147483647)*16807,2147483647)</f>
        <v/>
      </c>
      <c r="CY11" s="19">
        <f>MOD(MOD(MOD((MOD($CX$11+INT($CX$11/65536)*MOD($CX$11,65536),2147483646)+1)*16807,2147483647)*16807,2147483647)*16807,2147483647)</f>
        <v/>
      </c>
      <c r="CZ11" s="19">
        <f>MOD(MOD(MOD((MOD('Início'!$E$15+104729*$C$7+20366725,2147483646)+1)*16807,2147483647)*16807,2147483647)*16807,2147483647)</f>
        <v/>
      </c>
      <c r="DA11" s="19">
        <f>MOD(MOD(MOD((MOD(MOD(INT($CZ$11/65536)*$CZ$11,2147483647)*65536+MOD($CZ$11,65536)*$CZ$11,2147483647))*16807,2147483647)*16807,2147483647)*16807,2147483647)</f>
        <v/>
      </c>
      <c r="DB11" s="19">
        <f>MOD(MOD(MOD((MOD($DA$11+INT($DA$11/65536)*MOD($DA$11,65536),2147483646)+1)*16807,2147483647)*16807,2147483647)*16807,2147483647)</f>
        <v/>
      </c>
      <c r="DC11" s="19">
        <f>MOD(MOD(MOD((MOD('Início'!$E$15+104729*$C$7+21666434,2147483646)+1)*16807,2147483647)*16807,2147483647)*16807,2147483647)</f>
        <v/>
      </c>
      <c r="DD11" s="19">
        <f>MOD(MOD(MOD((MOD(MOD(INT($DC$11/65536)*$DC$11,2147483647)*65536+MOD($DC$11,65536)*$DC$11,2147483647))*16807,2147483647)*16807,2147483647)*16807,2147483647)</f>
        <v/>
      </c>
      <c r="DE11" s="19">
        <f>MOD(MOD(MOD((MOD($DD$11+INT($DD$11/65536)*MOD($DD$11,65536),2147483646)+1)*16807,2147483647)*16807,2147483647)*16807,2147483647)</f>
        <v/>
      </c>
      <c r="DF11" s="19">
        <f>MOD(MOD(MOD((MOD('Início'!$E$15+104729*$C$7+22966143,2147483646)+1)*16807,2147483647)*16807,2147483647)*16807,2147483647)</f>
        <v/>
      </c>
      <c r="DG11" s="19">
        <f>MOD(MOD(MOD((MOD(MOD(INT($DF$11/65536)*$DF$11,2147483647)*65536+MOD($DF$11,65536)*$DF$11,2147483647))*16807,2147483647)*16807,2147483647)*16807,2147483647)</f>
        <v/>
      </c>
      <c r="DH11" s="19">
        <f>MOD(MOD(MOD((MOD($DG$11+INT($DG$11/65536)*MOD($DG$11,65536),2147483646)+1)*16807,2147483647)*16807,2147483647)*16807,2147483647)</f>
        <v/>
      </c>
      <c r="DI11" s="19">
        <f>IF($CC$11="Físico",9000000000,IF(AND('Grupo'!$B$44="Sim",0=0),0,2147483647))+$CP$11+1/10</f>
        <v/>
      </c>
      <c r="DJ11" s="19">
        <f>IF($CC$11="Fogo",9000000000,IF(AND('Grupo'!$C$44="Sim",0=0),0,2147483647))+$CS$11+2/10</f>
        <v/>
      </c>
      <c r="DK11" s="19">
        <f>IF($CC$11="Gelo",9000000000,IF(AND('Grupo'!$D$44="Sim",0=0),0,2147483647))+$CV$11+3/10</f>
        <v/>
      </c>
      <c r="DL11" s="19">
        <f>IF($CC$11="Raio",9000000000,IF(AND('Grupo'!$E$44="Sim",0=0),0,2147483647))+$CY$11+4/10</f>
        <v/>
      </c>
      <c r="DM11" s="19">
        <f>IF($CC$11="Vento",9000000000,IF(AND('Grupo'!$F$44="Sim",0=0),0,2147483647))+$DB$11+5/10</f>
        <v/>
      </c>
      <c r="DN11" s="19">
        <f>IF($CC$11="Quântico",9000000000,IF(AND('Grupo'!$G$44="Sim",0=0),0,2147483647))+$DE$11+6/10</f>
        <v/>
      </c>
      <c r="DO11" s="19">
        <f>IF($CC$11="Imaginário",9000000000,IF(AND('Grupo'!$H$44="Sim",0=0),0,2147483647))+$DH$11+7/10</f>
        <v/>
      </c>
      <c r="DQ11" s="19">
        <f>IF(ISERROR($A$11),"",IF(ISBLANK($A$11),"",$A$11))</f>
        <v/>
      </c>
      <c r="DR11" s="19">
        <f>IF(ISERROR($B$11),"",IF(ISBLANK($B$11),"",$B$11))</f>
        <v/>
      </c>
      <c r="DT11" s="19">
        <f>IF(ISERROR($D$11),"",IF(ISBLANK($D$11),"",$D$11))</f>
        <v/>
      </c>
      <c r="DW11" s="19">
        <f>IF(ISERROR($G$11),"",IF(ISBLANK($G$11),"",$G$11))</f>
        <v/>
      </c>
      <c r="DX11" s="19">
        <f>IF(ISERROR($H$11),"",IF(ISBLANK($H$11),"",$H$11))</f>
        <v/>
      </c>
      <c r="DY11" s="19">
        <f>IF(ISERROR($I$11),"",IF(ISBLANK($I$11),"",$I$11))</f>
        <v/>
      </c>
      <c r="DZ11" s="19">
        <f>IF(ISERROR($J$11),"",IF(ISBLANK($J$11),"",$J$11))</f>
        <v/>
      </c>
      <c r="EA11" s="19">
        <f>ISERROR($A$11)*1+ISERROR($B$11)*1+ISERROR($D$11)*1+ISERROR($G$11)*1+ISERROR($H$11)*1+ISERROR($I$11)*1+ISERROR($J$11)*1</f>
        <v/>
      </c>
    </row>
    <row r="12" ht="26" customHeight="1">
      <c r="A12" s="31" t="n"/>
      <c r="B12" s="28" t="n"/>
      <c r="C12" s="16" t="n"/>
      <c r="D12" s="28" t="n"/>
      <c r="E12" s="24" t="n"/>
      <c r="F12" s="16" t="n"/>
      <c r="G12" s="42" t="n"/>
      <c r="H12" s="34" t="n"/>
      <c r="I12" s="42" t="n"/>
      <c r="J12" s="34" t="n"/>
      <c r="K12" s="26">
        <f>IF(EA12&gt;0,"O Google leu como fórmula: escolha de novo ou digite com ' na frente.",IF(LEN($DQ$12)=0,IF(LEN($DR$12&amp;$DT$12&amp;$DY$12)&gt;0,"Linha sem nome: o inimigo não entra nas listas",""),IF(COUNTIF($DQ$11:$DQ$22,$DQ$12)&gt;1,"Nome repetido na tabela",IF(COUNTIF('Dados'!$B$92:$B$123,$DQ$12)&gt;0,"Nome igual a uma criatura do bestiário: dê outro nome",IF(AND($BK$12="Ajustar do bestiário",$BL$12=0),"Modo Ajustar sem base do bestiário válida",IF(AND(LEN($DZ$12)&gt;0,$BN$12&lt;&gt;"Boss"),"Fases só valem para Boss (28.5)",IF(AND(ISNUMBER($DX$12),OR($DX$12&lt;1,$DX$12&gt;20)),"Nível fora de 1 a 20: usando o limite",IF(AND(LEN($DY$12)&gt;0,COUNTIF('Dados'!$AO$6:$AO$8,$DY$12)=0),"Tipo fora da lista: usando Comum",""))))))))</f>
        <v/>
      </c>
      <c r="N12" s="19">
        <f>IF(LEN($DQ$12)=0,"",$DQ$12)</f>
        <v/>
      </c>
      <c r="O12" s="19">
        <f>IF(LEN($DQ$12)=0,"",$BN$12)</f>
        <v/>
      </c>
      <c r="P12" s="19">
        <f>IF(LEN($DQ$12)=0,"",$BQ$12)</f>
        <v/>
      </c>
      <c r="Q12" s="19">
        <f>IF(LEN($DQ$12)=0,"",$BU$12)</f>
        <v/>
      </c>
      <c r="R12" s="19">
        <f>IF(LEN($DQ$12)=0,"",IFERROR(INDEX('Dados'!$E$38:$E$52,MATCH($BS$12,'Dados'!$A$38:$A$52,0)),""))</f>
        <v/>
      </c>
      <c r="S12" s="19">
        <f>IF(LEN($DQ$12)=0,"",IFERROR(INDEX('Dados'!$F$38:$F$52,MATCH($BS$12,'Dados'!$A$38:$A$52,0)),""))</f>
        <v/>
      </c>
      <c r="T12" s="19">
        <f>IF(LEN($DQ$12)=0,"",IFERROR(INDEX('Dados'!$G$38:$G$52,MATCH($BS$12,'Dados'!$A$38:$A$52,0)),""))</f>
        <v/>
      </c>
      <c r="U12" s="19">
        <f>IF(LEN($DQ$12)=0,"",IFERROR(INDEX('Dados'!$H$38:$H$52,MATCH($BS$12,'Dados'!$A$38:$A$52,0)),""))</f>
        <v/>
      </c>
      <c r="V12" s="19">
        <f>IF(LEN($DQ$12)=0,"",IFERROR(INDEX('Dados'!$I$38:$I$52,MATCH($BS$12,'Dados'!$A$38:$A$52,0)),""))</f>
        <v/>
      </c>
      <c r="W12" s="19">
        <f>IF(LEN($DQ$12)=0,"",IFERROR(INDEX('Dados'!$J$38:$J$52,MATCH($BS$12,'Dados'!$A$38:$A$52,0)),""))</f>
        <v/>
      </c>
      <c r="X12" s="19">
        <f>IF(LEN($DQ$12)=0,"",IFERROR(INDEX('Dados'!$K$38:$K$52,MATCH($BS$12,'Dados'!$A$38:$A$52,0)),""))</f>
        <v/>
      </c>
      <c r="Y12" s="19">
        <f>IF(LEN($DQ$12)=0,"",IFERROR(INDEX('Dados'!$L$38:$L$52,MATCH($BS$12,'Dados'!$A$38:$A$52,0)),""))</f>
        <v/>
      </c>
      <c r="Z12" s="19">
        <f>IF(LEN($DQ$12)=0,"",IFERROR(INDEX('Dados'!$M$38:$M$52,MATCH($BS$12,'Dados'!$A$38:$A$52,0)),""))</f>
        <v/>
      </c>
      <c r="AA12" s="19">
        <f>IF(LEN($DQ$12)=0,"",$BY$12)</f>
        <v/>
      </c>
      <c r="AB12" s="19">
        <f>IF(LEN($DQ$12)=0,"",$BZ$12)</f>
        <v/>
      </c>
      <c r="AC12" s="19">
        <f>IF(LEN($DQ$12)=0,"",$CA$12)</f>
        <v/>
      </c>
      <c r="AD12" s="19">
        <f>IF(LEN($DQ$12)=0,"",$CB$12)</f>
        <v/>
      </c>
      <c r="AE12" s="19">
        <f>IF(LEN($DQ$12)=0,"",$CC$12)</f>
        <v/>
      </c>
      <c r="AF12" s="19">
        <f>IF(LEN($DQ$12)=0,"",IF($DV$27="Sim","Pode",IF($DV$27="Não","Não",IF($BL$12=1,IFERROR(INDEX('Dados'!$V$92:$V$123,$BM$12)&amp;"",""),"Não declarado"))))</f>
        <v/>
      </c>
      <c r="AG12" s="19">
        <f>IF(LEN($DQ$12)=0,"",$BV$12)</f>
        <v/>
      </c>
      <c r="AH12" s="19">
        <f>IF(LEN($DQ$12)=0,"",IFERROR(INDEX('Dados'!$Q$38:$Q$52,MATCH($BS$12,'Dados'!$A$38:$A$52,0)),""))</f>
        <v/>
      </c>
      <c r="AI12" s="19">
        <f>IF(LEN($DQ$12)=0,"",IF(AND($BL$12=1,$DT$12="Escória de Stellaron"),1.5,1)*$BU$12)</f>
        <v/>
      </c>
      <c r="AJ12" s="19">
        <f>IF(LEN($DQ$12)=0,"",IFERROR(INDEX('Dados'!$P$38:$P$52,MATCH($BS$12,'Dados'!$A$38:$A$52,0)),""))</f>
        <v/>
      </c>
      <c r="AK12" s="19">
        <f>IF(LEN($DQ$12)=0,"",IF($BV$12=2,INT($BU$12/2),IF($BV$12=3,INT(2*$BU$12/3),"")))</f>
        <v/>
      </c>
      <c r="AL12" s="19">
        <f>IF(LEN($DQ$12)=0,"",IF($BV$12=3,INT($BU$12/3),""))</f>
        <v/>
      </c>
      <c r="AM12" s="19">
        <f>IF(OR(LEN($DQ$12)=0,$BV$12&lt;2),"",IFERROR(INDEX($DT$88:$DT$112,MATCH($DQ$12&amp;"|2",$N$88:$N$112,0))&amp;"",IF($BL$12=1,IFERROR(INDEX('Dados'!$G$127:$G$138,MATCH($DT$12&amp;"|2",'Dados'!$A$127:$A$138,0)),""),"")))</f>
        <v/>
      </c>
      <c r="AN12" s="19">
        <f>IF(OR(LEN($DQ$12)=0,$BV$12&lt;2),"",IFERROR(INDEX($DU$88:$DU$112,MATCH($DQ$12&amp;"|2",$N$88:$N$112,0))&amp;"",IF($BL$12=1,IFERROR(INDEX('Dados'!$H$127:$H$138,MATCH($DT$12&amp;"|2",'Dados'!$A$127:$A$138,0)),""),"")))</f>
        <v/>
      </c>
      <c r="AO12" s="19">
        <f>IF(OR(LEN($DQ$12)=0,$BV$12&lt;2),"",IFERROR(INDEX($DV$88:$DV$112,MATCH($DQ$12&amp;"|2",$N$88:$N$112,0))&amp;"",IF($BL$12=1,IFERROR(INDEX('Dados'!$I$127:$I$138,MATCH($DT$12&amp;"|2",'Dados'!$A$127:$A$138,0)),""),"")))</f>
        <v/>
      </c>
      <c r="AP12" s="19">
        <f>IF(OR(LEN($DQ$12)=0,$BV$12&lt;2),"",IFERROR(INDEX($DW$88:$DW$112,MATCH($DQ$12&amp;"|2",$N$88:$N$112,0))&amp;"",IF($BL$12=1,IFERROR(INDEX('Dados'!$J$127:$J$138,MATCH($DT$12&amp;"|2",'Dados'!$A$127:$A$138,0)),""),"")))</f>
        <v/>
      </c>
      <c r="AQ12" s="19">
        <f>IF(OR(LEN($DQ$12)=0,$BV$12&lt;2),"",IF(ISNUMBER(MATCH($DQ$12&amp;"|2",$N$88:$N$112,0)),IF(ISNUMBER(INDEX($DX$88:$DX$112,MATCH($DQ$12&amp;"|2",$N$88:$N$112,0))),MIN(IFERROR(INDEX('Dados'!$G$38:$G$52,MATCH($BS$12,'Dados'!$A$38:$A$52,0)),""),INDEX($DX$88:$DX$112,MATCH($DQ$12&amp;"|2",$N$88:$N$112,0))),IFERROR(INDEX('Dados'!$G$38:$G$52,MATCH($BS$12,'Dados'!$A$38:$A$52,0)),"")),IF($BL$12=1,IFERROR(MIN(IFERROR(INDEX('Dados'!$G$38:$G$52,MATCH($BS$12,'Dados'!$A$38:$A$52,0)),""),INT(INDEX('Dados'!$K$127:$K$138,MATCH($DT$12&amp;"|2",'Dados'!$A$127:$A$138,0))*IFERROR(INDEX('Dados'!$G$38:$G$52,MATCH($BS$12,'Dados'!$A$38:$A$52,0)),"")/$CH$12)),IFERROR(INDEX('Dados'!$G$38:$G$52,MATCH($BS$12,'Dados'!$A$38:$A$52,0)),"")),IFERROR(INDEX('Dados'!$G$38:$G$52,MATCH($BS$12,'Dados'!$A$38:$A$52,0)),""))))</f>
        <v/>
      </c>
      <c r="AR12" s="19">
        <f>IF(OR(LEN($DQ$12)=0,$BV$12&lt;3),"",IFERROR(INDEX($DT$88:$DT$112,MATCH($DQ$12&amp;"|3",$N$88:$N$112,0))&amp;"",IF($BL$12=1,IFERROR(INDEX('Dados'!$G$127:$G$138,MATCH($DT$12&amp;"|3",'Dados'!$A$127:$A$138,0)),""),"")))</f>
        <v/>
      </c>
      <c r="AS12" s="19">
        <f>IF(OR(LEN($DQ$12)=0,$BV$12&lt;3),"",IFERROR(INDEX($DU$88:$DU$112,MATCH($DQ$12&amp;"|3",$N$88:$N$112,0))&amp;"",IF($BL$12=1,IFERROR(INDEX('Dados'!$H$127:$H$138,MATCH($DT$12&amp;"|3",'Dados'!$A$127:$A$138,0)),""),"")))</f>
        <v/>
      </c>
      <c r="AT12" s="19">
        <f>IF(OR(LEN($DQ$12)=0,$BV$12&lt;3),"",IFERROR(INDEX($DV$88:$DV$112,MATCH($DQ$12&amp;"|3",$N$88:$N$112,0))&amp;"",IF($BL$12=1,IFERROR(INDEX('Dados'!$I$127:$I$138,MATCH($DT$12&amp;"|3",'Dados'!$A$127:$A$138,0)),""),"")))</f>
        <v/>
      </c>
      <c r="AU12" s="19">
        <f>IF(OR(LEN($DQ$12)=0,$BV$12&lt;3),"",IFERROR(INDEX($DW$88:$DW$112,MATCH($DQ$12&amp;"|3",$N$88:$N$112,0))&amp;"",IF($BL$12=1,IFERROR(INDEX('Dados'!$J$127:$J$138,MATCH($DT$12&amp;"|3",'Dados'!$A$127:$A$138,0)),""),"")))</f>
        <v/>
      </c>
      <c r="AV12" s="19">
        <f>IF(OR(LEN($DQ$12)=0,$BV$12&lt;3),"",IF(ISNUMBER(MATCH($DQ$12&amp;"|3",$N$88:$N$112,0)),IF(ISNUMBER(INDEX($DX$88:$DX$112,MATCH($DQ$12&amp;"|3",$N$88:$N$112,0))),MIN(IFERROR(INDEX('Dados'!$G$38:$G$52,MATCH($BS$12,'Dados'!$A$38:$A$52,0)),""),INDEX($DX$88:$DX$112,MATCH($DQ$12&amp;"|3",$N$88:$N$112,0))),IFERROR(INDEX('Dados'!$G$38:$G$52,MATCH($BS$12,'Dados'!$A$38:$A$52,0)),"")),IF($BL$12=1,IFERROR(MIN(IFERROR(INDEX('Dados'!$G$38:$G$52,MATCH($BS$12,'Dados'!$A$38:$A$52,0)),""),INT(INDEX('Dados'!$K$127:$K$138,MATCH($DT$12&amp;"|3",'Dados'!$A$127:$A$138,0))*IFERROR(INDEX('Dados'!$G$38:$G$52,MATCH($BS$12,'Dados'!$A$38:$A$52,0)),"")/$CH$12)),IFERROR(INDEX('Dados'!$G$38:$G$52,MATCH($BS$12,'Dados'!$A$38:$A$52,0)),"")),IFERROR(INDEX('Dados'!$G$38:$G$52,MATCH($BS$12,'Dados'!$A$38:$A$52,0)),""))))</f>
        <v/>
      </c>
      <c r="AW12" s="19">
        <f>IF(LEN($DQ$12)=0,"",IF($BL$12=1,IFERROR(INDEX('Dados'!$AF$92:$AF$123,$BM$12)&amp;"",""),IFERROR(INDEX($DU$116:$DU$153,MATCH($DQ$12&amp;"|1",$Q$116:$Q$153,0))&amp;"","")))</f>
        <v/>
      </c>
      <c r="AX12" s="19">
        <f>IF(LEN($DQ$12)=0,"",IF($BL$12=1,IF(ISNUMBER(IFERROR(INDEX('Dados'!$AG$92:$AG$123,$BM$12),"")),IF(IFERROR(INDEX('Dados'!$AG$92:$AG$123,$BM$12),"")&gt;0,IFERROR(INDEX('Dados'!$AG$92:$AG$123,$BM$12),""),""),""),IFERROR(INDEX($DY$116:$DY$153,MATCH($DQ$12&amp;"|1",$Q$116:$Q$153,0))+0,"")))</f>
        <v/>
      </c>
      <c r="AY12" s="19">
        <f>IF(LEN($DQ$12)=0,"",IF($BL$12=1,IFERROR(INDEX('Dados'!$AH$92:$AH$123,$BM$12)&amp;"",""),IFERROR(INDEX($DU$116:$DU$153,MATCH($DQ$12&amp;"|2",$Q$116:$Q$153,0))&amp;"","")))</f>
        <v/>
      </c>
      <c r="AZ12" s="19">
        <f>IF(LEN($DQ$12)=0,"",IF($BL$12=1,IF(ISNUMBER(IFERROR(INDEX('Dados'!$AI$92:$AI$123,$BM$12),"")),IF(IFERROR(INDEX('Dados'!$AI$92:$AI$123,$BM$12),"")&gt;0,IFERROR(INDEX('Dados'!$AI$92:$AI$123,$BM$12),""),""),""),IFERROR(INDEX($DY$116:$DY$153,MATCH($DQ$12&amp;"|2",$Q$116:$Q$153,0))+0,"")))</f>
        <v/>
      </c>
      <c r="BA12" s="19">
        <f>IF(LEN($DQ$12)=0,"",IF($BL$12=1,IFERROR(INDEX('Dados'!$AJ$92:$AJ$123,$BM$12)&amp;"",""),IFERROR(INDEX($DU$116:$DU$153,MATCH($DQ$12&amp;"|3",$Q$116:$Q$153,0))&amp;"","")))</f>
        <v/>
      </c>
      <c r="BB12" s="19">
        <f>IF(LEN($DQ$12)=0,"",IF($BL$12=1,IF(ISNUMBER(IFERROR(INDEX('Dados'!$AK$92:$AK$123,$BM$12),"")),IF(IFERROR(INDEX('Dados'!$AK$92:$AK$123,$BM$12),"")&gt;0,IFERROR(INDEX('Dados'!$AK$92:$AK$123,$BM$12),""),""),""),IFERROR(INDEX($DY$116:$DY$153,MATCH($DQ$12&amp;"|3",$Q$116:$Q$153,0))+0,"")))</f>
        <v/>
      </c>
      <c r="BC12" s="19">
        <f>IF(LEN($DQ$12)=0,"",IF(LEN($DR$27)&gt;0,$DR$27,IF($BL$12=1,IFERROR(INDEX('Dados'!$E$92:$E$123,$BM$12)&amp;"",""),"")))</f>
        <v/>
      </c>
      <c r="BD12" s="19">
        <f>IF(AND(LEN($DR$27)=0,$BL$12=1),IFERROR(INDEX('Dados'!$AD$92:$AD$123,$BM$12)&amp;"",""),"")</f>
        <v/>
      </c>
      <c r="BE12" s="19">
        <f>IF(LEN($DQ$12)=0,"",INDEX('Dados'!$F$7:$F$11,$BR$12))</f>
        <v/>
      </c>
      <c r="BF12" s="19">
        <f>IF(LEN($DQ$12)=0,"",$BR$12)</f>
        <v/>
      </c>
      <c r="BG12" s="19">
        <f>$G$43</f>
        <v/>
      </c>
      <c r="BH12" s="19">
        <f>"Campanha"</f>
        <v/>
      </c>
      <c r="BK12" s="19">
        <f>IF(COUNTIF('Dados'!$AQ$6:$AQ$8,$DR$12)&gt;0,$DR$12,"Faixa do livro")</f>
        <v/>
      </c>
      <c r="BL12" s="19">
        <f>IF(AND($BK$12="Ajustar do bestiário",ISNUMBER($BM$12)),1,0)</f>
        <v/>
      </c>
      <c r="BM12" s="19">
        <f>IFERROR(MATCH($DT$12,'Dados'!$B$92:$B$123,0),"")</f>
        <v/>
      </c>
      <c r="BN12" s="19">
        <f>IF(COUNTIF('Dados'!$AO$6:$AO$8,$DY$12)&gt;0,$DY$12,IF($BL$12=1,IFERROR(INDEX('Dados'!$C$92:$C$123,$BM$12),""),"Comum"))</f>
        <v/>
      </c>
      <c r="BO12" s="19">
        <f>MATCH($BN$12,'Dados'!$AO$6:$AO$8,0)</f>
        <v/>
      </c>
      <c r="BP12" s="19">
        <f>IF(ISNUMBER($DX$12),MIN(20,MAX(1,INT($DX$12))),'Campanha'!$B$17)</f>
        <v/>
      </c>
      <c r="BQ12" s="19">
        <f>IF($BK$12="Por nível — Sugestão",INDEX('Dados'!$B$7:$B$11,INT(($BP$12-1)/4)+1),IF(LEN(IFERROR(INDEX('Dados'!$B$7:$B$11,MATCH($DW$12,'Dados'!$AP$6:$AP$10,0)),""))&gt;0,IFERROR(INDEX('Dados'!$B$7:$B$11,MATCH($DW$12,'Dados'!$AP$6:$AP$10,0)),""),'Campanha'!$B$19))</f>
        <v/>
      </c>
      <c r="BR12" s="19">
        <f>MATCH($BQ$12,'Dados'!$B$7:$B$11,0)</f>
        <v/>
      </c>
      <c r="BS12" s="19">
        <f>$BQ$12&amp;"|"&amp;$BN$12</f>
        <v/>
      </c>
      <c r="BT12" s="19">
        <f>MIN(4,MAX(1,INT(($BP$12-3)/4)+1))</f>
        <v/>
      </c>
      <c r="BU12" s="19">
        <f>IF($BK$12="Por nível — Sugestão",INT(IF($BP$12&lt;=3,INDEX('Dados'!$D$38:$D$52,$BO$12),IF($BP$12&gt;=19,INDEX('Dados'!$D$38:$D$52,12+$BO$12),INDEX('Dados'!$D$38:$D$52,($BT$12-1)*3+$BO$12)+(INDEX('Dados'!$D$38:$D$52,$BT$12*3+$BO$12)-INDEX('Dados'!$D$38:$D$52,($BT$12-1)*3+$BO$12))*($BP$12-(4*$BT$12-1))/4))),IFERROR(INDEX('Dados'!$D$38:$D$52,MATCH($BS$12,'Dados'!$A$38:$A$52,0)),""))</f>
        <v/>
      </c>
      <c r="BV12" s="19">
        <f>IF($BN$12&lt;&gt;"Boss",1,IF(AND(ISNUMBER($DZ$12),$DZ$12&gt;=1,$DZ$12&lt;=3),INT($DZ$12),IF($BL$12=1,MAX(1,IFERROR(INDEX('Dados'!$F$92:$F$123,$BM$12),"")),1)))</f>
        <v/>
      </c>
      <c r="BW12" s="19">
        <f>IFERROR(INDEX('Dados'!$O$38:$O$52,MATCH($BS$12,'Dados'!$A$38:$A$52,0)),"")</f>
        <v/>
      </c>
      <c r="BX12" s="19">
        <f>IF(AND(LEN($DR$43)=0,LEN($DS$43)=0,LEN($DT$43)=0,LEN($DU$43)=0),1,0)</f>
        <v/>
      </c>
      <c r="BY12" s="19">
        <f>IF(LEN($DQ$12)=0,"",IF($BX$12=0,$DR$43&amp;"",IF($BL$12=1,IFERROR(INDEX('Dados'!$Q$92:$Q$123,$BM$12)&amp;"",""),IF(1&lt;=$BW$12,$CD$12,""))))</f>
        <v/>
      </c>
      <c r="BZ12" s="19">
        <f>IF(LEN($DQ$12)=0,"",IF($BX$12=0,$DS$43&amp;"",IF($BL$12=1,IFERROR(INDEX('Dados'!$R$92:$R$123,$BM$12)&amp;"",""),IF(2&lt;=$BW$12,$CE$12,""))))</f>
        <v/>
      </c>
      <c r="CA12" s="19">
        <f>IF(LEN($DQ$12)=0,"",IF($BX$12=0,$DT$43&amp;"",IF($BL$12=1,IFERROR(INDEX('Dados'!$S$92:$S$123,$BM$12)&amp;"",""),IF(3&lt;=$BW$12,$CF$12,""))))</f>
        <v/>
      </c>
      <c r="CB12" s="19">
        <f>IF(LEN($DQ$12)=0,"",IF($BX$12=0,$DU$43&amp;"",IF($BL$12=1,IFERROR(INDEX('Dados'!$T$92:$T$123,$BM$12)&amp;"",""),IF(4&lt;=$BW$12,$CG$12,""))))</f>
        <v/>
      </c>
      <c r="CC12" s="19">
        <f>IF(LEN($DV$43)&gt;0,$DV$43,IF($BL$12=1,IFERROR(INDEX('Dados'!$U$92:$U$123,$BM$12)&amp;"",""),""))</f>
        <v/>
      </c>
      <c r="CD12" s="19">
        <f>INDEX('Dados'!$A$301:$A$307,MATCH(SMALL($DI$12:$DO$12,1),$DI$12:$DO$12,0))</f>
        <v/>
      </c>
      <c r="CE12" s="19">
        <f>INDEX('Dados'!$A$301:$A$307,MATCH(SMALL($DI$12:$DO$12,2),$DI$12:$DO$12,0))</f>
        <v/>
      </c>
      <c r="CF12" s="19">
        <f>INDEX('Dados'!$A$301:$A$307,MATCH(SMALL($DI$12:$DO$12,3),$DI$12:$DO$12,0))</f>
        <v/>
      </c>
      <c r="CG12" s="19">
        <f>INDEX('Dados'!$A$301:$A$307,MATCH(SMALL($DI$12:$DO$12,4),$DI$12:$DO$12,0))</f>
        <v/>
      </c>
      <c r="CH12" s="19">
        <f>IF($BL$12=1,IFERROR(INDEX('Dados'!$J$92:$J$123,$BM$12),""),"")</f>
        <v/>
      </c>
      <c r="CI12" s="19">
        <f>IF($BL$12=1,IFERROR(INDEX('Dados'!$G$92:$G$123,$BM$12),""),"")</f>
        <v/>
      </c>
      <c r="CJ12" s="19">
        <f>IFERROR(INDEX('Dados'!$S$38:$S$52,MATCH($BS$12,'Dados'!$A$38:$A$52,0)),"")</f>
        <v/>
      </c>
      <c r="CK12" s="19">
        <f>IFERROR(INDEX('Dados'!$T$38:$T$52,MATCH($BS$12,'Dados'!$A$38:$A$52,0)),"")</f>
        <v/>
      </c>
      <c r="CL12" s="19">
        <f>IFERROR(INDEX('Dados'!$J$38:$J$52,MATCH($BQ$12&amp;"|Comum",'Dados'!$A$38:$A$52,0)),"")</f>
        <v/>
      </c>
      <c r="CM12" s="19">
        <f>IFERROR(INDEX('Dados'!$K$38:$K$52,MATCH($BQ$12&amp;"|Comum",'Dados'!$A$38:$A$52,0)),"")</f>
        <v/>
      </c>
      <c r="CN12" s="19">
        <f>MOD(MOD(MOD((MOD('Início'!$E$15+104729*$C$7+28164979,2147483646)+1)*16807,2147483647)*16807,2147483647)*16807,2147483647)</f>
        <v/>
      </c>
      <c r="CO12" s="19">
        <f>MOD(MOD(MOD((MOD(MOD(INT($CN$12/65536)*$CN$12,2147483647)*65536+MOD($CN$12,65536)*$CN$12,2147483647))*16807,2147483647)*16807,2147483647)*16807,2147483647)</f>
        <v/>
      </c>
      <c r="CP12" s="19">
        <f>MOD(MOD(MOD((MOD($CO$12+INT($CO$12/65536)*MOD($CO$12,65536),2147483646)+1)*16807,2147483647)*16807,2147483647)*16807,2147483647)</f>
        <v/>
      </c>
      <c r="CQ12" s="19">
        <f>MOD(MOD(MOD((MOD('Início'!$E$15+104729*$C$7+29464688,2147483646)+1)*16807,2147483647)*16807,2147483647)*16807,2147483647)</f>
        <v/>
      </c>
      <c r="CR12" s="19">
        <f>MOD(MOD(MOD((MOD(MOD(INT($CQ$12/65536)*$CQ$12,2147483647)*65536+MOD($CQ$12,65536)*$CQ$12,2147483647))*16807,2147483647)*16807,2147483647)*16807,2147483647)</f>
        <v/>
      </c>
      <c r="CS12" s="19">
        <f>MOD(MOD(MOD((MOD($CR$12+INT($CR$12/65536)*MOD($CR$12,65536),2147483646)+1)*16807,2147483647)*16807,2147483647)*16807,2147483647)</f>
        <v/>
      </c>
      <c r="CT12" s="19">
        <f>MOD(MOD(MOD((MOD('Início'!$E$15+104729*$C$7+30764397,2147483646)+1)*16807,2147483647)*16807,2147483647)*16807,2147483647)</f>
        <v/>
      </c>
      <c r="CU12" s="19">
        <f>MOD(MOD(MOD((MOD(MOD(INT($CT$12/65536)*$CT$12,2147483647)*65536+MOD($CT$12,65536)*$CT$12,2147483647))*16807,2147483647)*16807,2147483647)*16807,2147483647)</f>
        <v/>
      </c>
      <c r="CV12" s="19">
        <f>MOD(MOD(MOD((MOD($CU$12+INT($CU$12/65536)*MOD($CU$12,65536),2147483646)+1)*16807,2147483647)*16807,2147483647)*16807,2147483647)</f>
        <v/>
      </c>
      <c r="CW12" s="19">
        <f>MOD(MOD(MOD((MOD('Início'!$E$15+104729*$C$7+32064106,2147483646)+1)*16807,2147483647)*16807,2147483647)*16807,2147483647)</f>
        <v/>
      </c>
      <c r="CX12" s="19">
        <f>MOD(MOD(MOD((MOD(MOD(INT($CW$12/65536)*$CW$12,2147483647)*65536+MOD($CW$12,65536)*$CW$12,2147483647))*16807,2147483647)*16807,2147483647)*16807,2147483647)</f>
        <v/>
      </c>
      <c r="CY12" s="19">
        <f>MOD(MOD(MOD((MOD($CX$12+INT($CX$12/65536)*MOD($CX$12,65536),2147483646)+1)*16807,2147483647)*16807,2147483647)*16807,2147483647)</f>
        <v/>
      </c>
      <c r="CZ12" s="19">
        <f>MOD(MOD(MOD((MOD('Início'!$E$15+104729*$C$7+33363815,2147483646)+1)*16807,2147483647)*16807,2147483647)*16807,2147483647)</f>
        <v/>
      </c>
      <c r="DA12" s="19">
        <f>MOD(MOD(MOD((MOD(MOD(INT($CZ$12/65536)*$CZ$12,2147483647)*65536+MOD($CZ$12,65536)*$CZ$12,2147483647))*16807,2147483647)*16807,2147483647)*16807,2147483647)</f>
        <v/>
      </c>
      <c r="DB12" s="19">
        <f>MOD(MOD(MOD((MOD($DA$12+INT($DA$12/65536)*MOD($DA$12,65536),2147483646)+1)*16807,2147483647)*16807,2147483647)*16807,2147483647)</f>
        <v/>
      </c>
      <c r="DC12" s="19">
        <f>MOD(MOD(MOD((MOD('Início'!$E$15+104729*$C$7+34663524,2147483646)+1)*16807,2147483647)*16807,2147483647)*16807,2147483647)</f>
        <v/>
      </c>
      <c r="DD12" s="19">
        <f>MOD(MOD(MOD((MOD(MOD(INT($DC$12/65536)*$DC$12,2147483647)*65536+MOD($DC$12,65536)*$DC$12,2147483647))*16807,2147483647)*16807,2147483647)*16807,2147483647)</f>
        <v/>
      </c>
      <c r="DE12" s="19">
        <f>MOD(MOD(MOD((MOD($DD$12+INT($DD$12/65536)*MOD($DD$12,65536),2147483646)+1)*16807,2147483647)*16807,2147483647)*16807,2147483647)</f>
        <v/>
      </c>
      <c r="DF12" s="19">
        <f>MOD(MOD(MOD((MOD('Início'!$E$15+104729*$C$7+35963233,2147483646)+1)*16807,2147483647)*16807,2147483647)*16807,2147483647)</f>
        <v/>
      </c>
      <c r="DG12" s="19">
        <f>MOD(MOD(MOD((MOD(MOD(INT($DF$12/65536)*$DF$12,2147483647)*65536+MOD($DF$12,65536)*$DF$12,2147483647))*16807,2147483647)*16807,2147483647)*16807,2147483647)</f>
        <v/>
      </c>
      <c r="DH12" s="19">
        <f>MOD(MOD(MOD((MOD($DG$12+INT($DG$12/65536)*MOD($DG$12,65536),2147483646)+1)*16807,2147483647)*16807,2147483647)*16807,2147483647)</f>
        <v/>
      </c>
      <c r="DI12" s="19">
        <f>IF($CC$12="Físico",9000000000,IF(AND('Grupo'!$B$44="Sim",COUNTIF($BY$11:$CB$11,"Físico")=0),0,2147483647))+$CP$12+1/10</f>
        <v/>
      </c>
      <c r="DJ12" s="19">
        <f>IF($CC$12="Fogo",9000000000,IF(AND('Grupo'!$C$44="Sim",COUNTIF($BY$11:$CB$11,"Fogo")=0),0,2147483647))+$CS$12+2/10</f>
        <v/>
      </c>
      <c r="DK12" s="19">
        <f>IF($CC$12="Gelo",9000000000,IF(AND('Grupo'!$D$44="Sim",COUNTIF($BY$11:$CB$11,"Gelo")=0),0,2147483647))+$CV$12+3/10</f>
        <v/>
      </c>
      <c r="DL12" s="19">
        <f>IF($CC$12="Raio",9000000000,IF(AND('Grupo'!$E$44="Sim",COUNTIF($BY$11:$CB$11,"Raio")=0),0,2147483647))+$CY$12+4/10</f>
        <v/>
      </c>
      <c r="DM12" s="19">
        <f>IF($CC$12="Vento",9000000000,IF(AND('Grupo'!$F$44="Sim",COUNTIF($BY$11:$CB$11,"Vento")=0),0,2147483647))+$DB$12+5/10</f>
        <v/>
      </c>
      <c r="DN12" s="19">
        <f>IF($CC$12="Quântico",9000000000,IF(AND('Grupo'!$G$44="Sim",COUNTIF($BY$11:$CB$11,"Quântico")=0),0,2147483647))+$DE$12+6/10</f>
        <v/>
      </c>
      <c r="DO12" s="19">
        <f>IF($CC$12="Imaginário",9000000000,IF(AND('Grupo'!$H$44="Sim",COUNTIF($BY$11:$CB$11,"Imaginário")=0),0,2147483647))+$DH$12+7/10</f>
        <v/>
      </c>
      <c r="DQ12" s="19">
        <f>IF(ISERROR($A$12),"",IF(ISBLANK($A$12),"",$A$12))</f>
        <v/>
      </c>
      <c r="DR12" s="19">
        <f>IF(ISERROR($B$12),"",IF(ISBLANK($B$12),"",$B$12))</f>
        <v/>
      </c>
      <c r="DT12" s="19">
        <f>IF(ISERROR($D$12),"",IF(ISBLANK($D$12),"",$D$12))</f>
        <v/>
      </c>
      <c r="DW12" s="19">
        <f>IF(ISERROR($G$12),"",IF(ISBLANK($G$12),"",$G$12))</f>
        <v/>
      </c>
      <c r="DX12" s="19">
        <f>IF(ISERROR($H$12),"",IF(ISBLANK($H$12),"",$H$12))</f>
        <v/>
      </c>
      <c r="DY12" s="19">
        <f>IF(ISERROR($I$12),"",IF(ISBLANK($I$12),"",$I$12))</f>
        <v/>
      </c>
      <c r="DZ12" s="19">
        <f>IF(ISERROR($J$12),"",IF(ISBLANK($J$12),"",$J$12))</f>
        <v/>
      </c>
      <c r="EA12" s="19">
        <f>ISERROR($A$12)*1+ISERROR($B$12)*1+ISERROR($D$12)*1+ISERROR($G$12)*1+ISERROR($H$12)*1+ISERROR($I$12)*1+ISERROR($J$12)*1</f>
        <v/>
      </c>
    </row>
    <row r="13" ht="26" customHeight="1">
      <c r="A13" s="30" t="n"/>
      <c r="B13" s="3" t="n"/>
      <c r="C13" s="16" t="n"/>
      <c r="D13" s="3" t="n"/>
      <c r="E13" s="24" t="n"/>
      <c r="F13" s="16" t="n"/>
      <c r="G13" s="36" t="n"/>
      <c r="H13" s="15" t="n"/>
      <c r="I13" s="36" t="n"/>
      <c r="J13" s="15" t="n"/>
      <c r="K13" s="18">
        <f>IF(EA13&gt;0,"O Google leu como fórmula: escolha de novo ou digite com ' na frente.",IF(LEN($DQ$13)=0,IF(LEN($DR$13&amp;$DT$13&amp;$DY$13)&gt;0,"Linha sem nome: o inimigo não entra nas listas",""),IF(COUNTIF($DQ$11:$DQ$22,$DQ$13)&gt;1,"Nome repetido na tabela",IF(COUNTIF('Dados'!$B$92:$B$123,$DQ$13)&gt;0,"Nome igual a uma criatura do bestiário: dê outro nome",IF(AND($BK$13="Ajustar do bestiário",$BL$13=0),"Modo Ajustar sem base do bestiário válida",IF(AND(LEN($DZ$13)&gt;0,$BN$13&lt;&gt;"Boss"),"Fases só valem para Boss (28.5)",IF(AND(ISNUMBER($DX$13),OR($DX$13&lt;1,$DX$13&gt;20)),"Nível fora de 1 a 20: usando o limite",IF(AND(LEN($DY$13)&gt;0,COUNTIF('Dados'!$AO$6:$AO$8,$DY$13)=0),"Tipo fora da lista: usando Comum",""))))))))</f>
        <v/>
      </c>
      <c r="N13" s="19">
        <f>IF(LEN($DQ$13)=0,"",$DQ$13)</f>
        <v/>
      </c>
      <c r="O13" s="19">
        <f>IF(LEN($DQ$13)=0,"",$BN$13)</f>
        <v/>
      </c>
      <c r="P13" s="19">
        <f>IF(LEN($DQ$13)=0,"",$BQ$13)</f>
        <v/>
      </c>
      <c r="Q13" s="19">
        <f>IF(LEN($DQ$13)=0,"",$BU$13)</f>
        <v/>
      </c>
      <c r="R13" s="19">
        <f>IF(LEN($DQ$13)=0,"",IFERROR(INDEX('Dados'!$E$38:$E$52,MATCH($BS$13,'Dados'!$A$38:$A$52,0)),""))</f>
        <v/>
      </c>
      <c r="S13" s="19">
        <f>IF(LEN($DQ$13)=0,"",IFERROR(INDEX('Dados'!$F$38:$F$52,MATCH($BS$13,'Dados'!$A$38:$A$52,0)),""))</f>
        <v/>
      </c>
      <c r="T13" s="19">
        <f>IF(LEN($DQ$13)=0,"",IFERROR(INDEX('Dados'!$G$38:$G$52,MATCH($BS$13,'Dados'!$A$38:$A$52,0)),""))</f>
        <v/>
      </c>
      <c r="U13" s="19">
        <f>IF(LEN($DQ$13)=0,"",IFERROR(INDEX('Dados'!$H$38:$H$52,MATCH($BS$13,'Dados'!$A$38:$A$52,0)),""))</f>
        <v/>
      </c>
      <c r="V13" s="19">
        <f>IF(LEN($DQ$13)=0,"",IFERROR(INDEX('Dados'!$I$38:$I$52,MATCH($BS$13,'Dados'!$A$38:$A$52,0)),""))</f>
        <v/>
      </c>
      <c r="W13" s="19">
        <f>IF(LEN($DQ$13)=0,"",IFERROR(INDEX('Dados'!$J$38:$J$52,MATCH($BS$13,'Dados'!$A$38:$A$52,0)),""))</f>
        <v/>
      </c>
      <c r="X13" s="19">
        <f>IF(LEN($DQ$13)=0,"",IFERROR(INDEX('Dados'!$K$38:$K$52,MATCH($BS$13,'Dados'!$A$38:$A$52,0)),""))</f>
        <v/>
      </c>
      <c r="Y13" s="19">
        <f>IF(LEN($DQ$13)=0,"",IFERROR(INDEX('Dados'!$L$38:$L$52,MATCH($BS$13,'Dados'!$A$38:$A$52,0)),""))</f>
        <v/>
      </c>
      <c r="Z13" s="19">
        <f>IF(LEN($DQ$13)=0,"",IFERROR(INDEX('Dados'!$M$38:$M$52,MATCH($BS$13,'Dados'!$A$38:$A$52,0)),""))</f>
        <v/>
      </c>
      <c r="AA13" s="19">
        <f>IF(LEN($DQ$13)=0,"",$BY$13)</f>
        <v/>
      </c>
      <c r="AB13" s="19">
        <f>IF(LEN($DQ$13)=0,"",$BZ$13)</f>
        <v/>
      </c>
      <c r="AC13" s="19">
        <f>IF(LEN($DQ$13)=0,"",$CA$13)</f>
        <v/>
      </c>
      <c r="AD13" s="19">
        <f>IF(LEN($DQ$13)=0,"",$CB$13)</f>
        <v/>
      </c>
      <c r="AE13" s="19">
        <f>IF(LEN($DQ$13)=0,"",$CC$13)</f>
        <v/>
      </c>
      <c r="AF13" s="19">
        <f>IF(LEN($DQ$13)=0,"",IF($DV$28="Sim","Pode",IF($DV$28="Não","Não",IF($BL$13=1,IFERROR(INDEX('Dados'!$V$92:$V$123,$BM$13)&amp;"",""),"Não declarado"))))</f>
        <v/>
      </c>
      <c r="AG13" s="19">
        <f>IF(LEN($DQ$13)=0,"",$BV$13)</f>
        <v/>
      </c>
      <c r="AH13" s="19">
        <f>IF(LEN($DQ$13)=0,"",IFERROR(INDEX('Dados'!$Q$38:$Q$52,MATCH($BS$13,'Dados'!$A$38:$A$52,0)),""))</f>
        <v/>
      </c>
      <c r="AI13" s="19">
        <f>IF(LEN($DQ$13)=0,"",IF(AND($BL$13=1,$DT$13="Escória de Stellaron"),1.5,1)*$BU$13)</f>
        <v/>
      </c>
      <c r="AJ13" s="19">
        <f>IF(LEN($DQ$13)=0,"",IFERROR(INDEX('Dados'!$P$38:$P$52,MATCH($BS$13,'Dados'!$A$38:$A$52,0)),""))</f>
        <v/>
      </c>
      <c r="AK13" s="19">
        <f>IF(LEN($DQ$13)=0,"",IF($BV$13=2,INT($BU$13/2),IF($BV$13=3,INT(2*$BU$13/3),"")))</f>
        <v/>
      </c>
      <c r="AL13" s="19">
        <f>IF(LEN($DQ$13)=0,"",IF($BV$13=3,INT($BU$13/3),""))</f>
        <v/>
      </c>
      <c r="AM13" s="19">
        <f>IF(OR(LEN($DQ$13)=0,$BV$13&lt;2),"",IFERROR(INDEX($DT$88:$DT$112,MATCH($DQ$13&amp;"|2",$N$88:$N$112,0))&amp;"",IF($BL$13=1,IFERROR(INDEX('Dados'!$G$127:$G$138,MATCH($DT$13&amp;"|2",'Dados'!$A$127:$A$138,0)),""),"")))</f>
        <v/>
      </c>
      <c r="AN13" s="19">
        <f>IF(OR(LEN($DQ$13)=0,$BV$13&lt;2),"",IFERROR(INDEX($DU$88:$DU$112,MATCH($DQ$13&amp;"|2",$N$88:$N$112,0))&amp;"",IF($BL$13=1,IFERROR(INDEX('Dados'!$H$127:$H$138,MATCH($DT$13&amp;"|2",'Dados'!$A$127:$A$138,0)),""),"")))</f>
        <v/>
      </c>
      <c r="AO13" s="19">
        <f>IF(OR(LEN($DQ$13)=0,$BV$13&lt;2),"",IFERROR(INDEX($DV$88:$DV$112,MATCH($DQ$13&amp;"|2",$N$88:$N$112,0))&amp;"",IF($BL$13=1,IFERROR(INDEX('Dados'!$I$127:$I$138,MATCH($DT$13&amp;"|2",'Dados'!$A$127:$A$138,0)),""),"")))</f>
        <v/>
      </c>
      <c r="AP13" s="19">
        <f>IF(OR(LEN($DQ$13)=0,$BV$13&lt;2),"",IFERROR(INDEX($DW$88:$DW$112,MATCH($DQ$13&amp;"|2",$N$88:$N$112,0))&amp;"",IF($BL$13=1,IFERROR(INDEX('Dados'!$J$127:$J$138,MATCH($DT$13&amp;"|2",'Dados'!$A$127:$A$138,0)),""),"")))</f>
        <v/>
      </c>
      <c r="AQ13" s="19">
        <f>IF(OR(LEN($DQ$13)=0,$BV$13&lt;2),"",IF(ISNUMBER(MATCH($DQ$13&amp;"|2",$N$88:$N$112,0)),IF(ISNUMBER(INDEX($DX$88:$DX$112,MATCH($DQ$13&amp;"|2",$N$88:$N$112,0))),MIN(IFERROR(INDEX('Dados'!$G$38:$G$52,MATCH($BS$13,'Dados'!$A$38:$A$52,0)),""),INDEX($DX$88:$DX$112,MATCH($DQ$13&amp;"|2",$N$88:$N$112,0))),IFERROR(INDEX('Dados'!$G$38:$G$52,MATCH($BS$13,'Dados'!$A$38:$A$52,0)),"")),IF($BL$13=1,IFERROR(MIN(IFERROR(INDEX('Dados'!$G$38:$G$52,MATCH($BS$13,'Dados'!$A$38:$A$52,0)),""),INT(INDEX('Dados'!$K$127:$K$138,MATCH($DT$13&amp;"|2",'Dados'!$A$127:$A$138,0))*IFERROR(INDEX('Dados'!$G$38:$G$52,MATCH($BS$13,'Dados'!$A$38:$A$52,0)),"")/$CH$13)),IFERROR(INDEX('Dados'!$G$38:$G$52,MATCH($BS$13,'Dados'!$A$38:$A$52,0)),"")),IFERROR(INDEX('Dados'!$G$38:$G$52,MATCH($BS$13,'Dados'!$A$38:$A$52,0)),""))))</f>
        <v/>
      </c>
      <c r="AR13" s="19">
        <f>IF(OR(LEN($DQ$13)=0,$BV$13&lt;3),"",IFERROR(INDEX($DT$88:$DT$112,MATCH($DQ$13&amp;"|3",$N$88:$N$112,0))&amp;"",IF($BL$13=1,IFERROR(INDEX('Dados'!$G$127:$G$138,MATCH($DT$13&amp;"|3",'Dados'!$A$127:$A$138,0)),""),"")))</f>
        <v/>
      </c>
      <c r="AS13" s="19">
        <f>IF(OR(LEN($DQ$13)=0,$BV$13&lt;3),"",IFERROR(INDEX($DU$88:$DU$112,MATCH($DQ$13&amp;"|3",$N$88:$N$112,0))&amp;"",IF($BL$13=1,IFERROR(INDEX('Dados'!$H$127:$H$138,MATCH($DT$13&amp;"|3",'Dados'!$A$127:$A$138,0)),""),"")))</f>
        <v/>
      </c>
      <c r="AT13" s="19">
        <f>IF(OR(LEN($DQ$13)=0,$BV$13&lt;3),"",IFERROR(INDEX($DV$88:$DV$112,MATCH($DQ$13&amp;"|3",$N$88:$N$112,0))&amp;"",IF($BL$13=1,IFERROR(INDEX('Dados'!$I$127:$I$138,MATCH($DT$13&amp;"|3",'Dados'!$A$127:$A$138,0)),""),"")))</f>
        <v/>
      </c>
      <c r="AU13" s="19">
        <f>IF(OR(LEN($DQ$13)=0,$BV$13&lt;3),"",IFERROR(INDEX($DW$88:$DW$112,MATCH($DQ$13&amp;"|3",$N$88:$N$112,0))&amp;"",IF($BL$13=1,IFERROR(INDEX('Dados'!$J$127:$J$138,MATCH($DT$13&amp;"|3",'Dados'!$A$127:$A$138,0)),""),"")))</f>
        <v/>
      </c>
      <c r="AV13" s="19">
        <f>IF(OR(LEN($DQ$13)=0,$BV$13&lt;3),"",IF(ISNUMBER(MATCH($DQ$13&amp;"|3",$N$88:$N$112,0)),IF(ISNUMBER(INDEX($DX$88:$DX$112,MATCH($DQ$13&amp;"|3",$N$88:$N$112,0))),MIN(IFERROR(INDEX('Dados'!$G$38:$G$52,MATCH($BS$13,'Dados'!$A$38:$A$52,0)),""),INDEX($DX$88:$DX$112,MATCH($DQ$13&amp;"|3",$N$88:$N$112,0))),IFERROR(INDEX('Dados'!$G$38:$G$52,MATCH($BS$13,'Dados'!$A$38:$A$52,0)),"")),IF($BL$13=1,IFERROR(MIN(IFERROR(INDEX('Dados'!$G$38:$G$52,MATCH($BS$13,'Dados'!$A$38:$A$52,0)),""),INT(INDEX('Dados'!$K$127:$K$138,MATCH($DT$13&amp;"|3",'Dados'!$A$127:$A$138,0))*IFERROR(INDEX('Dados'!$G$38:$G$52,MATCH($BS$13,'Dados'!$A$38:$A$52,0)),"")/$CH$13)),IFERROR(INDEX('Dados'!$G$38:$G$52,MATCH($BS$13,'Dados'!$A$38:$A$52,0)),"")),IFERROR(INDEX('Dados'!$G$38:$G$52,MATCH($BS$13,'Dados'!$A$38:$A$52,0)),""))))</f>
        <v/>
      </c>
      <c r="AW13" s="19">
        <f>IF(LEN($DQ$13)=0,"",IF($BL$13=1,IFERROR(INDEX('Dados'!$AF$92:$AF$123,$BM$13)&amp;"",""),IFERROR(INDEX($DU$116:$DU$153,MATCH($DQ$13&amp;"|1",$Q$116:$Q$153,0))&amp;"","")))</f>
        <v/>
      </c>
      <c r="AX13" s="19">
        <f>IF(LEN($DQ$13)=0,"",IF($BL$13=1,IF(ISNUMBER(IFERROR(INDEX('Dados'!$AG$92:$AG$123,$BM$13),"")),IF(IFERROR(INDEX('Dados'!$AG$92:$AG$123,$BM$13),"")&gt;0,IFERROR(INDEX('Dados'!$AG$92:$AG$123,$BM$13),""),""),""),IFERROR(INDEX($DY$116:$DY$153,MATCH($DQ$13&amp;"|1",$Q$116:$Q$153,0))+0,"")))</f>
        <v/>
      </c>
      <c r="AY13" s="19">
        <f>IF(LEN($DQ$13)=0,"",IF($BL$13=1,IFERROR(INDEX('Dados'!$AH$92:$AH$123,$BM$13)&amp;"",""),IFERROR(INDEX($DU$116:$DU$153,MATCH($DQ$13&amp;"|2",$Q$116:$Q$153,0))&amp;"","")))</f>
        <v/>
      </c>
      <c r="AZ13" s="19">
        <f>IF(LEN($DQ$13)=0,"",IF($BL$13=1,IF(ISNUMBER(IFERROR(INDEX('Dados'!$AI$92:$AI$123,$BM$13),"")),IF(IFERROR(INDEX('Dados'!$AI$92:$AI$123,$BM$13),"")&gt;0,IFERROR(INDEX('Dados'!$AI$92:$AI$123,$BM$13),""),""),""),IFERROR(INDEX($DY$116:$DY$153,MATCH($DQ$13&amp;"|2",$Q$116:$Q$153,0))+0,"")))</f>
        <v/>
      </c>
      <c r="BA13" s="19">
        <f>IF(LEN($DQ$13)=0,"",IF($BL$13=1,IFERROR(INDEX('Dados'!$AJ$92:$AJ$123,$BM$13)&amp;"",""),IFERROR(INDEX($DU$116:$DU$153,MATCH($DQ$13&amp;"|3",$Q$116:$Q$153,0))&amp;"","")))</f>
        <v/>
      </c>
      <c r="BB13" s="19">
        <f>IF(LEN($DQ$13)=0,"",IF($BL$13=1,IF(ISNUMBER(IFERROR(INDEX('Dados'!$AK$92:$AK$123,$BM$13),"")),IF(IFERROR(INDEX('Dados'!$AK$92:$AK$123,$BM$13),"")&gt;0,IFERROR(INDEX('Dados'!$AK$92:$AK$123,$BM$13),""),""),""),IFERROR(INDEX($DY$116:$DY$153,MATCH($DQ$13&amp;"|3",$Q$116:$Q$153,0))+0,"")))</f>
        <v/>
      </c>
      <c r="BC13" s="19">
        <f>IF(LEN($DQ$13)=0,"",IF(LEN($DR$28)&gt;0,$DR$28,IF($BL$13=1,IFERROR(INDEX('Dados'!$E$92:$E$123,$BM$13)&amp;"",""),"")))</f>
        <v/>
      </c>
      <c r="BD13" s="19">
        <f>IF(AND(LEN($DR$28)=0,$BL$13=1),IFERROR(INDEX('Dados'!$AD$92:$AD$123,$BM$13)&amp;"",""),"")</f>
        <v/>
      </c>
      <c r="BE13" s="19">
        <f>IF(LEN($DQ$13)=0,"",INDEX('Dados'!$F$7:$F$11,$BR$13))</f>
        <v/>
      </c>
      <c r="BF13" s="19">
        <f>IF(LEN($DQ$13)=0,"",$BR$13)</f>
        <v/>
      </c>
      <c r="BG13" s="19">
        <f>$G$44</f>
        <v/>
      </c>
      <c r="BH13" s="19">
        <f>"Campanha"</f>
        <v/>
      </c>
      <c r="BK13" s="19">
        <f>IF(COUNTIF('Dados'!$AQ$6:$AQ$8,$DR$13)&gt;0,$DR$13,"Faixa do livro")</f>
        <v/>
      </c>
      <c r="BL13" s="19">
        <f>IF(AND($BK$13="Ajustar do bestiário",ISNUMBER($BM$13)),1,0)</f>
        <v/>
      </c>
      <c r="BM13" s="19">
        <f>IFERROR(MATCH($DT$13,'Dados'!$B$92:$B$123,0),"")</f>
        <v/>
      </c>
      <c r="BN13" s="19">
        <f>IF(COUNTIF('Dados'!$AO$6:$AO$8,$DY$13)&gt;0,$DY$13,IF($BL$13=1,IFERROR(INDEX('Dados'!$C$92:$C$123,$BM$13),""),"Comum"))</f>
        <v/>
      </c>
      <c r="BO13" s="19">
        <f>MATCH($BN$13,'Dados'!$AO$6:$AO$8,0)</f>
        <v/>
      </c>
      <c r="BP13" s="19">
        <f>IF(ISNUMBER($DX$13),MIN(20,MAX(1,INT($DX$13))),'Campanha'!$B$17)</f>
        <v/>
      </c>
      <c r="BQ13" s="19">
        <f>IF($BK$13="Por nível — Sugestão",INDEX('Dados'!$B$7:$B$11,INT(($BP$13-1)/4)+1),IF(LEN(IFERROR(INDEX('Dados'!$B$7:$B$11,MATCH($DW$13,'Dados'!$AP$6:$AP$10,0)),""))&gt;0,IFERROR(INDEX('Dados'!$B$7:$B$11,MATCH($DW$13,'Dados'!$AP$6:$AP$10,0)),""),'Campanha'!$B$19))</f>
        <v/>
      </c>
      <c r="BR13" s="19">
        <f>MATCH($BQ$13,'Dados'!$B$7:$B$11,0)</f>
        <v/>
      </c>
      <c r="BS13" s="19">
        <f>$BQ$13&amp;"|"&amp;$BN$13</f>
        <v/>
      </c>
      <c r="BT13" s="19">
        <f>MIN(4,MAX(1,INT(($BP$13-3)/4)+1))</f>
        <v/>
      </c>
      <c r="BU13" s="19">
        <f>IF($BK$13="Por nível — Sugestão",INT(IF($BP$13&lt;=3,INDEX('Dados'!$D$38:$D$52,$BO$13),IF($BP$13&gt;=19,INDEX('Dados'!$D$38:$D$52,12+$BO$13),INDEX('Dados'!$D$38:$D$52,($BT$13-1)*3+$BO$13)+(INDEX('Dados'!$D$38:$D$52,$BT$13*3+$BO$13)-INDEX('Dados'!$D$38:$D$52,($BT$13-1)*3+$BO$13))*($BP$13-(4*$BT$13-1))/4))),IFERROR(INDEX('Dados'!$D$38:$D$52,MATCH($BS$13,'Dados'!$A$38:$A$52,0)),""))</f>
        <v/>
      </c>
      <c r="BV13" s="19">
        <f>IF($BN$13&lt;&gt;"Boss",1,IF(AND(ISNUMBER($DZ$13),$DZ$13&gt;=1,$DZ$13&lt;=3),INT($DZ$13),IF($BL$13=1,MAX(1,IFERROR(INDEX('Dados'!$F$92:$F$123,$BM$13),"")),1)))</f>
        <v/>
      </c>
      <c r="BW13" s="19">
        <f>IFERROR(INDEX('Dados'!$O$38:$O$52,MATCH($BS$13,'Dados'!$A$38:$A$52,0)),"")</f>
        <v/>
      </c>
      <c r="BX13" s="19">
        <f>IF(AND(LEN($DR$44)=0,LEN($DS$44)=0,LEN($DT$44)=0,LEN($DU$44)=0),1,0)</f>
        <v/>
      </c>
      <c r="BY13" s="19">
        <f>IF(LEN($DQ$13)=0,"",IF($BX$13=0,$DR$44&amp;"",IF($BL$13=1,IFERROR(INDEX('Dados'!$Q$92:$Q$123,$BM$13)&amp;"",""),IF(1&lt;=$BW$13,$CD$13,""))))</f>
        <v/>
      </c>
      <c r="BZ13" s="19">
        <f>IF(LEN($DQ$13)=0,"",IF($BX$13=0,$DS$44&amp;"",IF($BL$13=1,IFERROR(INDEX('Dados'!$R$92:$R$123,$BM$13)&amp;"",""),IF(2&lt;=$BW$13,$CE$13,""))))</f>
        <v/>
      </c>
      <c r="CA13" s="19">
        <f>IF(LEN($DQ$13)=0,"",IF($BX$13=0,$DT$44&amp;"",IF($BL$13=1,IFERROR(INDEX('Dados'!$S$92:$S$123,$BM$13)&amp;"",""),IF(3&lt;=$BW$13,$CF$13,""))))</f>
        <v/>
      </c>
      <c r="CB13" s="19">
        <f>IF(LEN($DQ$13)=0,"",IF($BX$13=0,$DU$44&amp;"",IF($BL$13=1,IFERROR(INDEX('Dados'!$T$92:$T$123,$BM$13)&amp;"",""),IF(4&lt;=$BW$13,$CG$13,""))))</f>
        <v/>
      </c>
      <c r="CC13" s="19">
        <f>IF(LEN($DV$44)&gt;0,$DV$44,IF($BL$13=1,IFERROR(INDEX('Dados'!$U$92:$U$123,$BM$13)&amp;"",""),""))</f>
        <v/>
      </c>
      <c r="CD13" s="19">
        <f>INDEX('Dados'!$A$301:$A$307,MATCH(SMALL($DI$13:$DO$13,1),$DI$13:$DO$13,0))</f>
        <v/>
      </c>
      <c r="CE13" s="19">
        <f>INDEX('Dados'!$A$301:$A$307,MATCH(SMALL($DI$13:$DO$13,2),$DI$13:$DO$13,0))</f>
        <v/>
      </c>
      <c r="CF13" s="19">
        <f>INDEX('Dados'!$A$301:$A$307,MATCH(SMALL($DI$13:$DO$13,3),$DI$13:$DO$13,0))</f>
        <v/>
      </c>
      <c r="CG13" s="19">
        <f>INDEX('Dados'!$A$301:$A$307,MATCH(SMALL($DI$13:$DO$13,4),$DI$13:$DO$13,0))</f>
        <v/>
      </c>
      <c r="CH13" s="19">
        <f>IF($BL$13=1,IFERROR(INDEX('Dados'!$J$92:$J$123,$BM$13),""),"")</f>
        <v/>
      </c>
      <c r="CI13" s="19">
        <f>IF($BL$13=1,IFERROR(INDEX('Dados'!$G$92:$G$123,$BM$13),""),"")</f>
        <v/>
      </c>
      <c r="CJ13" s="19">
        <f>IFERROR(INDEX('Dados'!$S$38:$S$52,MATCH($BS$13,'Dados'!$A$38:$A$52,0)),"")</f>
        <v/>
      </c>
      <c r="CK13" s="19">
        <f>IFERROR(INDEX('Dados'!$T$38:$T$52,MATCH($BS$13,'Dados'!$A$38:$A$52,0)),"")</f>
        <v/>
      </c>
      <c r="CL13" s="19">
        <f>IFERROR(INDEX('Dados'!$J$38:$J$52,MATCH($BQ$13&amp;"|Comum",'Dados'!$A$38:$A$52,0)),"")</f>
        <v/>
      </c>
      <c r="CM13" s="19">
        <f>IFERROR(INDEX('Dados'!$K$38:$K$52,MATCH($BQ$13&amp;"|Comum",'Dados'!$A$38:$A$52,0)),"")</f>
        <v/>
      </c>
      <c r="CN13" s="19">
        <f>MOD(MOD(MOD((MOD('Início'!$E$15+104729*$C$7+41162069,2147483646)+1)*16807,2147483647)*16807,2147483647)*16807,2147483647)</f>
        <v/>
      </c>
      <c r="CO13" s="19">
        <f>MOD(MOD(MOD((MOD(MOD(INT($CN$13/65536)*$CN$13,2147483647)*65536+MOD($CN$13,65536)*$CN$13,2147483647))*16807,2147483647)*16807,2147483647)*16807,2147483647)</f>
        <v/>
      </c>
      <c r="CP13" s="19">
        <f>MOD(MOD(MOD((MOD($CO$13+INT($CO$13/65536)*MOD($CO$13,65536),2147483646)+1)*16807,2147483647)*16807,2147483647)*16807,2147483647)</f>
        <v/>
      </c>
      <c r="CQ13" s="19">
        <f>MOD(MOD(MOD((MOD('Início'!$E$15+104729*$C$7+42461778,2147483646)+1)*16807,2147483647)*16807,2147483647)*16807,2147483647)</f>
        <v/>
      </c>
      <c r="CR13" s="19">
        <f>MOD(MOD(MOD((MOD(MOD(INT($CQ$13/65536)*$CQ$13,2147483647)*65536+MOD($CQ$13,65536)*$CQ$13,2147483647))*16807,2147483647)*16807,2147483647)*16807,2147483647)</f>
        <v/>
      </c>
      <c r="CS13" s="19">
        <f>MOD(MOD(MOD((MOD($CR$13+INT($CR$13/65536)*MOD($CR$13,65536),2147483646)+1)*16807,2147483647)*16807,2147483647)*16807,2147483647)</f>
        <v/>
      </c>
      <c r="CT13" s="19">
        <f>MOD(MOD(MOD((MOD('Início'!$E$15+104729*$C$7+43761487,2147483646)+1)*16807,2147483647)*16807,2147483647)*16807,2147483647)</f>
        <v/>
      </c>
      <c r="CU13" s="19">
        <f>MOD(MOD(MOD((MOD(MOD(INT($CT$13/65536)*$CT$13,2147483647)*65536+MOD($CT$13,65536)*$CT$13,2147483647))*16807,2147483647)*16807,2147483647)*16807,2147483647)</f>
        <v/>
      </c>
      <c r="CV13" s="19">
        <f>MOD(MOD(MOD((MOD($CU$13+INT($CU$13/65536)*MOD($CU$13,65536),2147483646)+1)*16807,2147483647)*16807,2147483647)*16807,2147483647)</f>
        <v/>
      </c>
      <c r="CW13" s="19">
        <f>MOD(MOD(MOD((MOD('Início'!$E$15+104729*$C$7+45061196,2147483646)+1)*16807,2147483647)*16807,2147483647)*16807,2147483647)</f>
        <v/>
      </c>
      <c r="CX13" s="19">
        <f>MOD(MOD(MOD((MOD(MOD(INT($CW$13/65536)*$CW$13,2147483647)*65536+MOD($CW$13,65536)*$CW$13,2147483647))*16807,2147483647)*16807,2147483647)*16807,2147483647)</f>
        <v/>
      </c>
      <c r="CY13" s="19">
        <f>MOD(MOD(MOD((MOD($CX$13+INT($CX$13/65536)*MOD($CX$13,65536),2147483646)+1)*16807,2147483647)*16807,2147483647)*16807,2147483647)</f>
        <v/>
      </c>
      <c r="CZ13" s="19">
        <f>MOD(MOD(MOD((MOD('Início'!$E$15+104729*$C$7+46360905,2147483646)+1)*16807,2147483647)*16807,2147483647)*16807,2147483647)</f>
        <v/>
      </c>
      <c r="DA13" s="19">
        <f>MOD(MOD(MOD((MOD(MOD(INT($CZ$13/65536)*$CZ$13,2147483647)*65536+MOD($CZ$13,65536)*$CZ$13,2147483647))*16807,2147483647)*16807,2147483647)*16807,2147483647)</f>
        <v/>
      </c>
      <c r="DB13" s="19">
        <f>MOD(MOD(MOD((MOD($DA$13+INT($DA$13/65536)*MOD($DA$13,65536),2147483646)+1)*16807,2147483647)*16807,2147483647)*16807,2147483647)</f>
        <v/>
      </c>
      <c r="DC13" s="19">
        <f>MOD(MOD(MOD((MOD('Início'!$E$15+104729*$C$7+47660614,2147483646)+1)*16807,2147483647)*16807,2147483647)*16807,2147483647)</f>
        <v/>
      </c>
      <c r="DD13" s="19">
        <f>MOD(MOD(MOD((MOD(MOD(INT($DC$13/65536)*$DC$13,2147483647)*65536+MOD($DC$13,65536)*$DC$13,2147483647))*16807,2147483647)*16807,2147483647)*16807,2147483647)</f>
        <v/>
      </c>
      <c r="DE13" s="19">
        <f>MOD(MOD(MOD((MOD($DD$13+INT($DD$13/65536)*MOD($DD$13,65536),2147483646)+1)*16807,2147483647)*16807,2147483647)*16807,2147483647)</f>
        <v/>
      </c>
      <c r="DF13" s="19">
        <f>MOD(MOD(MOD((MOD('Início'!$E$15+104729*$C$7+48960323,2147483646)+1)*16807,2147483647)*16807,2147483647)*16807,2147483647)</f>
        <v/>
      </c>
      <c r="DG13" s="19">
        <f>MOD(MOD(MOD((MOD(MOD(INT($DF$13/65536)*$DF$13,2147483647)*65536+MOD($DF$13,65536)*$DF$13,2147483647))*16807,2147483647)*16807,2147483647)*16807,2147483647)</f>
        <v/>
      </c>
      <c r="DH13" s="19">
        <f>MOD(MOD(MOD((MOD($DG$13+INT($DG$13/65536)*MOD($DG$13,65536),2147483646)+1)*16807,2147483647)*16807,2147483647)*16807,2147483647)</f>
        <v/>
      </c>
      <c r="DI13" s="19">
        <f>IF($CC$13="Físico",9000000000,IF(AND('Grupo'!$B$44="Sim",COUNTIF($BY$11:$CB$12,"Físico")=0),0,2147483647))+$CP$13+1/10</f>
        <v/>
      </c>
      <c r="DJ13" s="19">
        <f>IF($CC$13="Fogo",9000000000,IF(AND('Grupo'!$C$44="Sim",COUNTIF($BY$11:$CB$12,"Fogo")=0),0,2147483647))+$CS$13+2/10</f>
        <v/>
      </c>
      <c r="DK13" s="19">
        <f>IF($CC$13="Gelo",9000000000,IF(AND('Grupo'!$D$44="Sim",COUNTIF($BY$11:$CB$12,"Gelo")=0),0,2147483647))+$CV$13+3/10</f>
        <v/>
      </c>
      <c r="DL13" s="19">
        <f>IF($CC$13="Raio",9000000000,IF(AND('Grupo'!$E$44="Sim",COUNTIF($BY$11:$CB$12,"Raio")=0),0,2147483647))+$CY$13+4/10</f>
        <v/>
      </c>
      <c r="DM13" s="19">
        <f>IF($CC$13="Vento",9000000000,IF(AND('Grupo'!$F$44="Sim",COUNTIF($BY$11:$CB$12,"Vento")=0),0,2147483647))+$DB$13+5/10</f>
        <v/>
      </c>
      <c r="DN13" s="19">
        <f>IF($CC$13="Quântico",9000000000,IF(AND('Grupo'!$G$44="Sim",COUNTIF($BY$11:$CB$12,"Quântico")=0),0,2147483647))+$DE$13+6/10</f>
        <v/>
      </c>
      <c r="DO13" s="19">
        <f>IF($CC$13="Imaginário",9000000000,IF(AND('Grupo'!$H$44="Sim",COUNTIF($BY$11:$CB$12,"Imaginário")=0),0,2147483647))+$DH$13+7/10</f>
        <v/>
      </c>
      <c r="DQ13" s="19">
        <f>IF(ISERROR($A$13),"",IF(ISBLANK($A$13),"",$A$13))</f>
        <v/>
      </c>
      <c r="DR13" s="19">
        <f>IF(ISERROR($B$13),"",IF(ISBLANK($B$13),"",$B$13))</f>
        <v/>
      </c>
      <c r="DT13" s="19">
        <f>IF(ISERROR($D$13),"",IF(ISBLANK($D$13),"",$D$13))</f>
        <v/>
      </c>
      <c r="DW13" s="19">
        <f>IF(ISERROR($G$13),"",IF(ISBLANK($G$13),"",$G$13))</f>
        <v/>
      </c>
      <c r="DX13" s="19">
        <f>IF(ISERROR($H$13),"",IF(ISBLANK($H$13),"",$H$13))</f>
        <v/>
      </c>
      <c r="DY13" s="19">
        <f>IF(ISERROR($I$13),"",IF(ISBLANK($I$13),"",$I$13))</f>
        <v/>
      </c>
      <c r="DZ13" s="19">
        <f>IF(ISERROR($J$13),"",IF(ISBLANK($J$13),"",$J$13))</f>
        <v/>
      </c>
      <c r="EA13" s="19">
        <f>ISERROR($A$13)*1+ISERROR($B$13)*1+ISERROR($D$13)*1+ISERROR($G$13)*1+ISERROR($H$13)*1+ISERROR($I$13)*1+ISERROR($J$13)*1</f>
        <v/>
      </c>
    </row>
    <row r="14" ht="26" customHeight="1">
      <c r="A14" s="31" t="n"/>
      <c r="B14" s="28" t="n"/>
      <c r="C14" s="16" t="n"/>
      <c r="D14" s="28" t="n"/>
      <c r="E14" s="24" t="n"/>
      <c r="F14" s="16" t="n"/>
      <c r="G14" s="42" t="n"/>
      <c r="H14" s="34" t="n"/>
      <c r="I14" s="42" t="n"/>
      <c r="J14" s="34" t="n"/>
      <c r="K14" s="26">
        <f>IF(EA14&gt;0,"O Google leu como fórmula: escolha de novo ou digite com ' na frente.",IF(LEN($DQ$14)=0,IF(LEN($DR$14&amp;$DT$14&amp;$DY$14)&gt;0,"Linha sem nome: o inimigo não entra nas listas",""),IF(COUNTIF($DQ$11:$DQ$22,$DQ$14)&gt;1,"Nome repetido na tabela",IF(COUNTIF('Dados'!$B$92:$B$123,$DQ$14)&gt;0,"Nome igual a uma criatura do bestiário: dê outro nome",IF(AND($BK$14="Ajustar do bestiário",$BL$14=0),"Modo Ajustar sem base do bestiário válida",IF(AND(LEN($DZ$14)&gt;0,$BN$14&lt;&gt;"Boss"),"Fases só valem para Boss (28.5)",IF(AND(ISNUMBER($DX$14),OR($DX$14&lt;1,$DX$14&gt;20)),"Nível fora de 1 a 20: usando o limite",IF(AND(LEN($DY$14)&gt;0,COUNTIF('Dados'!$AO$6:$AO$8,$DY$14)=0),"Tipo fora da lista: usando Comum",""))))))))</f>
        <v/>
      </c>
      <c r="N14" s="19">
        <f>IF(LEN($DQ$14)=0,"",$DQ$14)</f>
        <v/>
      </c>
      <c r="O14" s="19">
        <f>IF(LEN($DQ$14)=0,"",$BN$14)</f>
        <v/>
      </c>
      <c r="P14" s="19">
        <f>IF(LEN($DQ$14)=0,"",$BQ$14)</f>
        <v/>
      </c>
      <c r="Q14" s="19">
        <f>IF(LEN($DQ$14)=0,"",$BU$14)</f>
        <v/>
      </c>
      <c r="R14" s="19">
        <f>IF(LEN($DQ$14)=0,"",IFERROR(INDEX('Dados'!$E$38:$E$52,MATCH($BS$14,'Dados'!$A$38:$A$52,0)),""))</f>
        <v/>
      </c>
      <c r="S14" s="19">
        <f>IF(LEN($DQ$14)=0,"",IFERROR(INDEX('Dados'!$F$38:$F$52,MATCH($BS$14,'Dados'!$A$38:$A$52,0)),""))</f>
        <v/>
      </c>
      <c r="T14" s="19">
        <f>IF(LEN($DQ$14)=0,"",IFERROR(INDEX('Dados'!$G$38:$G$52,MATCH($BS$14,'Dados'!$A$38:$A$52,0)),""))</f>
        <v/>
      </c>
      <c r="U14" s="19">
        <f>IF(LEN($DQ$14)=0,"",IFERROR(INDEX('Dados'!$H$38:$H$52,MATCH($BS$14,'Dados'!$A$38:$A$52,0)),""))</f>
        <v/>
      </c>
      <c r="V14" s="19">
        <f>IF(LEN($DQ$14)=0,"",IFERROR(INDEX('Dados'!$I$38:$I$52,MATCH($BS$14,'Dados'!$A$38:$A$52,0)),""))</f>
        <v/>
      </c>
      <c r="W14" s="19">
        <f>IF(LEN($DQ$14)=0,"",IFERROR(INDEX('Dados'!$J$38:$J$52,MATCH($BS$14,'Dados'!$A$38:$A$52,0)),""))</f>
        <v/>
      </c>
      <c r="X14" s="19">
        <f>IF(LEN($DQ$14)=0,"",IFERROR(INDEX('Dados'!$K$38:$K$52,MATCH($BS$14,'Dados'!$A$38:$A$52,0)),""))</f>
        <v/>
      </c>
      <c r="Y14" s="19">
        <f>IF(LEN($DQ$14)=0,"",IFERROR(INDEX('Dados'!$L$38:$L$52,MATCH($BS$14,'Dados'!$A$38:$A$52,0)),""))</f>
        <v/>
      </c>
      <c r="Z14" s="19">
        <f>IF(LEN($DQ$14)=0,"",IFERROR(INDEX('Dados'!$M$38:$M$52,MATCH($BS$14,'Dados'!$A$38:$A$52,0)),""))</f>
        <v/>
      </c>
      <c r="AA14" s="19">
        <f>IF(LEN($DQ$14)=0,"",$BY$14)</f>
        <v/>
      </c>
      <c r="AB14" s="19">
        <f>IF(LEN($DQ$14)=0,"",$BZ$14)</f>
        <v/>
      </c>
      <c r="AC14" s="19">
        <f>IF(LEN($DQ$14)=0,"",$CA$14)</f>
        <v/>
      </c>
      <c r="AD14" s="19">
        <f>IF(LEN($DQ$14)=0,"",$CB$14)</f>
        <v/>
      </c>
      <c r="AE14" s="19">
        <f>IF(LEN($DQ$14)=0,"",$CC$14)</f>
        <v/>
      </c>
      <c r="AF14" s="19">
        <f>IF(LEN($DQ$14)=0,"",IF($DV$29="Sim","Pode",IF($DV$29="Não","Não",IF($BL$14=1,IFERROR(INDEX('Dados'!$V$92:$V$123,$BM$14)&amp;"",""),"Não declarado"))))</f>
        <v/>
      </c>
      <c r="AG14" s="19">
        <f>IF(LEN($DQ$14)=0,"",$BV$14)</f>
        <v/>
      </c>
      <c r="AH14" s="19">
        <f>IF(LEN($DQ$14)=0,"",IFERROR(INDEX('Dados'!$Q$38:$Q$52,MATCH($BS$14,'Dados'!$A$38:$A$52,0)),""))</f>
        <v/>
      </c>
      <c r="AI14" s="19">
        <f>IF(LEN($DQ$14)=0,"",IF(AND($BL$14=1,$DT$14="Escória de Stellaron"),1.5,1)*$BU$14)</f>
        <v/>
      </c>
      <c r="AJ14" s="19">
        <f>IF(LEN($DQ$14)=0,"",IFERROR(INDEX('Dados'!$P$38:$P$52,MATCH($BS$14,'Dados'!$A$38:$A$52,0)),""))</f>
        <v/>
      </c>
      <c r="AK14" s="19">
        <f>IF(LEN($DQ$14)=0,"",IF($BV$14=2,INT($BU$14/2),IF($BV$14=3,INT(2*$BU$14/3),"")))</f>
        <v/>
      </c>
      <c r="AL14" s="19">
        <f>IF(LEN($DQ$14)=0,"",IF($BV$14=3,INT($BU$14/3),""))</f>
        <v/>
      </c>
      <c r="AM14" s="19">
        <f>IF(OR(LEN($DQ$14)=0,$BV$14&lt;2),"",IFERROR(INDEX($DT$88:$DT$112,MATCH($DQ$14&amp;"|2",$N$88:$N$112,0))&amp;"",IF($BL$14=1,IFERROR(INDEX('Dados'!$G$127:$G$138,MATCH($DT$14&amp;"|2",'Dados'!$A$127:$A$138,0)),""),"")))</f>
        <v/>
      </c>
      <c r="AN14" s="19">
        <f>IF(OR(LEN($DQ$14)=0,$BV$14&lt;2),"",IFERROR(INDEX($DU$88:$DU$112,MATCH($DQ$14&amp;"|2",$N$88:$N$112,0))&amp;"",IF($BL$14=1,IFERROR(INDEX('Dados'!$H$127:$H$138,MATCH($DT$14&amp;"|2",'Dados'!$A$127:$A$138,0)),""),"")))</f>
        <v/>
      </c>
      <c r="AO14" s="19">
        <f>IF(OR(LEN($DQ$14)=0,$BV$14&lt;2),"",IFERROR(INDEX($DV$88:$DV$112,MATCH($DQ$14&amp;"|2",$N$88:$N$112,0))&amp;"",IF($BL$14=1,IFERROR(INDEX('Dados'!$I$127:$I$138,MATCH($DT$14&amp;"|2",'Dados'!$A$127:$A$138,0)),""),"")))</f>
        <v/>
      </c>
      <c r="AP14" s="19">
        <f>IF(OR(LEN($DQ$14)=0,$BV$14&lt;2),"",IFERROR(INDEX($DW$88:$DW$112,MATCH($DQ$14&amp;"|2",$N$88:$N$112,0))&amp;"",IF($BL$14=1,IFERROR(INDEX('Dados'!$J$127:$J$138,MATCH($DT$14&amp;"|2",'Dados'!$A$127:$A$138,0)),""),"")))</f>
        <v/>
      </c>
      <c r="AQ14" s="19">
        <f>IF(OR(LEN($DQ$14)=0,$BV$14&lt;2),"",IF(ISNUMBER(MATCH($DQ$14&amp;"|2",$N$88:$N$112,0)),IF(ISNUMBER(INDEX($DX$88:$DX$112,MATCH($DQ$14&amp;"|2",$N$88:$N$112,0))),MIN(IFERROR(INDEX('Dados'!$G$38:$G$52,MATCH($BS$14,'Dados'!$A$38:$A$52,0)),""),INDEX($DX$88:$DX$112,MATCH($DQ$14&amp;"|2",$N$88:$N$112,0))),IFERROR(INDEX('Dados'!$G$38:$G$52,MATCH($BS$14,'Dados'!$A$38:$A$52,0)),"")),IF($BL$14=1,IFERROR(MIN(IFERROR(INDEX('Dados'!$G$38:$G$52,MATCH($BS$14,'Dados'!$A$38:$A$52,0)),""),INT(INDEX('Dados'!$K$127:$K$138,MATCH($DT$14&amp;"|2",'Dados'!$A$127:$A$138,0))*IFERROR(INDEX('Dados'!$G$38:$G$52,MATCH($BS$14,'Dados'!$A$38:$A$52,0)),"")/$CH$14)),IFERROR(INDEX('Dados'!$G$38:$G$52,MATCH($BS$14,'Dados'!$A$38:$A$52,0)),"")),IFERROR(INDEX('Dados'!$G$38:$G$52,MATCH($BS$14,'Dados'!$A$38:$A$52,0)),""))))</f>
        <v/>
      </c>
      <c r="AR14" s="19">
        <f>IF(OR(LEN($DQ$14)=0,$BV$14&lt;3),"",IFERROR(INDEX($DT$88:$DT$112,MATCH($DQ$14&amp;"|3",$N$88:$N$112,0))&amp;"",IF($BL$14=1,IFERROR(INDEX('Dados'!$G$127:$G$138,MATCH($DT$14&amp;"|3",'Dados'!$A$127:$A$138,0)),""),"")))</f>
        <v/>
      </c>
      <c r="AS14" s="19">
        <f>IF(OR(LEN($DQ$14)=0,$BV$14&lt;3),"",IFERROR(INDEX($DU$88:$DU$112,MATCH($DQ$14&amp;"|3",$N$88:$N$112,0))&amp;"",IF($BL$14=1,IFERROR(INDEX('Dados'!$H$127:$H$138,MATCH($DT$14&amp;"|3",'Dados'!$A$127:$A$138,0)),""),"")))</f>
        <v/>
      </c>
      <c r="AT14" s="19">
        <f>IF(OR(LEN($DQ$14)=0,$BV$14&lt;3),"",IFERROR(INDEX($DV$88:$DV$112,MATCH($DQ$14&amp;"|3",$N$88:$N$112,0))&amp;"",IF($BL$14=1,IFERROR(INDEX('Dados'!$I$127:$I$138,MATCH($DT$14&amp;"|3",'Dados'!$A$127:$A$138,0)),""),"")))</f>
        <v/>
      </c>
      <c r="AU14" s="19">
        <f>IF(OR(LEN($DQ$14)=0,$BV$14&lt;3),"",IFERROR(INDEX($DW$88:$DW$112,MATCH($DQ$14&amp;"|3",$N$88:$N$112,0))&amp;"",IF($BL$14=1,IFERROR(INDEX('Dados'!$J$127:$J$138,MATCH($DT$14&amp;"|3",'Dados'!$A$127:$A$138,0)),""),"")))</f>
        <v/>
      </c>
      <c r="AV14" s="19">
        <f>IF(OR(LEN($DQ$14)=0,$BV$14&lt;3),"",IF(ISNUMBER(MATCH($DQ$14&amp;"|3",$N$88:$N$112,0)),IF(ISNUMBER(INDEX($DX$88:$DX$112,MATCH($DQ$14&amp;"|3",$N$88:$N$112,0))),MIN(IFERROR(INDEX('Dados'!$G$38:$G$52,MATCH($BS$14,'Dados'!$A$38:$A$52,0)),""),INDEX($DX$88:$DX$112,MATCH($DQ$14&amp;"|3",$N$88:$N$112,0))),IFERROR(INDEX('Dados'!$G$38:$G$52,MATCH($BS$14,'Dados'!$A$38:$A$52,0)),"")),IF($BL$14=1,IFERROR(MIN(IFERROR(INDEX('Dados'!$G$38:$G$52,MATCH($BS$14,'Dados'!$A$38:$A$52,0)),""),INT(INDEX('Dados'!$K$127:$K$138,MATCH($DT$14&amp;"|3",'Dados'!$A$127:$A$138,0))*IFERROR(INDEX('Dados'!$G$38:$G$52,MATCH($BS$14,'Dados'!$A$38:$A$52,0)),"")/$CH$14)),IFERROR(INDEX('Dados'!$G$38:$G$52,MATCH($BS$14,'Dados'!$A$38:$A$52,0)),"")),IFERROR(INDEX('Dados'!$G$38:$G$52,MATCH($BS$14,'Dados'!$A$38:$A$52,0)),""))))</f>
        <v/>
      </c>
      <c r="AW14" s="19">
        <f>IF(LEN($DQ$14)=0,"",IF($BL$14=1,IFERROR(INDEX('Dados'!$AF$92:$AF$123,$BM$14)&amp;"",""),IFERROR(INDEX($DU$116:$DU$153,MATCH($DQ$14&amp;"|1",$Q$116:$Q$153,0))&amp;"","")))</f>
        <v/>
      </c>
      <c r="AX14" s="19">
        <f>IF(LEN($DQ$14)=0,"",IF($BL$14=1,IF(ISNUMBER(IFERROR(INDEX('Dados'!$AG$92:$AG$123,$BM$14),"")),IF(IFERROR(INDEX('Dados'!$AG$92:$AG$123,$BM$14),"")&gt;0,IFERROR(INDEX('Dados'!$AG$92:$AG$123,$BM$14),""),""),""),IFERROR(INDEX($DY$116:$DY$153,MATCH($DQ$14&amp;"|1",$Q$116:$Q$153,0))+0,"")))</f>
        <v/>
      </c>
      <c r="AY14" s="19">
        <f>IF(LEN($DQ$14)=0,"",IF($BL$14=1,IFERROR(INDEX('Dados'!$AH$92:$AH$123,$BM$14)&amp;"",""),IFERROR(INDEX($DU$116:$DU$153,MATCH($DQ$14&amp;"|2",$Q$116:$Q$153,0))&amp;"","")))</f>
        <v/>
      </c>
      <c r="AZ14" s="19">
        <f>IF(LEN($DQ$14)=0,"",IF($BL$14=1,IF(ISNUMBER(IFERROR(INDEX('Dados'!$AI$92:$AI$123,$BM$14),"")),IF(IFERROR(INDEX('Dados'!$AI$92:$AI$123,$BM$14),"")&gt;0,IFERROR(INDEX('Dados'!$AI$92:$AI$123,$BM$14),""),""),""),IFERROR(INDEX($DY$116:$DY$153,MATCH($DQ$14&amp;"|2",$Q$116:$Q$153,0))+0,"")))</f>
        <v/>
      </c>
      <c r="BA14" s="19">
        <f>IF(LEN($DQ$14)=0,"",IF($BL$14=1,IFERROR(INDEX('Dados'!$AJ$92:$AJ$123,$BM$14)&amp;"",""),IFERROR(INDEX($DU$116:$DU$153,MATCH($DQ$14&amp;"|3",$Q$116:$Q$153,0))&amp;"","")))</f>
        <v/>
      </c>
      <c r="BB14" s="19">
        <f>IF(LEN($DQ$14)=0,"",IF($BL$14=1,IF(ISNUMBER(IFERROR(INDEX('Dados'!$AK$92:$AK$123,$BM$14),"")),IF(IFERROR(INDEX('Dados'!$AK$92:$AK$123,$BM$14),"")&gt;0,IFERROR(INDEX('Dados'!$AK$92:$AK$123,$BM$14),""),""),""),IFERROR(INDEX($DY$116:$DY$153,MATCH($DQ$14&amp;"|3",$Q$116:$Q$153,0))+0,"")))</f>
        <v/>
      </c>
      <c r="BC14" s="19">
        <f>IF(LEN($DQ$14)=0,"",IF(LEN($DR$29)&gt;0,$DR$29,IF($BL$14=1,IFERROR(INDEX('Dados'!$E$92:$E$123,$BM$14)&amp;"",""),"")))</f>
        <v/>
      </c>
      <c r="BD14" s="19">
        <f>IF(AND(LEN($DR$29)=0,$BL$14=1),IFERROR(INDEX('Dados'!$AD$92:$AD$123,$BM$14)&amp;"",""),"")</f>
        <v/>
      </c>
      <c r="BE14" s="19">
        <f>IF(LEN($DQ$14)=0,"",INDEX('Dados'!$F$7:$F$11,$BR$14))</f>
        <v/>
      </c>
      <c r="BF14" s="19">
        <f>IF(LEN($DQ$14)=0,"",$BR$14)</f>
        <v/>
      </c>
      <c r="BG14" s="19">
        <f>$G$45</f>
        <v/>
      </c>
      <c r="BH14" s="19">
        <f>"Campanha"</f>
        <v/>
      </c>
      <c r="BK14" s="19">
        <f>IF(COUNTIF('Dados'!$AQ$6:$AQ$8,$DR$14)&gt;0,$DR$14,"Faixa do livro")</f>
        <v/>
      </c>
      <c r="BL14" s="19">
        <f>IF(AND($BK$14="Ajustar do bestiário",ISNUMBER($BM$14)),1,0)</f>
        <v/>
      </c>
      <c r="BM14" s="19">
        <f>IFERROR(MATCH($DT$14,'Dados'!$B$92:$B$123,0),"")</f>
        <v/>
      </c>
      <c r="BN14" s="19">
        <f>IF(COUNTIF('Dados'!$AO$6:$AO$8,$DY$14)&gt;0,$DY$14,IF($BL$14=1,IFERROR(INDEX('Dados'!$C$92:$C$123,$BM$14),""),"Comum"))</f>
        <v/>
      </c>
      <c r="BO14" s="19">
        <f>MATCH($BN$14,'Dados'!$AO$6:$AO$8,0)</f>
        <v/>
      </c>
      <c r="BP14" s="19">
        <f>IF(ISNUMBER($DX$14),MIN(20,MAX(1,INT($DX$14))),'Campanha'!$B$17)</f>
        <v/>
      </c>
      <c r="BQ14" s="19">
        <f>IF($BK$14="Por nível — Sugestão",INDEX('Dados'!$B$7:$B$11,INT(($BP$14-1)/4)+1),IF(LEN(IFERROR(INDEX('Dados'!$B$7:$B$11,MATCH($DW$14,'Dados'!$AP$6:$AP$10,0)),""))&gt;0,IFERROR(INDEX('Dados'!$B$7:$B$11,MATCH($DW$14,'Dados'!$AP$6:$AP$10,0)),""),'Campanha'!$B$19))</f>
        <v/>
      </c>
      <c r="BR14" s="19">
        <f>MATCH($BQ$14,'Dados'!$B$7:$B$11,0)</f>
        <v/>
      </c>
      <c r="BS14" s="19">
        <f>$BQ$14&amp;"|"&amp;$BN$14</f>
        <v/>
      </c>
      <c r="BT14" s="19">
        <f>MIN(4,MAX(1,INT(($BP$14-3)/4)+1))</f>
        <v/>
      </c>
      <c r="BU14" s="19">
        <f>IF($BK$14="Por nível — Sugestão",INT(IF($BP$14&lt;=3,INDEX('Dados'!$D$38:$D$52,$BO$14),IF($BP$14&gt;=19,INDEX('Dados'!$D$38:$D$52,12+$BO$14),INDEX('Dados'!$D$38:$D$52,($BT$14-1)*3+$BO$14)+(INDEX('Dados'!$D$38:$D$52,$BT$14*3+$BO$14)-INDEX('Dados'!$D$38:$D$52,($BT$14-1)*3+$BO$14))*($BP$14-(4*$BT$14-1))/4))),IFERROR(INDEX('Dados'!$D$38:$D$52,MATCH($BS$14,'Dados'!$A$38:$A$52,0)),""))</f>
        <v/>
      </c>
      <c r="BV14" s="19">
        <f>IF($BN$14&lt;&gt;"Boss",1,IF(AND(ISNUMBER($DZ$14),$DZ$14&gt;=1,$DZ$14&lt;=3),INT($DZ$14),IF($BL$14=1,MAX(1,IFERROR(INDEX('Dados'!$F$92:$F$123,$BM$14),"")),1)))</f>
        <v/>
      </c>
      <c r="BW14" s="19">
        <f>IFERROR(INDEX('Dados'!$O$38:$O$52,MATCH($BS$14,'Dados'!$A$38:$A$52,0)),"")</f>
        <v/>
      </c>
      <c r="BX14" s="19">
        <f>IF(AND(LEN($DR$45)=0,LEN($DS$45)=0,LEN($DT$45)=0,LEN($DU$45)=0),1,0)</f>
        <v/>
      </c>
      <c r="BY14" s="19">
        <f>IF(LEN($DQ$14)=0,"",IF($BX$14=0,$DR$45&amp;"",IF($BL$14=1,IFERROR(INDEX('Dados'!$Q$92:$Q$123,$BM$14)&amp;"",""),IF(1&lt;=$BW$14,$CD$14,""))))</f>
        <v/>
      </c>
      <c r="BZ14" s="19">
        <f>IF(LEN($DQ$14)=0,"",IF($BX$14=0,$DS$45&amp;"",IF($BL$14=1,IFERROR(INDEX('Dados'!$R$92:$R$123,$BM$14)&amp;"",""),IF(2&lt;=$BW$14,$CE$14,""))))</f>
        <v/>
      </c>
      <c r="CA14" s="19">
        <f>IF(LEN($DQ$14)=0,"",IF($BX$14=0,$DT$45&amp;"",IF($BL$14=1,IFERROR(INDEX('Dados'!$S$92:$S$123,$BM$14)&amp;"",""),IF(3&lt;=$BW$14,$CF$14,""))))</f>
        <v/>
      </c>
      <c r="CB14" s="19">
        <f>IF(LEN($DQ$14)=0,"",IF($BX$14=0,$DU$45&amp;"",IF($BL$14=1,IFERROR(INDEX('Dados'!$T$92:$T$123,$BM$14)&amp;"",""),IF(4&lt;=$BW$14,$CG$14,""))))</f>
        <v/>
      </c>
      <c r="CC14" s="19">
        <f>IF(LEN($DV$45)&gt;0,$DV$45,IF($BL$14=1,IFERROR(INDEX('Dados'!$U$92:$U$123,$BM$14)&amp;"",""),""))</f>
        <v/>
      </c>
      <c r="CD14" s="19">
        <f>INDEX('Dados'!$A$301:$A$307,MATCH(SMALL($DI$14:$DO$14,1),$DI$14:$DO$14,0))</f>
        <v/>
      </c>
      <c r="CE14" s="19">
        <f>INDEX('Dados'!$A$301:$A$307,MATCH(SMALL($DI$14:$DO$14,2),$DI$14:$DO$14,0))</f>
        <v/>
      </c>
      <c r="CF14" s="19">
        <f>INDEX('Dados'!$A$301:$A$307,MATCH(SMALL($DI$14:$DO$14,3),$DI$14:$DO$14,0))</f>
        <v/>
      </c>
      <c r="CG14" s="19">
        <f>INDEX('Dados'!$A$301:$A$307,MATCH(SMALL($DI$14:$DO$14,4),$DI$14:$DO$14,0))</f>
        <v/>
      </c>
      <c r="CH14" s="19">
        <f>IF($BL$14=1,IFERROR(INDEX('Dados'!$J$92:$J$123,$BM$14),""),"")</f>
        <v/>
      </c>
      <c r="CI14" s="19">
        <f>IF($BL$14=1,IFERROR(INDEX('Dados'!$G$92:$G$123,$BM$14),""),"")</f>
        <v/>
      </c>
      <c r="CJ14" s="19">
        <f>IFERROR(INDEX('Dados'!$S$38:$S$52,MATCH($BS$14,'Dados'!$A$38:$A$52,0)),"")</f>
        <v/>
      </c>
      <c r="CK14" s="19">
        <f>IFERROR(INDEX('Dados'!$T$38:$T$52,MATCH($BS$14,'Dados'!$A$38:$A$52,0)),"")</f>
        <v/>
      </c>
      <c r="CL14" s="19">
        <f>IFERROR(INDEX('Dados'!$J$38:$J$52,MATCH($BQ$14&amp;"|Comum",'Dados'!$A$38:$A$52,0)),"")</f>
        <v/>
      </c>
      <c r="CM14" s="19">
        <f>IFERROR(INDEX('Dados'!$K$38:$K$52,MATCH($BQ$14&amp;"|Comum",'Dados'!$A$38:$A$52,0)),"")</f>
        <v/>
      </c>
      <c r="CN14" s="19">
        <f>MOD(MOD(MOD((MOD('Início'!$E$15+104729*$C$7+54159159,2147483646)+1)*16807,2147483647)*16807,2147483647)*16807,2147483647)</f>
        <v/>
      </c>
      <c r="CO14" s="19">
        <f>MOD(MOD(MOD((MOD(MOD(INT($CN$14/65536)*$CN$14,2147483647)*65536+MOD($CN$14,65536)*$CN$14,2147483647))*16807,2147483647)*16807,2147483647)*16807,2147483647)</f>
        <v/>
      </c>
      <c r="CP14" s="19">
        <f>MOD(MOD(MOD((MOD($CO$14+INT($CO$14/65536)*MOD($CO$14,65536),2147483646)+1)*16807,2147483647)*16807,2147483647)*16807,2147483647)</f>
        <v/>
      </c>
      <c r="CQ14" s="19">
        <f>MOD(MOD(MOD((MOD('Início'!$E$15+104729*$C$7+55458868,2147483646)+1)*16807,2147483647)*16807,2147483647)*16807,2147483647)</f>
        <v/>
      </c>
      <c r="CR14" s="19">
        <f>MOD(MOD(MOD((MOD(MOD(INT($CQ$14/65536)*$CQ$14,2147483647)*65536+MOD($CQ$14,65536)*$CQ$14,2147483647))*16807,2147483647)*16807,2147483647)*16807,2147483647)</f>
        <v/>
      </c>
      <c r="CS14" s="19">
        <f>MOD(MOD(MOD((MOD($CR$14+INT($CR$14/65536)*MOD($CR$14,65536),2147483646)+1)*16807,2147483647)*16807,2147483647)*16807,2147483647)</f>
        <v/>
      </c>
      <c r="CT14" s="19">
        <f>MOD(MOD(MOD((MOD('Início'!$E$15+104729*$C$7+56758577,2147483646)+1)*16807,2147483647)*16807,2147483647)*16807,2147483647)</f>
        <v/>
      </c>
      <c r="CU14" s="19">
        <f>MOD(MOD(MOD((MOD(MOD(INT($CT$14/65536)*$CT$14,2147483647)*65536+MOD($CT$14,65536)*$CT$14,2147483647))*16807,2147483647)*16807,2147483647)*16807,2147483647)</f>
        <v/>
      </c>
      <c r="CV14" s="19">
        <f>MOD(MOD(MOD((MOD($CU$14+INT($CU$14/65536)*MOD($CU$14,65536),2147483646)+1)*16807,2147483647)*16807,2147483647)*16807,2147483647)</f>
        <v/>
      </c>
      <c r="CW14" s="19">
        <f>MOD(MOD(MOD((MOD('Início'!$E$15+104729*$C$7+58058286,2147483646)+1)*16807,2147483647)*16807,2147483647)*16807,2147483647)</f>
        <v/>
      </c>
      <c r="CX14" s="19">
        <f>MOD(MOD(MOD((MOD(MOD(INT($CW$14/65536)*$CW$14,2147483647)*65536+MOD($CW$14,65536)*$CW$14,2147483647))*16807,2147483647)*16807,2147483647)*16807,2147483647)</f>
        <v/>
      </c>
      <c r="CY14" s="19">
        <f>MOD(MOD(MOD((MOD($CX$14+INT($CX$14/65536)*MOD($CX$14,65536),2147483646)+1)*16807,2147483647)*16807,2147483647)*16807,2147483647)</f>
        <v/>
      </c>
      <c r="CZ14" s="19">
        <f>MOD(MOD(MOD((MOD('Início'!$E$15+104729*$C$7+59357995,2147483646)+1)*16807,2147483647)*16807,2147483647)*16807,2147483647)</f>
        <v/>
      </c>
      <c r="DA14" s="19">
        <f>MOD(MOD(MOD((MOD(MOD(INT($CZ$14/65536)*$CZ$14,2147483647)*65536+MOD($CZ$14,65536)*$CZ$14,2147483647))*16807,2147483647)*16807,2147483647)*16807,2147483647)</f>
        <v/>
      </c>
      <c r="DB14" s="19">
        <f>MOD(MOD(MOD((MOD($DA$14+INT($DA$14/65536)*MOD($DA$14,65536),2147483646)+1)*16807,2147483647)*16807,2147483647)*16807,2147483647)</f>
        <v/>
      </c>
      <c r="DC14" s="19">
        <f>MOD(MOD(MOD((MOD('Início'!$E$15+104729*$C$7+60657704,2147483646)+1)*16807,2147483647)*16807,2147483647)*16807,2147483647)</f>
        <v/>
      </c>
      <c r="DD14" s="19">
        <f>MOD(MOD(MOD((MOD(MOD(INT($DC$14/65536)*$DC$14,2147483647)*65536+MOD($DC$14,65536)*$DC$14,2147483647))*16807,2147483647)*16807,2147483647)*16807,2147483647)</f>
        <v/>
      </c>
      <c r="DE14" s="19">
        <f>MOD(MOD(MOD((MOD($DD$14+INT($DD$14/65536)*MOD($DD$14,65536),2147483646)+1)*16807,2147483647)*16807,2147483647)*16807,2147483647)</f>
        <v/>
      </c>
      <c r="DF14" s="19">
        <f>MOD(MOD(MOD((MOD('Início'!$E$15+104729*$C$7+61957413,2147483646)+1)*16807,2147483647)*16807,2147483647)*16807,2147483647)</f>
        <v/>
      </c>
      <c r="DG14" s="19">
        <f>MOD(MOD(MOD((MOD(MOD(INT($DF$14/65536)*$DF$14,2147483647)*65536+MOD($DF$14,65536)*$DF$14,2147483647))*16807,2147483647)*16807,2147483647)*16807,2147483647)</f>
        <v/>
      </c>
      <c r="DH14" s="19">
        <f>MOD(MOD(MOD((MOD($DG$14+INT($DG$14/65536)*MOD($DG$14,65536),2147483646)+1)*16807,2147483647)*16807,2147483647)*16807,2147483647)</f>
        <v/>
      </c>
      <c r="DI14" s="19">
        <f>IF($CC$14="Físico",9000000000,IF(AND('Grupo'!$B$44="Sim",COUNTIF($BY$11:$CB$13,"Físico")=0),0,2147483647))+$CP$14+1/10</f>
        <v/>
      </c>
      <c r="DJ14" s="19">
        <f>IF($CC$14="Fogo",9000000000,IF(AND('Grupo'!$C$44="Sim",COUNTIF($BY$11:$CB$13,"Fogo")=0),0,2147483647))+$CS$14+2/10</f>
        <v/>
      </c>
      <c r="DK14" s="19">
        <f>IF($CC$14="Gelo",9000000000,IF(AND('Grupo'!$D$44="Sim",COUNTIF($BY$11:$CB$13,"Gelo")=0),0,2147483647))+$CV$14+3/10</f>
        <v/>
      </c>
      <c r="DL14" s="19">
        <f>IF($CC$14="Raio",9000000000,IF(AND('Grupo'!$E$44="Sim",COUNTIF($BY$11:$CB$13,"Raio")=0),0,2147483647))+$CY$14+4/10</f>
        <v/>
      </c>
      <c r="DM14" s="19">
        <f>IF($CC$14="Vento",9000000000,IF(AND('Grupo'!$F$44="Sim",COUNTIF($BY$11:$CB$13,"Vento")=0),0,2147483647))+$DB$14+5/10</f>
        <v/>
      </c>
      <c r="DN14" s="19">
        <f>IF($CC$14="Quântico",9000000000,IF(AND('Grupo'!$G$44="Sim",COUNTIF($BY$11:$CB$13,"Quântico")=0),0,2147483647))+$DE$14+6/10</f>
        <v/>
      </c>
      <c r="DO14" s="19">
        <f>IF($CC$14="Imaginário",9000000000,IF(AND('Grupo'!$H$44="Sim",COUNTIF($BY$11:$CB$13,"Imaginário")=0),0,2147483647))+$DH$14+7/10</f>
        <v/>
      </c>
      <c r="DQ14" s="19">
        <f>IF(ISERROR($A$14),"",IF(ISBLANK($A$14),"",$A$14))</f>
        <v/>
      </c>
      <c r="DR14" s="19">
        <f>IF(ISERROR($B$14),"",IF(ISBLANK($B$14),"",$B$14))</f>
        <v/>
      </c>
      <c r="DT14" s="19">
        <f>IF(ISERROR($D$14),"",IF(ISBLANK($D$14),"",$D$14))</f>
        <v/>
      </c>
      <c r="DW14" s="19">
        <f>IF(ISERROR($G$14),"",IF(ISBLANK($G$14),"",$G$14))</f>
        <v/>
      </c>
      <c r="DX14" s="19">
        <f>IF(ISERROR($H$14),"",IF(ISBLANK($H$14),"",$H$14))</f>
        <v/>
      </c>
      <c r="DY14" s="19">
        <f>IF(ISERROR($I$14),"",IF(ISBLANK($I$14),"",$I$14))</f>
        <v/>
      </c>
      <c r="DZ14" s="19">
        <f>IF(ISERROR($J$14),"",IF(ISBLANK($J$14),"",$J$14))</f>
        <v/>
      </c>
      <c r="EA14" s="19">
        <f>ISERROR($A$14)*1+ISERROR($B$14)*1+ISERROR($D$14)*1+ISERROR($G$14)*1+ISERROR($H$14)*1+ISERROR($I$14)*1+ISERROR($J$14)*1</f>
        <v/>
      </c>
    </row>
    <row r="15" ht="26" customHeight="1">
      <c r="A15" s="30" t="n"/>
      <c r="B15" s="3" t="n"/>
      <c r="C15" s="16" t="n"/>
      <c r="D15" s="3" t="n"/>
      <c r="E15" s="24" t="n"/>
      <c r="F15" s="16" t="n"/>
      <c r="G15" s="36" t="n"/>
      <c r="H15" s="15" t="n"/>
      <c r="I15" s="36" t="n"/>
      <c r="J15" s="15" t="n"/>
      <c r="K15" s="18">
        <f>IF(EA15&gt;0,"O Google leu como fórmula: escolha de novo ou digite com ' na frente.",IF(LEN($DQ$15)=0,IF(LEN($DR$15&amp;$DT$15&amp;$DY$15)&gt;0,"Linha sem nome: o inimigo não entra nas listas",""),IF(COUNTIF($DQ$11:$DQ$22,$DQ$15)&gt;1,"Nome repetido na tabela",IF(COUNTIF('Dados'!$B$92:$B$123,$DQ$15)&gt;0,"Nome igual a uma criatura do bestiário: dê outro nome",IF(AND($BK$15="Ajustar do bestiário",$BL$15=0),"Modo Ajustar sem base do bestiário válida",IF(AND(LEN($DZ$15)&gt;0,$BN$15&lt;&gt;"Boss"),"Fases só valem para Boss (28.5)",IF(AND(ISNUMBER($DX$15),OR($DX$15&lt;1,$DX$15&gt;20)),"Nível fora de 1 a 20: usando o limite",IF(AND(LEN($DY$15)&gt;0,COUNTIF('Dados'!$AO$6:$AO$8,$DY$15)=0),"Tipo fora da lista: usando Comum",""))))))))</f>
        <v/>
      </c>
      <c r="N15" s="19">
        <f>IF(LEN($DQ$15)=0,"",$DQ$15)</f>
        <v/>
      </c>
      <c r="O15" s="19">
        <f>IF(LEN($DQ$15)=0,"",$BN$15)</f>
        <v/>
      </c>
      <c r="P15" s="19">
        <f>IF(LEN($DQ$15)=0,"",$BQ$15)</f>
        <v/>
      </c>
      <c r="Q15" s="19">
        <f>IF(LEN($DQ$15)=0,"",$BU$15)</f>
        <v/>
      </c>
      <c r="R15" s="19">
        <f>IF(LEN($DQ$15)=0,"",IFERROR(INDEX('Dados'!$E$38:$E$52,MATCH($BS$15,'Dados'!$A$38:$A$52,0)),""))</f>
        <v/>
      </c>
      <c r="S15" s="19">
        <f>IF(LEN($DQ$15)=0,"",IFERROR(INDEX('Dados'!$F$38:$F$52,MATCH($BS$15,'Dados'!$A$38:$A$52,0)),""))</f>
        <v/>
      </c>
      <c r="T15" s="19">
        <f>IF(LEN($DQ$15)=0,"",IFERROR(INDEX('Dados'!$G$38:$G$52,MATCH($BS$15,'Dados'!$A$38:$A$52,0)),""))</f>
        <v/>
      </c>
      <c r="U15" s="19">
        <f>IF(LEN($DQ$15)=0,"",IFERROR(INDEX('Dados'!$H$38:$H$52,MATCH($BS$15,'Dados'!$A$38:$A$52,0)),""))</f>
        <v/>
      </c>
      <c r="V15" s="19">
        <f>IF(LEN($DQ$15)=0,"",IFERROR(INDEX('Dados'!$I$38:$I$52,MATCH($BS$15,'Dados'!$A$38:$A$52,0)),""))</f>
        <v/>
      </c>
      <c r="W15" s="19">
        <f>IF(LEN($DQ$15)=0,"",IFERROR(INDEX('Dados'!$J$38:$J$52,MATCH($BS$15,'Dados'!$A$38:$A$52,0)),""))</f>
        <v/>
      </c>
      <c r="X15" s="19">
        <f>IF(LEN($DQ$15)=0,"",IFERROR(INDEX('Dados'!$K$38:$K$52,MATCH($BS$15,'Dados'!$A$38:$A$52,0)),""))</f>
        <v/>
      </c>
      <c r="Y15" s="19">
        <f>IF(LEN($DQ$15)=0,"",IFERROR(INDEX('Dados'!$L$38:$L$52,MATCH($BS$15,'Dados'!$A$38:$A$52,0)),""))</f>
        <v/>
      </c>
      <c r="Z15" s="19">
        <f>IF(LEN($DQ$15)=0,"",IFERROR(INDEX('Dados'!$M$38:$M$52,MATCH($BS$15,'Dados'!$A$38:$A$52,0)),""))</f>
        <v/>
      </c>
      <c r="AA15" s="19">
        <f>IF(LEN($DQ$15)=0,"",$BY$15)</f>
        <v/>
      </c>
      <c r="AB15" s="19">
        <f>IF(LEN($DQ$15)=0,"",$BZ$15)</f>
        <v/>
      </c>
      <c r="AC15" s="19">
        <f>IF(LEN($DQ$15)=0,"",$CA$15)</f>
        <v/>
      </c>
      <c r="AD15" s="19">
        <f>IF(LEN($DQ$15)=0,"",$CB$15)</f>
        <v/>
      </c>
      <c r="AE15" s="19">
        <f>IF(LEN($DQ$15)=0,"",$CC$15)</f>
        <v/>
      </c>
      <c r="AF15" s="19">
        <f>IF(LEN($DQ$15)=0,"",IF($DV$30="Sim","Pode",IF($DV$30="Não","Não",IF($BL$15=1,IFERROR(INDEX('Dados'!$V$92:$V$123,$BM$15)&amp;"",""),"Não declarado"))))</f>
        <v/>
      </c>
      <c r="AG15" s="19">
        <f>IF(LEN($DQ$15)=0,"",$BV$15)</f>
        <v/>
      </c>
      <c r="AH15" s="19">
        <f>IF(LEN($DQ$15)=0,"",IFERROR(INDEX('Dados'!$Q$38:$Q$52,MATCH($BS$15,'Dados'!$A$38:$A$52,0)),""))</f>
        <v/>
      </c>
      <c r="AI15" s="19">
        <f>IF(LEN($DQ$15)=0,"",IF(AND($BL$15=1,$DT$15="Escória de Stellaron"),1.5,1)*$BU$15)</f>
        <v/>
      </c>
      <c r="AJ15" s="19">
        <f>IF(LEN($DQ$15)=0,"",IFERROR(INDEX('Dados'!$P$38:$P$52,MATCH($BS$15,'Dados'!$A$38:$A$52,0)),""))</f>
        <v/>
      </c>
      <c r="AK15" s="19">
        <f>IF(LEN($DQ$15)=0,"",IF($BV$15=2,INT($BU$15/2),IF($BV$15=3,INT(2*$BU$15/3),"")))</f>
        <v/>
      </c>
      <c r="AL15" s="19">
        <f>IF(LEN($DQ$15)=0,"",IF($BV$15=3,INT($BU$15/3),""))</f>
        <v/>
      </c>
      <c r="AM15" s="19">
        <f>IF(OR(LEN($DQ$15)=0,$BV$15&lt;2),"",IFERROR(INDEX($DT$88:$DT$112,MATCH($DQ$15&amp;"|2",$N$88:$N$112,0))&amp;"",IF($BL$15=1,IFERROR(INDEX('Dados'!$G$127:$G$138,MATCH($DT$15&amp;"|2",'Dados'!$A$127:$A$138,0)),""),"")))</f>
        <v/>
      </c>
      <c r="AN15" s="19">
        <f>IF(OR(LEN($DQ$15)=0,$BV$15&lt;2),"",IFERROR(INDEX($DU$88:$DU$112,MATCH($DQ$15&amp;"|2",$N$88:$N$112,0))&amp;"",IF($BL$15=1,IFERROR(INDEX('Dados'!$H$127:$H$138,MATCH($DT$15&amp;"|2",'Dados'!$A$127:$A$138,0)),""),"")))</f>
        <v/>
      </c>
      <c r="AO15" s="19">
        <f>IF(OR(LEN($DQ$15)=0,$BV$15&lt;2),"",IFERROR(INDEX($DV$88:$DV$112,MATCH($DQ$15&amp;"|2",$N$88:$N$112,0))&amp;"",IF($BL$15=1,IFERROR(INDEX('Dados'!$I$127:$I$138,MATCH($DT$15&amp;"|2",'Dados'!$A$127:$A$138,0)),""),"")))</f>
        <v/>
      </c>
      <c r="AP15" s="19">
        <f>IF(OR(LEN($DQ$15)=0,$BV$15&lt;2),"",IFERROR(INDEX($DW$88:$DW$112,MATCH($DQ$15&amp;"|2",$N$88:$N$112,0))&amp;"",IF($BL$15=1,IFERROR(INDEX('Dados'!$J$127:$J$138,MATCH($DT$15&amp;"|2",'Dados'!$A$127:$A$138,0)),""),"")))</f>
        <v/>
      </c>
      <c r="AQ15" s="19">
        <f>IF(OR(LEN($DQ$15)=0,$BV$15&lt;2),"",IF(ISNUMBER(MATCH($DQ$15&amp;"|2",$N$88:$N$112,0)),IF(ISNUMBER(INDEX($DX$88:$DX$112,MATCH($DQ$15&amp;"|2",$N$88:$N$112,0))),MIN(IFERROR(INDEX('Dados'!$G$38:$G$52,MATCH($BS$15,'Dados'!$A$38:$A$52,0)),""),INDEX($DX$88:$DX$112,MATCH($DQ$15&amp;"|2",$N$88:$N$112,0))),IFERROR(INDEX('Dados'!$G$38:$G$52,MATCH($BS$15,'Dados'!$A$38:$A$52,0)),"")),IF($BL$15=1,IFERROR(MIN(IFERROR(INDEX('Dados'!$G$38:$G$52,MATCH($BS$15,'Dados'!$A$38:$A$52,0)),""),INT(INDEX('Dados'!$K$127:$K$138,MATCH($DT$15&amp;"|2",'Dados'!$A$127:$A$138,0))*IFERROR(INDEX('Dados'!$G$38:$G$52,MATCH($BS$15,'Dados'!$A$38:$A$52,0)),"")/$CH$15)),IFERROR(INDEX('Dados'!$G$38:$G$52,MATCH($BS$15,'Dados'!$A$38:$A$52,0)),"")),IFERROR(INDEX('Dados'!$G$38:$G$52,MATCH($BS$15,'Dados'!$A$38:$A$52,0)),""))))</f>
        <v/>
      </c>
      <c r="AR15" s="19">
        <f>IF(OR(LEN($DQ$15)=0,$BV$15&lt;3),"",IFERROR(INDEX($DT$88:$DT$112,MATCH($DQ$15&amp;"|3",$N$88:$N$112,0))&amp;"",IF($BL$15=1,IFERROR(INDEX('Dados'!$G$127:$G$138,MATCH($DT$15&amp;"|3",'Dados'!$A$127:$A$138,0)),""),"")))</f>
        <v/>
      </c>
      <c r="AS15" s="19">
        <f>IF(OR(LEN($DQ$15)=0,$BV$15&lt;3),"",IFERROR(INDEX($DU$88:$DU$112,MATCH($DQ$15&amp;"|3",$N$88:$N$112,0))&amp;"",IF($BL$15=1,IFERROR(INDEX('Dados'!$H$127:$H$138,MATCH($DT$15&amp;"|3",'Dados'!$A$127:$A$138,0)),""),"")))</f>
        <v/>
      </c>
      <c r="AT15" s="19">
        <f>IF(OR(LEN($DQ$15)=0,$BV$15&lt;3),"",IFERROR(INDEX($DV$88:$DV$112,MATCH($DQ$15&amp;"|3",$N$88:$N$112,0))&amp;"",IF($BL$15=1,IFERROR(INDEX('Dados'!$I$127:$I$138,MATCH($DT$15&amp;"|3",'Dados'!$A$127:$A$138,0)),""),"")))</f>
        <v/>
      </c>
      <c r="AU15" s="19">
        <f>IF(OR(LEN($DQ$15)=0,$BV$15&lt;3),"",IFERROR(INDEX($DW$88:$DW$112,MATCH($DQ$15&amp;"|3",$N$88:$N$112,0))&amp;"",IF($BL$15=1,IFERROR(INDEX('Dados'!$J$127:$J$138,MATCH($DT$15&amp;"|3",'Dados'!$A$127:$A$138,0)),""),"")))</f>
        <v/>
      </c>
      <c r="AV15" s="19">
        <f>IF(OR(LEN($DQ$15)=0,$BV$15&lt;3),"",IF(ISNUMBER(MATCH($DQ$15&amp;"|3",$N$88:$N$112,0)),IF(ISNUMBER(INDEX($DX$88:$DX$112,MATCH($DQ$15&amp;"|3",$N$88:$N$112,0))),MIN(IFERROR(INDEX('Dados'!$G$38:$G$52,MATCH($BS$15,'Dados'!$A$38:$A$52,0)),""),INDEX($DX$88:$DX$112,MATCH($DQ$15&amp;"|3",$N$88:$N$112,0))),IFERROR(INDEX('Dados'!$G$38:$G$52,MATCH($BS$15,'Dados'!$A$38:$A$52,0)),"")),IF($BL$15=1,IFERROR(MIN(IFERROR(INDEX('Dados'!$G$38:$G$52,MATCH($BS$15,'Dados'!$A$38:$A$52,0)),""),INT(INDEX('Dados'!$K$127:$K$138,MATCH($DT$15&amp;"|3",'Dados'!$A$127:$A$138,0))*IFERROR(INDEX('Dados'!$G$38:$G$52,MATCH($BS$15,'Dados'!$A$38:$A$52,0)),"")/$CH$15)),IFERROR(INDEX('Dados'!$G$38:$G$52,MATCH($BS$15,'Dados'!$A$38:$A$52,0)),"")),IFERROR(INDEX('Dados'!$G$38:$G$52,MATCH($BS$15,'Dados'!$A$38:$A$52,0)),""))))</f>
        <v/>
      </c>
      <c r="AW15" s="19">
        <f>IF(LEN($DQ$15)=0,"",IF($BL$15=1,IFERROR(INDEX('Dados'!$AF$92:$AF$123,$BM$15)&amp;"",""),IFERROR(INDEX($DU$116:$DU$153,MATCH($DQ$15&amp;"|1",$Q$116:$Q$153,0))&amp;"","")))</f>
        <v/>
      </c>
      <c r="AX15" s="19">
        <f>IF(LEN($DQ$15)=0,"",IF($BL$15=1,IF(ISNUMBER(IFERROR(INDEX('Dados'!$AG$92:$AG$123,$BM$15),"")),IF(IFERROR(INDEX('Dados'!$AG$92:$AG$123,$BM$15),"")&gt;0,IFERROR(INDEX('Dados'!$AG$92:$AG$123,$BM$15),""),""),""),IFERROR(INDEX($DY$116:$DY$153,MATCH($DQ$15&amp;"|1",$Q$116:$Q$153,0))+0,"")))</f>
        <v/>
      </c>
      <c r="AY15" s="19">
        <f>IF(LEN($DQ$15)=0,"",IF($BL$15=1,IFERROR(INDEX('Dados'!$AH$92:$AH$123,$BM$15)&amp;"",""),IFERROR(INDEX($DU$116:$DU$153,MATCH($DQ$15&amp;"|2",$Q$116:$Q$153,0))&amp;"","")))</f>
        <v/>
      </c>
      <c r="AZ15" s="19">
        <f>IF(LEN($DQ$15)=0,"",IF($BL$15=1,IF(ISNUMBER(IFERROR(INDEX('Dados'!$AI$92:$AI$123,$BM$15),"")),IF(IFERROR(INDEX('Dados'!$AI$92:$AI$123,$BM$15),"")&gt;0,IFERROR(INDEX('Dados'!$AI$92:$AI$123,$BM$15),""),""),""),IFERROR(INDEX($DY$116:$DY$153,MATCH($DQ$15&amp;"|2",$Q$116:$Q$153,0))+0,"")))</f>
        <v/>
      </c>
      <c r="BA15" s="19">
        <f>IF(LEN($DQ$15)=0,"",IF($BL$15=1,IFERROR(INDEX('Dados'!$AJ$92:$AJ$123,$BM$15)&amp;"",""),IFERROR(INDEX($DU$116:$DU$153,MATCH($DQ$15&amp;"|3",$Q$116:$Q$153,0))&amp;"","")))</f>
        <v/>
      </c>
      <c r="BB15" s="19">
        <f>IF(LEN($DQ$15)=0,"",IF($BL$15=1,IF(ISNUMBER(IFERROR(INDEX('Dados'!$AK$92:$AK$123,$BM$15),"")),IF(IFERROR(INDEX('Dados'!$AK$92:$AK$123,$BM$15),"")&gt;0,IFERROR(INDEX('Dados'!$AK$92:$AK$123,$BM$15),""),""),""),IFERROR(INDEX($DY$116:$DY$153,MATCH($DQ$15&amp;"|3",$Q$116:$Q$153,0))+0,"")))</f>
        <v/>
      </c>
      <c r="BC15" s="19">
        <f>IF(LEN($DQ$15)=0,"",IF(LEN($DR$30)&gt;0,$DR$30,IF($BL$15=1,IFERROR(INDEX('Dados'!$E$92:$E$123,$BM$15)&amp;"",""),"")))</f>
        <v/>
      </c>
      <c r="BD15" s="19">
        <f>IF(AND(LEN($DR$30)=0,$BL$15=1),IFERROR(INDEX('Dados'!$AD$92:$AD$123,$BM$15)&amp;"",""),"")</f>
        <v/>
      </c>
      <c r="BE15" s="19">
        <f>IF(LEN($DQ$15)=0,"",INDEX('Dados'!$F$7:$F$11,$BR$15))</f>
        <v/>
      </c>
      <c r="BF15" s="19">
        <f>IF(LEN($DQ$15)=0,"",$BR$15)</f>
        <v/>
      </c>
      <c r="BG15" s="19">
        <f>$G$46</f>
        <v/>
      </c>
      <c r="BH15" s="19">
        <f>"Campanha"</f>
        <v/>
      </c>
      <c r="BK15" s="19">
        <f>IF(COUNTIF('Dados'!$AQ$6:$AQ$8,$DR$15)&gt;0,$DR$15,"Faixa do livro")</f>
        <v/>
      </c>
      <c r="BL15" s="19">
        <f>IF(AND($BK$15="Ajustar do bestiário",ISNUMBER($BM$15)),1,0)</f>
        <v/>
      </c>
      <c r="BM15" s="19">
        <f>IFERROR(MATCH($DT$15,'Dados'!$B$92:$B$123,0),"")</f>
        <v/>
      </c>
      <c r="BN15" s="19">
        <f>IF(COUNTIF('Dados'!$AO$6:$AO$8,$DY$15)&gt;0,$DY$15,IF($BL$15=1,IFERROR(INDEX('Dados'!$C$92:$C$123,$BM$15),""),"Comum"))</f>
        <v/>
      </c>
      <c r="BO15" s="19">
        <f>MATCH($BN$15,'Dados'!$AO$6:$AO$8,0)</f>
        <v/>
      </c>
      <c r="BP15" s="19">
        <f>IF(ISNUMBER($DX$15),MIN(20,MAX(1,INT($DX$15))),'Campanha'!$B$17)</f>
        <v/>
      </c>
      <c r="BQ15" s="19">
        <f>IF($BK$15="Por nível — Sugestão",INDEX('Dados'!$B$7:$B$11,INT(($BP$15-1)/4)+1),IF(LEN(IFERROR(INDEX('Dados'!$B$7:$B$11,MATCH($DW$15,'Dados'!$AP$6:$AP$10,0)),""))&gt;0,IFERROR(INDEX('Dados'!$B$7:$B$11,MATCH($DW$15,'Dados'!$AP$6:$AP$10,0)),""),'Campanha'!$B$19))</f>
        <v/>
      </c>
      <c r="BR15" s="19">
        <f>MATCH($BQ$15,'Dados'!$B$7:$B$11,0)</f>
        <v/>
      </c>
      <c r="BS15" s="19">
        <f>$BQ$15&amp;"|"&amp;$BN$15</f>
        <v/>
      </c>
      <c r="BT15" s="19">
        <f>MIN(4,MAX(1,INT(($BP$15-3)/4)+1))</f>
        <v/>
      </c>
      <c r="BU15" s="19">
        <f>IF($BK$15="Por nível — Sugestão",INT(IF($BP$15&lt;=3,INDEX('Dados'!$D$38:$D$52,$BO$15),IF($BP$15&gt;=19,INDEX('Dados'!$D$38:$D$52,12+$BO$15),INDEX('Dados'!$D$38:$D$52,($BT$15-1)*3+$BO$15)+(INDEX('Dados'!$D$38:$D$52,$BT$15*3+$BO$15)-INDEX('Dados'!$D$38:$D$52,($BT$15-1)*3+$BO$15))*($BP$15-(4*$BT$15-1))/4))),IFERROR(INDEX('Dados'!$D$38:$D$52,MATCH($BS$15,'Dados'!$A$38:$A$52,0)),""))</f>
        <v/>
      </c>
      <c r="BV15" s="19">
        <f>IF($BN$15&lt;&gt;"Boss",1,IF(AND(ISNUMBER($DZ$15),$DZ$15&gt;=1,$DZ$15&lt;=3),INT($DZ$15),IF($BL$15=1,MAX(1,IFERROR(INDEX('Dados'!$F$92:$F$123,$BM$15),"")),1)))</f>
        <v/>
      </c>
      <c r="BW15" s="19">
        <f>IFERROR(INDEX('Dados'!$O$38:$O$52,MATCH($BS$15,'Dados'!$A$38:$A$52,0)),"")</f>
        <v/>
      </c>
      <c r="BX15" s="19">
        <f>IF(AND(LEN($DR$46)=0,LEN($DS$46)=0,LEN($DT$46)=0,LEN($DU$46)=0),1,0)</f>
        <v/>
      </c>
      <c r="BY15" s="19">
        <f>IF(LEN($DQ$15)=0,"",IF($BX$15=0,$DR$46&amp;"",IF($BL$15=1,IFERROR(INDEX('Dados'!$Q$92:$Q$123,$BM$15)&amp;"",""),IF(1&lt;=$BW$15,$CD$15,""))))</f>
        <v/>
      </c>
      <c r="BZ15" s="19">
        <f>IF(LEN($DQ$15)=0,"",IF($BX$15=0,$DS$46&amp;"",IF($BL$15=1,IFERROR(INDEX('Dados'!$R$92:$R$123,$BM$15)&amp;"",""),IF(2&lt;=$BW$15,$CE$15,""))))</f>
        <v/>
      </c>
      <c r="CA15" s="19">
        <f>IF(LEN($DQ$15)=0,"",IF($BX$15=0,$DT$46&amp;"",IF($BL$15=1,IFERROR(INDEX('Dados'!$S$92:$S$123,$BM$15)&amp;"",""),IF(3&lt;=$BW$15,$CF$15,""))))</f>
        <v/>
      </c>
      <c r="CB15" s="19">
        <f>IF(LEN($DQ$15)=0,"",IF($BX$15=0,$DU$46&amp;"",IF($BL$15=1,IFERROR(INDEX('Dados'!$T$92:$T$123,$BM$15)&amp;"",""),IF(4&lt;=$BW$15,$CG$15,""))))</f>
        <v/>
      </c>
      <c r="CC15" s="19">
        <f>IF(LEN($DV$46)&gt;0,$DV$46,IF($BL$15=1,IFERROR(INDEX('Dados'!$U$92:$U$123,$BM$15)&amp;"",""),""))</f>
        <v/>
      </c>
      <c r="CD15" s="19">
        <f>INDEX('Dados'!$A$301:$A$307,MATCH(SMALL($DI$15:$DO$15,1),$DI$15:$DO$15,0))</f>
        <v/>
      </c>
      <c r="CE15" s="19">
        <f>INDEX('Dados'!$A$301:$A$307,MATCH(SMALL($DI$15:$DO$15,2),$DI$15:$DO$15,0))</f>
        <v/>
      </c>
      <c r="CF15" s="19">
        <f>INDEX('Dados'!$A$301:$A$307,MATCH(SMALL($DI$15:$DO$15,3),$DI$15:$DO$15,0))</f>
        <v/>
      </c>
      <c r="CG15" s="19">
        <f>INDEX('Dados'!$A$301:$A$307,MATCH(SMALL($DI$15:$DO$15,4),$DI$15:$DO$15,0))</f>
        <v/>
      </c>
      <c r="CH15" s="19">
        <f>IF($BL$15=1,IFERROR(INDEX('Dados'!$J$92:$J$123,$BM$15),""),"")</f>
        <v/>
      </c>
      <c r="CI15" s="19">
        <f>IF($BL$15=1,IFERROR(INDEX('Dados'!$G$92:$G$123,$BM$15),""),"")</f>
        <v/>
      </c>
      <c r="CJ15" s="19">
        <f>IFERROR(INDEX('Dados'!$S$38:$S$52,MATCH($BS$15,'Dados'!$A$38:$A$52,0)),"")</f>
        <v/>
      </c>
      <c r="CK15" s="19">
        <f>IFERROR(INDEX('Dados'!$T$38:$T$52,MATCH($BS$15,'Dados'!$A$38:$A$52,0)),"")</f>
        <v/>
      </c>
      <c r="CL15" s="19">
        <f>IFERROR(INDEX('Dados'!$J$38:$J$52,MATCH($BQ$15&amp;"|Comum",'Dados'!$A$38:$A$52,0)),"")</f>
        <v/>
      </c>
      <c r="CM15" s="19">
        <f>IFERROR(INDEX('Dados'!$K$38:$K$52,MATCH($BQ$15&amp;"|Comum",'Dados'!$A$38:$A$52,0)),"")</f>
        <v/>
      </c>
      <c r="CN15" s="19">
        <f>MOD(MOD(MOD((MOD('Início'!$E$15+104729*$C$7+67156249,2147483646)+1)*16807,2147483647)*16807,2147483647)*16807,2147483647)</f>
        <v/>
      </c>
      <c r="CO15" s="19">
        <f>MOD(MOD(MOD((MOD(MOD(INT($CN$15/65536)*$CN$15,2147483647)*65536+MOD($CN$15,65536)*$CN$15,2147483647))*16807,2147483647)*16807,2147483647)*16807,2147483647)</f>
        <v/>
      </c>
      <c r="CP15" s="19">
        <f>MOD(MOD(MOD((MOD($CO$15+INT($CO$15/65536)*MOD($CO$15,65536),2147483646)+1)*16807,2147483647)*16807,2147483647)*16807,2147483647)</f>
        <v/>
      </c>
      <c r="CQ15" s="19">
        <f>MOD(MOD(MOD((MOD('Início'!$E$15+104729*$C$7+68455958,2147483646)+1)*16807,2147483647)*16807,2147483647)*16807,2147483647)</f>
        <v/>
      </c>
      <c r="CR15" s="19">
        <f>MOD(MOD(MOD((MOD(MOD(INT($CQ$15/65536)*$CQ$15,2147483647)*65536+MOD($CQ$15,65536)*$CQ$15,2147483647))*16807,2147483647)*16807,2147483647)*16807,2147483647)</f>
        <v/>
      </c>
      <c r="CS15" s="19">
        <f>MOD(MOD(MOD((MOD($CR$15+INT($CR$15/65536)*MOD($CR$15,65536),2147483646)+1)*16807,2147483647)*16807,2147483647)*16807,2147483647)</f>
        <v/>
      </c>
      <c r="CT15" s="19">
        <f>MOD(MOD(MOD((MOD('Início'!$E$15+104729*$C$7+69755667,2147483646)+1)*16807,2147483647)*16807,2147483647)*16807,2147483647)</f>
        <v/>
      </c>
      <c r="CU15" s="19">
        <f>MOD(MOD(MOD((MOD(MOD(INT($CT$15/65536)*$CT$15,2147483647)*65536+MOD($CT$15,65536)*$CT$15,2147483647))*16807,2147483647)*16807,2147483647)*16807,2147483647)</f>
        <v/>
      </c>
      <c r="CV15" s="19">
        <f>MOD(MOD(MOD((MOD($CU$15+INT($CU$15/65536)*MOD($CU$15,65536),2147483646)+1)*16807,2147483647)*16807,2147483647)*16807,2147483647)</f>
        <v/>
      </c>
      <c r="CW15" s="19">
        <f>MOD(MOD(MOD((MOD('Início'!$E$15+104729*$C$7+71055376,2147483646)+1)*16807,2147483647)*16807,2147483647)*16807,2147483647)</f>
        <v/>
      </c>
      <c r="CX15" s="19">
        <f>MOD(MOD(MOD((MOD(MOD(INT($CW$15/65536)*$CW$15,2147483647)*65536+MOD($CW$15,65536)*$CW$15,2147483647))*16807,2147483647)*16807,2147483647)*16807,2147483647)</f>
        <v/>
      </c>
      <c r="CY15" s="19">
        <f>MOD(MOD(MOD((MOD($CX$15+INT($CX$15/65536)*MOD($CX$15,65536),2147483646)+1)*16807,2147483647)*16807,2147483647)*16807,2147483647)</f>
        <v/>
      </c>
      <c r="CZ15" s="19">
        <f>MOD(MOD(MOD((MOD('Início'!$E$15+104729*$C$7+72355085,2147483646)+1)*16807,2147483647)*16807,2147483647)*16807,2147483647)</f>
        <v/>
      </c>
      <c r="DA15" s="19">
        <f>MOD(MOD(MOD((MOD(MOD(INT($CZ$15/65536)*$CZ$15,2147483647)*65536+MOD($CZ$15,65536)*$CZ$15,2147483647))*16807,2147483647)*16807,2147483647)*16807,2147483647)</f>
        <v/>
      </c>
      <c r="DB15" s="19">
        <f>MOD(MOD(MOD((MOD($DA$15+INT($DA$15/65536)*MOD($DA$15,65536),2147483646)+1)*16807,2147483647)*16807,2147483647)*16807,2147483647)</f>
        <v/>
      </c>
      <c r="DC15" s="19">
        <f>MOD(MOD(MOD((MOD('Início'!$E$15+104729*$C$7+73654794,2147483646)+1)*16807,2147483647)*16807,2147483647)*16807,2147483647)</f>
        <v/>
      </c>
      <c r="DD15" s="19">
        <f>MOD(MOD(MOD((MOD(MOD(INT($DC$15/65536)*$DC$15,2147483647)*65536+MOD($DC$15,65536)*$DC$15,2147483647))*16807,2147483647)*16807,2147483647)*16807,2147483647)</f>
        <v/>
      </c>
      <c r="DE15" s="19">
        <f>MOD(MOD(MOD((MOD($DD$15+INT($DD$15/65536)*MOD($DD$15,65536),2147483646)+1)*16807,2147483647)*16807,2147483647)*16807,2147483647)</f>
        <v/>
      </c>
      <c r="DF15" s="19">
        <f>MOD(MOD(MOD((MOD('Início'!$E$15+104729*$C$7+74954503,2147483646)+1)*16807,2147483647)*16807,2147483647)*16807,2147483647)</f>
        <v/>
      </c>
      <c r="DG15" s="19">
        <f>MOD(MOD(MOD((MOD(MOD(INT($DF$15/65536)*$DF$15,2147483647)*65536+MOD($DF$15,65536)*$DF$15,2147483647))*16807,2147483647)*16807,2147483647)*16807,2147483647)</f>
        <v/>
      </c>
      <c r="DH15" s="19">
        <f>MOD(MOD(MOD((MOD($DG$15+INT($DG$15/65536)*MOD($DG$15,65536),2147483646)+1)*16807,2147483647)*16807,2147483647)*16807,2147483647)</f>
        <v/>
      </c>
      <c r="DI15" s="19">
        <f>IF($CC$15="Físico",9000000000,IF(AND('Grupo'!$B$44="Sim",COUNTIF($BY$11:$CB$14,"Físico")=0),0,2147483647))+$CP$15+1/10</f>
        <v/>
      </c>
      <c r="DJ15" s="19">
        <f>IF($CC$15="Fogo",9000000000,IF(AND('Grupo'!$C$44="Sim",COUNTIF($BY$11:$CB$14,"Fogo")=0),0,2147483647))+$CS$15+2/10</f>
        <v/>
      </c>
      <c r="DK15" s="19">
        <f>IF($CC$15="Gelo",9000000000,IF(AND('Grupo'!$D$44="Sim",COUNTIF($BY$11:$CB$14,"Gelo")=0),0,2147483647))+$CV$15+3/10</f>
        <v/>
      </c>
      <c r="DL15" s="19">
        <f>IF($CC$15="Raio",9000000000,IF(AND('Grupo'!$E$44="Sim",COUNTIF($BY$11:$CB$14,"Raio")=0),0,2147483647))+$CY$15+4/10</f>
        <v/>
      </c>
      <c r="DM15" s="19">
        <f>IF($CC$15="Vento",9000000000,IF(AND('Grupo'!$F$44="Sim",COUNTIF($BY$11:$CB$14,"Vento")=0),0,2147483647))+$DB$15+5/10</f>
        <v/>
      </c>
      <c r="DN15" s="19">
        <f>IF($CC$15="Quântico",9000000000,IF(AND('Grupo'!$G$44="Sim",COUNTIF($BY$11:$CB$14,"Quântico")=0),0,2147483647))+$DE$15+6/10</f>
        <v/>
      </c>
      <c r="DO15" s="19">
        <f>IF($CC$15="Imaginário",9000000000,IF(AND('Grupo'!$H$44="Sim",COUNTIF($BY$11:$CB$14,"Imaginário")=0),0,2147483647))+$DH$15+7/10</f>
        <v/>
      </c>
      <c r="DQ15" s="19">
        <f>IF(ISERROR($A$15),"",IF(ISBLANK($A$15),"",$A$15))</f>
        <v/>
      </c>
      <c r="DR15" s="19">
        <f>IF(ISERROR($B$15),"",IF(ISBLANK($B$15),"",$B$15))</f>
        <v/>
      </c>
      <c r="DT15" s="19">
        <f>IF(ISERROR($D$15),"",IF(ISBLANK($D$15),"",$D$15))</f>
        <v/>
      </c>
      <c r="DW15" s="19">
        <f>IF(ISERROR($G$15),"",IF(ISBLANK($G$15),"",$G$15))</f>
        <v/>
      </c>
      <c r="DX15" s="19">
        <f>IF(ISERROR($H$15),"",IF(ISBLANK($H$15),"",$H$15))</f>
        <v/>
      </c>
      <c r="DY15" s="19">
        <f>IF(ISERROR($I$15),"",IF(ISBLANK($I$15),"",$I$15))</f>
        <v/>
      </c>
      <c r="DZ15" s="19">
        <f>IF(ISERROR($J$15),"",IF(ISBLANK($J$15),"",$J$15))</f>
        <v/>
      </c>
      <c r="EA15" s="19">
        <f>ISERROR($A$15)*1+ISERROR($B$15)*1+ISERROR($D$15)*1+ISERROR($G$15)*1+ISERROR($H$15)*1+ISERROR($I$15)*1+ISERROR($J$15)*1</f>
        <v/>
      </c>
    </row>
    <row r="16" ht="26" customHeight="1">
      <c r="A16" s="31" t="n"/>
      <c r="B16" s="28" t="n"/>
      <c r="C16" s="16" t="n"/>
      <c r="D16" s="28" t="n"/>
      <c r="E16" s="24" t="n"/>
      <c r="F16" s="16" t="n"/>
      <c r="G16" s="42" t="n"/>
      <c r="H16" s="34" t="n"/>
      <c r="I16" s="42" t="n"/>
      <c r="J16" s="34" t="n"/>
      <c r="K16" s="26">
        <f>IF(EA16&gt;0,"O Google leu como fórmula: escolha de novo ou digite com ' na frente.",IF(LEN($DQ$16)=0,IF(LEN($DR$16&amp;$DT$16&amp;$DY$16)&gt;0,"Linha sem nome: o inimigo não entra nas listas",""),IF(COUNTIF($DQ$11:$DQ$22,$DQ$16)&gt;1,"Nome repetido na tabela",IF(COUNTIF('Dados'!$B$92:$B$123,$DQ$16)&gt;0,"Nome igual a uma criatura do bestiário: dê outro nome",IF(AND($BK$16="Ajustar do bestiário",$BL$16=0),"Modo Ajustar sem base do bestiário válida",IF(AND(LEN($DZ$16)&gt;0,$BN$16&lt;&gt;"Boss"),"Fases só valem para Boss (28.5)",IF(AND(ISNUMBER($DX$16),OR($DX$16&lt;1,$DX$16&gt;20)),"Nível fora de 1 a 20: usando o limite",IF(AND(LEN($DY$16)&gt;0,COUNTIF('Dados'!$AO$6:$AO$8,$DY$16)=0),"Tipo fora da lista: usando Comum",""))))))))</f>
        <v/>
      </c>
      <c r="N16" s="19">
        <f>IF(LEN($DQ$16)=0,"",$DQ$16)</f>
        <v/>
      </c>
      <c r="O16" s="19">
        <f>IF(LEN($DQ$16)=0,"",$BN$16)</f>
        <v/>
      </c>
      <c r="P16" s="19">
        <f>IF(LEN($DQ$16)=0,"",$BQ$16)</f>
        <v/>
      </c>
      <c r="Q16" s="19">
        <f>IF(LEN($DQ$16)=0,"",$BU$16)</f>
        <v/>
      </c>
      <c r="R16" s="19">
        <f>IF(LEN($DQ$16)=0,"",IFERROR(INDEX('Dados'!$E$38:$E$52,MATCH($BS$16,'Dados'!$A$38:$A$52,0)),""))</f>
        <v/>
      </c>
      <c r="S16" s="19">
        <f>IF(LEN($DQ$16)=0,"",IFERROR(INDEX('Dados'!$F$38:$F$52,MATCH($BS$16,'Dados'!$A$38:$A$52,0)),""))</f>
        <v/>
      </c>
      <c r="T16" s="19">
        <f>IF(LEN($DQ$16)=0,"",IFERROR(INDEX('Dados'!$G$38:$G$52,MATCH($BS$16,'Dados'!$A$38:$A$52,0)),""))</f>
        <v/>
      </c>
      <c r="U16" s="19">
        <f>IF(LEN($DQ$16)=0,"",IFERROR(INDEX('Dados'!$H$38:$H$52,MATCH($BS$16,'Dados'!$A$38:$A$52,0)),""))</f>
        <v/>
      </c>
      <c r="V16" s="19">
        <f>IF(LEN($DQ$16)=0,"",IFERROR(INDEX('Dados'!$I$38:$I$52,MATCH($BS$16,'Dados'!$A$38:$A$52,0)),""))</f>
        <v/>
      </c>
      <c r="W16" s="19">
        <f>IF(LEN($DQ$16)=0,"",IFERROR(INDEX('Dados'!$J$38:$J$52,MATCH($BS$16,'Dados'!$A$38:$A$52,0)),""))</f>
        <v/>
      </c>
      <c r="X16" s="19">
        <f>IF(LEN($DQ$16)=0,"",IFERROR(INDEX('Dados'!$K$38:$K$52,MATCH($BS$16,'Dados'!$A$38:$A$52,0)),""))</f>
        <v/>
      </c>
      <c r="Y16" s="19">
        <f>IF(LEN($DQ$16)=0,"",IFERROR(INDEX('Dados'!$L$38:$L$52,MATCH($BS$16,'Dados'!$A$38:$A$52,0)),""))</f>
        <v/>
      </c>
      <c r="Z16" s="19">
        <f>IF(LEN($DQ$16)=0,"",IFERROR(INDEX('Dados'!$M$38:$M$52,MATCH($BS$16,'Dados'!$A$38:$A$52,0)),""))</f>
        <v/>
      </c>
      <c r="AA16" s="19">
        <f>IF(LEN($DQ$16)=0,"",$BY$16)</f>
        <v/>
      </c>
      <c r="AB16" s="19">
        <f>IF(LEN($DQ$16)=0,"",$BZ$16)</f>
        <v/>
      </c>
      <c r="AC16" s="19">
        <f>IF(LEN($DQ$16)=0,"",$CA$16)</f>
        <v/>
      </c>
      <c r="AD16" s="19">
        <f>IF(LEN($DQ$16)=0,"",$CB$16)</f>
        <v/>
      </c>
      <c r="AE16" s="19">
        <f>IF(LEN($DQ$16)=0,"",$CC$16)</f>
        <v/>
      </c>
      <c r="AF16" s="19">
        <f>IF(LEN($DQ$16)=0,"",IF($DV$31="Sim","Pode",IF($DV$31="Não","Não",IF($BL$16=1,IFERROR(INDEX('Dados'!$V$92:$V$123,$BM$16)&amp;"",""),"Não declarado"))))</f>
        <v/>
      </c>
      <c r="AG16" s="19">
        <f>IF(LEN($DQ$16)=0,"",$BV$16)</f>
        <v/>
      </c>
      <c r="AH16" s="19">
        <f>IF(LEN($DQ$16)=0,"",IFERROR(INDEX('Dados'!$Q$38:$Q$52,MATCH($BS$16,'Dados'!$A$38:$A$52,0)),""))</f>
        <v/>
      </c>
      <c r="AI16" s="19">
        <f>IF(LEN($DQ$16)=0,"",IF(AND($BL$16=1,$DT$16="Escória de Stellaron"),1.5,1)*$BU$16)</f>
        <v/>
      </c>
      <c r="AJ16" s="19">
        <f>IF(LEN($DQ$16)=0,"",IFERROR(INDEX('Dados'!$P$38:$P$52,MATCH($BS$16,'Dados'!$A$38:$A$52,0)),""))</f>
        <v/>
      </c>
      <c r="AK16" s="19">
        <f>IF(LEN($DQ$16)=0,"",IF($BV$16=2,INT($BU$16/2),IF($BV$16=3,INT(2*$BU$16/3),"")))</f>
        <v/>
      </c>
      <c r="AL16" s="19">
        <f>IF(LEN($DQ$16)=0,"",IF($BV$16=3,INT($BU$16/3),""))</f>
        <v/>
      </c>
      <c r="AM16" s="19">
        <f>IF(OR(LEN($DQ$16)=0,$BV$16&lt;2),"",IFERROR(INDEX($DT$88:$DT$112,MATCH($DQ$16&amp;"|2",$N$88:$N$112,0))&amp;"",IF($BL$16=1,IFERROR(INDEX('Dados'!$G$127:$G$138,MATCH($DT$16&amp;"|2",'Dados'!$A$127:$A$138,0)),""),"")))</f>
        <v/>
      </c>
      <c r="AN16" s="19">
        <f>IF(OR(LEN($DQ$16)=0,$BV$16&lt;2),"",IFERROR(INDEX($DU$88:$DU$112,MATCH($DQ$16&amp;"|2",$N$88:$N$112,0))&amp;"",IF($BL$16=1,IFERROR(INDEX('Dados'!$H$127:$H$138,MATCH($DT$16&amp;"|2",'Dados'!$A$127:$A$138,0)),""),"")))</f>
        <v/>
      </c>
      <c r="AO16" s="19">
        <f>IF(OR(LEN($DQ$16)=0,$BV$16&lt;2),"",IFERROR(INDEX($DV$88:$DV$112,MATCH($DQ$16&amp;"|2",$N$88:$N$112,0))&amp;"",IF($BL$16=1,IFERROR(INDEX('Dados'!$I$127:$I$138,MATCH($DT$16&amp;"|2",'Dados'!$A$127:$A$138,0)),""),"")))</f>
        <v/>
      </c>
      <c r="AP16" s="19">
        <f>IF(OR(LEN($DQ$16)=0,$BV$16&lt;2),"",IFERROR(INDEX($DW$88:$DW$112,MATCH($DQ$16&amp;"|2",$N$88:$N$112,0))&amp;"",IF($BL$16=1,IFERROR(INDEX('Dados'!$J$127:$J$138,MATCH($DT$16&amp;"|2",'Dados'!$A$127:$A$138,0)),""),"")))</f>
        <v/>
      </c>
      <c r="AQ16" s="19">
        <f>IF(OR(LEN($DQ$16)=0,$BV$16&lt;2),"",IF(ISNUMBER(MATCH($DQ$16&amp;"|2",$N$88:$N$112,0)),IF(ISNUMBER(INDEX($DX$88:$DX$112,MATCH($DQ$16&amp;"|2",$N$88:$N$112,0))),MIN(IFERROR(INDEX('Dados'!$G$38:$G$52,MATCH($BS$16,'Dados'!$A$38:$A$52,0)),""),INDEX($DX$88:$DX$112,MATCH($DQ$16&amp;"|2",$N$88:$N$112,0))),IFERROR(INDEX('Dados'!$G$38:$G$52,MATCH($BS$16,'Dados'!$A$38:$A$52,0)),"")),IF($BL$16=1,IFERROR(MIN(IFERROR(INDEX('Dados'!$G$38:$G$52,MATCH($BS$16,'Dados'!$A$38:$A$52,0)),""),INT(INDEX('Dados'!$K$127:$K$138,MATCH($DT$16&amp;"|2",'Dados'!$A$127:$A$138,0))*IFERROR(INDEX('Dados'!$G$38:$G$52,MATCH($BS$16,'Dados'!$A$38:$A$52,0)),"")/$CH$16)),IFERROR(INDEX('Dados'!$G$38:$G$52,MATCH($BS$16,'Dados'!$A$38:$A$52,0)),"")),IFERROR(INDEX('Dados'!$G$38:$G$52,MATCH($BS$16,'Dados'!$A$38:$A$52,0)),""))))</f>
        <v/>
      </c>
      <c r="AR16" s="19">
        <f>IF(OR(LEN($DQ$16)=0,$BV$16&lt;3),"",IFERROR(INDEX($DT$88:$DT$112,MATCH($DQ$16&amp;"|3",$N$88:$N$112,0))&amp;"",IF($BL$16=1,IFERROR(INDEX('Dados'!$G$127:$G$138,MATCH($DT$16&amp;"|3",'Dados'!$A$127:$A$138,0)),""),"")))</f>
        <v/>
      </c>
      <c r="AS16" s="19">
        <f>IF(OR(LEN($DQ$16)=0,$BV$16&lt;3),"",IFERROR(INDEX($DU$88:$DU$112,MATCH($DQ$16&amp;"|3",$N$88:$N$112,0))&amp;"",IF($BL$16=1,IFERROR(INDEX('Dados'!$H$127:$H$138,MATCH($DT$16&amp;"|3",'Dados'!$A$127:$A$138,0)),""),"")))</f>
        <v/>
      </c>
      <c r="AT16" s="19">
        <f>IF(OR(LEN($DQ$16)=0,$BV$16&lt;3),"",IFERROR(INDEX($DV$88:$DV$112,MATCH($DQ$16&amp;"|3",$N$88:$N$112,0))&amp;"",IF($BL$16=1,IFERROR(INDEX('Dados'!$I$127:$I$138,MATCH($DT$16&amp;"|3",'Dados'!$A$127:$A$138,0)),""),"")))</f>
        <v/>
      </c>
      <c r="AU16" s="19">
        <f>IF(OR(LEN($DQ$16)=0,$BV$16&lt;3),"",IFERROR(INDEX($DW$88:$DW$112,MATCH($DQ$16&amp;"|3",$N$88:$N$112,0))&amp;"",IF($BL$16=1,IFERROR(INDEX('Dados'!$J$127:$J$138,MATCH($DT$16&amp;"|3",'Dados'!$A$127:$A$138,0)),""),"")))</f>
        <v/>
      </c>
      <c r="AV16" s="19">
        <f>IF(OR(LEN($DQ$16)=0,$BV$16&lt;3),"",IF(ISNUMBER(MATCH($DQ$16&amp;"|3",$N$88:$N$112,0)),IF(ISNUMBER(INDEX($DX$88:$DX$112,MATCH($DQ$16&amp;"|3",$N$88:$N$112,0))),MIN(IFERROR(INDEX('Dados'!$G$38:$G$52,MATCH($BS$16,'Dados'!$A$38:$A$52,0)),""),INDEX($DX$88:$DX$112,MATCH($DQ$16&amp;"|3",$N$88:$N$112,0))),IFERROR(INDEX('Dados'!$G$38:$G$52,MATCH($BS$16,'Dados'!$A$38:$A$52,0)),"")),IF($BL$16=1,IFERROR(MIN(IFERROR(INDEX('Dados'!$G$38:$G$52,MATCH($BS$16,'Dados'!$A$38:$A$52,0)),""),INT(INDEX('Dados'!$K$127:$K$138,MATCH($DT$16&amp;"|3",'Dados'!$A$127:$A$138,0))*IFERROR(INDEX('Dados'!$G$38:$G$52,MATCH($BS$16,'Dados'!$A$38:$A$52,0)),"")/$CH$16)),IFERROR(INDEX('Dados'!$G$38:$G$52,MATCH($BS$16,'Dados'!$A$38:$A$52,0)),"")),IFERROR(INDEX('Dados'!$G$38:$G$52,MATCH($BS$16,'Dados'!$A$38:$A$52,0)),""))))</f>
        <v/>
      </c>
      <c r="AW16" s="19">
        <f>IF(LEN($DQ$16)=0,"",IF($BL$16=1,IFERROR(INDEX('Dados'!$AF$92:$AF$123,$BM$16)&amp;"",""),IFERROR(INDEX($DU$116:$DU$153,MATCH($DQ$16&amp;"|1",$Q$116:$Q$153,0))&amp;"","")))</f>
        <v/>
      </c>
      <c r="AX16" s="19">
        <f>IF(LEN($DQ$16)=0,"",IF($BL$16=1,IF(ISNUMBER(IFERROR(INDEX('Dados'!$AG$92:$AG$123,$BM$16),"")),IF(IFERROR(INDEX('Dados'!$AG$92:$AG$123,$BM$16),"")&gt;0,IFERROR(INDEX('Dados'!$AG$92:$AG$123,$BM$16),""),""),""),IFERROR(INDEX($DY$116:$DY$153,MATCH($DQ$16&amp;"|1",$Q$116:$Q$153,0))+0,"")))</f>
        <v/>
      </c>
      <c r="AY16" s="19">
        <f>IF(LEN($DQ$16)=0,"",IF($BL$16=1,IFERROR(INDEX('Dados'!$AH$92:$AH$123,$BM$16)&amp;"",""),IFERROR(INDEX($DU$116:$DU$153,MATCH($DQ$16&amp;"|2",$Q$116:$Q$153,0))&amp;"","")))</f>
        <v/>
      </c>
      <c r="AZ16" s="19">
        <f>IF(LEN($DQ$16)=0,"",IF($BL$16=1,IF(ISNUMBER(IFERROR(INDEX('Dados'!$AI$92:$AI$123,$BM$16),"")),IF(IFERROR(INDEX('Dados'!$AI$92:$AI$123,$BM$16),"")&gt;0,IFERROR(INDEX('Dados'!$AI$92:$AI$123,$BM$16),""),""),""),IFERROR(INDEX($DY$116:$DY$153,MATCH($DQ$16&amp;"|2",$Q$116:$Q$153,0))+0,"")))</f>
        <v/>
      </c>
      <c r="BA16" s="19">
        <f>IF(LEN($DQ$16)=0,"",IF($BL$16=1,IFERROR(INDEX('Dados'!$AJ$92:$AJ$123,$BM$16)&amp;"",""),IFERROR(INDEX($DU$116:$DU$153,MATCH($DQ$16&amp;"|3",$Q$116:$Q$153,0))&amp;"","")))</f>
        <v/>
      </c>
      <c r="BB16" s="19">
        <f>IF(LEN($DQ$16)=0,"",IF($BL$16=1,IF(ISNUMBER(IFERROR(INDEX('Dados'!$AK$92:$AK$123,$BM$16),"")),IF(IFERROR(INDEX('Dados'!$AK$92:$AK$123,$BM$16),"")&gt;0,IFERROR(INDEX('Dados'!$AK$92:$AK$123,$BM$16),""),""),""),IFERROR(INDEX($DY$116:$DY$153,MATCH($DQ$16&amp;"|3",$Q$116:$Q$153,0))+0,"")))</f>
        <v/>
      </c>
      <c r="BC16" s="19">
        <f>IF(LEN($DQ$16)=0,"",IF(LEN($DR$31)&gt;0,$DR$31,IF($BL$16=1,IFERROR(INDEX('Dados'!$E$92:$E$123,$BM$16)&amp;"",""),"")))</f>
        <v/>
      </c>
      <c r="BD16" s="19">
        <f>IF(AND(LEN($DR$31)=0,$BL$16=1),IFERROR(INDEX('Dados'!$AD$92:$AD$123,$BM$16)&amp;"",""),"")</f>
        <v/>
      </c>
      <c r="BE16" s="19">
        <f>IF(LEN($DQ$16)=0,"",INDEX('Dados'!$F$7:$F$11,$BR$16))</f>
        <v/>
      </c>
      <c r="BF16" s="19">
        <f>IF(LEN($DQ$16)=0,"",$BR$16)</f>
        <v/>
      </c>
      <c r="BG16" s="19">
        <f>$G$47</f>
        <v/>
      </c>
      <c r="BH16" s="19">
        <f>"Campanha"</f>
        <v/>
      </c>
      <c r="BK16" s="19">
        <f>IF(COUNTIF('Dados'!$AQ$6:$AQ$8,$DR$16)&gt;0,$DR$16,"Faixa do livro")</f>
        <v/>
      </c>
      <c r="BL16" s="19">
        <f>IF(AND($BK$16="Ajustar do bestiário",ISNUMBER($BM$16)),1,0)</f>
        <v/>
      </c>
      <c r="BM16" s="19">
        <f>IFERROR(MATCH($DT$16,'Dados'!$B$92:$B$123,0),"")</f>
        <v/>
      </c>
      <c r="BN16" s="19">
        <f>IF(COUNTIF('Dados'!$AO$6:$AO$8,$DY$16)&gt;0,$DY$16,IF($BL$16=1,IFERROR(INDEX('Dados'!$C$92:$C$123,$BM$16),""),"Comum"))</f>
        <v/>
      </c>
      <c r="BO16" s="19">
        <f>MATCH($BN$16,'Dados'!$AO$6:$AO$8,0)</f>
        <v/>
      </c>
      <c r="BP16" s="19">
        <f>IF(ISNUMBER($DX$16),MIN(20,MAX(1,INT($DX$16))),'Campanha'!$B$17)</f>
        <v/>
      </c>
      <c r="BQ16" s="19">
        <f>IF($BK$16="Por nível — Sugestão",INDEX('Dados'!$B$7:$B$11,INT(($BP$16-1)/4)+1),IF(LEN(IFERROR(INDEX('Dados'!$B$7:$B$11,MATCH($DW$16,'Dados'!$AP$6:$AP$10,0)),""))&gt;0,IFERROR(INDEX('Dados'!$B$7:$B$11,MATCH($DW$16,'Dados'!$AP$6:$AP$10,0)),""),'Campanha'!$B$19))</f>
        <v/>
      </c>
      <c r="BR16" s="19">
        <f>MATCH($BQ$16,'Dados'!$B$7:$B$11,0)</f>
        <v/>
      </c>
      <c r="BS16" s="19">
        <f>$BQ$16&amp;"|"&amp;$BN$16</f>
        <v/>
      </c>
      <c r="BT16" s="19">
        <f>MIN(4,MAX(1,INT(($BP$16-3)/4)+1))</f>
        <v/>
      </c>
      <c r="BU16" s="19">
        <f>IF($BK$16="Por nível — Sugestão",INT(IF($BP$16&lt;=3,INDEX('Dados'!$D$38:$D$52,$BO$16),IF($BP$16&gt;=19,INDEX('Dados'!$D$38:$D$52,12+$BO$16),INDEX('Dados'!$D$38:$D$52,($BT$16-1)*3+$BO$16)+(INDEX('Dados'!$D$38:$D$52,$BT$16*3+$BO$16)-INDEX('Dados'!$D$38:$D$52,($BT$16-1)*3+$BO$16))*($BP$16-(4*$BT$16-1))/4))),IFERROR(INDEX('Dados'!$D$38:$D$52,MATCH($BS$16,'Dados'!$A$38:$A$52,0)),""))</f>
        <v/>
      </c>
      <c r="BV16" s="19">
        <f>IF($BN$16&lt;&gt;"Boss",1,IF(AND(ISNUMBER($DZ$16),$DZ$16&gt;=1,$DZ$16&lt;=3),INT($DZ$16),IF($BL$16=1,MAX(1,IFERROR(INDEX('Dados'!$F$92:$F$123,$BM$16),"")),1)))</f>
        <v/>
      </c>
      <c r="BW16" s="19">
        <f>IFERROR(INDEX('Dados'!$O$38:$O$52,MATCH($BS$16,'Dados'!$A$38:$A$52,0)),"")</f>
        <v/>
      </c>
      <c r="BX16" s="19">
        <f>IF(AND(LEN($DR$47)=0,LEN($DS$47)=0,LEN($DT$47)=0,LEN($DU$47)=0),1,0)</f>
        <v/>
      </c>
      <c r="BY16" s="19">
        <f>IF(LEN($DQ$16)=0,"",IF($BX$16=0,$DR$47&amp;"",IF($BL$16=1,IFERROR(INDEX('Dados'!$Q$92:$Q$123,$BM$16)&amp;"",""),IF(1&lt;=$BW$16,$CD$16,""))))</f>
        <v/>
      </c>
      <c r="BZ16" s="19">
        <f>IF(LEN($DQ$16)=0,"",IF($BX$16=0,$DS$47&amp;"",IF($BL$16=1,IFERROR(INDEX('Dados'!$R$92:$R$123,$BM$16)&amp;"",""),IF(2&lt;=$BW$16,$CE$16,""))))</f>
        <v/>
      </c>
      <c r="CA16" s="19">
        <f>IF(LEN($DQ$16)=0,"",IF($BX$16=0,$DT$47&amp;"",IF($BL$16=1,IFERROR(INDEX('Dados'!$S$92:$S$123,$BM$16)&amp;"",""),IF(3&lt;=$BW$16,$CF$16,""))))</f>
        <v/>
      </c>
      <c r="CB16" s="19">
        <f>IF(LEN($DQ$16)=0,"",IF($BX$16=0,$DU$47&amp;"",IF($BL$16=1,IFERROR(INDEX('Dados'!$T$92:$T$123,$BM$16)&amp;"",""),IF(4&lt;=$BW$16,$CG$16,""))))</f>
        <v/>
      </c>
      <c r="CC16" s="19">
        <f>IF(LEN($DV$47)&gt;0,$DV$47,IF($BL$16=1,IFERROR(INDEX('Dados'!$U$92:$U$123,$BM$16)&amp;"",""),""))</f>
        <v/>
      </c>
      <c r="CD16" s="19">
        <f>INDEX('Dados'!$A$301:$A$307,MATCH(SMALL($DI$16:$DO$16,1),$DI$16:$DO$16,0))</f>
        <v/>
      </c>
      <c r="CE16" s="19">
        <f>INDEX('Dados'!$A$301:$A$307,MATCH(SMALL($DI$16:$DO$16,2),$DI$16:$DO$16,0))</f>
        <v/>
      </c>
      <c r="CF16" s="19">
        <f>INDEX('Dados'!$A$301:$A$307,MATCH(SMALL($DI$16:$DO$16,3),$DI$16:$DO$16,0))</f>
        <v/>
      </c>
      <c r="CG16" s="19">
        <f>INDEX('Dados'!$A$301:$A$307,MATCH(SMALL($DI$16:$DO$16,4),$DI$16:$DO$16,0))</f>
        <v/>
      </c>
      <c r="CH16" s="19">
        <f>IF($BL$16=1,IFERROR(INDEX('Dados'!$J$92:$J$123,$BM$16),""),"")</f>
        <v/>
      </c>
      <c r="CI16" s="19">
        <f>IF($BL$16=1,IFERROR(INDEX('Dados'!$G$92:$G$123,$BM$16),""),"")</f>
        <v/>
      </c>
      <c r="CJ16" s="19">
        <f>IFERROR(INDEX('Dados'!$S$38:$S$52,MATCH($BS$16,'Dados'!$A$38:$A$52,0)),"")</f>
        <v/>
      </c>
      <c r="CK16" s="19">
        <f>IFERROR(INDEX('Dados'!$T$38:$T$52,MATCH($BS$16,'Dados'!$A$38:$A$52,0)),"")</f>
        <v/>
      </c>
      <c r="CL16" s="19">
        <f>IFERROR(INDEX('Dados'!$J$38:$J$52,MATCH($BQ$16&amp;"|Comum",'Dados'!$A$38:$A$52,0)),"")</f>
        <v/>
      </c>
      <c r="CM16" s="19">
        <f>IFERROR(INDEX('Dados'!$K$38:$K$52,MATCH($BQ$16&amp;"|Comum",'Dados'!$A$38:$A$52,0)),"")</f>
        <v/>
      </c>
      <c r="CN16" s="19">
        <f>MOD(MOD(MOD((MOD('Início'!$E$15+104729*$C$7+80153339,2147483646)+1)*16807,2147483647)*16807,2147483647)*16807,2147483647)</f>
        <v/>
      </c>
      <c r="CO16" s="19">
        <f>MOD(MOD(MOD((MOD(MOD(INT($CN$16/65536)*$CN$16,2147483647)*65536+MOD($CN$16,65536)*$CN$16,2147483647))*16807,2147483647)*16807,2147483647)*16807,2147483647)</f>
        <v/>
      </c>
      <c r="CP16" s="19">
        <f>MOD(MOD(MOD((MOD($CO$16+INT($CO$16/65536)*MOD($CO$16,65536),2147483646)+1)*16807,2147483647)*16807,2147483647)*16807,2147483647)</f>
        <v/>
      </c>
      <c r="CQ16" s="19">
        <f>MOD(MOD(MOD((MOD('Início'!$E$15+104729*$C$7+81453048,2147483646)+1)*16807,2147483647)*16807,2147483647)*16807,2147483647)</f>
        <v/>
      </c>
      <c r="CR16" s="19">
        <f>MOD(MOD(MOD((MOD(MOD(INT($CQ$16/65536)*$CQ$16,2147483647)*65536+MOD($CQ$16,65536)*$CQ$16,2147483647))*16807,2147483647)*16807,2147483647)*16807,2147483647)</f>
        <v/>
      </c>
      <c r="CS16" s="19">
        <f>MOD(MOD(MOD((MOD($CR$16+INT($CR$16/65536)*MOD($CR$16,65536),2147483646)+1)*16807,2147483647)*16807,2147483647)*16807,2147483647)</f>
        <v/>
      </c>
      <c r="CT16" s="19">
        <f>MOD(MOD(MOD((MOD('Início'!$E$15+104729*$C$7+82752757,2147483646)+1)*16807,2147483647)*16807,2147483647)*16807,2147483647)</f>
        <v/>
      </c>
      <c r="CU16" s="19">
        <f>MOD(MOD(MOD((MOD(MOD(INT($CT$16/65536)*$CT$16,2147483647)*65536+MOD($CT$16,65536)*$CT$16,2147483647))*16807,2147483647)*16807,2147483647)*16807,2147483647)</f>
        <v/>
      </c>
      <c r="CV16" s="19">
        <f>MOD(MOD(MOD((MOD($CU$16+INT($CU$16/65536)*MOD($CU$16,65536),2147483646)+1)*16807,2147483647)*16807,2147483647)*16807,2147483647)</f>
        <v/>
      </c>
      <c r="CW16" s="19">
        <f>MOD(MOD(MOD((MOD('Início'!$E$15+104729*$C$7+84052466,2147483646)+1)*16807,2147483647)*16807,2147483647)*16807,2147483647)</f>
        <v/>
      </c>
      <c r="CX16" s="19">
        <f>MOD(MOD(MOD((MOD(MOD(INT($CW$16/65536)*$CW$16,2147483647)*65536+MOD($CW$16,65536)*$CW$16,2147483647))*16807,2147483647)*16807,2147483647)*16807,2147483647)</f>
        <v/>
      </c>
      <c r="CY16" s="19">
        <f>MOD(MOD(MOD((MOD($CX$16+INT($CX$16/65536)*MOD($CX$16,65536),2147483646)+1)*16807,2147483647)*16807,2147483647)*16807,2147483647)</f>
        <v/>
      </c>
      <c r="CZ16" s="19">
        <f>MOD(MOD(MOD((MOD('Início'!$E$15+104729*$C$7+85352175,2147483646)+1)*16807,2147483647)*16807,2147483647)*16807,2147483647)</f>
        <v/>
      </c>
      <c r="DA16" s="19">
        <f>MOD(MOD(MOD((MOD(MOD(INT($CZ$16/65536)*$CZ$16,2147483647)*65536+MOD($CZ$16,65536)*$CZ$16,2147483647))*16807,2147483647)*16807,2147483647)*16807,2147483647)</f>
        <v/>
      </c>
      <c r="DB16" s="19">
        <f>MOD(MOD(MOD((MOD($DA$16+INT($DA$16/65536)*MOD($DA$16,65536),2147483646)+1)*16807,2147483647)*16807,2147483647)*16807,2147483647)</f>
        <v/>
      </c>
      <c r="DC16" s="19">
        <f>MOD(MOD(MOD((MOD('Início'!$E$15+104729*$C$7+86651884,2147483646)+1)*16807,2147483647)*16807,2147483647)*16807,2147483647)</f>
        <v/>
      </c>
      <c r="DD16" s="19">
        <f>MOD(MOD(MOD((MOD(MOD(INT($DC$16/65536)*$DC$16,2147483647)*65536+MOD($DC$16,65536)*$DC$16,2147483647))*16807,2147483647)*16807,2147483647)*16807,2147483647)</f>
        <v/>
      </c>
      <c r="DE16" s="19">
        <f>MOD(MOD(MOD((MOD($DD$16+INT($DD$16/65536)*MOD($DD$16,65536),2147483646)+1)*16807,2147483647)*16807,2147483647)*16807,2147483647)</f>
        <v/>
      </c>
      <c r="DF16" s="19">
        <f>MOD(MOD(MOD((MOD('Início'!$E$15+104729*$C$7+87951593,2147483646)+1)*16807,2147483647)*16807,2147483647)*16807,2147483647)</f>
        <v/>
      </c>
      <c r="DG16" s="19">
        <f>MOD(MOD(MOD((MOD(MOD(INT($DF$16/65536)*$DF$16,2147483647)*65536+MOD($DF$16,65536)*$DF$16,2147483647))*16807,2147483647)*16807,2147483647)*16807,2147483647)</f>
        <v/>
      </c>
      <c r="DH16" s="19">
        <f>MOD(MOD(MOD((MOD($DG$16+INT($DG$16/65536)*MOD($DG$16,65536),2147483646)+1)*16807,2147483647)*16807,2147483647)*16807,2147483647)</f>
        <v/>
      </c>
      <c r="DI16" s="19">
        <f>IF($CC$16="Físico",9000000000,IF(AND('Grupo'!$B$44="Sim",COUNTIF($BY$11:$CB$15,"Físico")=0),0,2147483647))+$CP$16+1/10</f>
        <v/>
      </c>
      <c r="DJ16" s="19">
        <f>IF($CC$16="Fogo",9000000000,IF(AND('Grupo'!$C$44="Sim",COUNTIF($BY$11:$CB$15,"Fogo")=0),0,2147483647))+$CS$16+2/10</f>
        <v/>
      </c>
      <c r="DK16" s="19">
        <f>IF($CC$16="Gelo",9000000000,IF(AND('Grupo'!$D$44="Sim",COUNTIF($BY$11:$CB$15,"Gelo")=0),0,2147483647))+$CV$16+3/10</f>
        <v/>
      </c>
      <c r="DL16" s="19">
        <f>IF($CC$16="Raio",9000000000,IF(AND('Grupo'!$E$44="Sim",COUNTIF($BY$11:$CB$15,"Raio")=0),0,2147483647))+$CY$16+4/10</f>
        <v/>
      </c>
      <c r="DM16" s="19">
        <f>IF($CC$16="Vento",9000000000,IF(AND('Grupo'!$F$44="Sim",COUNTIF($BY$11:$CB$15,"Vento")=0),0,2147483647))+$DB$16+5/10</f>
        <v/>
      </c>
      <c r="DN16" s="19">
        <f>IF($CC$16="Quântico",9000000000,IF(AND('Grupo'!$G$44="Sim",COUNTIF($BY$11:$CB$15,"Quântico")=0),0,2147483647))+$DE$16+6/10</f>
        <v/>
      </c>
      <c r="DO16" s="19">
        <f>IF($CC$16="Imaginário",9000000000,IF(AND('Grupo'!$H$44="Sim",COUNTIF($BY$11:$CB$15,"Imaginário")=0),0,2147483647))+$DH$16+7/10</f>
        <v/>
      </c>
      <c r="DQ16" s="19">
        <f>IF(ISERROR($A$16),"",IF(ISBLANK($A$16),"",$A$16))</f>
        <v/>
      </c>
      <c r="DR16" s="19">
        <f>IF(ISERROR($B$16),"",IF(ISBLANK($B$16),"",$B$16))</f>
        <v/>
      </c>
      <c r="DT16" s="19">
        <f>IF(ISERROR($D$16),"",IF(ISBLANK($D$16),"",$D$16))</f>
        <v/>
      </c>
      <c r="DW16" s="19">
        <f>IF(ISERROR($G$16),"",IF(ISBLANK($G$16),"",$G$16))</f>
        <v/>
      </c>
      <c r="DX16" s="19">
        <f>IF(ISERROR($H$16),"",IF(ISBLANK($H$16),"",$H$16))</f>
        <v/>
      </c>
      <c r="DY16" s="19">
        <f>IF(ISERROR($I$16),"",IF(ISBLANK($I$16),"",$I$16))</f>
        <v/>
      </c>
      <c r="DZ16" s="19">
        <f>IF(ISERROR($J$16),"",IF(ISBLANK($J$16),"",$J$16))</f>
        <v/>
      </c>
      <c r="EA16" s="19">
        <f>ISERROR($A$16)*1+ISERROR($B$16)*1+ISERROR($D$16)*1+ISERROR($G$16)*1+ISERROR($H$16)*1+ISERROR($I$16)*1+ISERROR($J$16)*1</f>
        <v/>
      </c>
    </row>
    <row r="17" ht="26" customHeight="1">
      <c r="A17" s="30" t="n"/>
      <c r="B17" s="3" t="n"/>
      <c r="C17" s="16" t="n"/>
      <c r="D17" s="3" t="n"/>
      <c r="E17" s="24" t="n"/>
      <c r="F17" s="16" t="n"/>
      <c r="G17" s="36" t="n"/>
      <c r="H17" s="15" t="n"/>
      <c r="I17" s="36" t="n"/>
      <c r="J17" s="15" t="n"/>
      <c r="K17" s="18">
        <f>IF(EA17&gt;0,"O Google leu como fórmula: escolha de novo ou digite com ' na frente.",IF(LEN($DQ$17)=0,IF(LEN($DR$17&amp;$DT$17&amp;$DY$17)&gt;0,"Linha sem nome: o inimigo não entra nas listas",""),IF(COUNTIF($DQ$11:$DQ$22,$DQ$17)&gt;1,"Nome repetido na tabela",IF(COUNTIF('Dados'!$B$92:$B$123,$DQ$17)&gt;0,"Nome igual a uma criatura do bestiário: dê outro nome",IF(AND($BK$17="Ajustar do bestiário",$BL$17=0),"Modo Ajustar sem base do bestiário válida",IF(AND(LEN($DZ$17)&gt;0,$BN$17&lt;&gt;"Boss"),"Fases só valem para Boss (28.5)",IF(AND(ISNUMBER($DX$17),OR($DX$17&lt;1,$DX$17&gt;20)),"Nível fora de 1 a 20: usando o limite",IF(AND(LEN($DY$17)&gt;0,COUNTIF('Dados'!$AO$6:$AO$8,$DY$17)=0),"Tipo fora da lista: usando Comum",""))))))))</f>
        <v/>
      </c>
      <c r="N17" s="19">
        <f>IF(LEN($DQ$17)=0,"",$DQ$17)</f>
        <v/>
      </c>
      <c r="O17" s="19">
        <f>IF(LEN($DQ$17)=0,"",$BN$17)</f>
        <v/>
      </c>
      <c r="P17" s="19">
        <f>IF(LEN($DQ$17)=0,"",$BQ$17)</f>
        <v/>
      </c>
      <c r="Q17" s="19">
        <f>IF(LEN($DQ$17)=0,"",$BU$17)</f>
        <v/>
      </c>
      <c r="R17" s="19">
        <f>IF(LEN($DQ$17)=0,"",IFERROR(INDEX('Dados'!$E$38:$E$52,MATCH($BS$17,'Dados'!$A$38:$A$52,0)),""))</f>
        <v/>
      </c>
      <c r="S17" s="19">
        <f>IF(LEN($DQ$17)=0,"",IFERROR(INDEX('Dados'!$F$38:$F$52,MATCH($BS$17,'Dados'!$A$38:$A$52,0)),""))</f>
        <v/>
      </c>
      <c r="T17" s="19">
        <f>IF(LEN($DQ$17)=0,"",IFERROR(INDEX('Dados'!$G$38:$G$52,MATCH($BS$17,'Dados'!$A$38:$A$52,0)),""))</f>
        <v/>
      </c>
      <c r="U17" s="19">
        <f>IF(LEN($DQ$17)=0,"",IFERROR(INDEX('Dados'!$H$38:$H$52,MATCH($BS$17,'Dados'!$A$38:$A$52,0)),""))</f>
        <v/>
      </c>
      <c r="V17" s="19">
        <f>IF(LEN($DQ$17)=0,"",IFERROR(INDEX('Dados'!$I$38:$I$52,MATCH($BS$17,'Dados'!$A$38:$A$52,0)),""))</f>
        <v/>
      </c>
      <c r="W17" s="19">
        <f>IF(LEN($DQ$17)=0,"",IFERROR(INDEX('Dados'!$J$38:$J$52,MATCH($BS$17,'Dados'!$A$38:$A$52,0)),""))</f>
        <v/>
      </c>
      <c r="X17" s="19">
        <f>IF(LEN($DQ$17)=0,"",IFERROR(INDEX('Dados'!$K$38:$K$52,MATCH($BS$17,'Dados'!$A$38:$A$52,0)),""))</f>
        <v/>
      </c>
      <c r="Y17" s="19">
        <f>IF(LEN($DQ$17)=0,"",IFERROR(INDEX('Dados'!$L$38:$L$52,MATCH($BS$17,'Dados'!$A$38:$A$52,0)),""))</f>
        <v/>
      </c>
      <c r="Z17" s="19">
        <f>IF(LEN($DQ$17)=0,"",IFERROR(INDEX('Dados'!$M$38:$M$52,MATCH($BS$17,'Dados'!$A$38:$A$52,0)),""))</f>
        <v/>
      </c>
      <c r="AA17" s="19">
        <f>IF(LEN($DQ$17)=0,"",$BY$17)</f>
        <v/>
      </c>
      <c r="AB17" s="19">
        <f>IF(LEN($DQ$17)=0,"",$BZ$17)</f>
        <v/>
      </c>
      <c r="AC17" s="19">
        <f>IF(LEN($DQ$17)=0,"",$CA$17)</f>
        <v/>
      </c>
      <c r="AD17" s="19">
        <f>IF(LEN($DQ$17)=0,"",$CB$17)</f>
        <v/>
      </c>
      <c r="AE17" s="19">
        <f>IF(LEN($DQ$17)=0,"",$CC$17)</f>
        <v/>
      </c>
      <c r="AF17" s="19">
        <f>IF(LEN($DQ$17)=0,"",IF($DV$32="Sim","Pode",IF($DV$32="Não","Não",IF($BL$17=1,IFERROR(INDEX('Dados'!$V$92:$V$123,$BM$17)&amp;"",""),"Não declarado"))))</f>
        <v/>
      </c>
      <c r="AG17" s="19">
        <f>IF(LEN($DQ$17)=0,"",$BV$17)</f>
        <v/>
      </c>
      <c r="AH17" s="19">
        <f>IF(LEN($DQ$17)=0,"",IFERROR(INDEX('Dados'!$Q$38:$Q$52,MATCH($BS$17,'Dados'!$A$38:$A$52,0)),""))</f>
        <v/>
      </c>
      <c r="AI17" s="19">
        <f>IF(LEN($DQ$17)=0,"",IF(AND($BL$17=1,$DT$17="Escória de Stellaron"),1.5,1)*$BU$17)</f>
        <v/>
      </c>
      <c r="AJ17" s="19">
        <f>IF(LEN($DQ$17)=0,"",IFERROR(INDEX('Dados'!$P$38:$P$52,MATCH($BS$17,'Dados'!$A$38:$A$52,0)),""))</f>
        <v/>
      </c>
      <c r="AK17" s="19">
        <f>IF(LEN($DQ$17)=0,"",IF($BV$17=2,INT($BU$17/2),IF($BV$17=3,INT(2*$BU$17/3),"")))</f>
        <v/>
      </c>
      <c r="AL17" s="19">
        <f>IF(LEN($DQ$17)=0,"",IF($BV$17=3,INT($BU$17/3),""))</f>
        <v/>
      </c>
      <c r="AM17" s="19">
        <f>IF(OR(LEN($DQ$17)=0,$BV$17&lt;2),"",IFERROR(INDEX($DT$88:$DT$112,MATCH($DQ$17&amp;"|2",$N$88:$N$112,0))&amp;"",IF($BL$17=1,IFERROR(INDEX('Dados'!$G$127:$G$138,MATCH($DT$17&amp;"|2",'Dados'!$A$127:$A$138,0)),""),"")))</f>
        <v/>
      </c>
      <c r="AN17" s="19">
        <f>IF(OR(LEN($DQ$17)=0,$BV$17&lt;2),"",IFERROR(INDEX($DU$88:$DU$112,MATCH($DQ$17&amp;"|2",$N$88:$N$112,0))&amp;"",IF($BL$17=1,IFERROR(INDEX('Dados'!$H$127:$H$138,MATCH($DT$17&amp;"|2",'Dados'!$A$127:$A$138,0)),""),"")))</f>
        <v/>
      </c>
      <c r="AO17" s="19">
        <f>IF(OR(LEN($DQ$17)=0,$BV$17&lt;2),"",IFERROR(INDEX($DV$88:$DV$112,MATCH($DQ$17&amp;"|2",$N$88:$N$112,0))&amp;"",IF($BL$17=1,IFERROR(INDEX('Dados'!$I$127:$I$138,MATCH($DT$17&amp;"|2",'Dados'!$A$127:$A$138,0)),""),"")))</f>
        <v/>
      </c>
      <c r="AP17" s="19">
        <f>IF(OR(LEN($DQ$17)=0,$BV$17&lt;2),"",IFERROR(INDEX($DW$88:$DW$112,MATCH($DQ$17&amp;"|2",$N$88:$N$112,0))&amp;"",IF($BL$17=1,IFERROR(INDEX('Dados'!$J$127:$J$138,MATCH($DT$17&amp;"|2",'Dados'!$A$127:$A$138,0)),""),"")))</f>
        <v/>
      </c>
      <c r="AQ17" s="19">
        <f>IF(OR(LEN($DQ$17)=0,$BV$17&lt;2),"",IF(ISNUMBER(MATCH($DQ$17&amp;"|2",$N$88:$N$112,0)),IF(ISNUMBER(INDEX($DX$88:$DX$112,MATCH($DQ$17&amp;"|2",$N$88:$N$112,0))),MIN(IFERROR(INDEX('Dados'!$G$38:$G$52,MATCH($BS$17,'Dados'!$A$38:$A$52,0)),""),INDEX($DX$88:$DX$112,MATCH($DQ$17&amp;"|2",$N$88:$N$112,0))),IFERROR(INDEX('Dados'!$G$38:$G$52,MATCH($BS$17,'Dados'!$A$38:$A$52,0)),"")),IF($BL$17=1,IFERROR(MIN(IFERROR(INDEX('Dados'!$G$38:$G$52,MATCH($BS$17,'Dados'!$A$38:$A$52,0)),""),INT(INDEX('Dados'!$K$127:$K$138,MATCH($DT$17&amp;"|2",'Dados'!$A$127:$A$138,0))*IFERROR(INDEX('Dados'!$G$38:$G$52,MATCH($BS$17,'Dados'!$A$38:$A$52,0)),"")/$CH$17)),IFERROR(INDEX('Dados'!$G$38:$G$52,MATCH($BS$17,'Dados'!$A$38:$A$52,0)),"")),IFERROR(INDEX('Dados'!$G$38:$G$52,MATCH($BS$17,'Dados'!$A$38:$A$52,0)),""))))</f>
        <v/>
      </c>
      <c r="AR17" s="19">
        <f>IF(OR(LEN($DQ$17)=0,$BV$17&lt;3),"",IFERROR(INDEX($DT$88:$DT$112,MATCH($DQ$17&amp;"|3",$N$88:$N$112,0))&amp;"",IF($BL$17=1,IFERROR(INDEX('Dados'!$G$127:$G$138,MATCH($DT$17&amp;"|3",'Dados'!$A$127:$A$138,0)),""),"")))</f>
        <v/>
      </c>
      <c r="AS17" s="19">
        <f>IF(OR(LEN($DQ$17)=0,$BV$17&lt;3),"",IFERROR(INDEX($DU$88:$DU$112,MATCH($DQ$17&amp;"|3",$N$88:$N$112,0))&amp;"",IF($BL$17=1,IFERROR(INDEX('Dados'!$H$127:$H$138,MATCH($DT$17&amp;"|3",'Dados'!$A$127:$A$138,0)),""),"")))</f>
        <v/>
      </c>
      <c r="AT17" s="19">
        <f>IF(OR(LEN($DQ$17)=0,$BV$17&lt;3),"",IFERROR(INDEX($DV$88:$DV$112,MATCH($DQ$17&amp;"|3",$N$88:$N$112,0))&amp;"",IF($BL$17=1,IFERROR(INDEX('Dados'!$I$127:$I$138,MATCH($DT$17&amp;"|3",'Dados'!$A$127:$A$138,0)),""),"")))</f>
        <v/>
      </c>
      <c r="AU17" s="19">
        <f>IF(OR(LEN($DQ$17)=0,$BV$17&lt;3),"",IFERROR(INDEX($DW$88:$DW$112,MATCH($DQ$17&amp;"|3",$N$88:$N$112,0))&amp;"",IF($BL$17=1,IFERROR(INDEX('Dados'!$J$127:$J$138,MATCH($DT$17&amp;"|3",'Dados'!$A$127:$A$138,0)),""),"")))</f>
        <v/>
      </c>
      <c r="AV17" s="19">
        <f>IF(OR(LEN($DQ$17)=0,$BV$17&lt;3),"",IF(ISNUMBER(MATCH($DQ$17&amp;"|3",$N$88:$N$112,0)),IF(ISNUMBER(INDEX($DX$88:$DX$112,MATCH($DQ$17&amp;"|3",$N$88:$N$112,0))),MIN(IFERROR(INDEX('Dados'!$G$38:$G$52,MATCH($BS$17,'Dados'!$A$38:$A$52,0)),""),INDEX($DX$88:$DX$112,MATCH($DQ$17&amp;"|3",$N$88:$N$112,0))),IFERROR(INDEX('Dados'!$G$38:$G$52,MATCH($BS$17,'Dados'!$A$38:$A$52,0)),"")),IF($BL$17=1,IFERROR(MIN(IFERROR(INDEX('Dados'!$G$38:$G$52,MATCH($BS$17,'Dados'!$A$38:$A$52,0)),""),INT(INDEX('Dados'!$K$127:$K$138,MATCH($DT$17&amp;"|3",'Dados'!$A$127:$A$138,0))*IFERROR(INDEX('Dados'!$G$38:$G$52,MATCH($BS$17,'Dados'!$A$38:$A$52,0)),"")/$CH$17)),IFERROR(INDEX('Dados'!$G$38:$G$52,MATCH($BS$17,'Dados'!$A$38:$A$52,0)),"")),IFERROR(INDEX('Dados'!$G$38:$G$52,MATCH($BS$17,'Dados'!$A$38:$A$52,0)),""))))</f>
        <v/>
      </c>
      <c r="AW17" s="19">
        <f>IF(LEN($DQ$17)=0,"",IF($BL$17=1,IFERROR(INDEX('Dados'!$AF$92:$AF$123,$BM$17)&amp;"",""),IFERROR(INDEX($DU$116:$DU$153,MATCH($DQ$17&amp;"|1",$Q$116:$Q$153,0))&amp;"","")))</f>
        <v/>
      </c>
      <c r="AX17" s="19">
        <f>IF(LEN($DQ$17)=0,"",IF($BL$17=1,IF(ISNUMBER(IFERROR(INDEX('Dados'!$AG$92:$AG$123,$BM$17),"")),IF(IFERROR(INDEX('Dados'!$AG$92:$AG$123,$BM$17),"")&gt;0,IFERROR(INDEX('Dados'!$AG$92:$AG$123,$BM$17),""),""),""),IFERROR(INDEX($DY$116:$DY$153,MATCH($DQ$17&amp;"|1",$Q$116:$Q$153,0))+0,"")))</f>
        <v/>
      </c>
      <c r="AY17" s="19">
        <f>IF(LEN($DQ$17)=0,"",IF($BL$17=1,IFERROR(INDEX('Dados'!$AH$92:$AH$123,$BM$17)&amp;"",""),IFERROR(INDEX($DU$116:$DU$153,MATCH($DQ$17&amp;"|2",$Q$116:$Q$153,0))&amp;"","")))</f>
        <v/>
      </c>
      <c r="AZ17" s="19">
        <f>IF(LEN($DQ$17)=0,"",IF($BL$17=1,IF(ISNUMBER(IFERROR(INDEX('Dados'!$AI$92:$AI$123,$BM$17),"")),IF(IFERROR(INDEX('Dados'!$AI$92:$AI$123,$BM$17),"")&gt;0,IFERROR(INDEX('Dados'!$AI$92:$AI$123,$BM$17),""),""),""),IFERROR(INDEX($DY$116:$DY$153,MATCH($DQ$17&amp;"|2",$Q$116:$Q$153,0))+0,"")))</f>
        <v/>
      </c>
      <c r="BA17" s="19">
        <f>IF(LEN($DQ$17)=0,"",IF($BL$17=1,IFERROR(INDEX('Dados'!$AJ$92:$AJ$123,$BM$17)&amp;"",""),IFERROR(INDEX($DU$116:$DU$153,MATCH($DQ$17&amp;"|3",$Q$116:$Q$153,0))&amp;"","")))</f>
        <v/>
      </c>
      <c r="BB17" s="19">
        <f>IF(LEN($DQ$17)=0,"",IF($BL$17=1,IF(ISNUMBER(IFERROR(INDEX('Dados'!$AK$92:$AK$123,$BM$17),"")),IF(IFERROR(INDEX('Dados'!$AK$92:$AK$123,$BM$17),"")&gt;0,IFERROR(INDEX('Dados'!$AK$92:$AK$123,$BM$17),""),""),""),IFERROR(INDEX($DY$116:$DY$153,MATCH($DQ$17&amp;"|3",$Q$116:$Q$153,0))+0,"")))</f>
        <v/>
      </c>
      <c r="BC17" s="19">
        <f>IF(LEN($DQ$17)=0,"",IF(LEN($DR$32)&gt;0,$DR$32,IF($BL$17=1,IFERROR(INDEX('Dados'!$E$92:$E$123,$BM$17)&amp;"",""),"")))</f>
        <v/>
      </c>
      <c r="BD17" s="19">
        <f>IF(AND(LEN($DR$32)=0,$BL$17=1),IFERROR(INDEX('Dados'!$AD$92:$AD$123,$BM$17)&amp;"",""),"")</f>
        <v/>
      </c>
      <c r="BE17" s="19">
        <f>IF(LEN($DQ$17)=0,"",INDEX('Dados'!$F$7:$F$11,$BR$17))</f>
        <v/>
      </c>
      <c r="BF17" s="19">
        <f>IF(LEN($DQ$17)=0,"",$BR$17)</f>
        <v/>
      </c>
      <c r="BG17" s="19">
        <f>$G$48</f>
        <v/>
      </c>
      <c r="BH17" s="19">
        <f>"Campanha"</f>
        <v/>
      </c>
      <c r="BK17" s="19">
        <f>IF(COUNTIF('Dados'!$AQ$6:$AQ$8,$DR$17)&gt;0,$DR$17,"Faixa do livro")</f>
        <v/>
      </c>
      <c r="BL17" s="19">
        <f>IF(AND($BK$17="Ajustar do bestiário",ISNUMBER($BM$17)),1,0)</f>
        <v/>
      </c>
      <c r="BM17" s="19">
        <f>IFERROR(MATCH($DT$17,'Dados'!$B$92:$B$123,0),"")</f>
        <v/>
      </c>
      <c r="BN17" s="19">
        <f>IF(COUNTIF('Dados'!$AO$6:$AO$8,$DY$17)&gt;0,$DY$17,IF($BL$17=1,IFERROR(INDEX('Dados'!$C$92:$C$123,$BM$17),""),"Comum"))</f>
        <v/>
      </c>
      <c r="BO17" s="19">
        <f>MATCH($BN$17,'Dados'!$AO$6:$AO$8,0)</f>
        <v/>
      </c>
      <c r="BP17" s="19">
        <f>IF(ISNUMBER($DX$17),MIN(20,MAX(1,INT($DX$17))),'Campanha'!$B$17)</f>
        <v/>
      </c>
      <c r="BQ17" s="19">
        <f>IF($BK$17="Por nível — Sugestão",INDEX('Dados'!$B$7:$B$11,INT(($BP$17-1)/4)+1),IF(LEN(IFERROR(INDEX('Dados'!$B$7:$B$11,MATCH($DW$17,'Dados'!$AP$6:$AP$10,0)),""))&gt;0,IFERROR(INDEX('Dados'!$B$7:$B$11,MATCH($DW$17,'Dados'!$AP$6:$AP$10,0)),""),'Campanha'!$B$19))</f>
        <v/>
      </c>
      <c r="BR17" s="19">
        <f>MATCH($BQ$17,'Dados'!$B$7:$B$11,0)</f>
        <v/>
      </c>
      <c r="BS17" s="19">
        <f>$BQ$17&amp;"|"&amp;$BN$17</f>
        <v/>
      </c>
      <c r="BT17" s="19">
        <f>MIN(4,MAX(1,INT(($BP$17-3)/4)+1))</f>
        <v/>
      </c>
      <c r="BU17" s="19">
        <f>IF($BK$17="Por nível — Sugestão",INT(IF($BP$17&lt;=3,INDEX('Dados'!$D$38:$D$52,$BO$17),IF($BP$17&gt;=19,INDEX('Dados'!$D$38:$D$52,12+$BO$17),INDEX('Dados'!$D$38:$D$52,($BT$17-1)*3+$BO$17)+(INDEX('Dados'!$D$38:$D$52,$BT$17*3+$BO$17)-INDEX('Dados'!$D$38:$D$52,($BT$17-1)*3+$BO$17))*($BP$17-(4*$BT$17-1))/4))),IFERROR(INDEX('Dados'!$D$38:$D$52,MATCH($BS$17,'Dados'!$A$38:$A$52,0)),""))</f>
        <v/>
      </c>
      <c r="BV17" s="19">
        <f>IF($BN$17&lt;&gt;"Boss",1,IF(AND(ISNUMBER($DZ$17),$DZ$17&gt;=1,$DZ$17&lt;=3),INT($DZ$17),IF($BL$17=1,MAX(1,IFERROR(INDEX('Dados'!$F$92:$F$123,$BM$17),"")),1)))</f>
        <v/>
      </c>
      <c r="BW17" s="19">
        <f>IFERROR(INDEX('Dados'!$O$38:$O$52,MATCH($BS$17,'Dados'!$A$38:$A$52,0)),"")</f>
        <v/>
      </c>
      <c r="BX17" s="19">
        <f>IF(AND(LEN($DR$48)=0,LEN($DS$48)=0,LEN($DT$48)=0,LEN($DU$48)=0),1,0)</f>
        <v/>
      </c>
      <c r="BY17" s="19">
        <f>IF(LEN($DQ$17)=0,"",IF($BX$17=0,$DR$48&amp;"",IF($BL$17=1,IFERROR(INDEX('Dados'!$Q$92:$Q$123,$BM$17)&amp;"",""),IF(1&lt;=$BW$17,$CD$17,""))))</f>
        <v/>
      </c>
      <c r="BZ17" s="19">
        <f>IF(LEN($DQ$17)=0,"",IF($BX$17=0,$DS$48&amp;"",IF($BL$17=1,IFERROR(INDEX('Dados'!$R$92:$R$123,$BM$17)&amp;"",""),IF(2&lt;=$BW$17,$CE$17,""))))</f>
        <v/>
      </c>
      <c r="CA17" s="19">
        <f>IF(LEN($DQ$17)=0,"",IF($BX$17=0,$DT$48&amp;"",IF($BL$17=1,IFERROR(INDEX('Dados'!$S$92:$S$123,$BM$17)&amp;"",""),IF(3&lt;=$BW$17,$CF$17,""))))</f>
        <v/>
      </c>
      <c r="CB17" s="19">
        <f>IF(LEN($DQ$17)=0,"",IF($BX$17=0,$DU$48&amp;"",IF($BL$17=1,IFERROR(INDEX('Dados'!$T$92:$T$123,$BM$17)&amp;"",""),IF(4&lt;=$BW$17,$CG$17,""))))</f>
        <v/>
      </c>
      <c r="CC17" s="19">
        <f>IF(LEN($DV$48)&gt;0,$DV$48,IF($BL$17=1,IFERROR(INDEX('Dados'!$U$92:$U$123,$BM$17)&amp;"",""),""))</f>
        <v/>
      </c>
      <c r="CD17" s="19">
        <f>INDEX('Dados'!$A$301:$A$307,MATCH(SMALL($DI$17:$DO$17,1),$DI$17:$DO$17,0))</f>
        <v/>
      </c>
      <c r="CE17" s="19">
        <f>INDEX('Dados'!$A$301:$A$307,MATCH(SMALL($DI$17:$DO$17,2),$DI$17:$DO$17,0))</f>
        <v/>
      </c>
      <c r="CF17" s="19">
        <f>INDEX('Dados'!$A$301:$A$307,MATCH(SMALL($DI$17:$DO$17,3),$DI$17:$DO$17,0))</f>
        <v/>
      </c>
      <c r="CG17" s="19">
        <f>INDEX('Dados'!$A$301:$A$307,MATCH(SMALL($DI$17:$DO$17,4),$DI$17:$DO$17,0))</f>
        <v/>
      </c>
      <c r="CH17" s="19">
        <f>IF($BL$17=1,IFERROR(INDEX('Dados'!$J$92:$J$123,$BM$17),""),"")</f>
        <v/>
      </c>
      <c r="CI17" s="19">
        <f>IF($BL$17=1,IFERROR(INDEX('Dados'!$G$92:$G$123,$BM$17),""),"")</f>
        <v/>
      </c>
      <c r="CJ17" s="19">
        <f>IFERROR(INDEX('Dados'!$S$38:$S$52,MATCH($BS$17,'Dados'!$A$38:$A$52,0)),"")</f>
        <v/>
      </c>
      <c r="CK17" s="19">
        <f>IFERROR(INDEX('Dados'!$T$38:$T$52,MATCH($BS$17,'Dados'!$A$38:$A$52,0)),"")</f>
        <v/>
      </c>
      <c r="CL17" s="19">
        <f>IFERROR(INDEX('Dados'!$J$38:$J$52,MATCH($BQ$17&amp;"|Comum",'Dados'!$A$38:$A$52,0)),"")</f>
        <v/>
      </c>
      <c r="CM17" s="19">
        <f>IFERROR(INDEX('Dados'!$K$38:$K$52,MATCH($BQ$17&amp;"|Comum",'Dados'!$A$38:$A$52,0)),"")</f>
        <v/>
      </c>
      <c r="CN17" s="19">
        <f>MOD(MOD(MOD((MOD('Início'!$E$15+104729*$C$7+93150429,2147483646)+1)*16807,2147483647)*16807,2147483647)*16807,2147483647)</f>
        <v/>
      </c>
      <c r="CO17" s="19">
        <f>MOD(MOD(MOD((MOD(MOD(INT($CN$17/65536)*$CN$17,2147483647)*65536+MOD($CN$17,65536)*$CN$17,2147483647))*16807,2147483647)*16807,2147483647)*16807,2147483647)</f>
        <v/>
      </c>
      <c r="CP17" s="19">
        <f>MOD(MOD(MOD((MOD($CO$17+INT($CO$17/65536)*MOD($CO$17,65536),2147483646)+1)*16807,2147483647)*16807,2147483647)*16807,2147483647)</f>
        <v/>
      </c>
      <c r="CQ17" s="19">
        <f>MOD(MOD(MOD((MOD('Início'!$E$15+104729*$C$7+94450138,2147483646)+1)*16807,2147483647)*16807,2147483647)*16807,2147483647)</f>
        <v/>
      </c>
      <c r="CR17" s="19">
        <f>MOD(MOD(MOD((MOD(MOD(INT($CQ$17/65536)*$CQ$17,2147483647)*65536+MOD($CQ$17,65536)*$CQ$17,2147483647))*16807,2147483647)*16807,2147483647)*16807,2147483647)</f>
        <v/>
      </c>
      <c r="CS17" s="19">
        <f>MOD(MOD(MOD((MOD($CR$17+INT($CR$17/65536)*MOD($CR$17,65536),2147483646)+1)*16807,2147483647)*16807,2147483647)*16807,2147483647)</f>
        <v/>
      </c>
      <c r="CT17" s="19">
        <f>MOD(MOD(MOD((MOD('Início'!$E$15+104729*$C$7+95749847,2147483646)+1)*16807,2147483647)*16807,2147483647)*16807,2147483647)</f>
        <v/>
      </c>
      <c r="CU17" s="19">
        <f>MOD(MOD(MOD((MOD(MOD(INT($CT$17/65536)*$CT$17,2147483647)*65536+MOD($CT$17,65536)*$CT$17,2147483647))*16807,2147483647)*16807,2147483647)*16807,2147483647)</f>
        <v/>
      </c>
      <c r="CV17" s="19">
        <f>MOD(MOD(MOD((MOD($CU$17+INT($CU$17/65536)*MOD($CU$17,65536),2147483646)+1)*16807,2147483647)*16807,2147483647)*16807,2147483647)</f>
        <v/>
      </c>
      <c r="CW17" s="19">
        <f>MOD(MOD(MOD((MOD('Início'!$E$15+104729*$C$7+97049556,2147483646)+1)*16807,2147483647)*16807,2147483647)*16807,2147483647)</f>
        <v/>
      </c>
      <c r="CX17" s="19">
        <f>MOD(MOD(MOD((MOD(MOD(INT($CW$17/65536)*$CW$17,2147483647)*65536+MOD($CW$17,65536)*$CW$17,2147483647))*16807,2147483647)*16807,2147483647)*16807,2147483647)</f>
        <v/>
      </c>
      <c r="CY17" s="19">
        <f>MOD(MOD(MOD((MOD($CX$17+INT($CX$17/65536)*MOD($CX$17,65536),2147483646)+1)*16807,2147483647)*16807,2147483647)*16807,2147483647)</f>
        <v/>
      </c>
      <c r="CZ17" s="19">
        <f>MOD(MOD(MOD((MOD('Início'!$E$15+104729*$C$7+98349265,2147483646)+1)*16807,2147483647)*16807,2147483647)*16807,2147483647)</f>
        <v/>
      </c>
      <c r="DA17" s="19">
        <f>MOD(MOD(MOD((MOD(MOD(INT($CZ$17/65536)*$CZ$17,2147483647)*65536+MOD($CZ$17,65536)*$CZ$17,2147483647))*16807,2147483647)*16807,2147483647)*16807,2147483647)</f>
        <v/>
      </c>
      <c r="DB17" s="19">
        <f>MOD(MOD(MOD((MOD($DA$17+INT($DA$17/65536)*MOD($DA$17,65536),2147483646)+1)*16807,2147483647)*16807,2147483647)*16807,2147483647)</f>
        <v/>
      </c>
      <c r="DC17" s="19">
        <f>MOD(MOD(MOD((MOD('Início'!$E$15+104729*$C$7+99648974,2147483646)+1)*16807,2147483647)*16807,2147483647)*16807,2147483647)</f>
        <v/>
      </c>
      <c r="DD17" s="19">
        <f>MOD(MOD(MOD((MOD(MOD(INT($DC$17/65536)*$DC$17,2147483647)*65536+MOD($DC$17,65536)*$DC$17,2147483647))*16807,2147483647)*16807,2147483647)*16807,2147483647)</f>
        <v/>
      </c>
      <c r="DE17" s="19">
        <f>MOD(MOD(MOD((MOD($DD$17+INT($DD$17/65536)*MOD($DD$17,65536),2147483646)+1)*16807,2147483647)*16807,2147483647)*16807,2147483647)</f>
        <v/>
      </c>
      <c r="DF17" s="19">
        <f>MOD(MOD(MOD((MOD('Início'!$E$15+104729*$C$7+100948683,2147483646)+1)*16807,2147483647)*16807,2147483647)*16807,2147483647)</f>
        <v/>
      </c>
      <c r="DG17" s="19">
        <f>MOD(MOD(MOD((MOD(MOD(INT($DF$17/65536)*$DF$17,2147483647)*65536+MOD($DF$17,65536)*$DF$17,2147483647))*16807,2147483647)*16807,2147483647)*16807,2147483647)</f>
        <v/>
      </c>
      <c r="DH17" s="19">
        <f>MOD(MOD(MOD((MOD($DG$17+INT($DG$17/65536)*MOD($DG$17,65536),2147483646)+1)*16807,2147483647)*16807,2147483647)*16807,2147483647)</f>
        <v/>
      </c>
      <c r="DI17" s="19">
        <f>IF($CC$17="Físico",9000000000,IF(AND('Grupo'!$B$44="Sim",COUNTIF($BY$11:$CB$16,"Físico")=0),0,2147483647))+$CP$17+1/10</f>
        <v/>
      </c>
      <c r="DJ17" s="19">
        <f>IF($CC$17="Fogo",9000000000,IF(AND('Grupo'!$C$44="Sim",COUNTIF($BY$11:$CB$16,"Fogo")=0),0,2147483647))+$CS$17+2/10</f>
        <v/>
      </c>
      <c r="DK17" s="19">
        <f>IF($CC$17="Gelo",9000000000,IF(AND('Grupo'!$D$44="Sim",COUNTIF($BY$11:$CB$16,"Gelo")=0),0,2147483647))+$CV$17+3/10</f>
        <v/>
      </c>
      <c r="DL17" s="19">
        <f>IF($CC$17="Raio",9000000000,IF(AND('Grupo'!$E$44="Sim",COUNTIF($BY$11:$CB$16,"Raio")=0),0,2147483647))+$CY$17+4/10</f>
        <v/>
      </c>
      <c r="DM17" s="19">
        <f>IF($CC$17="Vento",9000000000,IF(AND('Grupo'!$F$44="Sim",COUNTIF($BY$11:$CB$16,"Vento")=0),0,2147483647))+$DB$17+5/10</f>
        <v/>
      </c>
      <c r="DN17" s="19">
        <f>IF($CC$17="Quântico",9000000000,IF(AND('Grupo'!$G$44="Sim",COUNTIF($BY$11:$CB$16,"Quântico")=0),0,2147483647))+$DE$17+6/10</f>
        <v/>
      </c>
      <c r="DO17" s="19">
        <f>IF($CC$17="Imaginário",9000000000,IF(AND('Grupo'!$H$44="Sim",COUNTIF($BY$11:$CB$16,"Imaginário")=0),0,2147483647))+$DH$17+7/10</f>
        <v/>
      </c>
      <c r="DQ17" s="19">
        <f>IF(ISERROR($A$17),"",IF(ISBLANK($A$17),"",$A$17))</f>
        <v/>
      </c>
      <c r="DR17" s="19">
        <f>IF(ISERROR($B$17),"",IF(ISBLANK($B$17),"",$B$17))</f>
        <v/>
      </c>
      <c r="DT17" s="19">
        <f>IF(ISERROR($D$17),"",IF(ISBLANK($D$17),"",$D$17))</f>
        <v/>
      </c>
      <c r="DW17" s="19">
        <f>IF(ISERROR($G$17),"",IF(ISBLANK($G$17),"",$G$17))</f>
        <v/>
      </c>
      <c r="DX17" s="19">
        <f>IF(ISERROR($H$17),"",IF(ISBLANK($H$17),"",$H$17))</f>
        <v/>
      </c>
      <c r="DY17" s="19">
        <f>IF(ISERROR($I$17),"",IF(ISBLANK($I$17),"",$I$17))</f>
        <v/>
      </c>
      <c r="DZ17" s="19">
        <f>IF(ISERROR($J$17),"",IF(ISBLANK($J$17),"",$J$17))</f>
        <v/>
      </c>
      <c r="EA17" s="19">
        <f>ISERROR($A$17)*1+ISERROR($B$17)*1+ISERROR($D$17)*1+ISERROR($G$17)*1+ISERROR($H$17)*1+ISERROR($I$17)*1+ISERROR($J$17)*1</f>
        <v/>
      </c>
    </row>
    <row r="18" ht="26" customHeight="1">
      <c r="A18" s="31" t="n"/>
      <c r="B18" s="28" t="n"/>
      <c r="C18" s="16" t="n"/>
      <c r="D18" s="28" t="n"/>
      <c r="E18" s="24" t="n"/>
      <c r="F18" s="16" t="n"/>
      <c r="G18" s="42" t="n"/>
      <c r="H18" s="34" t="n"/>
      <c r="I18" s="42" t="n"/>
      <c r="J18" s="34" t="n"/>
      <c r="K18" s="26">
        <f>IF(EA18&gt;0,"O Google leu como fórmula: escolha de novo ou digite com ' na frente.",IF(LEN($DQ$18)=0,IF(LEN($DR$18&amp;$DT$18&amp;$DY$18)&gt;0,"Linha sem nome: o inimigo não entra nas listas",""),IF(COUNTIF($DQ$11:$DQ$22,$DQ$18)&gt;1,"Nome repetido na tabela",IF(COUNTIF('Dados'!$B$92:$B$123,$DQ$18)&gt;0,"Nome igual a uma criatura do bestiário: dê outro nome",IF(AND($BK$18="Ajustar do bestiário",$BL$18=0),"Modo Ajustar sem base do bestiário válida",IF(AND(LEN($DZ$18)&gt;0,$BN$18&lt;&gt;"Boss"),"Fases só valem para Boss (28.5)",IF(AND(ISNUMBER($DX$18),OR($DX$18&lt;1,$DX$18&gt;20)),"Nível fora de 1 a 20: usando o limite",IF(AND(LEN($DY$18)&gt;0,COUNTIF('Dados'!$AO$6:$AO$8,$DY$18)=0),"Tipo fora da lista: usando Comum",""))))))))</f>
        <v/>
      </c>
      <c r="N18" s="19">
        <f>IF(LEN($DQ$18)=0,"",$DQ$18)</f>
        <v/>
      </c>
      <c r="O18" s="19">
        <f>IF(LEN($DQ$18)=0,"",$BN$18)</f>
        <v/>
      </c>
      <c r="P18" s="19">
        <f>IF(LEN($DQ$18)=0,"",$BQ$18)</f>
        <v/>
      </c>
      <c r="Q18" s="19">
        <f>IF(LEN($DQ$18)=0,"",$BU$18)</f>
        <v/>
      </c>
      <c r="R18" s="19">
        <f>IF(LEN($DQ$18)=0,"",IFERROR(INDEX('Dados'!$E$38:$E$52,MATCH($BS$18,'Dados'!$A$38:$A$52,0)),""))</f>
        <v/>
      </c>
      <c r="S18" s="19">
        <f>IF(LEN($DQ$18)=0,"",IFERROR(INDEX('Dados'!$F$38:$F$52,MATCH($BS$18,'Dados'!$A$38:$A$52,0)),""))</f>
        <v/>
      </c>
      <c r="T18" s="19">
        <f>IF(LEN($DQ$18)=0,"",IFERROR(INDEX('Dados'!$G$38:$G$52,MATCH($BS$18,'Dados'!$A$38:$A$52,0)),""))</f>
        <v/>
      </c>
      <c r="U18" s="19">
        <f>IF(LEN($DQ$18)=0,"",IFERROR(INDEX('Dados'!$H$38:$H$52,MATCH($BS$18,'Dados'!$A$38:$A$52,0)),""))</f>
        <v/>
      </c>
      <c r="V18" s="19">
        <f>IF(LEN($DQ$18)=0,"",IFERROR(INDEX('Dados'!$I$38:$I$52,MATCH($BS$18,'Dados'!$A$38:$A$52,0)),""))</f>
        <v/>
      </c>
      <c r="W18" s="19">
        <f>IF(LEN($DQ$18)=0,"",IFERROR(INDEX('Dados'!$J$38:$J$52,MATCH($BS$18,'Dados'!$A$38:$A$52,0)),""))</f>
        <v/>
      </c>
      <c r="X18" s="19">
        <f>IF(LEN($DQ$18)=0,"",IFERROR(INDEX('Dados'!$K$38:$K$52,MATCH($BS$18,'Dados'!$A$38:$A$52,0)),""))</f>
        <v/>
      </c>
      <c r="Y18" s="19">
        <f>IF(LEN($DQ$18)=0,"",IFERROR(INDEX('Dados'!$L$38:$L$52,MATCH($BS$18,'Dados'!$A$38:$A$52,0)),""))</f>
        <v/>
      </c>
      <c r="Z18" s="19">
        <f>IF(LEN($DQ$18)=0,"",IFERROR(INDEX('Dados'!$M$38:$M$52,MATCH($BS$18,'Dados'!$A$38:$A$52,0)),""))</f>
        <v/>
      </c>
      <c r="AA18" s="19">
        <f>IF(LEN($DQ$18)=0,"",$BY$18)</f>
        <v/>
      </c>
      <c r="AB18" s="19">
        <f>IF(LEN($DQ$18)=0,"",$BZ$18)</f>
        <v/>
      </c>
      <c r="AC18" s="19">
        <f>IF(LEN($DQ$18)=0,"",$CA$18)</f>
        <v/>
      </c>
      <c r="AD18" s="19">
        <f>IF(LEN($DQ$18)=0,"",$CB$18)</f>
        <v/>
      </c>
      <c r="AE18" s="19">
        <f>IF(LEN($DQ$18)=0,"",$CC$18)</f>
        <v/>
      </c>
      <c r="AF18" s="19">
        <f>IF(LEN($DQ$18)=0,"",IF($DV$33="Sim","Pode",IF($DV$33="Não","Não",IF($BL$18=1,IFERROR(INDEX('Dados'!$V$92:$V$123,$BM$18)&amp;"",""),"Não declarado"))))</f>
        <v/>
      </c>
      <c r="AG18" s="19">
        <f>IF(LEN($DQ$18)=0,"",$BV$18)</f>
        <v/>
      </c>
      <c r="AH18" s="19">
        <f>IF(LEN($DQ$18)=0,"",IFERROR(INDEX('Dados'!$Q$38:$Q$52,MATCH($BS$18,'Dados'!$A$38:$A$52,0)),""))</f>
        <v/>
      </c>
      <c r="AI18" s="19">
        <f>IF(LEN($DQ$18)=0,"",IF(AND($BL$18=1,$DT$18="Escória de Stellaron"),1.5,1)*$BU$18)</f>
        <v/>
      </c>
      <c r="AJ18" s="19">
        <f>IF(LEN($DQ$18)=0,"",IFERROR(INDEX('Dados'!$P$38:$P$52,MATCH($BS$18,'Dados'!$A$38:$A$52,0)),""))</f>
        <v/>
      </c>
      <c r="AK18" s="19">
        <f>IF(LEN($DQ$18)=0,"",IF($BV$18=2,INT($BU$18/2),IF($BV$18=3,INT(2*$BU$18/3),"")))</f>
        <v/>
      </c>
      <c r="AL18" s="19">
        <f>IF(LEN($DQ$18)=0,"",IF($BV$18=3,INT($BU$18/3),""))</f>
        <v/>
      </c>
      <c r="AM18" s="19">
        <f>IF(OR(LEN($DQ$18)=0,$BV$18&lt;2),"",IFERROR(INDEX($DT$88:$DT$112,MATCH($DQ$18&amp;"|2",$N$88:$N$112,0))&amp;"",IF($BL$18=1,IFERROR(INDEX('Dados'!$G$127:$G$138,MATCH($DT$18&amp;"|2",'Dados'!$A$127:$A$138,0)),""),"")))</f>
        <v/>
      </c>
      <c r="AN18" s="19">
        <f>IF(OR(LEN($DQ$18)=0,$BV$18&lt;2),"",IFERROR(INDEX($DU$88:$DU$112,MATCH($DQ$18&amp;"|2",$N$88:$N$112,0))&amp;"",IF($BL$18=1,IFERROR(INDEX('Dados'!$H$127:$H$138,MATCH($DT$18&amp;"|2",'Dados'!$A$127:$A$138,0)),""),"")))</f>
        <v/>
      </c>
      <c r="AO18" s="19">
        <f>IF(OR(LEN($DQ$18)=0,$BV$18&lt;2),"",IFERROR(INDEX($DV$88:$DV$112,MATCH($DQ$18&amp;"|2",$N$88:$N$112,0))&amp;"",IF($BL$18=1,IFERROR(INDEX('Dados'!$I$127:$I$138,MATCH($DT$18&amp;"|2",'Dados'!$A$127:$A$138,0)),""),"")))</f>
        <v/>
      </c>
      <c r="AP18" s="19">
        <f>IF(OR(LEN($DQ$18)=0,$BV$18&lt;2),"",IFERROR(INDEX($DW$88:$DW$112,MATCH($DQ$18&amp;"|2",$N$88:$N$112,0))&amp;"",IF($BL$18=1,IFERROR(INDEX('Dados'!$J$127:$J$138,MATCH($DT$18&amp;"|2",'Dados'!$A$127:$A$138,0)),""),"")))</f>
        <v/>
      </c>
      <c r="AQ18" s="19">
        <f>IF(OR(LEN($DQ$18)=0,$BV$18&lt;2),"",IF(ISNUMBER(MATCH($DQ$18&amp;"|2",$N$88:$N$112,0)),IF(ISNUMBER(INDEX($DX$88:$DX$112,MATCH($DQ$18&amp;"|2",$N$88:$N$112,0))),MIN(IFERROR(INDEX('Dados'!$G$38:$G$52,MATCH($BS$18,'Dados'!$A$38:$A$52,0)),""),INDEX($DX$88:$DX$112,MATCH($DQ$18&amp;"|2",$N$88:$N$112,0))),IFERROR(INDEX('Dados'!$G$38:$G$52,MATCH($BS$18,'Dados'!$A$38:$A$52,0)),"")),IF($BL$18=1,IFERROR(MIN(IFERROR(INDEX('Dados'!$G$38:$G$52,MATCH($BS$18,'Dados'!$A$38:$A$52,0)),""),INT(INDEX('Dados'!$K$127:$K$138,MATCH($DT$18&amp;"|2",'Dados'!$A$127:$A$138,0))*IFERROR(INDEX('Dados'!$G$38:$G$52,MATCH($BS$18,'Dados'!$A$38:$A$52,0)),"")/$CH$18)),IFERROR(INDEX('Dados'!$G$38:$G$52,MATCH($BS$18,'Dados'!$A$38:$A$52,0)),"")),IFERROR(INDEX('Dados'!$G$38:$G$52,MATCH($BS$18,'Dados'!$A$38:$A$52,0)),""))))</f>
        <v/>
      </c>
      <c r="AR18" s="19">
        <f>IF(OR(LEN($DQ$18)=0,$BV$18&lt;3),"",IFERROR(INDEX($DT$88:$DT$112,MATCH($DQ$18&amp;"|3",$N$88:$N$112,0))&amp;"",IF($BL$18=1,IFERROR(INDEX('Dados'!$G$127:$G$138,MATCH($DT$18&amp;"|3",'Dados'!$A$127:$A$138,0)),""),"")))</f>
        <v/>
      </c>
      <c r="AS18" s="19">
        <f>IF(OR(LEN($DQ$18)=0,$BV$18&lt;3),"",IFERROR(INDEX($DU$88:$DU$112,MATCH($DQ$18&amp;"|3",$N$88:$N$112,0))&amp;"",IF($BL$18=1,IFERROR(INDEX('Dados'!$H$127:$H$138,MATCH($DT$18&amp;"|3",'Dados'!$A$127:$A$138,0)),""),"")))</f>
        <v/>
      </c>
      <c r="AT18" s="19">
        <f>IF(OR(LEN($DQ$18)=0,$BV$18&lt;3),"",IFERROR(INDEX($DV$88:$DV$112,MATCH($DQ$18&amp;"|3",$N$88:$N$112,0))&amp;"",IF($BL$18=1,IFERROR(INDEX('Dados'!$I$127:$I$138,MATCH($DT$18&amp;"|3",'Dados'!$A$127:$A$138,0)),""),"")))</f>
        <v/>
      </c>
      <c r="AU18" s="19">
        <f>IF(OR(LEN($DQ$18)=0,$BV$18&lt;3),"",IFERROR(INDEX($DW$88:$DW$112,MATCH($DQ$18&amp;"|3",$N$88:$N$112,0))&amp;"",IF($BL$18=1,IFERROR(INDEX('Dados'!$J$127:$J$138,MATCH($DT$18&amp;"|3",'Dados'!$A$127:$A$138,0)),""),"")))</f>
        <v/>
      </c>
      <c r="AV18" s="19">
        <f>IF(OR(LEN($DQ$18)=0,$BV$18&lt;3),"",IF(ISNUMBER(MATCH($DQ$18&amp;"|3",$N$88:$N$112,0)),IF(ISNUMBER(INDEX($DX$88:$DX$112,MATCH($DQ$18&amp;"|3",$N$88:$N$112,0))),MIN(IFERROR(INDEX('Dados'!$G$38:$G$52,MATCH($BS$18,'Dados'!$A$38:$A$52,0)),""),INDEX($DX$88:$DX$112,MATCH($DQ$18&amp;"|3",$N$88:$N$112,0))),IFERROR(INDEX('Dados'!$G$38:$G$52,MATCH($BS$18,'Dados'!$A$38:$A$52,0)),"")),IF($BL$18=1,IFERROR(MIN(IFERROR(INDEX('Dados'!$G$38:$G$52,MATCH($BS$18,'Dados'!$A$38:$A$52,0)),""),INT(INDEX('Dados'!$K$127:$K$138,MATCH($DT$18&amp;"|3",'Dados'!$A$127:$A$138,0))*IFERROR(INDEX('Dados'!$G$38:$G$52,MATCH($BS$18,'Dados'!$A$38:$A$52,0)),"")/$CH$18)),IFERROR(INDEX('Dados'!$G$38:$G$52,MATCH($BS$18,'Dados'!$A$38:$A$52,0)),"")),IFERROR(INDEX('Dados'!$G$38:$G$52,MATCH($BS$18,'Dados'!$A$38:$A$52,0)),""))))</f>
        <v/>
      </c>
      <c r="AW18" s="19">
        <f>IF(LEN($DQ$18)=0,"",IF($BL$18=1,IFERROR(INDEX('Dados'!$AF$92:$AF$123,$BM$18)&amp;"",""),IFERROR(INDEX($DU$116:$DU$153,MATCH($DQ$18&amp;"|1",$Q$116:$Q$153,0))&amp;"","")))</f>
        <v/>
      </c>
      <c r="AX18" s="19">
        <f>IF(LEN($DQ$18)=0,"",IF($BL$18=1,IF(ISNUMBER(IFERROR(INDEX('Dados'!$AG$92:$AG$123,$BM$18),"")),IF(IFERROR(INDEX('Dados'!$AG$92:$AG$123,$BM$18),"")&gt;0,IFERROR(INDEX('Dados'!$AG$92:$AG$123,$BM$18),""),""),""),IFERROR(INDEX($DY$116:$DY$153,MATCH($DQ$18&amp;"|1",$Q$116:$Q$153,0))+0,"")))</f>
        <v/>
      </c>
      <c r="AY18" s="19">
        <f>IF(LEN($DQ$18)=0,"",IF($BL$18=1,IFERROR(INDEX('Dados'!$AH$92:$AH$123,$BM$18)&amp;"",""),IFERROR(INDEX($DU$116:$DU$153,MATCH($DQ$18&amp;"|2",$Q$116:$Q$153,0))&amp;"","")))</f>
        <v/>
      </c>
      <c r="AZ18" s="19">
        <f>IF(LEN($DQ$18)=0,"",IF($BL$18=1,IF(ISNUMBER(IFERROR(INDEX('Dados'!$AI$92:$AI$123,$BM$18),"")),IF(IFERROR(INDEX('Dados'!$AI$92:$AI$123,$BM$18),"")&gt;0,IFERROR(INDEX('Dados'!$AI$92:$AI$123,$BM$18),""),""),""),IFERROR(INDEX($DY$116:$DY$153,MATCH($DQ$18&amp;"|2",$Q$116:$Q$153,0))+0,"")))</f>
        <v/>
      </c>
      <c r="BA18" s="19">
        <f>IF(LEN($DQ$18)=0,"",IF($BL$18=1,IFERROR(INDEX('Dados'!$AJ$92:$AJ$123,$BM$18)&amp;"",""),IFERROR(INDEX($DU$116:$DU$153,MATCH($DQ$18&amp;"|3",$Q$116:$Q$153,0))&amp;"","")))</f>
        <v/>
      </c>
      <c r="BB18" s="19">
        <f>IF(LEN($DQ$18)=0,"",IF($BL$18=1,IF(ISNUMBER(IFERROR(INDEX('Dados'!$AK$92:$AK$123,$BM$18),"")),IF(IFERROR(INDEX('Dados'!$AK$92:$AK$123,$BM$18),"")&gt;0,IFERROR(INDEX('Dados'!$AK$92:$AK$123,$BM$18),""),""),""),IFERROR(INDEX($DY$116:$DY$153,MATCH($DQ$18&amp;"|3",$Q$116:$Q$153,0))+0,"")))</f>
        <v/>
      </c>
      <c r="BC18" s="19">
        <f>IF(LEN($DQ$18)=0,"",IF(LEN($DR$33)&gt;0,$DR$33,IF($BL$18=1,IFERROR(INDEX('Dados'!$E$92:$E$123,$BM$18)&amp;"",""),"")))</f>
        <v/>
      </c>
      <c r="BD18" s="19">
        <f>IF(AND(LEN($DR$33)=0,$BL$18=1),IFERROR(INDEX('Dados'!$AD$92:$AD$123,$BM$18)&amp;"",""),"")</f>
        <v/>
      </c>
      <c r="BE18" s="19">
        <f>IF(LEN($DQ$18)=0,"",INDEX('Dados'!$F$7:$F$11,$BR$18))</f>
        <v/>
      </c>
      <c r="BF18" s="19">
        <f>IF(LEN($DQ$18)=0,"",$BR$18)</f>
        <v/>
      </c>
      <c r="BG18" s="19">
        <f>$G$49</f>
        <v/>
      </c>
      <c r="BH18" s="19">
        <f>"Campanha"</f>
        <v/>
      </c>
      <c r="BK18" s="19">
        <f>IF(COUNTIF('Dados'!$AQ$6:$AQ$8,$DR$18)&gt;0,$DR$18,"Faixa do livro")</f>
        <v/>
      </c>
      <c r="BL18" s="19">
        <f>IF(AND($BK$18="Ajustar do bestiário",ISNUMBER($BM$18)),1,0)</f>
        <v/>
      </c>
      <c r="BM18" s="19">
        <f>IFERROR(MATCH($DT$18,'Dados'!$B$92:$B$123,0),"")</f>
        <v/>
      </c>
      <c r="BN18" s="19">
        <f>IF(COUNTIF('Dados'!$AO$6:$AO$8,$DY$18)&gt;0,$DY$18,IF($BL$18=1,IFERROR(INDEX('Dados'!$C$92:$C$123,$BM$18),""),"Comum"))</f>
        <v/>
      </c>
      <c r="BO18" s="19">
        <f>MATCH($BN$18,'Dados'!$AO$6:$AO$8,0)</f>
        <v/>
      </c>
      <c r="BP18" s="19">
        <f>IF(ISNUMBER($DX$18),MIN(20,MAX(1,INT($DX$18))),'Campanha'!$B$17)</f>
        <v/>
      </c>
      <c r="BQ18" s="19">
        <f>IF($BK$18="Por nível — Sugestão",INDEX('Dados'!$B$7:$B$11,INT(($BP$18-1)/4)+1),IF(LEN(IFERROR(INDEX('Dados'!$B$7:$B$11,MATCH($DW$18,'Dados'!$AP$6:$AP$10,0)),""))&gt;0,IFERROR(INDEX('Dados'!$B$7:$B$11,MATCH($DW$18,'Dados'!$AP$6:$AP$10,0)),""),'Campanha'!$B$19))</f>
        <v/>
      </c>
      <c r="BR18" s="19">
        <f>MATCH($BQ$18,'Dados'!$B$7:$B$11,0)</f>
        <v/>
      </c>
      <c r="BS18" s="19">
        <f>$BQ$18&amp;"|"&amp;$BN$18</f>
        <v/>
      </c>
      <c r="BT18" s="19">
        <f>MIN(4,MAX(1,INT(($BP$18-3)/4)+1))</f>
        <v/>
      </c>
      <c r="BU18" s="19">
        <f>IF($BK$18="Por nível — Sugestão",INT(IF($BP$18&lt;=3,INDEX('Dados'!$D$38:$D$52,$BO$18),IF($BP$18&gt;=19,INDEX('Dados'!$D$38:$D$52,12+$BO$18),INDEX('Dados'!$D$38:$D$52,($BT$18-1)*3+$BO$18)+(INDEX('Dados'!$D$38:$D$52,$BT$18*3+$BO$18)-INDEX('Dados'!$D$38:$D$52,($BT$18-1)*3+$BO$18))*($BP$18-(4*$BT$18-1))/4))),IFERROR(INDEX('Dados'!$D$38:$D$52,MATCH($BS$18,'Dados'!$A$38:$A$52,0)),""))</f>
        <v/>
      </c>
      <c r="BV18" s="19">
        <f>IF($BN$18&lt;&gt;"Boss",1,IF(AND(ISNUMBER($DZ$18),$DZ$18&gt;=1,$DZ$18&lt;=3),INT($DZ$18),IF($BL$18=1,MAX(1,IFERROR(INDEX('Dados'!$F$92:$F$123,$BM$18),"")),1)))</f>
        <v/>
      </c>
      <c r="BW18" s="19">
        <f>IFERROR(INDEX('Dados'!$O$38:$O$52,MATCH($BS$18,'Dados'!$A$38:$A$52,0)),"")</f>
        <v/>
      </c>
      <c r="BX18" s="19">
        <f>IF(AND(LEN($DR$49)=0,LEN($DS$49)=0,LEN($DT$49)=0,LEN($DU$49)=0),1,0)</f>
        <v/>
      </c>
      <c r="BY18" s="19">
        <f>IF(LEN($DQ$18)=0,"",IF($BX$18=0,$DR$49&amp;"",IF($BL$18=1,IFERROR(INDEX('Dados'!$Q$92:$Q$123,$BM$18)&amp;"",""),IF(1&lt;=$BW$18,$CD$18,""))))</f>
        <v/>
      </c>
      <c r="BZ18" s="19">
        <f>IF(LEN($DQ$18)=0,"",IF($BX$18=0,$DS$49&amp;"",IF($BL$18=1,IFERROR(INDEX('Dados'!$R$92:$R$123,$BM$18)&amp;"",""),IF(2&lt;=$BW$18,$CE$18,""))))</f>
        <v/>
      </c>
      <c r="CA18" s="19">
        <f>IF(LEN($DQ$18)=0,"",IF($BX$18=0,$DT$49&amp;"",IF($BL$18=1,IFERROR(INDEX('Dados'!$S$92:$S$123,$BM$18)&amp;"",""),IF(3&lt;=$BW$18,$CF$18,""))))</f>
        <v/>
      </c>
      <c r="CB18" s="19">
        <f>IF(LEN($DQ$18)=0,"",IF($BX$18=0,$DU$49&amp;"",IF($BL$18=1,IFERROR(INDEX('Dados'!$T$92:$T$123,$BM$18)&amp;"",""),IF(4&lt;=$BW$18,$CG$18,""))))</f>
        <v/>
      </c>
      <c r="CC18" s="19">
        <f>IF(LEN($DV$49)&gt;0,$DV$49,IF($BL$18=1,IFERROR(INDEX('Dados'!$U$92:$U$123,$BM$18)&amp;"",""),""))</f>
        <v/>
      </c>
      <c r="CD18" s="19">
        <f>INDEX('Dados'!$A$301:$A$307,MATCH(SMALL($DI$18:$DO$18,1),$DI$18:$DO$18,0))</f>
        <v/>
      </c>
      <c r="CE18" s="19">
        <f>INDEX('Dados'!$A$301:$A$307,MATCH(SMALL($DI$18:$DO$18,2),$DI$18:$DO$18,0))</f>
        <v/>
      </c>
      <c r="CF18" s="19">
        <f>INDEX('Dados'!$A$301:$A$307,MATCH(SMALL($DI$18:$DO$18,3),$DI$18:$DO$18,0))</f>
        <v/>
      </c>
      <c r="CG18" s="19">
        <f>INDEX('Dados'!$A$301:$A$307,MATCH(SMALL($DI$18:$DO$18,4),$DI$18:$DO$18,0))</f>
        <v/>
      </c>
      <c r="CH18" s="19">
        <f>IF($BL$18=1,IFERROR(INDEX('Dados'!$J$92:$J$123,$BM$18),""),"")</f>
        <v/>
      </c>
      <c r="CI18" s="19">
        <f>IF($BL$18=1,IFERROR(INDEX('Dados'!$G$92:$G$123,$BM$18),""),"")</f>
        <v/>
      </c>
      <c r="CJ18" s="19">
        <f>IFERROR(INDEX('Dados'!$S$38:$S$52,MATCH($BS$18,'Dados'!$A$38:$A$52,0)),"")</f>
        <v/>
      </c>
      <c r="CK18" s="19">
        <f>IFERROR(INDEX('Dados'!$T$38:$T$52,MATCH($BS$18,'Dados'!$A$38:$A$52,0)),"")</f>
        <v/>
      </c>
      <c r="CL18" s="19">
        <f>IFERROR(INDEX('Dados'!$J$38:$J$52,MATCH($BQ$18&amp;"|Comum",'Dados'!$A$38:$A$52,0)),"")</f>
        <v/>
      </c>
      <c r="CM18" s="19">
        <f>IFERROR(INDEX('Dados'!$K$38:$K$52,MATCH($BQ$18&amp;"|Comum",'Dados'!$A$38:$A$52,0)),"")</f>
        <v/>
      </c>
      <c r="CN18" s="19">
        <f>MOD(MOD(MOD((MOD('Início'!$E$15+104729*$C$7+106147519,2147483646)+1)*16807,2147483647)*16807,2147483647)*16807,2147483647)</f>
        <v/>
      </c>
      <c r="CO18" s="19">
        <f>MOD(MOD(MOD((MOD(MOD(INT($CN$18/65536)*$CN$18,2147483647)*65536+MOD($CN$18,65536)*$CN$18,2147483647))*16807,2147483647)*16807,2147483647)*16807,2147483647)</f>
        <v/>
      </c>
      <c r="CP18" s="19">
        <f>MOD(MOD(MOD((MOD($CO$18+INT($CO$18/65536)*MOD($CO$18,65536),2147483646)+1)*16807,2147483647)*16807,2147483647)*16807,2147483647)</f>
        <v/>
      </c>
      <c r="CQ18" s="19">
        <f>MOD(MOD(MOD((MOD('Início'!$E$15+104729*$C$7+107447228,2147483646)+1)*16807,2147483647)*16807,2147483647)*16807,2147483647)</f>
        <v/>
      </c>
      <c r="CR18" s="19">
        <f>MOD(MOD(MOD((MOD(MOD(INT($CQ$18/65536)*$CQ$18,2147483647)*65536+MOD($CQ$18,65536)*$CQ$18,2147483647))*16807,2147483647)*16807,2147483647)*16807,2147483647)</f>
        <v/>
      </c>
      <c r="CS18" s="19">
        <f>MOD(MOD(MOD((MOD($CR$18+INT($CR$18/65536)*MOD($CR$18,65536),2147483646)+1)*16807,2147483647)*16807,2147483647)*16807,2147483647)</f>
        <v/>
      </c>
      <c r="CT18" s="19">
        <f>MOD(MOD(MOD((MOD('Início'!$E$15+104729*$C$7+108746937,2147483646)+1)*16807,2147483647)*16807,2147483647)*16807,2147483647)</f>
        <v/>
      </c>
      <c r="CU18" s="19">
        <f>MOD(MOD(MOD((MOD(MOD(INT($CT$18/65536)*$CT$18,2147483647)*65536+MOD($CT$18,65536)*$CT$18,2147483647))*16807,2147483647)*16807,2147483647)*16807,2147483647)</f>
        <v/>
      </c>
      <c r="CV18" s="19">
        <f>MOD(MOD(MOD((MOD($CU$18+INT($CU$18/65536)*MOD($CU$18,65536),2147483646)+1)*16807,2147483647)*16807,2147483647)*16807,2147483647)</f>
        <v/>
      </c>
      <c r="CW18" s="19">
        <f>MOD(MOD(MOD((MOD('Início'!$E$15+104729*$C$7+110046646,2147483646)+1)*16807,2147483647)*16807,2147483647)*16807,2147483647)</f>
        <v/>
      </c>
      <c r="CX18" s="19">
        <f>MOD(MOD(MOD((MOD(MOD(INT($CW$18/65536)*$CW$18,2147483647)*65536+MOD($CW$18,65536)*$CW$18,2147483647))*16807,2147483647)*16807,2147483647)*16807,2147483647)</f>
        <v/>
      </c>
      <c r="CY18" s="19">
        <f>MOD(MOD(MOD((MOD($CX$18+INT($CX$18/65536)*MOD($CX$18,65536),2147483646)+1)*16807,2147483647)*16807,2147483647)*16807,2147483647)</f>
        <v/>
      </c>
      <c r="CZ18" s="19">
        <f>MOD(MOD(MOD((MOD('Início'!$E$15+104729*$C$7+111346355,2147483646)+1)*16807,2147483647)*16807,2147483647)*16807,2147483647)</f>
        <v/>
      </c>
      <c r="DA18" s="19">
        <f>MOD(MOD(MOD((MOD(MOD(INT($CZ$18/65536)*$CZ$18,2147483647)*65536+MOD($CZ$18,65536)*$CZ$18,2147483647))*16807,2147483647)*16807,2147483647)*16807,2147483647)</f>
        <v/>
      </c>
      <c r="DB18" s="19">
        <f>MOD(MOD(MOD((MOD($DA$18+INT($DA$18/65536)*MOD($DA$18,65536),2147483646)+1)*16807,2147483647)*16807,2147483647)*16807,2147483647)</f>
        <v/>
      </c>
      <c r="DC18" s="19">
        <f>MOD(MOD(MOD((MOD('Início'!$E$15+104729*$C$7+112646064,2147483646)+1)*16807,2147483647)*16807,2147483647)*16807,2147483647)</f>
        <v/>
      </c>
      <c r="DD18" s="19">
        <f>MOD(MOD(MOD((MOD(MOD(INT($DC$18/65536)*$DC$18,2147483647)*65536+MOD($DC$18,65536)*$DC$18,2147483647))*16807,2147483647)*16807,2147483647)*16807,2147483647)</f>
        <v/>
      </c>
      <c r="DE18" s="19">
        <f>MOD(MOD(MOD((MOD($DD$18+INT($DD$18/65536)*MOD($DD$18,65536),2147483646)+1)*16807,2147483647)*16807,2147483647)*16807,2147483647)</f>
        <v/>
      </c>
      <c r="DF18" s="19">
        <f>MOD(MOD(MOD((MOD('Início'!$E$15+104729*$C$7+113945773,2147483646)+1)*16807,2147483647)*16807,2147483647)*16807,2147483647)</f>
        <v/>
      </c>
      <c r="DG18" s="19">
        <f>MOD(MOD(MOD((MOD(MOD(INT($DF$18/65536)*$DF$18,2147483647)*65536+MOD($DF$18,65536)*$DF$18,2147483647))*16807,2147483647)*16807,2147483647)*16807,2147483647)</f>
        <v/>
      </c>
      <c r="DH18" s="19">
        <f>MOD(MOD(MOD((MOD($DG$18+INT($DG$18/65536)*MOD($DG$18,65536),2147483646)+1)*16807,2147483647)*16807,2147483647)*16807,2147483647)</f>
        <v/>
      </c>
      <c r="DI18" s="19">
        <f>IF($CC$18="Físico",9000000000,IF(AND('Grupo'!$B$44="Sim",COUNTIF($BY$11:$CB$17,"Físico")=0),0,2147483647))+$CP$18+1/10</f>
        <v/>
      </c>
      <c r="DJ18" s="19">
        <f>IF($CC$18="Fogo",9000000000,IF(AND('Grupo'!$C$44="Sim",COUNTIF($BY$11:$CB$17,"Fogo")=0),0,2147483647))+$CS$18+2/10</f>
        <v/>
      </c>
      <c r="DK18" s="19">
        <f>IF($CC$18="Gelo",9000000000,IF(AND('Grupo'!$D$44="Sim",COUNTIF($BY$11:$CB$17,"Gelo")=0),0,2147483647))+$CV$18+3/10</f>
        <v/>
      </c>
      <c r="DL18" s="19">
        <f>IF($CC$18="Raio",9000000000,IF(AND('Grupo'!$E$44="Sim",COUNTIF($BY$11:$CB$17,"Raio")=0),0,2147483647))+$CY$18+4/10</f>
        <v/>
      </c>
      <c r="DM18" s="19">
        <f>IF($CC$18="Vento",9000000000,IF(AND('Grupo'!$F$44="Sim",COUNTIF($BY$11:$CB$17,"Vento")=0),0,2147483647))+$DB$18+5/10</f>
        <v/>
      </c>
      <c r="DN18" s="19">
        <f>IF($CC$18="Quântico",9000000000,IF(AND('Grupo'!$G$44="Sim",COUNTIF($BY$11:$CB$17,"Quântico")=0),0,2147483647))+$DE$18+6/10</f>
        <v/>
      </c>
      <c r="DO18" s="19">
        <f>IF($CC$18="Imaginário",9000000000,IF(AND('Grupo'!$H$44="Sim",COUNTIF($BY$11:$CB$17,"Imaginário")=0),0,2147483647))+$DH$18+7/10</f>
        <v/>
      </c>
      <c r="DQ18" s="19">
        <f>IF(ISERROR($A$18),"",IF(ISBLANK($A$18),"",$A$18))</f>
        <v/>
      </c>
      <c r="DR18" s="19">
        <f>IF(ISERROR($B$18),"",IF(ISBLANK($B$18),"",$B$18))</f>
        <v/>
      </c>
      <c r="DT18" s="19">
        <f>IF(ISERROR($D$18),"",IF(ISBLANK($D$18),"",$D$18))</f>
        <v/>
      </c>
      <c r="DW18" s="19">
        <f>IF(ISERROR($G$18),"",IF(ISBLANK($G$18),"",$G$18))</f>
        <v/>
      </c>
      <c r="DX18" s="19">
        <f>IF(ISERROR($H$18),"",IF(ISBLANK($H$18),"",$H$18))</f>
        <v/>
      </c>
      <c r="DY18" s="19">
        <f>IF(ISERROR($I$18),"",IF(ISBLANK($I$18),"",$I$18))</f>
        <v/>
      </c>
      <c r="DZ18" s="19">
        <f>IF(ISERROR($J$18),"",IF(ISBLANK($J$18),"",$J$18))</f>
        <v/>
      </c>
      <c r="EA18" s="19">
        <f>ISERROR($A$18)*1+ISERROR($B$18)*1+ISERROR($D$18)*1+ISERROR($G$18)*1+ISERROR($H$18)*1+ISERROR($I$18)*1+ISERROR($J$18)*1</f>
        <v/>
      </c>
    </row>
    <row r="19" ht="26" customHeight="1">
      <c r="A19" s="30" t="n"/>
      <c r="B19" s="3" t="n"/>
      <c r="C19" s="16" t="n"/>
      <c r="D19" s="3" t="n"/>
      <c r="E19" s="24" t="n"/>
      <c r="F19" s="16" t="n"/>
      <c r="G19" s="36" t="n"/>
      <c r="H19" s="15" t="n"/>
      <c r="I19" s="36" t="n"/>
      <c r="J19" s="15" t="n"/>
      <c r="K19" s="18">
        <f>IF(EA19&gt;0,"O Google leu como fórmula: escolha de novo ou digite com ' na frente.",IF(LEN($DQ$19)=0,IF(LEN($DR$19&amp;$DT$19&amp;$DY$19)&gt;0,"Linha sem nome: o inimigo não entra nas listas",""),IF(COUNTIF($DQ$11:$DQ$22,$DQ$19)&gt;1,"Nome repetido na tabela",IF(COUNTIF('Dados'!$B$92:$B$123,$DQ$19)&gt;0,"Nome igual a uma criatura do bestiário: dê outro nome",IF(AND($BK$19="Ajustar do bestiário",$BL$19=0),"Modo Ajustar sem base do bestiário válida",IF(AND(LEN($DZ$19)&gt;0,$BN$19&lt;&gt;"Boss"),"Fases só valem para Boss (28.5)",IF(AND(ISNUMBER($DX$19),OR($DX$19&lt;1,$DX$19&gt;20)),"Nível fora de 1 a 20: usando o limite",IF(AND(LEN($DY$19)&gt;0,COUNTIF('Dados'!$AO$6:$AO$8,$DY$19)=0),"Tipo fora da lista: usando Comum",""))))))))</f>
        <v/>
      </c>
      <c r="N19" s="19">
        <f>IF(LEN($DQ$19)=0,"",$DQ$19)</f>
        <v/>
      </c>
      <c r="O19" s="19">
        <f>IF(LEN($DQ$19)=0,"",$BN$19)</f>
        <v/>
      </c>
      <c r="P19" s="19">
        <f>IF(LEN($DQ$19)=0,"",$BQ$19)</f>
        <v/>
      </c>
      <c r="Q19" s="19">
        <f>IF(LEN($DQ$19)=0,"",$BU$19)</f>
        <v/>
      </c>
      <c r="R19" s="19">
        <f>IF(LEN($DQ$19)=0,"",IFERROR(INDEX('Dados'!$E$38:$E$52,MATCH($BS$19,'Dados'!$A$38:$A$52,0)),""))</f>
        <v/>
      </c>
      <c r="S19" s="19">
        <f>IF(LEN($DQ$19)=0,"",IFERROR(INDEX('Dados'!$F$38:$F$52,MATCH($BS$19,'Dados'!$A$38:$A$52,0)),""))</f>
        <v/>
      </c>
      <c r="T19" s="19">
        <f>IF(LEN($DQ$19)=0,"",IFERROR(INDEX('Dados'!$G$38:$G$52,MATCH($BS$19,'Dados'!$A$38:$A$52,0)),""))</f>
        <v/>
      </c>
      <c r="U19" s="19">
        <f>IF(LEN($DQ$19)=0,"",IFERROR(INDEX('Dados'!$H$38:$H$52,MATCH($BS$19,'Dados'!$A$38:$A$52,0)),""))</f>
        <v/>
      </c>
      <c r="V19" s="19">
        <f>IF(LEN($DQ$19)=0,"",IFERROR(INDEX('Dados'!$I$38:$I$52,MATCH($BS$19,'Dados'!$A$38:$A$52,0)),""))</f>
        <v/>
      </c>
      <c r="W19" s="19">
        <f>IF(LEN($DQ$19)=0,"",IFERROR(INDEX('Dados'!$J$38:$J$52,MATCH($BS$19,'Dados'!$A$38:$A$52,0)),""))</f>
        <v/>
      </c>
      <c r="X19" s="19">
        <f>IF(LEN($DQ$19)=0,"",IFERROR(INDEX('Dados'!$K$38:$K$52,MATCH($BS$19,'Dados'!$A$38:$A$52,0)),""))</f>
        <v/>
      </c>
      <c r="Y19" s="19">
        <f>IF(LEN($DQ$19)=0,"",IFERROR(INDEX('Dados'!$L$38:$L$52,MATCH($BS$19,'Dados'!$A$38:$A$52,0)),""))</f>
        <v/>
      </c>
      <c r="Z19" s="19">
        <f>IF(LEN($DQ$19)=0,"",IFERROR(INDEX('Dados'!$M$38:$M$52,MATCH($BS$19,'Dados'!$A$38:$A$52,0)),""))</f>
        <v/>
      </c>
      <c r="AA19" s="19">
        <f>IF(LEN($DQ$19)=0,"",$BY$19)</f>
        <v/>
      </c>
      <c r="AB19" s="19">
        <f>IF(LEN($DQ$19)=0,"",$BZ$19)</f>
        <v/>
      </c>
      <c r="AC19" s="19">
        <f>IF(LEN($DQ$19)=0,"",$CA$19)</f>
        <v/>
      </c>
      <c r="AD19" s="19">
        <f>IF(LEN($DQ$19)=0,"",$CB$19)</f>
        <v/>
      </c>
      <c r="AE19" s="19">
        <f>IF(LEN($DQ$19)=0,"",$CC$19)</f>
        <v/>
      </c>
      <c r="AF19" s="19">
        <f>IF(LEN($DQ$19)=0,"",IF($DV$34="Sim","Pode",IF($DV$34="Não","Não",IF($BL$19=1,IFERROR(INDEX('Dados'!$V$92:$V$123,$BM$19)&amp;"",""),"Não declarado"))))</f>
        <v/>
      </c>
      <c r="AG19" s="19">
        <f>IF(LEN($DQ$19)=0,"",$BV$19)</f>
        <v/>
      </c>
      <c r="AH19" s="19">
        <f>IF(LEN($DQ$19)=0,"",IFERROR(INDEX('Dados'!$Q$38:$Q$52,MATCH($BS$19,'Dados'!$A$38:$A$52,0)),""))</f>
        <v/>
      </c>
      <c r="AI19" s="19">
        <f>IF(LEN($DQ$19)=0,"",IF(AND($BL$19=1,$DT$19="Escória de Stellaron"),1.5,1)*$BU$19)</f>
        <v/>
      </c>
      <c r="AJ19" s="19">
        <f>IF(LEN($DQ$19)=0,"",IFERROR(INDEX('Dados'!$P$38:$P$52,MATCH($BS$19,'Dados'!$A$38:$A$52,0)),""))</f>
        <v/>
      </c>
      <c r="AK19" s="19">
        <f>IF(LEN($DQ$19)=0,"",IF($BV$19=2,INT($BU$19/2),IF($BV$19=3,INT(2*$BU$19/3),"")))</f>
        <v/>
      </c>
      <c r="AL19" s="19">
        <f>IF(LEN($DQ$19)=0,"",IF($BV$19=3,INT($BU$19/3),""))</f>
        <v/>
      </c>
      <c r="AM19" s="19">
        <f>IF(OR(LEN($DQ$19)=0,$BV$19&lt;2),"",IFERROR(INDEX($DT$88:$DT$112,MATCH($DQ$19&amp;"|2",$N$88:$N$112,0))&amp;"",IF($BL$19=1,IFERROR(INDEX('Dados'!$G$127:$G$138,MATCH($DT$19&amp;"|2",'Dados'!$A$127:$A$138,0)),""),"")))</f>
        <v/>
      </c>
      <c r="AN19" s="19">
        <f>IF(OR(LEN($DQ$19)=0,$BV$19&lt;2),"",IFERROR(INDEX($DU$88:$DU$112,MATCH($DQ$19&amp;"|2",$N$88:$N$112,0))&amp;"",IF($BL$19=1,IFERROR(INDEX('Dados'!$H$127:$H$138,MATCH($DT$19&amp;"|2",'Dados'!$A$127:$A$138,0)),""),"")))</f>
        <v/>
      </c>
      <c r="AO19" s="19">
        <f>IF(OR(LEN($DQ$19)=0,$BV$19&lt;2),"",IFERROR(INDEX($DV$88:$DV$112,MATCH($DQ$19&amp;"|2",$N$88:$N$112,0))&amp;"",IF($BL$19=1,IFERROR(INDEX('Dados'!$I$127:$I$138,MATCH($DT$19&amp;"|2",'Dados'!$A$127:$A$138,0)),""),"")))</f>
        <v/>
      </c>
      <c r="AP19" s="19">
        <f>IF(OR(LEN($DQ$19)=0,$BV$19&lt;2),"",IFERROR(INDEX($DW$88:$DW$112,MATCH($DQ$19&amp;"|2",$N$88:$N$112,0))&amp;"",IF($BL$19=1,IFERROR(INDEX('Dados'!$J$127:$J$138,MATCH($DT$19&amp;"|2",'Dados'!$A$127:$A$138,0)),""),"")))</f>
        <v/>
      </c>
      <c r="AQ19" s="19">
        <f>IF(OR(LEN($DQ$19)=0,$BV$19&lt;2),"",IF(ISNUMBER(MATCH($DQ$19&amp;"|2",$N$88:$N$112,0)),IF(ISNUMBER(INDEX($DX$88:$DX$112,MATCH($DQ$19&amp;"|2",$N$88:$N$112,0))),MIN(IFERROR(INDEX('Dados'!$G$38:$G$52,MATCH($BS$19,'Dados'!$A$38:$A$52,0)),""),INDEX($DX$88:$DX$112,MATCH($DQ$19&amp;"|2",$N$88:$N$112,0))),IFERROR(INDEX('Dados'!$G$38:$G$52,MATCH($BS$19,'Dados'!$A$38:$A$52,0)),"")),IF($BL$19=1,IFERROR(MIN(IFERROR(INDEX('Dados'!$G$38:$G$52,MATCH($BS$19,'Dados'!$A$38:$A$52,0)),""),INT(INDEX('Dados'!$K$127:$K$138,MATCH($DT$19&amp;"|2",'Dados'!$A$127:$A$138,0))*IFERROR(INDEX('Dados'!$G$38:$G$52,MATCH($BS$19,'Dados'!$A$38:$A$52,0)),"")/$CH$19)),IFERROR(INDEX('Dados'!$G$38:$G$52,MATCH($BS$19,'Dados'!$A$38:$A$52,0)),"")),IFERROR(INDEX('Dados'!$G$38:$G$52,MATCH($BS$19,'Dados'!$A$38:$A$52,0)),""))))</f>
        <v/>
      </c>
      <c r="AR19" s="19">
        <f>IF(OR(LEN($DQ$19)=0,$BV$19&lt;3),"",IFERROR(INDEX($DT$88:$DT$112,MATCH($DQ$19&amp;"|3",$N$88:$N$112,0))&amp;"",IF($BL$19=1,IFERROR(INDEX('Dados'!$G$127:$G$138,MATCH($DT$19&amp;"|3",'Dados'!$A$127:$A$138,0)),""),"")))</f>
        <v/>
      </c>
      <c r="AS19" s="19">
        <f>IF(OR(LEN($DQ$19)=0,$BV$19&lt;3),"",IFERROR(INDEX($DU$88:$DU$112,MATCH($DQ$19&amp;"|3",$N$88:$N$112,0))&amp;"",IF($BL$19=1,IFERROR(INDEX('Dados'!$H$127:$H$138,MATCH($DT$19&amp;"|3",'Dados'!$A$127:$A$138,0)),""),"")))</f>
        <v/>
      </c>
      <c r="AT19" s="19">
        <f>IF(OR(LEN($DQ$19)=0,$BV$19&lt;3),"",IFERROR(INDEX($DV$88:$DV$112,MATCH($DQ$19&amp;"|3",$N$88:$N$112,0))&amp;"",IF($BL$19=1,IFERROR(INDEX('Dados'!$I$127:$I$138,MATCH($DT$19&amp;"|3",'Dados'!$A$127:$A$138,0)),""),"")))</f>
        <v/>
      </c>
      <c r="AU19" s="19">
        <f>IF(OR(LEN($DQ$19)=0,$BV$19&lt;3),"",IFERROR(INDEX($DW$88:$DW$112,MATCH($DQ$19&amp;"|3",$N$88:$N$112,0))&amp;"",IF($BL$19=1,IFERROR(INDEX('Dados'!$J$127:$J$138,MATCH($DT$19&amp;"|3",'Dados'!$A$127:$A$138,0)),""),"")))</f>
        <v/>
      </c>
      <c r="AV19" s="19">
        <f>IF(OR(LEN($DQ$19)=0,$BV$19&lt;3),"",IF(ISNUMBER(MATCH($DQ$19&amp;"|3",$N$88:$N$112,0)),IF(ISNUMBER(INDEX($DX$88:$DX$112,MATCH($DQ$19&amp;"|3",$N$88:$N$112,0))),MIN(IFERROR(INDEX('Dados'!$G$38:$G$52,MATCH($BS$19,'Dados'!$A$38:$A$52,0)),""),INDEX($DX$88:$DX$112,MATCH($DQ$19&amp;"|3",$N$88:$N$112,0))),IFERROR(INDEX('Dados'!$G$38:$G$52,MATCH($BS$19,'Dados'!$A$38:$A$52,0)),"")),IF($BL$19=1,IFERROR(MIN(IFERROR(INDEX('Dados'!$G$38:$G$52,MATCH($BS$19,'Dados'!$A$38:$A$52,0)),""),INT(INDEX('Dados'!$K$127:$K$138,MATCH($DT$19&amp;"|3",'Dados'!$A$127:$A$138,0))*IFERROR(INDEX('Dados'!$G$38:$G$52,MATCH($BS$19,'Dados'!$A$38:$A$52,0)),"")/$CH$19)),IFERROR(INDEX('Dados'!$G$38:$G$52,MATCH($BS$19,'Dados'!$A$38:$A$52,0)),"")),IFERROR(INDEX('Dados'!$G$38:$G$52,MATCH($BS$19,'Dados'!$A$38:$A$52,0)),""))))</f>
        <v/>
      </c>
      <c r="AW19" s="19">
        <f>IF(LEN($DQ$19)=0,"",IF($BL$19=1,IFERROR(INDEX('Dados'!$AF$92:$AF$123,$BM$19)&amp;"",""),IFERROR(INDEX($DU$116:$DU$153,MATCH($DQ$19&amp;"|1",$Q$116:$Q$153,0))&amp;"","")))</f>
        <v/>
      </c>
      <c r="AX19" s="19">
        <f>IF(LEN($DQ$19)=0,"",IF($BL$19=1,IF(ISNUMBER(IFERROR(INDEX('Dados'!$AG$92:$AG$123,$BM$19),"")),IF(IFERROR(INDEX('Dados'!$AG$92:$AG$123,$BM$19),"")&gt;0,IFERROR(INDEX('Dados'!$AG$92:$AG$123,$BM$19),""),""),""),IFERROR(INDEX($DY$116:$DY$153,MATCH($DQ$19&amp;"|1",$Q$116:$Q$153,0))+0,"")))</f>
        <v/>
      </c>
      <c r="AY19" s="19">
        <f>IF(LEN($DQ$19)=0,"",IF($BL$19=1,IFERROR(INDEX('Dados'!$AH$92:$AH$123,$BM$19)&amp;"",""),IFERROR(INDEX($DU$116:$DU$153,MATCH($DQ$19&amp;"|2",$Q$116:$Q$153,0))&amp;"","")))</f>
        <v/>
      </c>
      <c r="AZ19" s="19">
        <f>IF(LEN($DQ$19)=0,"",IF($BL$19=1,IF(ISNUMBER(IFERROR(INDEX('Dados'!$AI$92:$AI$123,$BM$19),"")),IF(IFERROR(INDEX('Dados'!$AI$92:$AI$123,$BM$19),"")&gt;0,IFERROR(INDEX('Dados'!$AI$92:$AI$123,$BM$19),""),""),""),IFERROR(INDEX($DY$116:$DY$153,MATCH($DQ$19&amp;"|2",$Q$116:$Q$153,0))+0,"")))</f>
        <v/>
      </c>
      <c r="BA19" s="19">
        <f>IF(LEN($DQ$19)=0,"",IF($BL$19=1,IFERROR(INDEX('Dados'!$AJ$92:$AJ$123,$BM$19)&amp;"",""),IFERROR(INDEX($DU$116:$DU$153,MATCH($DQ$19&amp;"|3",$Q$116:$Q$153,0))&amp;"","")))</f>
        <v/>
      </c>
      <c r="BB19" s="19">
        <f>IF(LEN($DQ$19)=0,"",IF($BL$19=1,IF(ISNUMBER(IFERROR(INDEX('Dados'!$AK$92:$AK$123,$BM$19),"")),IF(IFERROR(INDEX('Dados'!$AK$92:$AK$123,$BM$19),"")&gt;0,IFERROR(INDEX('Dados'!$AK$92:$AK$123,$BM$19),""),""),""),IFERROR(INDEX($DY$116:$DY$153,MATCH($DQ$19&amp;"|3",$Q$116:$Q$153,0))+0,"")))</f>
        <v/>
      </c>
      <c r="BC19" s="19">
        <f>IF(LEN($DQ$19)=0,"",IF(LEN($DR$34)&gt;0,$DR$34,IF($BL$19=1,IFERROR(INDEX('Dados'!$E$92:$E$123,$BM$19)&amp;"",""),"")))</f>
        <v/>
      </c>
      <c r="BD19" s="19">
        <f>IF(AND(LEN($DR$34)=0,$BL$19=1),IFERROR(INDEX('Dados'!$AD$92:$AD$123,$BM$19)&amp;"",""),"")</f>
        <v/>
      </c>
      <c r="BE19" s="19">
        <f>IF(LEN($DQ$19)=0,"",INDEX('Dados'!$F$7:$F$11,$BR$19))</f>
        <v/>
      </c>
      <c r="BF19" s="19">
        <f>IF(LEN($DQ$19)=0,"",$BR$19)</f>
        <v/>
      </c>
      <c r="BG19" s="19">
        <f>$G$50</f>
        <v/>
      </c>
      <c r="BH19" s="19">
        <f>"Campanha"</f>
        <v/>
      </c>
      <c r="BK19" s="19">
        <f>IF(COUNTIF('Dados'!$AQ$6:$AQ$8,$DR$19)&gt;0,$DR$19,"Faixa do livro")</f>
        <v/>
      </c>
      <c r="BL19" s="19">
        <f>IF(AND($BK$19="Ajustar do bestiário",ISNUMBER($BM$19)),1,0)</f>
        <v/>
      </c>
      <c r="BM19" s="19">
        <f>IFERROR(MATCH($DT$19,'Dados'!$B$92:$B$123,0),"")</f>
        <v/>
      </c>
      <c r="BN19" s="19">
        <f>IF(COUNTIF('Dados'!$AO$6:$AO$8,$DY$19)&gt;0,$DY$19,IF($BL$19=1,IFERROR(INDEX('Dados'!$C$92:$C$123,$BM$19),""),"Comum"))</f>
        <v/>
      </c>
      <c r="BO19" s="19">
        <f>MATCH($BN$19,'Dados'!$AO$6:$AO$8,0)</f>
        <v/>
      </c>
      <c r="BP19" s="19">
        <f>IF(ISNUMBER($DX$19),MIN(20,MAX(1,INT($DX$19))),'Campanha'!$B$17)</f>
        <v/>
      </c>
      <c r="BQ19" s="19">
        <f>IF($BK$19="Por nível — Sugestão",INDEX('Dados'!$B$7:$B$11,INT(($BP$19-1)/4)+1),IF(LEN(IFERROR(INDEX('Dados'!$B$7:$B$11,MATCH($DW$19,'Dados'!$AP$6:$AP$10,0)),""))&gt;0,IFERROR(INDEX('Dados'!$B$7:$B$11,MATCH($DW$19,'Dados'!$AP$6:$AP$10,0)),""),'Campanha'!$B$19))</f>
        <v/>
      </c>
      <c r="BR19" s="19">
        <f>MATCH($BQ$19,'Dados'!$B$7:$B$11,0)</f>
        <v/>
      </c>
      <c r="BS19" s="19">
        <f>$BQ$19&amp;"|"&amp;$BN$19</f>
        <v/>
      </c>
      <c r="BT19" s="19">
        <f>MIN(4,MAX(1,INT(($BP$19-3)/4)+1))</f>
        <v/>
      </c>
      <c r="BU19" s="19">
        <f>IF($BK$19="Por nível — Sugestão",INT(IF($BP$19&lt;=3,INDEX('Dados'!$D$38:$D$52,$BO$19),IF($BP$19&gt;=19,INDEX('Dados'!$D$38:$D$52,12+$BO$19),INDEX('Dados'!$D$38:$D$52,($BT$19-1)*3+$BO$19)+(INDEX('Dados'!$D$38:$D$52,$BT$19*3+$BO$19)-INDEX('Dados'!$D$38:$D$52,($BT$19-1)*3+$BO$19))*($BP$19-(4*$BT$19-1))/4))),IFERROR(INDEX('Dados'!$D$38:$D$52,MATCH($BS$19,'Dados'!$A$38:$A$52,0)),""))</f>
        <v/>
      </c>
      <c r="BV19" s="19">
        <f>IF($BN$19&lt;&gt;"Boss",1,IF(AND(ISNUMBER($DZ$19),$DZ$19&gt;=1,$DZ$19&lt;=3),INT($DZ$19),IF($BL$19=1,MAX(1,IFERROR(INDEX('Dados'!$F$92:$F$123,$BM$19),"")),1)))</f>
        <v/>
      </c>
      <c r="BW19" s="19">
        <f>IFERROR(INDEX('Dados'!$O$38:$O$52,MATCH($BS$19,'Dados'!$A$38:$A$52,0)),"")</f>
        <v/>
      </c>
      <c r="BX19" s="19">
        <f>IF(AND(LEN($DR$50)=0,LEN($DS$50)=0,LEN($DT$50)=0,LEN($DU$50)=0),1,0)</f>
        <v/>
      </c>
      <c r="BY19" s="19">
        <f>IF(LEN($DQ$19)=0,"",IF($BX$19=0,$DR$50&amp;"",IF($BL$19=1,IFERROR(INDEX('Dados'!$Q$92:$Q$123,$BM$19)&amp;"",""),IF(1&lt;=$BW$19,$CD$19,""))))</f>
        <v/>
      </c>
      <c r="BZ19" s="19">
        <f>IF(LEN($DQ$19)=0,"",IF($BX$19=0,$DS$50&amp;"",IF($BL$19=1,IFERROR(INDEX('Dados'!$R$92:$R$123,$BM$19)&amp;"",""),IF(2&lt;=$BW$19,$CE$19,""))))</f>
        <v/>
      </c>
      <c r="CA19" s="19">
        <f>IF(LEN($DQ$19)=0,"",IF($BX$19=0,$DT$50&amp;"",IF($BL$19=1,IFERROR(INDEX('Dados'!$S$92:$S$123,$BM$19)&amp;"",""),IF(3&lt;=$BW$19,$CF$19,""))))</f>
        <v/>
      </c>
      <c r="CB19" s="19">
        <f>IF(LEN($DQ$19)=0,"",IF($BX$19=0,$DU$50&amp;"",IF($BL$19=1,IFERROR(INDEX('Dados'!$T$92:$T$123,$BM$19)&amp;"",""),IF(4&lt;=$BW$19,$CG$19,""))))</f>
        <v/>
      </c>
      <c r="CC19" s="19">
        <f>IF(LEN($DV$50)&gt;0,$DV$50,IF($BL$19=1,IFERROR(INDEX('Dados'!$U$92:$U$123,$BM$19)&amp;"",""),""))</f>
        <v/>
      </c>
      <c r="CD19" s="19">
        <f>INDEX('Dados'!$A$301:$A$307,MATCH(SMALL($DI$19:$DO$19,1),$DI$19:$DO$19,0))</f>
        <v/>
      </c>
      <c r="CE19" s="19">
        <f>INDEX('Dados'!$A$301:$A$307,MATCH(SMALL($DI$19:$DO$19,2),$DI$19:$DO$19,0))</f>
        <v/>
      </c>
      <c r="CF19" s="19">
        <f>INDEX('Dados'!$A$301:$A$307,MATCH(SMALL($DI$19:$DO$19,3),$DI$19:$DO$19,0))</f>
        <v/>
      </c>
      <c r="CG19" s="19">
        <f>INDEX('Dados'!$A$301:$A$307,MATCH(SMALL($DI$19:$DO$19,4),$DI$19:$DO$19,0))</f>
        <v/>
      </c>
      <c r="CH19" s="19">
        <f>IF($BL$19=1,IFERROR(INDEX('Dados'!$J$92:$J$123,$BM$19),""),"")</f>
        <v/>
      </c>
      <c r="CI19" s="19">
        <f>IF($BL$19=1,IFERROR(INDEX('Dados'!$G$92:$G$123,$BM$19),""),"")</f>
        <v/>
      </c>
      <c r="CJ19" s="19">
        <f>IFERROR(INDEX('Dados'!$S$38:$S$52,MATCH($BS$19,'Dados'!$A$38:$A$52,0)),"")</f>
        <v/>
      </c>
      <c r="CK19" s="19">
        <f>IFERROR(INDEX('Dados'!$T$38:$T$52,MATCH($BS$19,'Dados'!$A$38:$A$52,0)),"")</f>
        <v/>
      </c>
      <c r="CL19" s="19">
        <f>IFERROR(INDEX('Dados'!$J$38:$J$52,MATCH($BQ$19&amp;"|Comum",'Dados'!$A$38:$A$52,0)),"")</f>
        <v/>
      </c>
      <c r="CM19" s="19">
        <f>IFERROR(INDEX('Dados'!$K$38:$K$52,MATCH($BQ$19&amp;"|Comum",'Dados'!$A$38:$A$52,0)),"")</f>
        <v/>
      </c>
      <c r="CN19" s="19">
        <f>MOD(MOD(MOD((MOD('Início'!$E$15+104729*$C$7+119144609,2147483646)+1)*16807,2147483647)*16807,2147483647)*16807,2147483647)</f>
        <v/>
      </c>
      <c r="CO19" s="19">
        <f>MOD(MOD(MOD((MOD(MOD(INT($CN$19/65536)*$CN$19,2147483647)*65536+MOD($CN$19,65536)*$CN$19,2147483647))*16807,2147483647)*16807,2147483647)*16807,2147483647)</f>
        <v/>
      </c>
      <c r="CP19" s="19">
        <f>MOD(MOD(MOD((MOD($CO$19+INT($CO$19/65536)*MOD($CO$19,65536),2147483646)+1)*16807,2147483647)*16807,2147483647)*16807,2147483647)</f>
        <v/>
      </c>
      <c r="CQ19" s="19">
        <f>MOD(MOD(MOD((MOD('Início'!$E$15+104729*$C$7+120444318,2147483646)+1)*16807,2147483647)*16807,2147483647)*16807,2147483647)</f>
        <v/>
      </c>
      <c r="CR19" s="19">
        <f>MOD(MOD(MOD((MOD(MOD(INT($CQ$19/65536)*$CQ$19,2147483647)*65536+MOD($CQ$19,65536)*$CQ$19,2147483647))*16807,2147483647)*16807,2147483647)*16807,2147483647)</f>
        <v/>
      </c>
      <c r="CS19" s="19">
        <f>MOD(MOD(MOD((MOD($CR$19+INT($CR$19/65536)*MOD($CR$19,65536),2147483646)+1)*16807,2147483647)*16807,2147483647)*16807,2147483647)</f>
        <v/>
      </c>
      <c r="CT19" s="19">
        <f>MOD(MOD(MOD((MOD('Início'!$E$15+104729*$C$7+121744027,2147483646)+1)*16807,2147483647)*16807,2147483647)*16807,2147483647)</f>
        <v/>
      </c>
      <c r="CU19" s="19">
        <f>MOD(MOD(MOD((MOD(MOD(INT($CT$19/65536)*$CT$19,2147483647)*65536+MOD($CT$19,65536)*$CT$19,2147483647))*16807,2147483647)*16807,2147483647)*16807,2147483647)</f>
        <v/>
      </c>
      <c r="CV19" s="19">
        <f>MOD(MOD(MOD((MOD($CU$19+INT($CU$19/65536)*MOD($CU$19,65536),2147483646)+1)*16807,2147483647)*16807,2147483647)*16807,2147483647)</f>
        <v/>
      </c>
      <c r="CW19" s="19">
        <f>MOD(MOD(MOD((MOD('Início'!$E$15+104729*$C$7+123043736,2147483646)+1)*16807,2147483647)*16807,2147483647)*16807,2147483647)</f>
        <v/>
      </c>
      <c r="CX19" s="19">
        <f>MOD(MOD(MOD((MOD(MOD(INT($CW$19/65536)*$CW$19,2147483647)*65536+MOD($CW$19,65536)*$CW$19,2147483647))*16807,2147483647)*16807,2147483647)*16807,2147483647)</f>
        <v/>
      </c>
      <c r="CY19" s="19">
        <f>MOD(MOD(MOD((MOD($CX$19+INT($CX$19/65536)*MOD($CX$19,65536),2147483646)+1)*16807,2147483647)*16807,2147483647)*16807,2147483647)</f>
        <v/>
      </c>
      <c r="CZ19" s="19">
        <f>MOD(MOD(MOD((MOD('Início'!$E$15+104729*$C$7+124343445,2147483646)+1)*16807,2147483647)*16807,2147483647)*16807,2147483647)</f>
        <v/>
      </c>
      <c r="DA19" s="19">
        <f>MOD(MOD(MOD((MOD(MOD(INT($CZ$19/65536)*$CZ$19,2147483647)*65536+MOD($CZ$19,65536)*$CZ$19,2147483647))*16807,2147483647)*16807,2147483647)*16807,2147483647)</f>
        <v/>
      </c>
      <c r="DB19" s="19">
        <f>MOD(MOD(MOD((MOD($DA$19+INT($DA$19/65536)*MOD($DA$19,65536),2147483646)+1)*16807,2147483647)*16807,2147483647)*16807,2147483647)</f>
        <v/>
      </c>
      <c r="DC19" s="19">
        <f>MOD(MOD(MOD((MOD('Início'!$E$15+104729*$C$7+125643154,2147483646)+1)*16807,2147483647)*16807,2147483647)*16807,2147483647)</f>
        <v/>
      </c>
      <c r="DD19" s="19">
        <f>MOD(MOD(MOD((MOD(MOD(INT($DC$19/65536)*$DC$19,2147483647)*65536+MOD($DC$19,65536)*$DC$19,2147483647))*16807,2147483647)*16807,2147483647)*16807,2147483647)</f>
        <v/>
      </c>
      <c r="DE19" s="19">
        <f>MOD(MOD(MOD((MOD($DD$19+INT($DD$19/65536)*MOD($DD$19,65536),2147483646)+1)*16807,2147483647)*16807,2147483647)*16807,2147483647)</f>
        <v/>
      </c>
      <c r="DF19" s="19">
        <f>MOD(MOD(MOD((MOD('Início'!$E$15+104729*$C$7+126942863,2147483646)+1)*16807,2147483647)*16807,2147483647)*16807,2147483647)</f>
        <v/>
      </c>
      <c r="DG19" s="19">
        <f>MOD(MOD(MOD((MOD(MOD(INT($DF$19/65536)*$DF$19,2147483647)*65536+MOD($DF$19,65536)*$DF$19,2147483647))*16807,2147483647)*16807,2147483647)*16807,2147483647)</f>
        <v/>
      </c>
      <c r="DH19" s="19">
        <f>MOD(MOD(MOD((MOD($DG$19+INT($DG$19/65536)*MOD($DG$19,65536),2147483646)+1)*16807,2147483647)*16807,2147483647)*16807,2147483647)</f>
        <v/>
      </c>
      <c r="DI19" s="19">
        <f>IF($CC$19="Físico",9000000000,IF(AND('Grupo'!$B$44="Sim",COUNTIF($BY$11:$CB$18,"Físico")=0),0,2147483647))+$CP$19+1/10</f>
        <v/>
      </c>
      <c r="DJ19" s="19">
        <f>IF($CC$19="Fogo",9000000000,IF(AND('Grupo'!$C$44="Sim",COUNTIF($BY$11:$CB$18,"Fogo")=0),0,2147483647))+$CS$19+2/10</f>
        <v/>
      </c>
      <c r="DK19" s="19">
        <f>IF($CC$19="Gelo",9000000000,IF(AND('Grupo'!$D$44="Sim",COUNTIF($BY$11:$CB$18,"Gelo")=0),0,2147483647))+$CV$19+3/10</f>
        <v/>
      </c>
      <c r="DL19" s="19">
        <f>IF($CC$19="Raio",9000000000,IF(AND('Grupo'!$E$44="Sim",COUNTIF($BY$11:$CB$18,"Raio")=0),0,2147483647))+$CY$19+4/10</f>
        <v/>
      </c>
      <c r="DM19" s="19">
        <f>IF($CC$19="Vento",9000000000,IF(AND('Grupo'!$F$44="Sim",COUNTIF($BY$11:$CB$18,"Vento")=0),0,2147483647))+$DB$19+5/10</f>
        <v/>
      </c>
      <c r="DN19" s="19">
        <f>IF($CC$19="Quântico",9000000000,IF(AND('Grupo'!$G$44="Sim",COUNTIF($BY$11:$CB$18,"Quântico")=0),0,2147483647))+$DE$19+6/10</f>
        <v/>
      </c>
      <c r="DO19" s="19">
        <f>IF($CC$19="Imaginário",9000000000,IF(AND('Grupo'!$H$44="Sim",COUNTIF($BY$11:$CB$18,"Imaginário")=0),0,2147483647))+$DH$19+7/10</f>
        <v/>
      </c>
      <c r="DQ19" s="19">
        <f>IF(ISERROR($A$19),"",IF(ISBLANK($A$19),"",$A$19))</f>
        <v/>
      </c>
      <c r="DR19" s="19">
        <f>IF(ISERROR($B$19),"",IF(ISBLANK($B$19),"",$B$19))</f>
        <v/>
      </c>
      <c r="DT19" s="19">
        <f>IF(ISERROR($D$19),"",IF(ISBLANK($D$19),"",$D$19))</f>
        <v/>
      </c>
      <c r="DW19" s="19">
        <f>IF(ISERROR($G$19),"",IF(ISBLANK($G$19),"",$G$19))</f>
        <v/>
      </c>
      <c r="DX19" s="19">
        <f>IF(ISERROR($H$19),"",IF(ISBLANK($H$19),"",$H$19))</f>
        <v/>
      </c>
      <c r="DY19" s="19">
        <f>IF(ISERROR($I$19),"",IF(ISBLANK($I$19),"",$I$19))</f>
        <v/>
      </c>
      <c r="DZ19" s="19">
        <f>IF(ISERROR($J$19),"",IF(ISBLANK($J$19),"",$J$19))</f>
        <v/>
      </c>
      <c r="EA19" s="19">
        <f>ISERROR($A$19)*1+ISERROR($B$19)*1+ISERROR($D$19)*1+ISERROR($G$19)*1+ISERROR($H$19)*1+ISERROR($I$19)*1+ISERROR($J$19)*1</f>
        <v/>
      </c>
    </row>
    <row r="20" ht="26" customHeight="1">
      <c r="A20" s="31" t="n"/>
      <c r="B20" s="28" t="n"/>
      <c r="C20" s="16" t="n"/>
      <c r="D20" s="28" t="n"/>
      <c r="E20" s="24" t="n"/>
      <c r="F20" s="16" t="n"/>
      <c r="G20" s="42" t="n"/>
      <c r="H20" s="34" t="n"/>
      <c r="I20" s="42" t="n"/>
      <c r="J20" s="34" t="n"/>
      <c r="K20" s="26">
        <f>IF(EA20&gt;0,"O Google leu como fórmula: escolha de novo ou digite com ' na frente.",IF(LEN($DQ$20)=0,IF(LEN($DR$20&amp;$DT$20&amp;$DY$20)&gt;0,"Linha sem nome: o inimigo não entra nas listas",""),IF(COUNTIF($DQ$11:$DQ$22,$DQ$20)&gt;1,"Nome repetido na tabela",IF(COUNTIF('Dados'!$B$92:$B$123,$DQ$20)&gt;0,"Nome igual a uma criatura do bestiário: dê outro nome",IF(AND($BK$20="Ajustar do bestiário",$BL$20=0),"Modo Ajustar sem base do bestiário válida",IF(AND(LEN($DZ$20)&gt;0,$BN$20&lt;&gt;"Boss"),"Fases só valem para Boss (28.5)",IF(AND(ISNUMBER($DX$20),OR($DX$20&lt;1,$DX$20&gt;20)),"Nível fora de 1 a 20: usando o limite",IF(AND(LEN($DY$20)&gt;0,COUNTIF('Dados'!$AO$6:$AO$8,$DY$20)=0),"Tipo fora da lista: usando Comum",""))))))))</f>
        <v/>
      </c>
      <c r="N20" s="19">
        <f>IF(LEN($DQ$20)=0,"",$DQ$20)</f>
        <v/>
      </c>
      <c r="O20" s="19">
        <f>IF(LEN($DQ$20)=0,"",$BN$20)</f>
        <v/>
      </c>
      <c r="P20" s="19">
        <f>IF(LEN($DQ$20)=0,"",$BQ$20)</f>
        <v/>
      </c>
      <c r="Q20" s="19">
        <f>IF(LEN($DQ$20)=0,"",$BU$20)</f>
        <v/>
      </c>
      <c r="R20" s="19">
        <f>IF(LEN($DQ$20)=0,"",IFERROR(INDEX('Dados'!$E$38:$E$52,MATCH($BS$20,'Dados'!$A$38:$A$52,0)),""))</f>
        <v/>
      </c>
      <c r="S20" s="19">
        <f>IF(LEN($DQ$20)=0,"",IFERROR(INDEX('Dados'!$F$38:$F$52,MATCH($BS$20,'Dados'!$A$38:$A$52,0)),""))</f>
        <v/>
      </c>
      <c r="T20" s="19">
        <f>IF(LEN($DQ$20)=0,"",IFERROR(INDEX('Dados'!$G$38:$G$52,MATCH($BS$20,'Dados'!$A$38:$A$52,0)),""))</f>
        <v/>
      </c>
      <c r="U20" s="19">
        <f>IF(LEN($DQ$20)=0,"",IFERROR(INDEX('Dados'!$H$38:$H$52,MATCH($BS$20,'Dados'!$A$38:$A$52,0)),""))</f>
        <v/>
      </c>
      <c r="V20" s="19">
        <f>IF(LEN($DQ$20)=0,"",IFERROR(INDEX('Dados'!$I$38:$I$52,MATCH($BS$20,'Dados'!$A$38:$A$52,0)),""))</f>
        <v/>
      </c>
      <c r="W20" s="19">
        <f>IF(LEN($DQ$20)=0,"",IFERROR(INDEX('Dados'!$J$38:$J$52,MATCH($BS$20,'Dados'!$A$38:$A$52,0)),""))</f>
        <v/>
      </c>
      <c r="X20" s="19">
        <f>IF(LEN($DQ$20)=0,"",IFERROR(INDEX('Dados'!$K$38:$K$52,MATCH($BS$20,'Dados'!$A$38:$A$52,0)),""))</f>
        <v/>
      </c>
      <c r="Y20" s="19">
        <f>IF(LEN($DQ$20)=0,"",IFERROR(INDEX('Dados'!$L$38:$L$52,MATCH($BS$20,'Dados'!$A$38:$A$52,0)),""))</f>
        <v/>
      </c>
      <c r="Z20" s="19">
        <f>IF(LEN($DQ$20)=0,"",IFERROR(INDEX('Dados'!$M$38:$M$52,MATCH($BS$20,'Dados'!$A$38:$A$52,0)),""))</f>
        <v/>
      </c>
      <c r="AA20" s="19">
        <f>IF(LEN($DQ$20)=0,"",$BY$20)</f>
        <v/>
      </c>
      <c r="AB20" s="19">
        <f>IF(LEN($DQ$20)=0,"",$BZ$20)</f>
        <v/>
      </c>
      <c r="AC20" s="19">
        <f>IF(LEN($DQ$20)=0,"",$CA$20)</f>
        <v/>
      </c>
      <c r="AD20" s="19">
        <f>IF(LEN($DQ$20)=0,"",$CB$20)</f>
        <v/>
      </c>
      <c r="AE20" s="19">
        <f>IF(LEN($DQ$20)=0,"",$CC$20)</f>
        <v/>
      </c>
      <c r="AF20" s="19">
        <f>IF(LEN($DQ$20)=0,"",IF($DV$35="Sim","Pode",IF($DV$35="Não","Não",IF($BL$20=1,IFERROR(INDEX('Dados'!$V$92:$V$123,$BM$20)&amp;"",""),"Não declarado"))))</f>
        <v/>
      </c>
      <c r="AG20" s="19">
        <f>IF(LEN($DQ$20)=0,"",$BV$20)</f>
        <v/>
      </c>
      <c r="AH20" s="19">
        <f>IF(LEN($DQ$20)=0,"",IFERROR(INDEX('Dados'!$Q$38:$Q$52,MATCH($BS$20,'Dados'!$A$38:$A$52,0)),""))</f>
        <v/>
      </c>
      <c r="AI20" s="19">
        <f>IF(LEN($DQ$20)=0,"",IF(AND($BL$20=1,$DT$20="Escória de Stellaron"),1.5,1)*$BU$20)</f>
        <v/>
      </c>
      <c r="AJ20" s="19">
        <f>IF(LEN($DQ$20)=0,"",IFERROR(INDEX('Dados'!$P$38:$P$52,MATCH($BS$20,'Dados'!$A$38:$A$52,0)),""))</f>
        <v/>
      </c>
      <c r="AK20" s="19">
        <f>IF(LEN($DQ$20)=0,"",IF($BV$20=2,INT($BU$20/2),IF($BV$20=3,INT(2*$BU$20/3),"")))</f>
        <v/>
      </c>
      <c r="AL20" s="19">
        <f>IF(LEN($DQ$20)=0,"",IF($BV$20=3,INT($BU$20/3),""))</f>
        <v/>
      </c>
      <c r="AM20" s="19">
        <f>IF(OR(LEN($DQ$20)=0,$BV$20&lt;2),"",IFERROR(INDEX($DT$88:$DT$112,MATCH($DQ$20&amp;"|2",$N$88:$N$112,0))&amp;"",IF($BL$20=1,IFERROR(INDEX('Dados'!$G$127:$G$138,MATCH($DT$20&amp;"|2",'Dados'!$A$127:$A$138,0)),""),"")))</f>
        <v/>
      </c>
      <c r="AN20" s="19">
        <f>IF(OR(LEN($DQ$20)=0,$BV$20&lt;2),"",IFERROR(INDEX($DU$88:$DU$112,MATCH($DQ$20&amp;"|2",$N$88:$N$112,0))&amp;"",IF($BL$20=1,IFERROR(INDEX('Dados'!$H$127:$H$138,MATCH($DT$20&amp;"|2",'Dados'!$A$127:$A$138,0)),""),"")))</f>
        <v/>
      </c>
      <c r="AO20" s="19">
        <f>IF(OR(LEN($DQ$20)=0,$BV$20&lt;2),"",IFERROR(INDEX($DV$88:$DV$112,MATCH($DQ$20&amp;"|2",$N$88:$N$112,0))&amp;"",IF($BL$20=1,IFERROR(INDEX('Dados'!$I$127:$I$138,MATCH($DT$20&amp;"|2",'Dados'!$A$127:$A$138,0)),""),"")))</f>
        <v/>
      </c>
      <c r="AP20" s="19">
        <f>IF(OR(LEN($DQ$20)=0,$BV$20&lt;2),"",IFERROR(INDEX($DW$88:$DW$112,MATCH($DQ$20&amp;"|2",$N$88:$N$112,0))&amp;"",IF($BL$20=1,IFERROR(INDEX('Dados'!$J$127:$J$138,MATCH($DT$20&amp;"|2",'Dados'!$A$127:$A$138,0)),""),"")))</f>
        <v/>
      </c>
      <c r="AQ20" s="19">
        <f>IF(OR(LEN($DQ$20)=0,$BV$20&lt;2),"",IF(ISNUMBER(MATCH($DQ$20&amp;"|2",$N$88:$N$112,0)),IF(ISNUMBER(INDEX($DX$88:$DX$112,MATCH($DQ$20&amp;"|2",$N$88:$N$112,0))),MIN(IFERROR(INDEX('Dados'!$G$38:$G$52,MATCH($BS$20,'Dados'!$A$38:$A$52,0)),""),INDEX($DX$88:$DX$112,MATCH($DQ$20&amp;"|2",$N$88:$N$112,0))),IFERROR(INDEX('Dados'!$G$38:$G$52,MATCH($BS$20,'Dados'!$A$38:$A$52,0)),"")),IF($BL$20=1,IFERROR(MIN(IFERROR(INDEX('Dados'!$G$38:$G$52,MATCH($BS$20,'Dados'!$A$38:$A$52,0)),""),INT(INDEX('Dados'!$K$127:$K$138,MATCH($DT$20&amp;"|2",'Dados'!$A$127:$A$138,0))*IFERROR(INDEX('Dados'!$G$38:$G$52,MATCH($BS$20,'Dados'!$A$38:$A$52,0)),"")/$CH$20)),IFERROR(INDEX('Dados'!$G$38:$G$52,MATCH($BS$20,'Dados'!$A$38:$A$52,0)),"")),IFERROR(INDEX('Dados'!$G$38:$G$52,MATCH($BS$20,'Dados'!$A$38:$A$52,0)),""))))</f>
        <v/>
      </c>
      <c r="AR20" s="19">
        <f>IF(OR(LEN($DQ$20)=0,$BV$20&lt;3),"",IFERROR(INDEX($DT$88:$DT$112,MATCH($DQ$20&amp;"|3",$N$88:$N$112,0))&amp;"",IF($BL$20=1,IFERROR(INDEX('Dados'!$G$127:$G$138,MATCH($DT$20&amp;"|3",'Dados'!$A$127:$A$138,0)),""),"")))</f>
        <v/>
      </c>
      <c r="AS20" s="19">
        <f>IF(OR(LEN($DQ$20)=0,$BV$20&lt;3),"",IFERROR(INDEX($DU$88:$DU$112,MATCH($DQ$20&amp;"|3",$N$88:$N$112,0))&amp;"",IF($BL$20=1,IFERROR(INDEX('Dados'!$H$127:$H$138,MATCH($DT$20&amp;"|3",'Dados'!$A$127:$A$138,0)),""),"")))</f>
        <v/>
      </c>
      <c r="AT20" s="19">
        <f>IF(OR(LEN($DQ$20)=0,$BV$20&lt;3),"",IFERROR(INDEX($DV$88:$DV$112,MATCH($DQ$20&amp;"|3",$N$88:$N$112,0))&amp;"",IF($BL$20=1,IFERROR(INDEX('Dados'!$I$127:$I$138,MATCH($DT$20&amp;"|3",'Dados'!$A$127:$A$138,0)),""),"")))</f>
        <v/>
      </c>
      <c r="AU20" s="19">
        <f>IF(OR(LEN($DQ$20)=0,$BV$20&lt;3),"",IFERROR(INDEX($DW$88:$DW$112,MATCH($DQ$20&amp;"|3",$N$88:$N$112,0))&amp;"",IF($BL$20=1,IFERROR(INDEX('Dados'!$J$127:$J$138,MATCH($DT$20&amp;"|3",'Dados'!$A$127:$A$138,0)),""),"")))</f>
        <v/>
      </c>
      <c r="AV20" s="19">
        <f>IF(OR(LEN($DQ$20)=0,$BV$20&lt;3),"",IF(ISNUMBER(MATCH($DQ$20&amp;"|3",$N$88:$N$112,0)),IF(ISNUMBER(INDEX($DX$88:$DX$112,MATCH($DQ$20&amp;"|3",$N$88:$N$112,0))),MIN(IFERROR(INDEX('Dados'!$G$38:$G$52,MATCH($BS$20,'Dados'!$A$38:$A$52,0)),""),INDEX($DX$88:$DX$112,MATCH($DQ$20&amp;"|3",$N$88:$N$112,0))),IFERROR(INDEX('Dados'!$G$38:$G$52,MATCH($BS$20,'Dados'!$A$38:$A$52,0)),"")),IF($BL$20=1,IFERROR(MIN(IFERROR(INDEX('Dados'!$G$38:$G$52,MATCH($BS$20,'Dados'!$A$38:$A$52,0)),""),INT(INDEX('Dados'!$K$127:$K$138,MATCH($DT$20&amp;"|3",'Dados'!$A$127:$A$138,0))*IFERROR(INDEX('Dados'!$G$38:$G$52,MATCH($BS$20,'Dados'!$A$38:$A$52,0)),"")/$CH$20)),IFERROR(INDEX('Dados'!$G$38:$G$52,MATCH($BS$20,'Dados'!$A$38:$A$52,0)),"")),IFERROR(INDEX('Dados'!$G$38:$G$52,MATCH($BS$20,'Dados'!$A$38:$A$52,0)),""))))</f>
        <v/>
      </c>
      <c r="AW20" s="19">
        <f>IF(LEN($DQ$20)=0,"",IF($BL$20=1,IFERROR(INDEX('Dados'!$AF$92:$AF$123,$BM$20)&amp;"",""),IFERROR(INDEX($DU$116:$DU$153,MATCH($DQ$20&amp;"|1",$Q$116:$Q$153,0))&amp;"","")))</f>
        <v/>
      </c>
      <c r="AX20" s="19">
        <f>IF(LEN($DQ$20)=0,"",IF($BL$20=1,IF(ISNUMBER(IFERROR(INDEX('Dados'!$AG$92:$AG$123,$BM$20),"")),IF(IFERROR(INDEX('Dados'!$AG$92:$AG$123,$BM$20),"")&gt;0,IFERROR(INDEX('Dados'!$AG$92:$AG$123,$BM$20),""),""),""),IFERROR(INDEX($DY$116:$DY$153,MATCH($DQ$20&amp;"|1",$Q$116:$Q$153,0))+0,"")))</f>
        <v/>
      </c>
      <c r="AY20" s="19">
        <f>IF(LEN($DQ$20)=0,"",IF($BL$20=1,IFERROR(INDEX('Dados'!$AH$92:$AH$123,$BM$20)&amp;"",""),IFERROR(INDEX($DU$116:$DU$153,MATCH($DQ$20&amp;"|2",$Q$116:$Q$153,0))&amp;"","")))</f>
        <v/>
      </c>
      <c r="AZ20" s="19">
        <f>IF(LEN($DQ$20)=0,"",IF($BL$20=1,IF(ISNUMBER(IFERROR(INDEX('Dados'!$AI$92:$AI$123,$BM$20),"")),IF(IFERROR(INDEX('Dados'!$AI$92:$AI$123,$BM$20),"")&gt;0,IFERROR(INDEX('Dados'!$AI$92:$AI$123,$BM$20),""),""),""),IFERROR(INDEX($DY$116:$DY$153,MATCH($DQ$20&amp;"|2",$Q$116:$Q$153,0))+0,"")))</f>
        <v/>
      </c>
      <c r="BA20" s="19">
        <f>IF(LEN($DQ$20)=0,"",IF($BL$20=1,IFERROR(INDEX('Dados'!$AJ$92:$AJ$123,$BM$20)&amp;"",""),IFERROR(INDEX($DU$116:$DU$153,MATCH($DQ$20&amp;"|3",$Q$116:$Q$153,0))&amp;"","")))</f>
        <v/>
      </c>
      <c r="BB20" s="19">
        <f>IF(LEN($DQ$20)=0,"",IF($BL$20=1,IF(ISNUMBER(IFERROR(INDEX('Dados'!$AK$92:$AK$123,$BM$20),"")),IF(IFERROR(INDEX('Dados'!$AK$92:$AK$123,$BM$20),"")&gt;0,IFERROR(INDEX('Dados'!$AK$92:$AK$123,$BM$20),""),""),""),IFERROR(INDEX($DY$116:$DY$153,MATCH($DQ$20&amp;"|3",$Q$116:$Q$153,0))+0,"")))</f>
        <v/>
      </c>
      <c r="BC20" s="19">
        <f>IF(LEN($DQ$20)=0,"",IF(LEN($DR$35)&gt;0,$DR$35,IF($BL$20=1,IFERROR(INDEX('Dados'!$E$92:$E$123,$BM$20)&amp;"",""),"")))</f>
        <v/>
      </c>
      <c r="BD20" s="19">
        <f>IF(AND(LEN($DR$35)=0,$BL$20=1),IFERROR(INDEX('Dados'!$AD$92:$AD$123,$BM$20)&amp;"",""),"")</f>
        <v/>
      </c>
      <c r="BE20" s="19">
        <f>IF(LEN($DQ$20)=0,"",INDEX('Dados'!$F$7:$F$11,$BR$20))</f>
        <v/>
      </c>
      <c r="BF20" s="19">
        <f>IF(LEN($DQ$20)=0,"",$BR$20)</f>
        <v/>
      </c>
      <c r="BG20" s="19">
        <f>$G$51</f>
        <v/>
      </c>
      <c r="BH20" s="19">
        <f>"Campanha"</f>
        <v/>
      </c>
      <c r="BK20" s="19">
        <f>IF(COUNTIF('Dados'!$AQ$6:$AQ$8,$DR$20)&gt;0,$DR$20,"Faixa do livro")</f>
        <v/>
      </c>
      <c r="BL20" s="19">
        <f>IF(AND($BK$20="Ajustar do bestiário",ISNUMBER($BM$20)),1,0)</f>
        <v/>
      </c>
      <c r="BM20" s="19">
        <f>IFERROR(MATCH($DT$20,'Dados'!$B$92:$B$123,0),"")</f>
        <v/>
      </c>
      <c r="BN20" s="19">
        <f>IF(COUNTIF('Dados'!$AO$6:$AO$8,$DY$20)&gt;0,$DY$20,IF($BL$20=1,IFERROR(INDEX('Dados'!$C$92:$C$123,$BM$20),""),"Comum"))</f>
        <v/>
      </c>
      <c r="BO20" s="19">
        <f>MATCH($BN$20,'Dados'!$AO$6:$AO$8,0)</f>
        <v/>
      </c>
      <c r="BP20" s="19">
        <f>IF(ISNUMBER($DX$20),MIN(20,MAX(1,INT($DX$20))),'Campanha'!$B$17)</f>
        <v/>
      </c>
      <c r="BQ20" s="19">
        <f>IF($BK$20="Por nível — Sugestão",INDEX('Dados'!$B$7:$B$11,INT(($BP$20-1)/4)+1),IF(LEN(IFERROR(INDEX('Dados'!$B$7:$B$11,MATCH($DW$20,'Dados'!$AP$6:$AP$10,0)),""))&gt;0,IFERROR(INDEX('Dados'!$B$7:$B$11,MATCH($DW$20,'Dados'!$AP$6:$AP$10,0)),""),'Campanha'!$B$19))</f>
        <v/>
      </c>
      <c r="BR20" s="19">
        <f>MATCH($BQ$20,'Dados'!$B$7:$B$11,0)</f>
        <v/>
      </c>
      <c r="BS20" s="19">
        <f>$BQ$20&amp;"|"&amp;$BN$20</f>
        <v/>
      </c>
      <c r="BT20" s="19">
        <f>MIN(4,MAX(1,INT(($BP$20-3)/4)+1))</f>
        <v/>
      </c>
      <c r="BU20" s="19">
        <f>IF($BK$20="Por nível — Sugestão",INT(IF($BP$20&lt;=3,INDEX('Dados'!$D$38:$D$52,$BO$20),IF($BP$20&gt;=19,INDEX('Dados'!$D$38:$D$52,12+$BO$20),INDEX('Dados'!$D$38:$D$52,($BT$20-1)*3+$BO$20)+(INDEX('Dados'!$D$38:$D$52,$BT$20*3+$BO$20)-INDEX('Dados'!$D$38:$D$52,($BT$20-1)*3+$BO$20))*($BP$20-(4*$BT$20-1))/4))),IFERROR(INDEX('Dados'!$D$38:$D$52,MATCH($BS$20,'Dados'!$A$38:$A$52,0)),""))</f>
        <v/>
      </c>
      <c r="BV20" s="19">
        <f>IF($BN$20&lt;&gt;"Boss",1,IF(AND(ISNUMBER($DZ$20),$DZ$20&gt;=1,$DZ$20&lt;=3),INT($DZ$20),IF($BL$20=1,MAX(1,IFERROR(INDEX('Dados'!$F$92:$F$123,$BM$20),"")),1)))</f>
        <v/>
      </c>
      <c r="BW20" s="19">
        <f>IFERROR(INDEX('Dados'!$O$38:$O$52,MATCH($BS$20,'Dados'!$A$38:$A$52,0)),"")</f>
        <v/>
      </c>
      <c r="BX20" s="19">
        <f>IF(AND(LEN($DR$51)=0,LEN($DS$51)=0,LEN($DT$51)=0,LEN($DU$51)=0),1,0)</f>
        <v/>
      </c>
      <c r="BY20" s="19">
        <f>IF(LEN($DQ$20)=0,"",IF($BX$20=0,$DR$51&amp;"",IF($BL$20=1,IFERROR(INDEX('Dados'!$Q$92:$Q$123,$BM$20)&amp;"",""),IF(1&lt;=$BW$20,$CD$20,""))))</f>
        <v/>
      </c>
      <c r="BZ20" s="19">
        <f>IF(LEN($DQ$20)=0,"",IF($BX$20=0,$DS$51&amp;"",IF($BL$20=1,IFERROR(INDEX('Dados'!$R$92:$R$123,$BM$20)&amp;"",""),IF(2&lt;=$BW$20,$CE$20,""))))</f>
        <v/>
      </c>
      <c r="CA20" s="19">
        <f>IF(LEN($DQ$20)=0,"",IF($BX$20=0,$DT$51&amp;"",IF($BL$20=1,IFERROR(INDEX('Dados'!$S$92:$S$123,$BM$20)&amp;"",""),IF(3&lt;=$BW$20,$CF$20,""))))</f>
        <v/>
      </c>
      <c r="CB20" s="19">
        <f>IF(LEN($DQ$20)=0,"",IF($BX$20=0,$DU$51&amp;"",IF($BL$20=1,IFERROR(INDEX('Dados'!$T$92:$T$123,$BM$20)&amp;"",""),IF(4&lt;=$BW$20,$CG$20,""))))</f>
        <v/>
      </c>
      <c r="CC20" s="19">
        <f>IF(LEN($DV$51)&gt;0,$DV$51,IF($BL$20=1,IFERROR(INDEX('Dados'!$U$92:$U$123,$BM$20)&amp;"",""),""))</f>
        <v/>
      </c>
      <c r="CD20" s="19">
        <f>INDEX('Dados'!$A$301:$A$307,MATCH(SMALL($DI$20:$DO$20,1),$DI$20:$DO$20,0))</f>
        <v/>
      </c>
      <c r="CE20" s="19">
        <f>INDEX('Dados'!$A$301:$A$307,MATCH(SMALL($DI$20:$DO$20,2),$DI$20:$DO$20,0))</f>
        <v/>
      </c>
      <c r="CF20" s="19">
        <f>INDEX('Dados'!$A$301:$A$307,MATCH(SMALL($DI$20:$DO$20,3),$DI$20:$DO$20,0))</f>
        <v/>
      </c>
      <c r="CG20" s="19">
        <f>INDEX('Dados'!$A$301:$A$307,MATCH(SMALL($DI$20:$DO$20,4),$DI$20:$DO$20,0))</f>
        <v/>
      </c>
      <c r="CH20" s="19">
        <f>IF($BL$20=1,IFERROR(INDEX('Dados'!$J$92:$J$123,$BM$20),""),"")</f>
        <v/>
      </c>
      <c r="CI20" s="19">
        <f>IF($BL$20=1,IFERROR(INDEX('Dados'!$G$92:$G$123,$BM$20),""),"")</f>
        <v/>
      </c>
      <c r="CJ20" s="19">
        <f>IFERROR(INDEX('Dados'!$S$38:$S$52,MATCH($BS$20,'Dados'!$A$38:$A$52,0)),"")</f>
        <v/>
      </c>
      <c r="CK20" s="19">
        <f>IFERROR(INDEX('Dados'!$T$38:$T$52,MATCH($BS$20,'Dados'!$A$38:$A$52,0)),"")</f>
        <v/>
      </c>
      <c r="CL20" s="19">
        <f>IFERROR(INDEX('Dados'!$J$38:$J$52,MATCH($BQ$20&amp;"|Comum",'Dados'!$A$38:$A$52,0)),"")</f>
        <v/>
      </c>
      <c r="CM20" s="19">
        <f>IFERROR(INDEX('Dados'!$K$38:$K$52,MATCH($BQ$20&amp;"|Comum",'Dados'!$A$38:$A$52,0)),"")</f>
        <v/>
      </c>
      <c r="CN20" s="19">
        <f>MOD(MOD(MOD((MOD('Início'!$E$15+104729*$C$7+132141699,2147483646)+1)*16807,2147483647)*16807,2147483647)*16807,2147483647)</f>
        <v/>
      </c>
      <c r="CO20" s="19">
        <f>MOD(MOD(MOD((MOD(MOD(INT($CN$20/65536)*$CN$20,2147483647)*65536+MOD($CN$20,65536)*$CN$20,2147483647))*16807,2147483647)*16807,2147483647)*16807,2147483647)</f>
        <v/>
      </c>
      <c r="CP20" s="19">
        <f>MOD(MOD(MOD((MOD($CO$20+INT($CO$20/65536)*MOD($CO$20,65536),2147483646)+1)*16807,2147483647)*16807,2147483647)*16807,2147483647)</f>
        <v/>
      </c>
      <c r="CQ20" s="19">
        <f>MOD(MOD(MOD((MOD('Início'!$E$15+104729*$C$7+133441408,2147483646)+1)*16807,2147483647)*16807,2147483647)*16807,2147483647)</f>
        <v/>
      </c>
      <c r="CR20" s="19">
        <f>MOD(MOD(MOD((MOD(MOD(INT($CQ$20/65536)*$CQ$20,2147483647)*65536+MOD($CQ$20,65536)*$CQ$20,2147483647))*16807,2147483647)*16807,2147483647)*16807,2147483647)</f>
        <v/>
      </c>
      <c r="CS20" s="19">
        <f>MOD(MOD(MOD((MOD($CR$20+INT($CR$20/65536)*MOD($CR$20,65536),2147483646)+1)*16807,2147483647)*16807,2147483647)*16807,2147483647)</f>
        <v/>
      </c>
      <c r="CT20" s="19">
        <f>MOD(MOD(MOD((MOD('Início'!$E$15+104729*$C$7+134741117,2147483646)+1)*16807,2147483647)*16807,2147483647)*16807,2147483647)</f>
        <v/>
      </c>
      <c r="CU20" s="19">
        <f>MOD(MOD(MOD((MOD(MOD(INT($CT$20/65536)*$CT$20,2147483647)*65536+MOD($CT$20,65536)*$CT$20,2147483647))*16807,2147483647)*16807,2147483647)*16807,2147483647)</f>
        <v/>
      </c>
      <c r="CV20" s="19">
        <f>MOD(MOD(MOD((MOD($CU$20+INT($CU$20/65536)*MOD($CU$20,65536),2147483646)+1)*16807,2147483647)*16807,2147483647)*16807,2147483647)</f>
        <v/>
      </c>
      <c r="CW20" s="19">
        <f>MOD(MOD(MOD((MOD('Início'!$E$15+104729*$C$7+136040826,2147483646)+1)*16807,2147483647)*16807,2147483647)*16807,2147483647)</f>
        <v/>
      </c>
      <c r="CX20" s="19">
        <f>MOD(MOD(MOD((MOD(MOD(INT($CW$20/65536)*$CW$20,2147483647)*65536+MOD($CW$20,65536)*$CW$20,2147483647))*16807,2147483647)*16807,2147483647)*16807,2147483647)</f>
        <v/>
      </c>
      <c r="CY20" s="19">
        <f>MOD(MOD(MOD((MOD($CX$20+INT($CX$20/65536)*MOD($CX$20,65536),2147483646)+1)*16807,2147483647)*16807,2147483647)*16807,2147483647)</f>
        <v/>
      </c>
      <c r="CZ20" s="19">
        <f>MOD(MOD(MOD((MOD('Início'!$E$15+104729*$C$7+137340535,2147483646)+1)*16807,2147483647)*16807,2147483647)*16807,2147483647)</f>
        <v/>
      </c>
      <c r="DA20" s="19">
        <f>MOD(MOD(MOD((MOD(MOD(INT($CZ$20/65536)*$CZ$20,2147483647)*65536+MOD($CZ$20,65536)*$CZ$20,2147483647))*16807,2147483647)*16807,2147483647)*16807,2147483647)</f>
        <v/>
      </c>
      <c r="DB20" s="19">
        <f>MOD(MOD(MOD((MOD($DA$20+INT($DA$20/65536)*MOD($DA$20,65536),2147483646)+1)*16807,2147483647)*16807,2147483647)*16807,2147483647)</f>
        <v/>
      </c>
      <c r="DC20" s="19">
        <f>MOD(MOD(MOD((MOD('Início'!$E$15+104729*$C$7+138640244,2147483646)+1)*16807,2147483647)*16807,2147483647)*16807,2147483647)</f>
        <v/>
      </c>
      <c r="DD20" s="19">
        <f>MOD(MOD(MOD((MOD(MOD(INT($DC$20/65536)*$DC$20,2147483647)*65536+MOD($DC$20,65536)*$DC$20,2147483647))*16807,2147483647)*16807,2147483647)*16807,2147483647)</f>
        <v/>
      </c>
      <c r="DE20" s="19">
        <f>MOD(MOD(MOD((MOD($DD$20+INT($DD$20/65536)*MOD($DD$20,65536),2147483646)+1)*16807,2147483647)*16807,2147483647)*16807,2147483647)</f>
        <v/>
      </c>
      <c r="DF20" s="19">
        <f>MOD(MOD(MOD((MOD('Início'!$E$15+104729*$C$7+139939953,2147483646)+1)*16807,2147483647)*16807,2147483647)*16807,2147483647)</f>
        <v/>
      </c>
      <c r="DG20" s="19">
        <f>MOD(MOD(MOD((MOD(MOD(INT($DF$20/65536)*$DF$20,2147483647)*65536+MOD($DF$20,65536)*$DF$20,2147483647))*16807,2147483647)*16807,2147483647)*16807,2147483647)</f>
        <v/>
      </c>
      <c r="DH20" s="19">
        <f>MOD(MOD(MOD((MOD($DG$20+INT($DG$20/65536)*MOD($DG$20,65536),2147483646)+1)*16807,2147483647)*16807,2147483647)*16807,2147483647)</f>
        <v/>
      </c>
      <c r="DI20" s="19">
        <f>IF($CC$20="Físico",9000000000,IF(AND('Grupo'!$B$44="Sim",COUNTIF($BY$11:$CB$19,"Físico")=0),0,2147483647))+$CP$20+1/10</f>
        <v/>
      </c>
      <c r="DJ20" s="19">
        <f>IF($CC$20="Fogo",9000000000,IF(AND('Grupo'!$C$44="Sim",COUNTIF($BY$11:$CB$19,"Fogo")=0),0,2147483647))+$CS$20+2/10</f>
        <v/>
      </c>
      <c r="DK20" s="19">
        <f>IF($CC$20="Gelo",9000000000,IF(AND('Grupo'!$D$44="Sim",COUNTIF($BY$11:$CB$19,"Gelo")=0),0,2147483647))+$CV$20+3/10</f>
        <v/>
      </c>
      <c r="DL20" s="19">
        <f>IF($CC$20="Raio",9000000000,IF(AND('Grupo'!$E$44="Sim",COUNTIF($BY$11:$CB$19,"Raio")=0),0,2147483647))+$CY$20+4/10</f>
        <v/>
      </c>
      <c r="DM20" s="19">
        <f>IF($CC$20="Vento",9000000000,IF(AND('Grupo'!$F$44="Sim",COUNTIF($BY$11:$CB$19,"Vento")=0),0,2147483647))+$DB$20+5/10</f>
        <v/>
      </c>
      <c r="DN20" s="19">
        <f>IF($CC$20="Quântico",9000000000,IF(AND('Grupo'!$G$44="Sim",COUNTIF($BY$11:$CB$19,"Quântico")=0),0,2147483647))+$DE$20+6/10</f>
        <v/>
      </c>
      <c r="DO20" s="19">
        <f>IF($CC$20="Imaginário",9000000000,IF(AND('Grupo'!$H$44="Sim",COUNTIF($BY$11:$CB$19,"Imaginário")=0),0,2147483647))+$DH$20+7/10</f>
        <v/>
      </c>
      <c r="DQ20" s="19">
        <f>IF(ISERROR($A$20),"",IF(ISBLANK($A$20),"",$A$20))</f>
        <v/>
      </c>
      <c r="DR20" s="19">
        <f>IF(ISERROR($B$20),"",IF(ISBLANK($B$20),"",$B$20))</f>
        <v/>
      </c>
      <c r="DT20" s="19">
        <f>IF(ISERROR($D$20),"",IF(ISBLANK($D$20),"",$D$20))</f>
        <v/>
      </c>
      <c r="DW20" s="19">
        <f>IF(ISERROR($G$20),"",IF(ISBLANK($G$20),"",$G$20))</f>
        <v/>
      </c>
      <c r="DX20" s="19">
        <f>IF(ISERROR($H$20),"",IF(ISBLANK($H$20),"",$H$20))</f>
        <v/>
      </c>
      <c r="DY20" s="19">
        <f>IF(ISERROR($I$20),"",IF(ISBLANK($I$20),"",$I$20))</f>
        <v/>
      </c>
      <c r="DZ20" s="19">
        <f>IF(ISERROR($J$20),"",IF(ISBLANK($J$20),"",$J$20))</f>
        <v/>
      </c>
      <c r="EA20" s="19">
        <f>ISERROR($A$20)*1+ISERROR($B$20)*1+ISERROR($D$20)*1+ISERROR($G$20)*1+ISERROR($H$20)*1+ISERROR($I$20)*1+ISERROR($J$20)*1</f>
        <v/>
      </c>
    </row>
    <row r="21" ht="26" customHeight="1">
      <c r="A21" s="30" t="n"/>
      <c r="B21" s="3" t="n"/>
      <c r="C21" s="16" t="n"/>
      <c r="D21" s="3" t="n"/>
      <c r="E21" s="24" t="n"/>
      <c r="F21" s="16" t="n"/>
      <c r="G21" s="36" t="n"/>
      <c r="H21" s="15" t="n"/>
      <c r="I21" s="36" t="n"/>
      <c r="J21" s="15" t="n"/>
      <c r="K21" s="18">
        <f>IF(EA21&gt;0,"O Google leu como fórmula: escolha de novo ou digite com ' na frente.",IF(LEN($DQ$21)=0,IF(LEN($DR$21&amp;$DT$21&amp;$DY$21)&gt;0,"Linha sem nome: o inimigo não entra nas listas",""),IF(COUNTIF($DQ$11:$DQ$22,$DQ$21)&gt;1,"Nome repetido na tabela",IF(COUNTIF('Dados'!$B$92:$B$123,$DQ$21)&gt;0,"Nome igual a uma criatura do bestiário: dê outro nome",IF(AND($BK$21="Ajustar do bestiário",$BL$21=0),"Modo Ajustar sem base do bestiário válida",IF(AND(LEN($DZ$21)&gt;0,$BN$21&lt;&gt;"Boss"),"Fases só valem para Boss (28.5)",IF(AND(ISNUMBER($DX$21),OR($DX$21&lt;1,$DX$21&gt;20)),"Nível fora de 1 a 20: usando o limite",IF(AND(LEN($DY$21)&gt;0,COUNTIF('Dados'!$AO$6:$AO$8,$DY$21)=0),"Tipo fora da lista: usando Comum",""))))))))</f>
        <v/>
      </c>
      <c r="N21" s="19">
        <f>IF(LEN($DQ$21)=0,"",$DQ$21)</f>
        <v/>
      </c>
      <c r="O21" s="19">
        <f>IF(LEN($DQ$21)=0,"",$BN$21)</f>
        <v/>
      </c>
      <c r="P21" s="19">
        <f>IF(LEN($DQ$21)=0,"",$BQ$21)</f>
        <v/>
      </c>
      <c r="Q21" s="19">
        <f>IF(LEN($DQ$21)=0,"",$BU$21)</f>
        <v/>
      </c>
      <c r="R21" s="19">
        <f>IF(LEN($DQ$21)=0,"",IFERROR(INDEX('Dados'!$E$38:$E$52,MATCH($BS$21,'Dados'!$A$38:$A$52,0)),""))</f>
        <v/>
      </c>
      <c r="S21" s="19">
        <f>IF(LEN($DQ$21)=0,"",IFERROR(INDEX('Dados'!$F$38:$F$52,MATCH($BS$21,'Dados'!$A$38:$A$52,0)),""))</f>
        <v/>
      </c>
      <c r="T21" s="19">
        <f>IF(LEN($DQ$21)=0,"",IFERROR(INDEX('Dados'!$G$38:$G$52,MATCH($BS$21,'Dados'!$A$38:$A$52,0)),""))</f>
        <v/>
      </c>
      <c r="U21" s="19">
        <f>IF(LEN($DQ$21)=0,"",IFERROR(INDEX('Dados'!$H$38:$H$52,MATCH($BS$21,'Dados'!$A$38:$A$52,0)),""))</f>
        <v/>
      </c>
      <c r="V21" s="19">
        <f>IF(LEN($DQ$21)=0,"",IFERROR(INDEX('Dados'!$I$38:$I$52,MATCH($BS$21,'Dados'!$A$38:$A$52,0)),""))</f>
        <v/>
      </c>
      <c r="W21" s="19">
        <f>IF(LEN($DQ$21)=0,"",IFERROR(INDEX('Dados'!$J$38:$J$52,MATCH($BS$21,'Dados'!$A$38:$A$52,0)),""))</f>
        <v/>
      </c>
      <c r="X21" s="19">
        <f>IF(LEN($DQ$21)=0,"",IFERROR(INDEX('Dados'!$K$38:$K$52,MATCH($BS$21,'Dados'!$A$38:$A$52,0)),""))</f>
        <v/>
      </c>
      <c r="Y21" s="19">
        <f>IF(LEN($DQ$21)=0,"",IFERROR(INDEX('Dados'!$L$38:$L$52,MATCH($BS$21,'Dados'!$A$38:$A$52,0)),""))</f>
        <v/>
      </c>
      <c r="Z21" s="19">
        <f>IF(LEN($DQ$21)=0,"",IFERROR(INDEX('Dados'!$M$38:$M$52,MATCH($BS$21,'Dados'!$A$38:$A$52,0)),""))</f>
        <v/>
      </c>
      <c r="AA21" s="19">
        <f>IF(LEN($DQ$21)=0,"",$BY$21)</f>
        <v/>
      </c>
      <c r="AB21" s="19">
        <f>IF(LEN($DQ$21)=0,"",$BZ$21)</f>
        <v/>
      </c>
      <c r="AC21" s="19">
        <f>IF(LEN($DQ$21)=0,"",$CA$21)</f>
        <v/>
      </c>
      <c r="AD21" s="19">
        <f>IF(LEN($DQ$21)=0,"",$CB$21)</f>
        <v/>
      </c>
      <c r="AE21" s="19">
        <f>IF(LEN($DQ$21)=0,"",$CC$21)</f>
        <v/>
      </c>
      <c r="AF21" s="19">
        <f>IF(LEN($DQ$21)=0,"",IF($DV$36="Sim","Pode",IF($DV$36="Não","Não",IF($BL$21=1,IFERROR(INDEX('Dados'!$V$92:$V$123,$BM$21)&amp;"",""),"Não declarado"))))</f>
        <v/>
      </c>
      <c r="AG21" s="19">
        <f>IF(LEN($DQ$21)=0,"",$BV$21)</f>
        <v/>
      </c>
      <c r="AH21" s="19">
        <f>IF(LEN($DQ$21)=0,"",IFERROR(INDEX('Dados'!$Q$38:$Q$52,MATCH($BS$21,'Dados'!$A$38:$A$52,0)),""))</f>
        <v/>
      </c>
      <c r="AI21" s="19">
        <f>IF(LEN($DQ$21)=0,"",IF(AND($BL$21=1,$DT$21="Escória de Stellaron"),1.5,1)*$BU$21)</f>
        <v/>
      </c>
      <c r="AJ21" s="19">
        <f>IF(LEN($DQ$21)=0,"",IFERROR(INDEX('Dados'!$P$38:$P$52,MATCH($BS$21,'Dados'!$A$38:$A$52,0)),""))</f>
        <v/>
      </c>
      <c r="AK21" s="19">
        <f>IF(LEN($DQ$21)=0,"",IF($BV$21=2,INT($BU$21/2),IF($BV$21=3,INT(2*$BU$21/3),"")))</f>
        <v/>
      </c>
      <c r="AL21" s="19">
        <f>IF(LEN($DQ$21)=0,"",IF($BV$21=3,INT($BU$21/3),""))</f>
        <v/>
      </c>
      <c r="AM21" s="19">
        <f>IF(OR(LEN($DQ$21)=0,$BV$21&lt;2),"",IFERROR(INDEX($DT$88:$DT$112,MATCH($DQ$21&amp;"|2",$N$88:$N$112,0))&amp;"",IF($BL$21=1,IFERROR(INDEX('Dados'!$G$127:$G$138,MATCH($DT$21&amp;"|2",'Dados'!$A$127:$A$138,0)),""),"")))</f>
        <v/>
      </c>
      <c r="AN21" s="19">
        <f>IF(OR(LEN($DQ$21)=0,$BV$21&lt;2),"",IFERROR(INDEX($DU$88:$DU$112,MATCH($DQ$21&amp;"|2",$N$88:$N$112,0))&amp;"",IF($BL$21=1,IFERROR(INDEX('Dados'!$H$127:$H$138,MATCH($DT$21&amp;"|2",'Dados'!$A$127:$A$138,0)),""),"")))</f>
        <v/>
      </c>
      <c r="AO21" s="19">
        <f>IF(OR(LEN($DQ$21)=0,$BV$21&lt;2),"",IFERROR(INDEX($DV$88:$DV$112,MATCH($DQ$21&amp;"|2",$N$88:$N$112,0))&amp;"",IF($BL$21=1,IFERROR(INDEX('Dados'!$I$127:$I$138,MATCH($DT$21&amp;"|2",'Dados'!$A$127:$A$138,0)),""),"")))</f>
        <v/>
      </c>
      <c r="AP21" s="19">
        <f>IF(OR(LEN($DQ$21)=0,$BV$21&lt;2),"",IFERROR(INDEX($DW$88:$DW$112,MATCH($DQ$21&amp;"|2",$N$88:$N$112,0))&amp;"",IF($BL$21=1,IFERROR(INDEX('Dados'!$J$127:$J$138,MATCH($DT$21&amp;"|2",'Dados'!$A$127:$A$138,0)),""),"")))</f>
        <v/>
      </c>
      <c r="AQ21" s="19">
        <f>IF(OR(LEN($DQ$21)=0,$BV$21&lt;2),"",IF(ISNUMBER(MATCH($DQ$21&amp;"|2",$N$88:$N$112,0)),IF(ISNUMBER(INDEX($DX$88:$DX$112,MATCH($DQ$21&amp;"|2",$N$88:$N$112,0))),MIN(IFERROR(INDEX('Dados'!$G$38:$G$52,MATCH($BS$21,'Dados'!$A$38:$A$52,0)),""),INDEX($DX$88:$DX$112,MATCH($DQ$21&amp;"|2",$N$88:$N$112,0))),IFERROR(INDEX('Dados'!$G$38:$G$52,MATCH($BS$21,'Dados'!$A$38:$A$52,0)),"")),IF($BL$21=1,IFERROR(MIN(IFERROR(INDEX('Dados'!$G$38:$G$52,MATCH($BS$21,'Dados'!$A$38:$A$52,0)),""),INT(INDEX('Dados'!$K$127:$K$138,MATCH($DT$21&amp;"|2",'Dados'!$A$127:$A$138,0))*IFERROR(INDEX('Dados'!$G$38:$G$52,MATCH($BS$21,'Dados'!$A$38:$A$52,0)),"")/$CH$21)),IFERROR(INDEX('Dados'!$G$38:$G$52,MATCH($BS$21,'Dados'!$A$38:$A$52,0)),"")),IFERROR(INDEX('Dados'!$G$38:$G$52,MATCH($BS$21,'Dados'!$A$38:$A$52,0)),""))))</f>
        <v/>
      </c>
      <c r="AR21" s="19">
        <f>IF(OR(LEN($DQ$21)=0,$BV$21&lt;3),"",IFERROR(INDEX($DT$88:$DT$112,MATCH($DQ$21&amp;"|3",$N$88:$N$112,0))&amp;"",IF($BL$21=1,IFERROR(INDEX('Dados'!$G$127:$G$138,MATCH($DT$21&amp;"|3",'Dados'!$A$127:$A$138,0)),""),"")))</f>
        <v/>
      </c>
      <c r="AS21" s="19">
        <f>IF(OR(LEN($DQ$21)=0,$BV$21&lt;3),"",IFERROR(INDEX($DU$88:$DU$112,MATCH($DQ$21&amp;"|3",$N$88:$N$112,0))&amp;"",IF($BL$21=1,IFERROR(INDEX('Dados'!$H$127:$H$138,MATCH($DT$21&amp;"|3",'Dados'!$A$127:$A$138,0)),""),"")))</f>
        <v/>
      </c>
      <c r="AT21" s="19">
        <f>IF(OR(LEN($DQ$21)=0,$BV$21&lt;3),"",IFERROR(INDEX($DV$88:$DV$112,MATCH($DQ$21&amp;"|3",$N$88:$N$112,0))&amp;"",IF($BL$21=1,IFERROR(INDEX('Dados'!$I$127:$I$138,MATCH($DT$21&amp;"|3",'Dados'!$A$127:$A$138,0)),""),"")))</f>
        <v/>
      </c>
      <c r="AU21" s="19">
        <f>IF(OR(LEN($DQ$21)=0,$BV$21&lt;3),"",IFERROR(INDEX($DW$88:$DW$112,MATCH($DQ$21&amp;"|3",$N$88:$N$112,0))&amp;"",IF($BL$21=1,IFERROR(INDEX('Dados'!$J$127:$J$138,MATCH($DT$21&amp;"|3",'Dados'!$A$127:$A$138,0)),""),"")))</f>
        <v/>
      </c>
      <c r="AV21" s="19">
        <f>IF(OR(LEN($DQ$21)=0,$BV$21&lt;3),"",IF(ISNUMBER(MATCH($DQ$21&amp;"|3",$N$88:$N$112,0)),IF(ISNUMBER(INDEX($DX$88:$DX$112,MATCH($DQ$21&amp;"|3",$N$88:$N$112,0))),MIN(IFERROR(INDEX('Dados'!$G$38:$G$52,MATCH($BS$21,'Dados'!$A$38:$A$52,0)),""),INDEX($DX$88:$DX$112,MATCH($DQ$21&amp;"|3",$N$88:$N$112,0))),IFERROR(INDEX('Dados'!$G$38:$G$52,MATCH($BS$21,'Dados'!$A$38:$A$52,0)),"")),IF($BL$21=1,IFERROR(MIN(IFERROR(INDEX('Dados'!$G$38:$G$52,MATCH($BS$21,'Dados'!$A$38:$A$52,0)),""),INT(INDEX('Dados'!$K$127:$K$138,MATCH($DT$21&amp;"|3",'Dados'!$A$127:$A$138,0))*IFERROR(INDEX('Dados'!$G$38:$G$52,MATCH($BS$21,'Dados'!$A$38:$A$52,0)),"")/$CH$21)),IFERROR(INDEX('Dados'!$G$38:$G$52,MATCH($BS$21,'Dados'!$A$38:$A$52,0)),"")),IFERROR(INDEX('Dados'!$G$38:$G$52,MATCH($BS$21,'Dados'!$A$38:$A$52,0)),""))))</f>
        <v/>
      </c>
      <c r="AW21" s="19">
        <f>IF(LEN($DQ$21)=0,"",IF($BL$21=1,IFERROR(INDEX('Dados'!$AF$92:$AF$123,$BM$21)&amp;"",""),IFERROR(INDEX($DU$116:$DU$153,MATCH($DQ$21&amp;"|1",$Q$116:$Q$153,0))&amp;"","")))</f>
        <v/>
      </c>
      <c r="AX21" s="19">
        <f>IF(LEN($DQ$21)=0,"",IF($BL$21=1,IF(ISNUMBER(IFERROR(INDEX('Dados'!$AG$92:$AG$123,$BM$21),"")),IF(IFERROR(INDEX('Dados'!$AG$92:$AG$123,$BM$21),"")&gt;0,IFERROR(INDEX('Dados'!$AG$92:$AG$123,$BM$21),""),""),""),IFERROR(INDEX($DY$116:$DY$153,MATCH($DQ$21&amp;"|1",$Q$116:$Q$153,0))+0,"")))</f>
        <v/>
      </c>
      <c r="AY21" s="19">
        <f>IF(LEN($DQ$21)=0,"",IF($BL$21=1,IFERROR(INDEX('Dados'!$AH$92:$AH$123,$BM$21)&amp;"",""),IFERROR(INDEX($DU$116:$DU$153,MATCH($DQ$21&amp;"|2",$Q$116:$Q$153,0))&amp;"","")))</f>
        <v/>
      </c>
      <c r="AZ21" s="19">
        <f>IF(LEN($DQ$21)=0,"",IF($BL$21=1,IF(ISNUMBER(IFERROR(INDEX('Dados'!$AI$92:$AI$123,$BM$21),"")),IF(IFERROR(INDEX('Dados'!$AI$92:$AI$123,$BM$21),"")&gt;0,IFERROR(INDEX('Dados'!$AI$92:$AI$123,$BM$21),""),""),""),IFERROR(INDEX($DY$116:$DY$153,MATCH($DQ$21&amp;"|2",$Q$116:$Q$153,0))+0,"")))</f>
        <v/>
      </c>
      <c r="BA21" s="19">
        <f>IF(LEN($DQ$21)=0,"",IF($BL$21=1,IFERROR(INDEX('Dados'!$AJ$92:$AJ$123,$BM$21)&amp;"",""),IFERROR(INDEX($DU$116:$DU$153,MATCH($DQ$21&amp;"|3",$Q$116:$Q$153,0))&amp;"","")))</f>
        <v/>
      </c>
      <c r="BB21" s="19">
        <f>IF(LEN($DQ$21)=0,"",IF($BL$21=1,IF(ISNUMBER(IFERROR(INDEX('Dados'!$AK$92:$AK$123,$BM$21),"")),IF(IFERROR(INDEX('Dados'!$AK$92:$AK$123,$BM$21),"")&gt;0,IFERROR(INDEX('Dados'!$AK$92:$AK$123,$BM$21),""),""),""),IFERROR(INDEX($DY$116:$DY$153,MATCH($DQ$21&amp;"|3",$Q$116:$Q$153,0))+0,"")))</f>
        <v/>
      </c>
      <c r="BC21" s="19">
        <f>IF(LEN($DQ$21)=0,"",IF(LEN($DR$36)&gt;0,$DR$36,IF($BL$21=1,IFERROR(INDEX('Dados'!$E$92:$E$123,$BM$21)&amp;"",""),"")))</f>
        <v/>
      </c>
      <c r="BD21" s="19">
        <f>IF(AND(LEN($DR$36)=0,$BL$21=1),IFERROR(INDEX('Dados'!$AD$92:$AD$123,$BM$21)&amp;"",""),"")</f>
        <v/>
      </c>
      <c r="BE21" s="19">
        <f>IF(LEN($DQ$21)=0,"",INDEX('Dados'!$F$7:$F$11,$BR$21))</f>
        <v/>
      </c>
      <c r="BF21" s="19">
        <f>IF(LEN($DQ$21)=0,"",$BR$21)</f>
        <v/>
      </c>
      <c r="BG21" s="19">
        <f>$G$52</f>
        <v/>
      </c>
      <c r="BH21" s="19">
        <f>"Campanha"</f>
        <v/>
      </c>
      <c r="BK21" s="19">
        <f>IF(COUNTIF('Dados'!$AQ$6:$AQ$8,$DR$21)&gt;0,$DR$21,"Faixa do livro")</f>
        <v/>
      </c>
      <c r="BL21" s="19">
        <f>IF(AND($BK$21="Ajustar do bestiário",ISNUMBER($BM$21)),1,0)</f>
        <v/>
      </c>
      <c r="BM21" s="19">
        <f>IFERROR(MATCH($DT$21,'Dados'!$B$92:$B$123,0),"")</f>
        <v/>
      </c>
      <c r="BN21" s="19">
        <f>IF(COUNTIF('Dados'!$AO$6:$AO$8,$DY$21)&gt;0,$DY$21,IF($BL$21=1,IFERROR(INDEX('Dados'!$C$92:$C$123,$BM$21),""),"Comum"))</f>
        <v/>
      </c>
      <c r="BO21" s="19">
        <f>MATCH($BN$21,'Dados'!$AO$6:$AO$8,0)</f>
        <v/>
      </c>
      <c r="BP21" s="19">
        <f>IF(ISNUMBER($DX$21),MIN(20,MAX(1,INT($DX$21))),'Campanha'!$B$17)</f>
        <v/>
      </c>
      <c r="BQ21" s="19">
        <f>IF($BK$21="Por nível — Sugestão",INDEX('Dados'!$B$7:$B$11,INT(($BP$21-1)/4)+1),IF(LEN(IFERROR(INDEX('Dados'!$B$7:$B$11,MATCH($DW$21,'Dados'!$AP$6:$AP$10,0)),""))&gt;0,IFERROR(INDEX('Dados'!$B$7:$B$11,MATCH($DW$21,'Dados'!$AP$6:$AP$10,0)),""),'Campanha'!$B$19))</f>
        <v/>
      </c>
      <c r="BR21" s="19">
        <f>MATCH($BQ$21,'Dados'!$B$7:$B$11,0)</f>
        <v/>
      </c>
      <c r="BS21" s="19">
        <f>$BQ$21&amp;"|"&amp;$BN$21</f>
        <v/>
      </c>
      <c r="BT21" s="19">
        <f>MIN(4,MAX(1,INT(($BP$21-3)/4)+1))</f>
        <v/>
      </c>
      <c r="BU21" s="19">
        <f>IF($BK$21="Por nível — Sugestão",INT(IF($BP$21&lt;=3,INDEX('Dados'!$D$38:$D$52,$BO$21),IF($BP$21&gt;=19,INDEX('Dados'!$D$38:$D$52,12+$BO$21),INDEX('Dados'!$D$38:$D$52,($BT$21-1)*3+$BO$21)+(INDEX('Dados'!$D$38:$D$52,$BT$21*3+$BO$21)-INDEX('Dados'!$D$38:$D$52,($BT$21-1)*3+$BO$21))*($BP$21-(4*$BT$21-1))/4))),IFERROR(INDEX('Dados'!$D$38:$D$52,MATCH($BS$21,'Dados'!$A$38:$A$52,0)),""))</f>
        <v/>
      </c>
      <c r="BV21" s="19">
        <f>IF($BN$21&lt;&gt;"Boss",1,IF(AND(ISNUMBER($DZ$21),$DZ$21&gt;=1,$DZ$21&lt;=3),INT($DZ$21),IF($BL$21=1,MAX(1,IFERROR(INDEX('Dados'!$F$92:$F$123,$BM$21),"")),1)))</f>
        <v/>
      </c>
      <c r="BW21" s="19">
        <f>IFERROR(INDEX('Dados'!$O$38:$O$52,MATCH($BS$21,'Dados'!$A$38:$A$52,0)),"")</f>
        <v/>
      </c>
      <c r="BX21" s="19">
        <f>IF(AND(LEN($DR$52)=0,LEN($DS$52)=0,LEN($DT$52)=0,LEN($DU$52)=0),1,0)</f>
        <v/>
      </c>
      <c r="BY21" s="19">
        <f>IF(LEN($DQ$21)=0,"",IF($BX$21=0,$DR$52&amp;"",IF($BL$21=1,IFERROR(INDEX('Dados'!$Q$92:$Q$123,$BM$21)&amp;"",""),IF(1&lt;=$BW$21,$CD$21,""))))</f>
        <v/>
      </c>
      <c r="BZ21" s="19">
        <f>IF(LEN($DQ$21)=0,"",IF($BX$21=0,$DS$52&amp;"",IF($BL$21=1,IFERROR(INDEX('Dados'!$R$92:$R$123,$BM$21)&amp;"",""),IF(2&lt;=$BW$21,$CE$21,""))))</f>
        <v/>
      </c>
      <c r="CA21" s="19">
        <f>IF(LEN($DQ$21)=0,"",IF($BX$21=0,$DT$52&amp;"",IF($BL$21=1,IFERROR(INDEX('Dados'!$S$92:$S$123,$BM$21)&amp;"",""),IF(3&lt;=$BW$21,$CF$21,""))))</f>
        <v/>
      </c>
      <c r="CB21" s="19">
        <f>IF(LEN($DQ$21)=0,"",IF($BX$21=0,$DU$52&amp;"",IF($BL$21=1,IFERROR(INDEX('Dados'!$T$92:$T$123,$BM$21)&amp;"",""),IF(4&lt;=$BW$21,$CG$21,""))))</f>
        <v/>
      </c>
      <c r="CC21" s="19">
        <f>IF(LEN($DV$52)&gt;0,$DV$52,IF($BL$21=1,IFERROR(INDEX('Dados'!$U$92:$U$123,$BM$21)&amp;"",""),""))</f>
        <v/>
      </c>
      <c r="CD21" s="19">
        <f>INDEX('Dados'!$A$301:$A$307,MATCH(SMALL($DI$21:$DO$21,1),$DI$21:$DO$21,0))</f>
        <v/>
      </c>
      <c r="CE21" s="19">
        <f>INDEX('Dados'!$A$301:$A$307,MATCH(SMALL($DI$21:$DO$21,2),$DI$21:$DO$21,0))</f>
        <v/>
      </c>
      <c r="CF21" s="19">
        <f>INDEX('Dados'!$A$301:$A$307,MATCH(SMALL($DI$21:$DO$21,3),$DI$21:$DO$21,0))</f>
        <v/>
      </c>
      <c r="CG21" s="19">
        <f>INDEX('Dados'!$A$301:$A$307,MATCH(SMALL($DI$21:$DO$21,4),$DI$21:$DO$21,0))</f>
        <v/>
      </c>
      <c r="CH21" s="19">
        <f>IF($BL$21=1,IFERROR(INDEX('Dados'!$J$92:$J$123,$BM$21),""),"")</f>
        <v/>
      </c>
      <c r="CI21" s="19">
        <f>IF($BL$21=1,IFERROR(INDEX('Dados'!$G$92:$G$123,$BM$21),""),"")</f>
        <v/>
      </c>
      <c r="CJ21" s="19">
        <f>IFERROR(INDEX('Dados'!$S$38:$S$52,MATCH($BS$21,'Dados'!$A$38:$A$52,0)),"")</f>
        <v/>
      </c>
      <c r="CK21" s="19">
        <f>IFERROR(INDEX('Dados'!$T$38:$T$52,MATCH($BS$21,'Dados'!$A$38:$A$52,0)),"")</f>
        <v/>
      </c>
      <c r="CL21" s="19">
        <f>IFERROR(INDEX('Dados'!$J$38:$J$52,MATCH($BQ$21&amp;"|Comum",'Dados'!$A$38:$A$52,0)),"")</f>
        <v/>
      </c>
      <c r="CM21" s="19">
        <f>IFERROR(INDEX('Dados'!$K$38:$K$52,MATCH($BQ$21&amp;"|Comum",'Dados'!$A$38:$A$52,0)),"")</f>
        <v/>
      </c>
      <c r="CN21" s="19">
        <f>MOD(MOD(MOD((MOD('Início'!$E$15+104729*$C$7+145138789,2147483646)+1)*16807,2147483647)*16807,2147483647)*16807,2147483647)</f>
        <v/>
      </c>
      <c r="CO21" s="19">
        <f>MOD(MOD(MOD((MOD(MOD(INT($CN$21/65536)*$CN$21,2147483647)*65536+MOD($CN$21,65536)*$CN$21,2147483647))*16807,2147483647)*16807,2147483647)*16807,2147483647)</f>
        <v/>
      </c>
      <c r="CP21" s="19">
        <f>MOD(MOD(MOD((MOD($CO$21+INT($CO$21/65536)*MOD($CO$21,65536),2147483646)+1)*16807,2147483647)*16807,2147483647)*16807,2147483647)</f>
        <v/>
      </c>
      <c r="CQ21" s="19">
        <f>MOD(MOD(MOD((MOD('Início'!$E$15+104729*$C$7+146438498,2147483646)+1)*16807,2147483647)*16807,2147483647)*16807,2147483647)</f>
        <v/>
      </c>
      <c r="CR21" s="19">
        <f>MOD(MOD(MOD((MOD(MOD(INT($CQ$21/65536)*$CQ$21,2147483647)*65536+MOD($CQ$21,65536)*$CQ$21,2147483647))*16807,2147483647)*16807,2147483647)*16807,2147483647)</f>
        <v/>
      </c>
      <c r="CS21" s="19">
        <f>MOD(MOD(MOD((MOD($CR$21+INT($CR$21/65536)*MOD($CR$21,65536),2147483646)+1)*16807,2147483647)*16807,2147483647)*16807,2147483647)</f>
        <v/>
      </c>
      <c r="CT21" s="19">
        <f>MOD(MOD(MOD((MOD('Início'!$E$15+104729*$C$7+147738207,2147483646)+1)*16807,2147483647)*16807,2147483647)*16807,2147483647)</f>
        <v/>
      </c>
      <c r="CU21" s="19">
        <f>MOD(MOD(MOD((MOD(MOD(INT($CT$21/65536)*$CT$21,2147483647)*65536+MOD($CT$21,65536)*$CT$21,2147483647))*16807,2147483647)*16807,2147483647)*16807,2147483647)</f>
        <v/>
      </c>
      <c r="CV21" s="19">
        <f>MOD(MOD(MOD((MOD($CU$21+INT($CU$21/65536)*MOD($CU$21,65536),2147483646)+1)*16807,2147483647)*16807,2147483647)*16807,2147483647)</f>
        <v/>
      </c>
      <c r="CW21" s="19">
        <f>MOD(MOD(MOD((MOD('Início'!$E$15+104729*$C$7+149037916,2147483646)+1)*16807,2147483647)*16807,2147483647)*16807,2147483647)</f>
        <v/>
      </c>
      <c r="CX21" s="19">
        <f>MOD(MOD(MOD((MOD(MOD(INT($CW$21/65536)*$CW$21,2147483647)*65536+MOD($CW$21,65536)*$CW$21,2147483647))*16807,2147483647)*16807,2147483647)*16807,2147483647)</f>
        <v/>
      </c>
      <c r="CY21" s="19">
        <f>MOD(MOD(MOD((MOD($CX$21+INT($CX$21/65536)*MOD($CX$21,65536),2147483646)+1)*16807,2147483647)*16807,2147483647)*16807,2147483647)</f>
        <v/>
      </c>
      <c r="CZ21" s="19">
        <f>MOD(MOD(MOD((MOD('Início'!$E$15+104729*$C$7+150337625,2147483646)+1)*16807,2147483647)*16807,2147483647)*16807,2147483647)</f>
        <v/>
      </c>
      <c r="DA21" s="19">
        <f>MOD(MOD(MOD((MOD(MOD(INT($CZ$21/65536)*$CZ$21,2147483647)*65536+MOD($CZ$21,65536)*$CZ$21,2147483647))*16807,2147483647)*16807,2147483647)*16807,2147483647)</f>
        <v/>
      </c>
      <c r="DB21" s="19">
        <f>MOD(MOD(MOD((MOD($DA$21+INT($DA$21/65536)*MOD($DA$21,65536),2147483646)+1)*16807,2147483647)*16807,2147483647)*16807,2147483647)</f>
        <v/>
      </c>
      <c r="DC21" s="19">
        <f>MOD(MOD(MOD((MOD('Início'!$E$15+104729*$C$7+151637334,2147483646)+1)*16807,2147483647)*16807,2147483647)*16807,2147483647)</f>
        <v/>
      </c>
      <c r="DD21" s="19">
        <f>MOD(MOD(MOD((MOD(MOD(INT($DC$21/65536)*$DC$21,2147483647)*65536+MOD($DC$21,65536)*$DC$21,2147483647))*16807,2147483647)*16807,2147483647)*16807,2147483647)</f>
        <v/>
      </c>
      <c r="DE21" s="19">
        <f>MOD(MOD(MOD((MOD($DD$21+INT($DD$21/65536)*MOD($DD$21,65536),2147483646)+1)*16807,2147483647)*16807,2147483647)*16807,2147483647)</f>
        <v/>
      </c>
      <c r="DF21" s="19">
        <f>MOD(MOD(MOD((MOD('Início'!$E$15+104729*$C$7+152937043,2147483646)+1)*16807,2147483647)*16807,2147483647)*16807,2147483647)</f>
        <v/>
      </c>
      <c r="DG21" s="19">
        <f>MOD(MOD(MOD((MOD(MOD(INT($DF$21/65536)*$DF$21,2147483647)*65536+MOD($DF$21,65536)*$DF$21,2147483647))*16807,2147483647)*16807,2147483647)*16807,2147483647)</f>
        <v/>
      </c>
      <c r="DH21" s="19">
        <f>MOD(MOD(MOD((MOD($DG$21+INT($DG$21/65536)*MOD($DG$21,65536),2147483646)+1)*16807,2147483647)*16807,2147483647)*16807,2147483647)</f>
        <v/>
      </c>
      <c r="DI21" s="19">
        <f>IF($CC$21="Físico",9000000000,IF(AND('Grupo'!$B$44="Sim",COUNTIF($BY$11:$CB$20,"Físico")=0),0,2147483647))+$CP$21+1/10</f>
        <v/>
      </c>
      <c r="DJ21" s="19">
        <f>IF($CC$21="Fogo",9000000000,IF(AND('Grupo'!$C$44="Sim",COUNTIF($BY$11:$CB$20,"Fogo")=0),0,2147483647))+$CS$21+2/10</f>
        <v/>
      </c>
      <c r="DK21" s="19">
        <f>IF($CC$21="Gelo",9000000000,IF(AND('Grupo'!$D$44="Sim",COUNTIF($BY$11:$CB$20,"Gelo")=0),0,2147483647))+$CV$21+3/10</f>
        <v/>
      </c>
      <c r="DL21" s="19">
        <f>IF($CC$21="Raio",9000000000,IF(AND('Grupo'!$E$44="Sim",COUNTIF($BY$11:$CB$20,"Raio")=0),0,2147483647))+$CY$21+4/10</f>
        <v/>
      </c>
      <c r="DM21" s="19">
        <f>IF($CC$21="Vento",9000000000,IF(AND('Grupo'!$F$44="Sim",COUNTIF($BY$11:$CB$20,"Vento")=0),0,2147483647))+$DB$21+5/10</f>
        <v/>
      </c>
      <c r="DN21" s="19">
        <f>IF($CC$21="Quântico",9000000000,IF(AND('Grupo'!$G$44="Sim",COUNTIF($BY$11:$CB$20,"Quântico")=0),0,2147483647))+$DE$21+6/10</f>
        <v/>
      </c>
      <c r="DO21" s="19">
        <f>IF($CC$21="Imaginário",9000000000,IF(AND('Grupo'!$H$44="Sim",COUNTIF($BY$11:$CB$20,"Imaginário")=0),0,2147483647))+$DH$21+7/10</f>
        <v/>
      </c>
      <c r="DQ21" s="19">
        <f>IF(ISERROR($A$21),"",IF(ISBLANK($A$21),"",$A$21))</f>
        <v/>
      </c>
      <c r="DR21" s="19">
        <f>IF(ISERROR($B$21),"",IF(ISBLANK($B$21),"",$B$21))</f>
        <v/>
      </c>
      <c r="DT21" s="19">
        <f>IF(ISERROR($D$21),"",IF(ISBLANK($D$21),"",$D$21))</f>
        <v/>
      </c>
      <c r="DW21" s="19">
        <f>IF(ISERROR($G$21),"",IF(ISBLANK($G$21),"",$G$21))</f>
        <v/>
      </c>
      <c r="DX21" s="19">
        <f>IF(ISERROR($H$21),"",IF(ISBLANK($H$21),"",$H$21))</f>
        <v/>
      </c>
      <c r="DY21" s="19">
        <f>IF(ISERROR($I$21),"",IF(ISBLANK($I$21),"",$I$21))</f>
        <v/>
      </c>
      <c r="DZ21" s="19">
        <f>IF(ISERROR($J$21),"",IF(ISBLANK($J$21),"",$J$21))</f>
        <v/>
      </c>
      <c r="EA21" s="19">
        <f>ISERROR($A$21)*1+ISERROR($B$21)*1+ISERROR($D$21)*1+ISERROR($G$21)*1+ISERROR($H$21)*1+ISERROR($I$21)*1+ISERROR($J$21)*1</f>
        <v/>
      </c>
    </row>
    <row r="22" ht="26" customHeight="1">
      <c r="A22" s="31" t="n"/>
      <c r="B22" s="28" t="n"/>
      <c r="C22" s="16" t="n"/>
      <c r="D22" s="28" t="n"/>
      <c r="E22" s="24" t="n"/>
      <c r="F22" s="16" t="n"/>
      <c r="G22" s="42" t="n"/>
      <c r="H22" s="34" t="n"/>
      <c r="I22" s="42" t="n"/>
      <c r="J22" s="34" t="n"/>
      <c r="K22" s="26">
        <f>IF(EA22&gt;0,"O Google leu como fórmula: escolha de novo ou digite com ' na frente.",IF(LEN($DQ$22)=0,IF(LEN($DR$22&amp;$DT$22&amp;$DY$22)&gt;0,"Linha sem nome: o inimigo não entra nas listas",""),IF(COUNTIF($DQ$11:$DQ$22,$DQ$22)&gt;1,"Nome repetido na tabela",IF(COUNTIF('Dados'!$B$92:$B$123,$DQ$22)&gt;0,"Nome igual a uma criatura do bestiário: dê outro nome",IF(AND($BK$22="Ajustar do bestiário",$BL$22=0),"Modo Ajustar sem base do bestiário válida",IF(AND(LEN($DZ$22)&gt;0,$BN$22&lt;&gt;"Boss"),"Fases só valem para Boss (28.5)",IF(AND(ISNUMBER($DX$22),OR($DX$22&lt;1,$DX$22&gt;20)),"Nível fora de 1 a 20: usando o limite",IF(AND(LEN($DY$22)&gt;0,COUNTIF('Dados'!$AO$6:$AO$8,$DY$22)=0),"Tipo fora da lista: usando Comum",""))))))))</f>
        <v/>
      </c>
      <c r="N22" s="19">
        <f>IF(LEN($DQ$22)=0,"",$DQ$22)</f>
        <v/>
      </c>
      <c r="O22" s="19">
        <f>IF(LEN($DQ$22)=0,"",$BN$22)</f>
        <v/>
      </c>
      <c r="P22" s="19">
        <f>IF(LEN($DQ$22)=0,"",$BQ$22)</f>
        <v/>
      </c>
      <c r="Q22" s="19">
        <f>IF(LEN($DQ$22)=0,"",$BU$22)</f>
        <v/>
      </c>
      <c r="R22" s="19">
        <f>IF(LEN($DQ$22)=0,"",IFERROR(INDEX('Dados'!$E$38:$E$52,MATCH($BS$22,'Dados'!$A$38:$A$52,0)),""))</f>
        <v/>
      </c>
      <c r="S22" s="19">
        <f>IF(LEN($DQ$22)=0,"",IFERROR(INDEX('Dados'!$F$38:$F$52,MATCH($BS$22,'Dados'!$A$38:$A$52,0)),""))</f>
        <v/>
      </c>
      <c r="T22" s="19">
        <f>IF(LEN($DQ$22)=0,"",IFERROR(INDEX('Dados'!$G$38:$G$52,MATCH($BS$22,'Dados'!$A$38:$A$52,0)),""))</f>
        <v/>
      </c>
      <c r="U22" s="19">
        <f>IF(LEN($DQ$22)=0,"",IFERROR(INDEX('Dados'!$H$38:$H$52,MATCH($BS$22,'Dados'!$A$38:$A$52,0)),""))</f>
        <v/>
      </c>
      <c r="V22" s="19">
        <f>IF(LEN($DQ$22)=0,"",IFERROR(INDEX('Dados'!$I$38:$I$52,MATCH($BS$22,'Dados'!$A$38:$A$52,0)),""))</f>
        <v/>
      </c>
      <c r="W22" s="19">
        <f>IF(LEN($DQ$22)=0,"",IFERROR(INDEX('Dados'!$J$38:$J$52,MATCH($BS$22,'Dados'!$A$38:$A$52,0)),""))</f>
        <v/>
      </c>
      <c r="X22" s="19">
        <f>IF(LEN($DQ$22)=0,"",IFERROR(INDEX('Dados'!$K$38:$K$52,MATCH($BS$22,'Dados'!$A$38:$A$52,0)),""))</f>
        <v/>
      </c>
      <c r="Y22" s="19">
        <f>IF(LEN($DQ$22)=0,"",IFERROR(INDEX('Dados'!$L$38:$L$52,MATCH($BS$22,'Dados'!$A$38:$A$52,0)),""))</f>
        <v/>
      </c>
      <c r="Z22" s="19">
        <f>IF(LEN($DQ$22)=0,"",IFERROR(INDEX('Dados'!$M$38:$M$52,MATCH($BS$22,'Dados'!$A$38:$A$52,0)),""))</f>
        <v/>
      </c>
      <c r="AA22" s="19">
        <f>IF(LEN($DQ$22)=0,"",$BY$22)</f>
        <v/>
      </c>
      <c r="AB22" s="19">
        <f>IF(LEN($DQ$22)=0,"",$BZ$22)</f>
        <v/>
      </c>
      <c r="AC22" s="19">
        <f>IF(LEN($DQ$22)=0,"",$CA$22)</f>
        <v/>
      </c>
      <c r="AD22" s="19">
        <f>IF(LEN($DQ$22)=0,"",$CB$22)</f>
        <v/>
      </c>
      <c r="AE22" s="19">
        <f>IF(LEN($DQ$22)=0,"",$CC$22)</f>
        <v/>
      </c>
      <c r="AF22" s="19">
        <f>IF(LEN($DQ$22)=0,"",IF($DV$37="Sim","Pode",IF($DV$37="Não","Não",IF($BL$22=1,IFERROR(INDEX('Dados'!$V$92:$V$123,$BM$22)&amp;"",""),"Não declarado"))))</f>
        <v/>
      </c>
      <c r="AG22" s="19">
        <f>IF(LEN($DQ$22)=0,"",$BV$22)</f>
        <v/>
      </c>
      <c r="AH22" s="19">
        <f>IF(LEN($DQ$22)=0,"",IFERROR(INDEX('Dados'!$Q$38:$Q$52,MATCH($BS$22,'Dados'!$A$38:$A$52,0)),""))</f>
        <v/>
      </c>
      <c r="AI22" s="19">
        <f>IF(LEN($DQ$22)=0,"",IF(AND($BL$22=1,$DT$22="Escória de Stellaron"),1.5,1)*$BU$22)</f>
        <v/>
      </c>
      <c r="AJ22" s="19">
        <f>IF(LEN($DQ$22)=0,"",IFERROR(INDEX('Dados'!$P$38:$P$52,MATCH($BS$22,'Dados'!$A$38:$A$52,0)),""))</f>
        <v/>
      </c>
      <c r="AK22" s="19">
        <f>IF(LEN($DQ$22)=0,"",IF($BV$22=2,INT($BU$22/2),IF($BV$22=3,INT(2*$BU$22/3),"")))</f>
        <v/>
      </c>
      <c r="AL22" s="19">
        <f>IF(LEN($DQ$22)=0,"",IF($BV$22=3,INT($BU$22/3),""))</f>
        <v/>
      </c>
      <c r="AM22" s="19">
        <f>IF(OR(LEN($DQ$22)=0,$BV$22&lt;2),"",IFERROR(INDEX($DT$88:$DT$112,MATCH($DQ$22&amp;"|2",$N$88:$N$112,0))&amp;"",IF($BL$22=1,IFERROR(INDEX('Dados'!$G$127:$G$138,MATCH($DT$22&amp;"|2",'Dados'!$A$127:$A$138,0)),""),"")))</f>
        <v/>
      </c>
      <c r="AN22" s="19">
        <f>IF(OR(LEN($DQ$22)=0,$BV$22&lt;2),"",IFERROR(INDEX($DU$88:$DU$112,MATCH($DQ$22&amp;"|2",$N$88:$N$112,0))&amp;"",IF($BL$22=1,IFERROR(INDEX('Dados'!$H$127:$H$138,MATCH($DT$22&amp;"|2",'Dados'!$A$127:$A$138,0)),""),"")))</f>
        <v/>
      </c>
      <c r="AO22" s="19">
        <f>IF(OR(LEN($DQ$22)=0,$BV$22&lt;2),"",IFERROR(INDEX($DV$88:$DV$112,MATCH($DQ$22&amp;"|2",$N$88:$N$112,0))&amp;"",IF($BL$22=1,IFERROR(INDEX('Dados'!$I$127:$I$138,MATCH($DT$22&amp;"|2",'Dados'!$A$127:$A$138,0)),""),"")))</f>
        <v/>
      </c>
      <c r="AP22" s="19">
        <f>IF(OR(LEN($DQ$22)=0,$BV$22&lt;2),"",IFERROR(INDEX($DW$88:$DW$112,MATCH($DQ$22&amp;"|2",$N$88:$N$112,0))&amp;"",IF($BL$22=1,IFERROR(INDEX('Dados'!$J$127:$J$138,MATCH($DT$22&amp;"|2",'Dados'!$A$127:$A$138,0)),""),"")))</f>
        <v/>
      </c>
      <c r="AQ22" s="19">
        <f>IF(OR(LEN($DQ$22)=0,$BV$22&lt;2),"",IF(ISNUMBER(MATCH($DQ$22&amp;"|2",$N$88:$N$112,0)),IF(ISNUMBER(INDEX($DX$88:$DX$112,MATCH($DQ$22&amp;"|2",$N$88:$N$112,0))),MIN(IFERROR(INDEX('Dados'!$G$38:$G$52,MATCH($BS$22,'Dados'!$A$38:$A$52,0)),""),INDEX($DX$88:$DX$112,MATCH($DQ$22&amp;"|2",$N$88:$N$112,0))),IFERROR(INDEX('Dados'!$G$38:$G$52,MATCH($BS$22,'Dados'!$A$38:$A$52,0)),"")),IF($BL$22=1,IFERROR(MIN(IFERROR(INDEX('Dados'!$G$38:$G$52,MATCH($BS$22,'Dados'!$A$38:$A$52,0)),""),INT(INDEX('Dados'!$K$127:$K$138,MATCH($DT$22&amp;"|2",'Dados'!$A$127:$A$138,0))*IFERROR(INDEX('Dados'!$G$38:$G$52,MATCH($BS$22,'Dados'!$A$38:$A$52,0)),"")/$CH$22)),IFERROR(INDEX('Dados'!$G$38:$G$52,MATCH($BS$22,'Dados'!$A$38:$A$52,0)),"")),IFERROR(INDEX('Dados'!$G$38:$G$52,MATCH($BS$22,'Dados'!$A$38:$A$52,0)),""))))</f>
        <v/>
      </c>
      <c r="AR22" s="19">
        <f>IF(OR(LEN($DQ$22)=0,$BV$22&lt;3),"",IFERROR(INDEX($DT$88:$DT$112,MATCH($DQ$22&amp;"|3",$N$88:$N$112,0))&amp;"",IF($BL$22=1,IFERROR(INDEX('Dados'!$G$127:$G$138,MATCH($DT$22&amp;"|3",'Dados'!$A$127:$A$138,0)),""),"")))</f>
        <v/>
      </c>
      <c r="AS22" s="19">
        <f>IF(OR(LEN($DQ$22)=0,$BV$22&lt;3),"",IFERROR(INDEX($DU$88:$DU$112,MATCH($DQ$22&amp;"|3",$N$88:$N$112,0))&amp;"",IF($BL$22=1,IFERROR(INDEX('Dados'!$H$127:$H$138,MATCH($DT$22&amp;"|3",'Dados'!$A$127:$A$138,0)),""),"")))</f>
        <v/>
      </c>
      <c r="AT22" s="19">
        <f>IF(OR(LEN($DQ$22)=0,$BV$22&lt;3),"",IFERROR(INDEX($DV$88:$DV$112,MATCH($DQ$22&amp;"|3",$N$88:$N$112,0))&amp;"",IF($BL$22=1,IFERROR(INDEX('Dados'!$I$127:$I$138,MATCH($DT$22&amp;"|3",'Dados'!$A$127:$A$138,0)),""),"")))</f>
        <v/>
      </c>
      <c r="AU22" s="19">
        <f>IF(OR(LEN($DQ$22)=0,$BV$22&lt;3),"",IFERROR(INDEX($DW$88:$DW$112,MATCH($DQ$22&amp;"|3",$N$88:$N$112,0))&amp;"",IF($BL$22=1,IFERROR(INDEX('Dados'!$J$127:$J$138,MATCH($DT$22&amp;"|3",'Dados'!$A$127:$A$138,0)),""),"")))</f>
        <v/>
      </c>
      <c r="AV22" s="19">
        <f>IF(OR(LEN($DQ$22)=0,$BV$22&lt;3),"",IF(ISNUMBER(MATCH($DQ$22&amp;"|3",$N$88:$N$112,0)),IF(ISNUMBER(INDEX($DX$88:$DX$112,MATCH($DQ$22&amp;"|3",$N$88:$N$112,0))),MIN(IFERROR(INDEX('Dados'!$G$38:$G$52,MATCH($BS$22,'Dados'!$A$38:$A$52,0)),""),INDEX($DX$88:$DX$112,MATCH($DQ$22&amp;"|3",$N$88:$N$112,0))),IFERROR(INDEX('Dados'!$G$38:$G$52,MATCH($BS$22,'Dados'!$A$38:$A$52,0)),"")),IF($BL$22=1,IFERROR(MIN(IFERROR(INDEX('Dados'!$G$38:$G$52,MATCH($BS$22,'Dados'!$A$38:$A$52,0)),""),INT(INDEX('Dados'!$K$127:$K$138,MATCH($DT$22&amp;"|3",'Dados'!$A$127:$A$138,0))*IFERROR(INDEX('Dados'!$G$38:$G$52,MATCH($BS$22,'Dados'!$A$38:$A$52,0)),"")/$CH$22)),IFERROR(INDEX('Dados'!$G$38:$G$52,MATCH($BS$22,'Dados'!$A$38:$A$52,0)),"")),IFERROR(INDEX('Dados'!$G$38:$G$52,MATCH($BS$22,'Dados'!$A$38:$A$52,0)),""))))</f>
        <v/>
      </c>
      <c r="AW22" s="19">
        <f>IF(LEN($DQ$22)=0,"",IF($BL$22=1,IFERROR(INDEX('Dados'!$AF$92:$AF$123,$BM$22)&amp;"",""),IFERROR(INDEX($DU$116:$DU$153,MATCH($DQ$22&amp;"|1",$Q$116:$Q$153,0))&amp;"","")))</f>
        <v/>
      </c>
      <c r="AX22" s="19">
        <f>IF(LEN($DQ$22)=0,"",IF($BL$22=1,IF(ISNUMBER(IFERROR(INDEX('Dados'!$AG$92:$AG$123,$BM$22),"")),IF(IFERROR(INDEX('Dados'!$AG$92:$AG$123,$BM$22),"")&gt;0,IFERROR(INDEX('Dados'!$AG$92:$AG$123,$BM$22),""),""),""),IFERROR(INDEX($DY$116:$DY$153,MATCH($DQ$22&amp;"|1",$Q$116:$Q$153,0))+0,"")))</f>
        <v/>
      </c>
      <c r="AY22" s="19">
        <f>IF(LEN($DQ$22)=0,"",IF($BL$22=1,IFERROR(INDEX('Dados'!$AH$92:$AH$123,$BM$22)&amp;"",""),IFERROR(INDEX($DU$116:$DU$153,MATCH($DQ$22&amp;"|2",$Q$116:$Q$153,0))&amp;"","")))</f>
        <v/>
      </c>
      <c r="AZ22" s="19">
        <f>IF(LEN($DQ$22)=0,"",IF($BL$22=1,IF(ISNUMBER(IFERROR(INDEX('Dados'!$AI$92:$AI$123,$BM$22),"")),IF(IFERROR(INDEX('Dados'!$AI$92:$AI$123,$BM$22),"")&gt;0,IFERROR(INDEX('Dados'!$AI$92:$AI$123,$BM$22),""),""),""),IFERROR(INDEX($DY$116:$DY$153,MATCH($DQ$22&amp;"|2",$Q$116:$Q$153,0))+0,"")))</f>
        <v/>
      </c>
      <c r="BA22" s="19">
        <f>IF(LEN($DQ$22)=0,"",IF($BL$22=1,IFERROR(INDEX('Dados'!$AJ$92:$AJ$123,$BM$22)&amp;"",""),IFERROR(INDEX($DU$116:$DU$153,MATCH($DQ$22&amp;"|3",$Q$116:$Q$153,0))&amp;"","")))</f>
        <v/>
      </c>
      <c r="BB22" s="19">
        <f>IF(LEN($DQ$22)=0,"",IF($BL$22=1,IF(ISNUMBER(IFERROR(INDEX('Dados'!$AK$92:$AK$123,$BM$22),"")),IF(IFERROR(INDEX('Dados'!$AK$92:$AK$123,$BM$22),"")&gt;0,IFERROR(INDEX('Dados'!$AK$92:$AK$123,$BM$22),""),""),""),IFERROR(INDEX($DY$116:$DY$153,MATCH($DQ$22&amp;"|3",$Q$116:$Q$153,0))+0,"")))</f>
        <v/>
      </c>
      <c r="BC22" s="19">
        <f>IF(LEN($DQ$22)=0,"",IF(LEN($DR$37)&gt;0,$DR$37,IF($BL$22=1,IFERROR(INDEX('Dados'!$E$92:$E$123,$BM$22)&amp;"",""),"")))</f>
        <v/>
      </c>
      <c r="BD22" s="19">
        <f>IF(AND(LEN($DR$37)=0,$BL$22=1),IFERROR(INDEX('Dados'!$AD$92:$AD$123,$BM$22)&amp;"",""),"")</f>
        <v/>
      </c>
      <c r="BE22" s="19">
        <f>IF(LEN($DQ$22)=0,"",INDEX('Dados'!$F$7:$F$11,$BR$22))</f>
        <v/>
      </c>
      <c r="BF22" s="19">
        <f>IF(LEN($DQ$22)=0,"",$BR$22)</f>
        <v/>
      </c>
      <c r="BG22" s="19">
        <f>$G$53</f>
        <v/>
      </c>
      <c r="BH22" s="19">
        <f>"Campanha"</f>
        <v/>
      </c>
      <c r="BK22" s="19">
        <f>IF(COUNTIF('Dados'!$AQ$6:$AQ$8,$DR$22)&gt;0,$DR$22,"Faixa do livro")</f>
        <v/>
      </c>
      <c r="BL22" s="19">
        <f>IF(AND($BK$22="Ajustar do bestiário",ISNUMBER($BM$22)),1,0)</f>
        <v/>
      </c>
      <c r="BM22" s="19">
        <f>IFERROR(MATCH($DT$22,'Dados'!$B$92:$B$123,0),"")</f>
        <v/>
      </c>
      <c r="BN22" s="19">
        <f>IF(COUNTIF('Dados'!$AO$6:$AO$8,$DY$22)&gt;0,$DY$22,IF($BL$22=1,IFERROR(INDEX('Dados'!$C$92:$C$123,$BM$22),""),"Comum"))</f>
        <v/>
      </c>
      <c r="BO22" s="19">
        <f>MATCH($BN$22,'Dados'!$AO$6:$AO$8,0)</f>
        <v/>
      </c>
      <c r="BP22" s="19">
        <f>IF(ISNUMBER($DX$22),MIN(20,MAX(1,INT($DX$22))),'Campanha'!$B$17)</f>
        <v/>
      </c>
      <c r="BQ22" s="19">
        <f>IF($BK$22="Por nível — Sugestão",INDEX('Dados'!$B$7:$B$11,INT(($BP$22-1)/4)+1),IF(LEN(IFERROR(INDEX('Dados'!$B$7:$B$11,MATCH($DW$22,'Dados'!$AP$6:$AP$10,0)),""))&gt;0,IFERROR(INDEX('Dados'!$B$7:$B$11,MATCH($DW$22,'Dados'!$AP$6:$AP$10,0)),""),'Campanha'!$B$19))</f>
        <v/>
      </c>
      <c r="BR22" s="19">
        <f>MATCH($BQ$22,'Dados'!$B$7:$B$11,0)</f>
        <v/>
      </c>
      <c r="BS22" s="19">
        <f>$BQ$22&amp;"|"&amp;$BN$22</f>
        <v/>
      </c>
      <c r="BT22" s="19">
        <f>MIN(4,MAX(1,INT(($BP$22-3)/4)+1))</f>
        <v/>
      </c>
      <c r="BU22" s="19">
        <f>IF($BK$22="Por nível — Sugestão",INT(IF($BP$22&lt;=3,INDEX('Dados'!$D$38:$D$52,$BO$22),IF($BP$22&gt;=19,INDEX('Dados'!$D$38:$D$52,12+$BO$22),INDEX('Dados'!$D$38:$D$52,($BT$22-1)*3+$BO$22)+(INDEX('Dados'!$D$38:$D$52,$BT$22*3+$BO$22)-INDEX('Dados'!$D$38:$D$52,($BT$22-1)*3+$BO$22))*($BP$22-(4*$BT$22-1))/4))),IFERROR(INDEX('Dados'!$D$38:$D$52,MATCH($BS$22,'Dados'!$A$38:$A$52,0)),""))</f>
        <v/>
      </c>
      <c r="BV22" s="19">
        <f>IF($BN$22&lt;&gt;"Boss",1,IF(AND(ISNUMBER($DZ$22),$DZ$22&gt;=1,$DZ$22&lt;=3),INT($DZ$22),IF($BL$22=1,MAX(1,IFERROR(INDEX('Dados'!$F$92:$F$123,$BM$22),"")),1)))</f>
        <v/>
      </c>
      <c r="BW22" s="19">
        <f>IFERROR(INDEX('Dados'!$O$38:$O$52,MATCH($BS$22,'Dados'!$A$38:$A$52,0)),"")</f>
        <v/>
      </c>
      <c r="BX22" s="19">
        <f>IF(AND(LEN($DR$53)=0,LEN($DS$53)=0,LEN($DT$53)=0,LEN($DU$53)=0),1,0)</f>
        <v/>
      </c>
      <c r="BY22" s="19">
        <f>IF(LEN($DQ$22)=0,"",IF($BX$22=0,$DR$53&amp;"",IF($BL$22=1,IFERROR(INDEX('Dados'!$Q$92:$Q$123,$BM$22)&amp;"",""),IF(1&lt;=$BW$22,$CD$22,""))))</f>
        <v/>
      </c>
      <c r="BZ22" s="19">
        <f>IF(LEN($DQ$22)=0,"",IF($BX$22=0,$DS$53&amp;"",IF($BL$22=1,IFERROR(INDEX('Dados'!$R$92:$R$123,$BM$22)&amp;"",""),IF(2&lt;=$BW$22,$CE$22,""))))</f>
        <v/>
      </c>
      <c r="CA22" s="19">
        <f>IF(LEN($DQ$22)=0,"",IF($BX$22=0,$DT$53&amp;"",IF($BL$22=1,IFERROR(INDEX('Dados'!$S$92:$S$123,$BM$22)&amp;"",""),IF(3&lt;=$BW$22,$CF$22,""))))</f>
        <v/>
      </c>
      <c r="CB22" s="19">
        <f>IF(LEN($DQ$22)=0,"",IF($BX$22=0,$DU$53&amp;"",IF($BL$22=1,IFERROR(INDEX('Dados'!$T$92:$T$123,$BM$22)&amp;"",""),IF(4&lt;=$BW$22,$CG$22,""))))</f>
        <v/>
      </c>
      <c r="CC22" s="19">
        <f>IF(LEN($DV$53)&gt;0,$DV$53,IF($BL$22=1,IFERROR(INDEX('Dados'!$U$92:$U$123,$BM$22)&amp;"",""),""))</f>
        <v/>
      </c>
      <c r="CD22" s="19">
        <f>INDEX('Dados'!$A$301:$A$307,MATCH(SMALL($DI$22:$DO$22,1),$DI$22:$DO$22,0))</f>
        <v/>
      </c>
      <c r="CE22" s="19">
        <f>INDEX('Dados'!$A$301:$A$307,MATCH(SMALL($DI$22:$DO$22,2),$DI$22:$DO$22,0))</f>
        <v/>
      </c>
      <c r="CF22" s="19">
        <f>INDEX('Dados'!$A$301:$A$307,MATCH(SMALL($DI$22:$DO$22,3),$DI$22:$DO$22,0))</f>
        <v/>
      </c>
      <c r="CG22" s="19">
        <f>INDEX('Dados'!$A$301:$A$307,MATCH(SMALL($DI$22:$DO$22,4),$DI$22:$DO$22,0))</f>
        <v/>
      </c>
      <c r="CH22" s="19">
        <f>IF($BL$22=1,IFERROR(INDEX('Dados'!$J$92:$J$123,$BM$22),""),"")</f>
        <v/>
      </c>
      <c r="CI22" s="19">
        <f>IF($BL$22=1,IFERROR(INDEX('Dados'!$G$92:$G$123,$BM$22),""),"")</f>
        <v/>
      </c>
      <c r="CJ22" s="19">
        <f>IFERROR(INDEX('Dados'!$S$38:$S$52,MATCH($BS$22,'Dados'!$A$38:$A$52,0)),"")</f>
        <v/>
      </c>
      <c r="CK22" s="19">
        <f>IFERROR(INDEX('Dados'!$T$38:$T$52,MATCH($BS$22,'Dados'!$A$38:$A$52,0)),"")</f>
        <v/>
      </c>
      <c r="CL22" s="19">
        <f>IFERROR(INDEX('Dados'!$J$38:$J$52,MATCH($BQ$22&amp;"|Comum",'Dados'!$A$38:$A$52,0)),"")</f>
        <v/>
      </c>
      <c r="CM22" s="19">
        <f>IFERROR(INDEX('Dados'!$K$38:$K$52,MATCH($BQ$22&amp;"|Comum",'Dados'!$A$38:$A$52,0)),"")</f>
        <v/>
      </c>
      <c r="CN22" s="19">
        <f>MOD(MOD(MOD((MOD('Início'!$E$15+104729*$C$7+158135879,2147483646)+1)*16807,2147483647)*16807,2147483647)*16807,2147483647)</f>
        <v/>
      </c>
      <c r="CO22" s="19">
        <f>MOD(MOD(MOD((MOD(MOD(INT($CN$22/65536)*$CN$22,2147483647)*65536+MOD($CN$22,65536)*$CN$22,2147483647))*16807,2147483647)*16807,2147483647)*16807,2147483647)</f>
        <v/>
      </c>
      <c r="CP22" s="19">
        <f>MOD(MOD(MOD((MOD($CO$22+INT($CO$22/65536)*MOD($CO$22,65536),2147483646)+1)*16807,2147483647)*16807,2147483647)*16807,2147483647)</f>
        <v/>
      </c>
      <c r="CQ22" s="19">
        <f>MOD(MOD(MOD((MOD('Início'!$E$15+104729*$C$7+159435588,2147483646)+1)*16807,2147483647)*16807,2147483647)*16807,2147483647)</f>
        <v/>
      </c>
      <c r="CR22" s="19">
        <f>MOD(MOD(MOD((MOD(MOD(INT($CQ$22/65536)*$CQ$22,2147483647)*65536+MOD($CQ$22,65536)*$CQ$22,2147483647))*16807,2147483647)*16807,2147483647)*16807,2147483647)</f>
        <v/>
      </c>
      <c r="CS22" s="19">
        <f>MOD(MOD(MOD((MOD($CR$22+INT($CR$22/65536)*MOD($CR$22,65536),2147483646)+1)*16807,2147483647)*16807,2147483647)*16807,2147483647)</f>
        <v/>
      </c>
      <c r="CT22" s="19">
        <f>MOD(MOD(MOD((MOD('Início'!$E$15+104729*$C$7+160735297,2147483646)+1)*16807,2147483647)*16807,2147483647)*16807,2147483647)</f>
        <v/>
      </c>
      <c r="CU22" s="19">
        <f>MOD(MOD(MOD((MOD(MOD(INT($CT$22/65536)*$CT$22,2147483647)*65536+MOD($CT$22,65536)*$CT$22,2147483647))*16807,2147483647)*16807,2147483647)*16807,2147483647)</f>
        <v/>
      </c>
      <c r="CV22" s="19">
        <f>MOD(MOD(MOD((MOD($CU$22+INT($CU$22/65536)*MOD($CU$22,65536),2147483646)+1)*16807,2147483647)*16807,2147483647)*16807,2147483647)</f>
        <v/>
      </c>
      <c r="CW22" s="19">
        <f>MOD(MOD(MOD((MOD('Início'!$E$15+104729*$C$7+162035006,2147483646)+1)*16807,2147483647)*16807,2147483647)*16807,2147483647)</f>
        <v/>
      </c>
      <c r="CX22" s="19">
        <f>MOD(MOD(MOD((MOD(MOD(INT($CW$22/65536)*$CW$22,2147483647)*65536+MOD($CW$22,65536)*$CW$22,2147483647))*16807,2147483647)*16807,2147483647)*16807,2147483647)</f>
        <v/>
      </c>
      <c r="CY22" s="19">
        <f>MOD(MOD(MOD((MOD($CX$22+INT($CX$22/65536)*MOD($CX$22,65536),2147483646)+1)*16807,2147483647)*16807,2147483647)*16807,2147483647)</f>
        <v/>
      </c>
      <c r="CZ22" s="19">
        <f>MOD(MOD(MOD((MOD('Início'!$E$15+104729*$C$7+163334715,2147483646)+1)*16807,2147483647)*16807,2147483647)*16807,2147483647)</f>
        <v/>
      </c>
      <c r="DA22" s="19">
        <f>MOD(MOD(MOD((MOD(MOD(INT($CZ$22/65536)*$CZ$22,2147483647)*65536+MOD($CZ$22,65536)*$CZ$22,2147483647))*16807,2147483647)*16807,2147483647)*16807,2147483647)</f>
        <v/>
      </c>
      <c r="DB22" s="19">
        <f>MOD(MOD(MOD((MOD($DA$22+INT($DA$22/65536)*MOD($DA$22,65536),2147483646)+1)*16807,2147483647)*16807,2147483647)*16807,2147483647)</f>
        <v/>
      </c>
      <c r="DC22" s="19">
        <f>MOD(MOD(MOD((MOD('Início'!$E$15+104729*$C$7+164634424,2147483646)+1)*16807,2147483647)*16807,2147483647)*16807,2147483647)</f>
        <v/>
      </c>
      <c r="DD22" s="19">
        <f>MOD(MOD(MOD((MOD(MOD(INT($DC$22/65536)*$DC$22,2147483647)*65536+MOD($DC$22,65536)*$DC$22,2147483647))*16807,2147483647)*16807,2147483647)*16807,2147483647)</f>
        <v/>
      </c>
      <c r="DE22" s="19">
        <f>MOD(MOD(MOD((MOD($DD$22+INT($DD$22/65536)*MOD($DD$22,65536),2147483646)+1)*16807,2147483647)*16807,2147483647)*16807,2147483647)</f>
        <v/>
      </c>
      <c r="DF22" s="19">
        <f>MOD(MOD(MOD((MOD('Início'!$E$15+104729*$C$7+165934133,2147483646)+1)*16807,2147483647)*16807,2147483647)*16807,2147483647)</f>
        <v/>
      </c>
      <c r="DG22" s="19">
        <f>MOD(MOD(MOD((MOD(MOD(INT($DF$22/65536)*$DF$22,2147483647)*65536+MOD($DF$22,65536)*$DF$22,2147483647))*16807,2147483647)*16807,2147483647)*16807,2147483647)</f>
        <v/>
      </c>
      <c r="DH22" s="19">
        <f>MOD(MOD(MOD((MOD($DG$22+INT($DG$22/65536)*MOD($DG$22,65536),2147483646)+1)*16807,2147483647)*16807,2147483647)*16807,2147483647)</f>
        <v/>
      </c>
      <c r="DI22" s="19">
        <f>IF($CC$22="Físico",9000000000,IF(AND('Grupo'!$B$44="Sim",COUNTIF($BY$11:$CB$21,"Físico")=0),0,2147483647))+$CP$22+1/10</f>
        <v/>
      </c>
      <c r="DJ22" s="19">
        <f>IF($CC$22="Fogo",9000000000,IF(AND('Grupo'!$C$44="Sim",COUNTIF($BY$11:$CB$21,"Fogo")=0),0,2147483647))+$CS$22+2/10</f>
        <v/>
      </c>
      <c r="DK22" s="19">
        <f>IF($CC$22="Gelo",9000000000,IF(AND('Grupo'!$D$44="Sim",COUNTIF($BY$11:$CB$21,"Gelo")=0),0,2147483647))+$CV$22+3/10</f>
        <v/>
      </c>
      <c r="DL22" s="19">
        <f>IF($CC$22="Raio",9000000000,IF(AND('Grupo'!$E$44="Sim",COUNTIF($BY$11:$CB$21,"Raio")=0),0,2147483647))+$CY$22+4/10</f>
        <v/>
      </c>
      <c r="DM22" s="19">
        <f>IF($CC$22="Vento",9000000000,IF(AND('Grupo'!$F$44="Sim",COUNTIF($BY$11:$CB$21,"Vento")=0),0,2147483647))+$DB$22+5/10</f>
        <v/>
      </c>
      <c r="DN22" s="19">
        <f>IF($CC$22="Quântico",9000000000,IF(AND('Grupo'!$G$44="Sim",COUNTIF($BY$11:$CB$21,"Quântico")=0),0,2147483647))+$DE$22+6/10</f>
        <v/>
      </c>
      <c r="DO22" s="19">
        <f>IF($CC$22="Imaginário",9000000000,IF(AND('Grupo'!$H$44="Sim",COUNTIF($BY$11:$CB$21,"Imaginário")=0),0,2147483647))+$DH$22+7/10</f>
        <v/>
      </c>
      <c r="DQ22" s="19">
        <f>IF(ISERROR($A$22),"",IF(ISBLANK($A$22),"",$A$22))</f>
        <v/>
      </c>
      <c r="DR22" s="19">
        <f>IF(ISERROR($B$22),"",IF(ISBLANK($B$22),"",$B$22))</f>
        <v/>
      </c>
      <c r="DT22" s="19">
        <f>IF(ISERROR($D$22),"",IF(ISBLANK($D$22),"",$D$22))</f>
        <v/>
      </c>
      <c r="DW22" s="19">
        <f>IF(ISERROR($G$22),"",IF(ISBLANK($G$22),"",$G$22))</f>
        <v/>
      </c>
      <c r="DX22" s="19">
        <f>IF(ISERROR($H$22),"",IF(ISBLANK($H$22),"",$H$22))</f>
        <v/>
      </c>
      <c r="DY22" s="19">
        <f>IF(ISERROR($I$22),"",IF(ISBLANK($I$22),"",$I$22))</f>
        <v/>
      </c>
      <c r="DZ22" s="19">
        <f>IF(ISERROR($J$22),"",IF(ISBLANK($J$22),"",$J$22))</f>
        <v/>
      </c>
      <c r="EA22" s="19">
        <f>ISERROR($A$22)*1+ISERROR($B$22)*1+ISERROR($D$22)*1+ISERROR($G$22)*1+ISERROR($H$22)*1+ISERROR($I$22)*1+ISERROR($J$22)*1</f>
        <v/>
      </c>
    </row>
    <row r="23">
      <c r="N23" s="19">
        <f>'Dados'!$B$92</f>
        <v/>
      </c>
      <c r="O23" s="19">
        <f>'Dados'!$C$92</f>
        <v/>
      </c>
      <c r="P23" s="19">
        <f>'Dados'!$D$92</f>
        <v/>
      </c>
      <c r="Q23" s="19">
        <f>'Dados'!$G$92</f>
        <v/>
      </c>
      <c r="R23" s="19">
        <f>'Dados'!$H$92</f>
        <v/>
      </c>
      <c r="S23" s="19">
        <f>'Dados'!$I$92</f>
        <v/>
      </c>
      <c r="T23" s="19">
        <f>'Dados'!$J$92</f>
        <v/>
      </c>
      <c r="U23" s="19">
        <f>'Dados'!$K$92</f>
        <v/>
      </c>
      <c r="V23" s="19">
        <f>'Dados'!$L$92</f>
        <v/>
      </c>
      <c r="W23" s="19">
        <f>'Dados'!$M$92</f>
        <v/>
      </c>
      <c r="X23" s="19">
        <f>'Dados'!$N$92</f>
        <v/>
      </c>
      <c r="Y23" s="19">
        <f>'Dados'!$O$92</f>
        <v/>
      </c>
      <c r="Z23" s="19">
        <f>'Dados'!$P$92</f>
        <v/>
      </c>
      <c r="AA23" s="19">
        <f>'Dados'!$Q$92&amp;""</f>
        <v/>
      </c>
      <c r="AB23" s="19">
        <f>'Dados'!$R$92&amp;""</f>
        <v/>
      </c>
      <c r="AC23" s="19">
        <f>'Dados'!$S$92&amp;""</f>
        <v/>
      </c>
      <c r="AD23" s="19">
        <f>'Dados'!$T$92&amp;""</f>
        <v/>
      </c>
      <c r="AE23" s="19">
        <f>'Dados'!$U$92&amp;""</f>
        <v/>
      </c>
      <c r="AF23" s="19">
        <f>'Dados'!$V$92&amp;""</f>
        <v/>
      </c>
      <c r="AG23" s="19">
        <f>'Dados'!$F$92</f>
        <v/>
      </c>
      <c r="AH23" s="19">
        <f>'Dados'!$Z$92</f>
        <v/>
      </c>
      <c r="AI23" s="19">
        <f>'Dados'!$AA$92</f>
        <v/>
      </c>
      <c r="AJ23" s="19">
        <f>'Dados'!$W$92</f>
        <v/>
      </c>
      <c r="AK23" s="19">
        <f>""</f>
        <v/>
      </c>
      <c r="AL23" s="19">
        <f>""</f>
        <v/>
      </c>
      <c r="AM23" s="19">
        <f>""</f>
        <v/>
      </c>
      <c r="AN23" s="19">
        <f>""</f>
        <v/>
      </c>
      <c r="AO23" s="19">
        <f>""</f>
        <v/>
      </c>
      <c r="AP23" s="19">
        <f>""</f>
        <v/>
      </c>
      <c r="AQ23" s="19">
        <f>""</f>
        <v/>
      </c>
      <c r="AR23" s="19">
        <f>""</f>
        <v/>
      </c>
      <c r="AS23" s="19">
        <f>""</f>
        <v/>
      </c>
      <c r="AT23" s="19">
        <f>""</f>
        <v/>
      </c>
      <c r="AU23" s="19">
        <f>""</f>
        <v/>
      </c>
      <c r="AV23" s="19">
        <f>""</f>
        <v/>
      </c>
      <c r="AW23" s="19">
        <f>'Dados'!$AF$92&amp;""</f>
        <v/>
      </c>
      <c r="AX23" s="19">
        <f>IF(ISNUMBER('Dados'!$AG$92),IF('Dados'!$AG$92&gt;0,'Dados'!$AG$92,""),"")</f>
        <v/>
      </c>
      <c r="AY23" s="19">
        <f>'Dados'!$AH$92&amp;""</f>
        <v/>
      </c>
      <c r="AZ23" s="19">
        <f>IF(ISNUMBER('Dados'!$AI$92),IF('Dados'!$AI$92&gt;0,'Dados'!$AI$92,""),"")</f>
        <v/>
      </c>
      <c r="BA23" s="19">
        <f>'Dados'!$AJ$92&amp;""</f>
        <v/>
      </c>
      <c r="BB23" s="19">
        <f>IF(ISNUMBER('Dados'!$AK$92),IF('Dados'!$AK$92&gt;0,'Dados'!$AK$92,""),"")</f>
        <v/>
      </c>
      <c r="BC23" s="19">
        <f>'Dados'!$E$92&amp;""</f>
        <v/>
      </c>
      <c r="BD23" s="19">
        <f>'Dados'!$AD$92&amp;""</f>
        <v/>
      </c>
      <c r="BE23" s="19">
        <f>INDEX('Dados'!$F$7:$F$11,'Dados'!$AB$92)</f>
        <v/>
      </c>
      <c r="BF23" s="19">
        <f>'Dados'!$AB$92</f>
        <v/>
      </c>
      <c r="BG23" s="19">
        <f>'Dados'!$AE$92</f>
        <v/>
      </c>
      <c r="BH23" s="19">
        <f>"Bestiário"</f>
        <v/>
      </c>
    </row>
    <row r="24" ht="20" customHeight="1">
      <c r="A24" s="12" t="inlineStr">
        <is>
          <t>I1b · Origem e comportamento (preencha)</t>
        </is>
      </c>
      <c r="N24" s="19">
        <f>'Dados'!$B$93</f>
        <v/>
      </c>
      <c r="O24" s="19">
        <f>'Dados'!$C$93</f>
        <v/>
      </c>
      <c r="P24" s="19">
        <f>'Dados'!$D$93</f>
        <v/>
      </c>
      <c r="Q24" s="19">
        <f>'Dados'!$G$93</f>
        <v/>
      </c>
      <c r="R24" s="19">
        <f>'Dados'!$H$93</f>
        <v/>
      </c>
      <c r="S24" s="19">
        <f>'Dados'!$I$93</f>
        <v/>
      </c>
      <c r="T24" s="19">
        <f>'Dados'!$J$93</f>
        <v/>
      </c>
      <c r="U24" s="19">
        <f>'Dados'!$K$93</f>
        <v/>
      </c>
      <c r="V24" s="19">
        <f>'Dados'!$L$93</f>
        <v/>
      </c>
      <c r="W24" s="19">
        <f>'Dados'!$M$93</f>
        <v/>
      </c>
      <c r="X24" s="19">
        <f>'Dados'!$N$93</f>
        <v/>
      </c>
      <c r="Y24" s="19">
        <f>'Dados'!$O$93</f>
        <v/>
      </c>
      <c r="Z24" s="19">
        <f>'Dados'!$P$93</f>
        <v/>
      </c>
      <c r="AA24" s="19">
        <f>'Dados'!$Q$93&amp;""</f>
        <v/>
      </c>
      <c r="AB24" s="19">
        <f>'Dados'!$R$93&amp;""</f>
        <v/>
      </c>
      <c r="AC24" s="19">
        <f>'Dados'!$S$93&amp;""</f>
        <v/>
      </c>
      <c r="AD24" s="19">
        <f>'Dados'!$T$93&amp;""</f>
        <v/>
      </c>
      <c r="AE24" s="19">
        <f>'Dados'!$U$93&amp;""</f>
        <v/>
      </c>
      <c r="AF24" s="19">
        <f>'Dados'!$V$93&amp;""</f>
        <v/>
      </c>
      <c r="AG24" s="19">
        <f>'Dados'!$F$93</f>
        <v/>
      </c>
      <c r="AH24" s="19">
        <f>'Dados'!$Z$93</f>
        <v/>
      </c>
      <c r="AI24" s="19">
        <f>'Dados'!$AA$93</f>
        <v/>
      </c>
      <c r="AJ24" s="19">
        <f>'Dados'!$W$93</f>
        <v/>
      </c>
      <c r="AK24" s="19">
        <f>""</f>
        <v/>
      </c>
      <c r="AL24" s="19">
        <f>""</f>
        <v/>
      </c>
      <c r="AM24" s="19">
        <f>""</f>
        <v/>
      </c>
      <c r="AN24" s="19">
        <f>""</f>
        <v/>
      </c>
      <c r="AO24" s="19">
        <f>""</f>
        <v/>
      </c>
      <c r="AP24" s="19">
        <f>""</f>
        <v/>
      </c>
      <c r="AQ24" s="19">
        <f>""</f>
        <v/>
      </c>
      <c r="AR24" s="19">
        <f>""</f>
        <v/>
      </c>
      <c r="AS24" s="19">
        <f>""</f>
        <v/>
      </c>
      <c r="AT24" s="19">
        <f>""</f>
        <v/>
      </c>
      <c r="AU24" s="19">
        <f>""</f>
        <v/>
      </c>
      <c r="AV24" s="19">
        <f>""</f>
        <v/>
      </c>
      <c r="AW24" s="19">
        <f>'Dados'!$AF$93&amp;""</f>
        <v/>
      </c>
      <c r="AX24" s="19">
        <f>IF(ISNUMBER('Dados'!$AG$93),IF('Dados'!$AG$93&gt;0,'Dados'!$AG$93,""),"")</f>
        <v/>
      </c>
      <c r="AY24" s="19">
        <f>'Dados'!$AH$93&amp;""</f>
        <v/>
      </c>
      <c r="AZ24" s="19">
        <f>IF(ISNUMBER('Dados'!$AI$93),IF('Dados'!$AI$93&gt;0,'Dados'!$AI$93,""),"")</f>
        <v/>
      </c>
      <c r="BA24" s="19">
        <f>'Dados'!$AJ$93&amp;""</f>
        <v/>
      </c>
      <c r="BB24" s="19">
        <f>IF(ISNUMBER('Dados'!$AK$93),IF('Dados'!$AK$93&gt;0,'Dados'!$AK$93,""),"")</f>
        <v/>
      </c>
      <c r="BC24" s="19">
        <f>'Dados'!$E$93&amp;""</f>
        <v/>
      </c>
      <c r="BD24" s="19">
        <f>'Dados'!$AD$93&amp;""</f>
        <v/>
      </c>
      <c r="BE24" s="19">
        <f>INDEX('Dados'!$F$7:$F$11,'Dados'!$AB$93)</f>
        <v/>
      </c>
      <c r="BF24" s="19">
        <f>'Dados'!$AB$93</f>
        <v/>
      </c>
      <c r="BG24" s="19">
        <f>'Dados'!$AE$93</f>
        <v/>
      </c>
      <c r="BH24" s="19">
        <f>"Bestiário"</f>
        <v/>
      </c>
    </row>
    <row r="25" ht="37" customHeight="1">
      <c r="A25" s="7" t="inlineStr">
        <is>
          <t>Inimigo</t>
        </is>
      </c>
      <c r="B25" s="7" t="inlineStr">
        <is>
          <t>Facção ou origem</t>
        </is>
      </c>
      <c r="C25" s="20" t="n"/>
      <c r="D25" s="20" t="n"/>
      <c r="E25" s="7" t="inlineStr">
        <is>
          <t>Elemento dos ataques</t>
        </is>
      </c>
      <c r="F25" s="7" t="inlineStr">
        <is>
          <t>Pode Executar? (ser racional)</t>
        </is>
      </c>
      <c r="G25" s="7" t="inlineStr">
        <is>
          <t>Comportamento na Fila (28.4 passo 6)</t>
        </is>
      </c>
      <c r="H25" s="20" t="n"/>
      <c r="I25" s="20" t="n"/>
      <c r="J25" s="20" t="n"/>
      <c r="K25" s="7" t="inlineStr">
        <is>
          <t>Aviso</t>
        </is>
      </c>
      <c r="L25" s="20" t="n"/>
      <c r="N25" s="19">
        <f>'Dados'!$B$94</f>
        <v/>
      </c>
      <c r="O25" s="19">
        <f>'Dados'!$C$94</f>
        <v/>
      </c>
      <c r="P25" s="19">
        <f>'Dados'!$D$94</f>
        <v/>
      </c>
      <c r="Q25" s="19">
        <f>'Dados'!$G$94</f>
        <v/>
      </c>
      <c r="R25" s="19">
        <f>'Dados'!$H$94</f>
        <v/>
      </c>
      <c r="S25" s="19">
        <f>'Dados'!$I$94</f>
        <v/>
      </c>
      <c r="T25" s="19">
        <f>'Dados'!$J$94</f>
        <v/>
      </c>
      <c r="U25" s="19">
        <f>'Dados'!$K$94</f>
        <v/>
      </c>
      <c r="V25" s="19">
        <f>'Dados'!$L$94</f>
        <v/>
      </c>
      <c r="W25" s="19">
        <f>'Dados'!$M$94</f>
        <v/>
      </c>
      <c r="X25" s="19">
        <f>'Dados'!$N$94</f>
        <v/>
      </c>
      <c r="Y25" s="19">
        <f>'Dados'!$O$94</f>
        <v/>
      </c>
      <c r="Z25" s="19">
        <f>'Dados'!$P$94</f>
        <v/>
      </c>
      <c r="AA25" s="19">
        <f>'Dados'!$Q$94&amp;""</f>
        <v/>
      </c>
      <c r="AB25" s="19">
        <f>'Dados'!$R$94&amp;""</f>
        <v/>
      </c>
      <c r="AC25" s="19">
        <f>'Dados'!$S$94&amp;""</f>
        <v/>
      </c>
      <c r="AD25" s="19">
        <f>'Dados'!$T$94&amp;""</f>
        <v/>
      </c>
      <c r="AE25" s="19">
        <f>'Dados'!$U$94&amp;""</f>
        <v/>
      </c>
      <c r="AF25" s="19">
        <f>'Dados'!$V$94&amp;""</f>
        <v/>
      </c>
      <c r="AG25" s="19">
        <f>'Dados'!$F$94</f>
        <v/>
      </c>
      <c r="AH25" s="19">
        <f>'Dados'!$Z$94</f>
        <v/>
      </c>
      <c r="AI25" s="19">
        <f>'Dados'!$AA$94</f>
        <v/>
      </c>
      <c r="AJ25" s="19">
        <f>'Dados'!$W$94</f>
        <v/>
      </c>
      <c r="AK25" s="19">
        <f>""</f>
        <v/>
      </c>
      <c r="AL25" s="19">
        <f>""</f>
        <v/>
      </c>
      <c r="AM25" s="19">
        <f>""</f>
        <v/>
      </c>
      <c r="AN25" s="19">
        <f>""</f>
        <v/>
      </c>
      <c r="AO25" s="19">
        <f>""</f>
        <v/>
      </c>
      <c r="AP25" s="19">
        <f>""</f>
        <v/>
      </c>
      <c r="AQ25" s="19">
        <f>""</f>
        <v/>
      </c>
      <c r="AR25" s="19">
        <f>""</f>
        <v/>
      </c>
      <c r="AS25" s="19">
        <f>""</f>
        <v/>
      </c>
      <c r="AT25" s="19">
        <f>""</f>
        <v/>
      </c>
      <c r="AU25" s="19">
        <f>""</f>
        <v/>
      </c>
      <c r="AV25" s="19">
        <f>""</f>
        <v/>
      </c>
      <c r="AW25" s="19">
        <f>'Dados'!$AF$94&amp;""</f>
        <v/>
      </c>
      <c r="AX25" s="19">
        <f>IF(ISNUMBER('Dados'!$AG$94),IF('Dados'!$AG$94&gt;0,'Dados'!$AG$94,""),"")</f>
        <v/>
      </c>
      <c r="AY25" s="19">
        <f>'Dados'!$AH$94&amp;""</f>
        <v/>
      </c>
      <c r="AZ25" s="19">
        <f>IF(ISNUMBER('Dados'!$AI$94),IF('Dados'!$AI$94&gt;0,'Dados'!$AI$94,""),"")</f>
        <v/>
      </c>
      <c r="BA25" s="19">
        <f>'Dados'!$AJ$94&amp;""</f>
        <v/>
      </c>
      <c r="BB25" s="19">
        <f>IF(ISNUMBER('Dados'!$AK$94),IF('Dados'!$AK$94&gt;0,'Dados'!$AK$94,""),"")</f>
        <v/>
      </c>
      <c r="BC25" s="19">
        <f>'Dados'!$E$94&amp;""</f>
        <v/>
      </c>
      <c r="BD25" s="19">
        <f>'Dados'!$AD$94&amp;""</f>
        <v/>
      </c>
      <c r="BE25" s="19">
        <f>INDEX('Dados'!$F$7:$F$11,'Dados'!$AB$94)</f>
        <v/>
      </c>
      <c r="BF25" s="19">
        <f>'Dados'!$AB$94</f>
        <v/>
      </c>
      <c r="BG25" s="19">
        <f>'Dados'!$AE$94</f>
        <v/>
      </c>
      <c r="BH25" s="19">
        <f>"Bestiário"</f>
        <v/>
      </c>
    </row>
    <row r="26" ht="37" customHeight="1">
      <c r="A26" s="32">
        <f>IF(LEN($DQ$11)&gt;0,"1 · "&amp;$DQ$11,"1 · (vazio)")</f>
        <v/>
      </c>
      <c r="B26" s="3" t="n"/>
      <c r="C26" s="24" t="n"/>
      <c r="D26" s="16" t="n"/>
      <c r="E26" s="36" t="n"/>
      <c r="F26" s="36" t="n"/>
      <c r="G26" s="3" t="n"/>
      <c r="H26" s="24" t="n"/>
      <c r="I26" s="24" t="n"/>
      <c r="J26" s="16" t="n"/>
      <c r="K26" s="18">
        <f>IF(EA26&gt;0,"O Google leu como fórmula: escolha de novo ou digite com ' na frente.",IF(AND(LEN($DQ$11)&gt;0,LEN($DV$26)=0,$BL$11=0),"Diga se ele é ser racional (só ser racional Executa, 23.5)",""))</f>
        <v/>
      </c>
      <c r="N26" s="19">
        <f>'Dados'!$B$95</f>
        <v/>
      </c>
      <c r="O26" s="19">
        <f>'Dados'!$C$95</f>
        <v/>
      </c>
      <c r="P26" s="19">
        <f>'Dados'!$D$95</f>
        <v/>
      </c>
      <c r="Q26" s="19">
        <f>'Dados'!$G$95</f>
        <v/>
      </c>
      <c r="R26" s="19">
        <f>'Dados'!$H$95</f>
        <v/>
      </c>
      <c r="S26" s="19">
        <f>'Dados'!$I$95</f>
        <v/>
      </c>
      <c r="T26" s="19">
        <f>'Dados'!$J$95</f>
        <v/>
      </c>
      <c r="U26" s="19">
        <f>'Dados'!$K$95</f>
        <v/>
      </c>
      <c r="V26" s="19">
        <f>'Dados'!$L$95</f>
        <v/>
      </c>
      <c r="W26" s="19">
        <f>'Dados'!$M$95</f>
        <v/>
      </c>
      <c r="X26" s="19">
        <f>'Dados'!$N$95</f>
        <v/>
      </c>
      <c r="Y26" s="19">
        <f>'Dados'!$O$95</f>
        <v/>
      </c>
      <c r="Z26" s="19">
        <f>'Dados'!$P$95</f>
        <v/>
      </c>
      <c r="AA26" s="19">
        <f>'Dados'!$Q$95&amp;""</f>
        <v/>
      </c>
      <c r="AB26" s="19">
        <f>'Dados'!$R$95&amp;""</f>
        <v/>
      </c>
      <c r="AC26" s="19">
        <f>'Dados'!$S$95&amp;""</f>
        <v/>
      </c>
      <c r="AD26" s="19">
        <f>'Dados'!$T$95&amp;""</f>
        <v/>
      </c>
      <c r="AE26" s="19">
        <f>'Dados'!$U$95&amp;""</f>
        <v/>
      </c>
      <c r="AF26" s="19">
        <f>'Dados'!$V$95&amp;""</f>
        <v/>
      </c>
      <c r="AG26" s="19">
        <f>'Dados'!$F$95</f>
        <v/>
      </c>
      <c r="AH26" s="19">
        <f>'Dados'!$Z$95</f>
        <v/>
      </c>
      <c r="AI26" s="19">
        <f>'Dados'!$AA$95</f>
        <v/>
      </c>
      <c r="AJ26" s="19">
        <f>'Dados'!$W$95</f>
        <v/>
      </c>
      <c r="AK26" s="19">
        <f>""</f>
        <v/>
      </c>
      <c r="AL26" s="19">
        <f>""</f>
        <v/>
      </c>
      <c r="AM26" s="19">
        <f>""</f>
        <v/>
      </c>
      <c r="AN26" s="19">
        <f>""</f>
        <v/>
      </c>
      <c r="AO26" s="19">
        <f>""</f>
        <v/>
      </c>
      <c r="AP26" s="19">
        <f>""</f>
        <v/>
      </c>
      <c r="AQ26" s="19">
        <f>""</f>
        <v/>
      </c>
      <c r="AR26" s="19">
        <f>""</f>
        <v/>
      </c>
      <c r="AS26" s="19">
        <f>""</f>
        <v/>
      </c>
      <c r="AT26" s="19">
        <f>""</f>
        <v/>
      </c>
      <c r="AU26" s="19">
        <f>""</f>
        <v/>
      </c>
      <c r="AV26" s="19">
        <f>""</f>
        <v/>
      </c>
      <c r="AW26" s="19">
        <f>'Dados'!$AF$95&amp;""</f>
        <v/>
      </c>
      <c r="AX26" s="19">
        <f>IF(ISNUMBER('Dados'!$AG$95),IF('Dados'!$AG$95&gt;0,'Dados'!$AG$95,""),"")</f>
        <v/>
      </c>
      <c r="AY26" s="19">
        <f>'Dados'!$AH$95&amp;""</f>
        <v/>
      </c>
      <c r="AZ26" s="19">
        <f>IF(ISNUMBER('Dados'!$AI$95),IF('Dados'!$AI$95&gt;0,'Dados'!$AI$95,""),"")</f>
        <v/>
      </c>
      <c r="BA26" s="19">
        <f>'Dados'!$AJ$95&amp;""</f>
        <v/>
      </c>
      <c r="BB26" s="19">
        <f>IF(ISNUMBER('Dados'!$AK$95),IF('Dados'!$AK$95&gt;0,'Dados'!$AK$95,""),"")</f>
        <v/>
      </c>
      <c r="BC26" s="19">
        <f>'Dados'!$E$95&amp;""</f>
        <v/>
      </c>
      <c r="BD26" s="19">
        <f>'Dados'!$AD$95&amp;""</f>
        <v/>
      </c>
      <c r="BE26" s="19">
        <f>INDEX('Dados'!$F$7:$F$11,'Dados'!$AB$95)</f>
        <v/>
      </c>
      <c r="BF26" s="19">
        <f>'Dados'!$AB$95</f>
        <v/>
      </c>
      <c r="BG26" s="19">
        <f>'Dados'!$AE$95</f>
        <v/>
      </c>
      <c r="BH26" s="19">
        <f>"Bestiário"</f>
        <v/>
      </c>
      <c r="DR26" s="19">
        <f>IF(ISERROR($B$26),"",IF(ISBLANK($B$26),"",$B$26))</f>
        <v/>
      </c>
      <c r="DV26" s="19">
        <f>IF(ISERROR($F$26),"",IF(ISBLANK($F$26),"",$F$26))</f>
        <v/>
      </c>
      <c r="DW26" s="19">
        <f>IF(ISERROR($G$26),"",IF(ISBLANK($G$26),"",$G$26))</f>
        <v/>
      </c>
      <c r="EA26" s="19">
        <f>ISERROR($B$26)*1+ISERROR($E$26)*1+ISERROR($F$26)*1+ISERROR($G$26)*1</f>
        <v/>
      </c>
    </row>
    <row r="27" ht="37" customHeight="1">
      <c r="A27" s="33">
        <f>IF(LEN($DQ$12)&gt;0,"2 · "&amp;$DQ$12,"2 · (vazio)")</f>
        <v/>
      </c>
      <c r="B27" s="28" t="n"/>
      <c r="C27" s="24" t="n"/>
      <c r="D27" s="16" t="n"/>
      <c r="E27" s="42" t="n"/>
      <c r="F27" s="42" t="n"/>
      <c r="G27" s="28" t="n"/>
      <c r="H27" s="24" t="n"/>
      <c r="I27" s="24" t="n"/>
      <c r="J27" s="16" t="n"/>
      <c r="K27" s="26">
        <f>IF(EA27&gt;0,"O Google leu como fórmula: escolha de novo ou digite com ' na frente.",IF(AND(LEN($DQ$12)&gt;0,LEN($DV$27)=0,$BL$12=0),"Diga se ele é ser racional (só ser racional Executa, 23.5)",""))</f>
        <v/>
      </c>
      <c r="N27" s="19">
        <f>'Dados'!$B$96</f>
        <v/>
      </c>
      <c r="O27" s="19">
        <f>'Dados'!$C$96</f>
        <v/>
      </c>
      <c r="P27" s="19">
        <f>'Dados'!$D$96</f>
        <v/>
      </c>
      <c r="Q27" s="19">
        <f>'Dados'!$G$96</f>
        <v/>
      </c>
      <c r="R27" s="19">
        <f>'Dados'!$H$96</f>
        <v/>
      </c>
      <c r="S27" s="19">
        <f>'Dados'!$I$96</f>
        <v/>
      </c>
      <c r="T27" s="19">
        <f>'Dados'!$J$96</f>
        <v/>
      </c>
      <c r="U27" s="19">
        <f>'Dados'!$K$96</f>
        <v/>
      </c>
      <c r="V27" s="19">
        <f>'Dados'!$L$96</f>
        <v/>
      </c>
      <c r="W27" s="19">
        <f>'Dados'!$M$96</f>
        <v/>
      </c>
      <c r="X27" s="19">
        <f>'Dados'!$N$96</f>
        <v/>
      </c>
      <c r="Y27" s="19">
        <f>'Dados'!$O$96</f>
        <v/>
      </c>
      <c r="Z27" s="19">
        <f>'Dados'!$P$96</f>
        <v/>
      </c>
      <c r="AA27" s="19">
        <f>'Dados'!$Q$96&amp;""</f>
        <v/>
      </c>
      <c r="AB27" s="19">
        <f>'Dados'!$R$96&amp;""</f>
        <v/>
      </c>
      <c r="AC27" s="19">
        <f>'Dados'!$S$96&amp;""</f>
        <v/>
      </c>
      <c r="AD27" s="19">
        <f>'Dados'!$T$96&amp;""</f>
        <v/>
      </c>
      <c r="AE27" s="19">
        <f>'Dados'!$U$96&amp;""</f>
        <v/>
      </c>
      <c r="AF27" s="19">
        <f>'Dados'!$V$96&amp;""</f>
        <v/>
      </c>
      <c r="AG27" s="19">
        <f>'Dados'!$F$96</f>
        <v/>
      </c>
      <c r="AH27" s="19">
        <f>'Dados'!$Z$96</f>
        <v/>
      </c>
      <c r="AI27" s="19">
        <f>'Dados'!$AA$96</f>
        <v/>
      </c>
      <c r="AJ27" s="19">
        <f>'Dados'!$W$96</f>
        <v/>
      </c>
      <c r="AK27" s="19">
        <f>""</f>
        <v/>
      </c>
      <c r="AL27" s="19">
        <f>""</f>
        <v/>
      </c>
      <c r="AM27" s="19">
        <f>""</f>
        <v/>
      </c>
      <c r="AN27" s="19">
        <f>""</f>
        <v/>
      </c>
      <c r="AO27" s="19">
        <f>""</f>
        <v/>
      </c>
      <c r="AP27" s="19">
        <f>""</f>
        <v/>
      </c>
      <c r="AQ27" s="19">
        <f>""</f>
        <v/>
      </c>
      <c r="AR27" s="19">
        <f>""</f>
        <v/>
      </c>
      <c r="AS27" s="19">
        <f>""</f>
        <v/>
      </c>
      <c r="AT27" s="19">
        <f>""</f>
        <v/>
      </c>
      <c r="AU27" s="19">
        <f>""</f>
        <v/>
      </c>
      <c r="AV27" s="19">
        <f>""</f>
        <v/>
      </c>
      <c r="AW27" s="19">
        <f>'Dados'!$AF$96&amp;""</f>
        <v/>
      </c>
      <c r="AX27" s="19">
        <f>IF(ISNUMBER('Dados'!$AG$96),IF('Dados'!$AG$96&gt;0,'Dados'!$AG$96,""),"")</f>
        <v/>
      </c>
      <c r="AY27" s="19">
        <f>'Dados'!$AH$96&amp;""</f>
        <v/>
      </c>
      <c r="AZ27" s="19">
        <f>IF(ISNUMBER('Dados'!$AI$96),IF('Dados'!$AI$96&gt;0,'Dados'!$AI$96,""),"")</f>
        <v/>
      </c>
      <c r="BA27" s="19">
        <f>'Dados'!$AJ$96&amp;""</f>
        <v/>
      </c>
      <c r="BB27" s="19">
        <f>IF(ISNUMBER('Dados'!$AK$96),IF('Dados'!$AK$96&gt;0,'Dados'!$AK$96,""),"")</f>
        <v/>
      </c>
      <c r="BC27" s="19">
        <f>'Dados'!$E$96&amp;""</f>
        <v/>
      </c>
      <c r="BD27" s="19">
        <f>'Dados'!$AD$96&amp;""</f>
        <v/>
      </c>
      <c r="BE27" s="19">
        <f>INDEX('Dados'!$F$7:$F$11,'Dados'!$AB$96)</f>
        <v/>
      </c>
      <c r="BF27" s="19">
        <f>'Dados'!$AB$96</f>
        <v/>
      </c>
      <c r="BG27" s="19">
        <f>'Dados'!$AE$96</f>
        <v/>
      </c>
      <c r="BH27" s="19">
        <f>"Bestiário"</f>
        <v/>
      </c>
      <c r="DR27" s="19">
        <f>IF(ISERROR($B$27),"",IF(ISBLANK($B$27),"",$B$27))</f>
        <v/>
      </c>
      <c r="DV27" s="19">
        <f>IF(ISERROR($F$27),"",IF(ISBLANK($F$27),"",$F$27))</f>
        <v/>
      </c>
      <c r="DW27" s="19">
        <f>IF(ISERROR($G$27),"",IF(ISBLANK($G$27),"",$G$27))</f>
        <v/>
      </c>
      <c r="EA27" s="19">
        <f>ISERROR($B$27)*1+ISERROR($E$27)*1+ISERROR($F$27)*1+ISERROR($G$27)*1</f>
        <v/>
      </c>
    </row>
    <row r="28" ht="37" customHeight="1">
      <c r="A28" s="32">
        <f>IF(LEN($DQ$13)&gt;0,"3 · "&amp;$DQ$13,"3 · (vazio)")</f>
        <v/>
      </c>
      <c r="B28" s="3" t="n"/>
      <c r="C28" s="24" t="n"/>
      <c r="D28" s="16" t="n"/>
      <c r="E28" s="36" t="n"/>
      <c r="F28" s="36" t="n"/>
      <c r="G28" s="3" t="n"/>
      <c r="H28" s="24" t="n"/>
      <c r="I28" s="24" t="n"/>
      <c r="J28" s="16" t="n"/>
      <c r="K28" s="18">
        <f>IF(EA28&gt;0,"O Google leu como fórmula: escolha de novo ou digite com ' na frente.",IF(AND(LEN($DQ$13)&gt;0,LEN($DV$28)=0,$BL$13=0),"Diga se ele é ser racional (só ser racional Executa, 23.5)",""))</f>
        <v/>
      </c>
      <c r="N28" s="19">
        <f>'Dados'!$B$97</f>
        <v/>
      </c>
      <c r="O28" s="19">
        <f>'Dados'!$C$97</f>
        <v/>
      </c>
      <c r="P28" s="19">
        <f>'Dados'!$D$97</f>
        <v/>
      </c>
      <c r="Q28" s="19">
        <f>'Dados'!$G$97</f>
        <v/>
      </c>
      <c r="R28" s="19">
        <f>'Dados'!$H$97</f>
        <v/>
      </c>
      <c r="S28" s="19">
        <f>'Dados'!$I$97</f>
        <v/>
      </c>
      <c r="T28" s="19">
        <f>'Dados'!$J$97</f>
        <v/>
      </c>
      <c r="U28" s="19">
        <f>'Dados'!$K$97</f>
        <v/>
      </c>
      <c r="V28" s="19">
        <f>'Dados'!$L$97</f>
        <v/>
      </c>
      <c r="W28" s="19">
        <f>'Dados'!$M$97</f>
        <v/>
      </c>
      <c r="X28" s="19">
        <f>'Dados'!$N$97</f>
        <v/>
      </c>
      <c r="Y28" s="19">
        <f>'Dados'!$O$97</f>
        <v/>
      </c>
      <c r="Z28" s="19">
        <f>'Dados'!$P$97</f>
        <v/>
      </c>
      <c r="AA28" s="19">
        <f>'Dados'!$Q$97&amp;""</f>
        <v/>
      </c>
      <c r="AB28" s="19">
        <f>'Dados'!$R$97&amp;""</f>
        <v/>
      </c>
      <c r="AC28" s="19">
        <f>'Dados'!$S$97&amp;""</f>
        <v/>
      </c>
      <c r="AD28" s="19">
        <f>'Dados'!$T$97&amp;""</f>
        <v/>
      </c>
      <c r="AE28" s="19">
        <f>'Dados'!$U$97&amp;""</f>
        <v/>
      </c>
      <c r="AF28" s="19">
        <f>'Dados'!$V$97&amp;""</f>
        <v/>
      </c>
      <c r="AG28" s="19">
        <f>'Dados'!$F$97</f>
        <v/>
      </c>
      <c r="AH28" s="19">
        <f>'Dados'!$Z$97</f>
        <v/>
      </c>
      <c r="AI28" s="19">
        <f>'Dados'!$AA$97</f>
        <v/>
      </c>
      <c r="AJ28" s="19">
        <f>'Dados'!$W$97</f>
        <v/>
      </c>
      <c r="AK28" s="19">
        <f>""</f>
        <v/>
      </c>
      <c r="AL28" s="19">
        <f>""</f>
        <v/>
      </c>
      <c r="AM28" s="19">
        <f>""</f>
        <v/>
      </c>
      <c r="AN28" s="19">
        <f>""</f>
        <v/>
      </c>
      <c r="AO28" s="19">
        <f>""</f>
        <v/>
      </c>
      <c r="AP28" s="19">
        <f>""</f>
        <v/>
      </c>
      <c r="AQ28" s="19">
        <f>""</f>
        <v/>
      </c>
      <c r="AR28" s="19">
        <f>""</f>
        <v/>
      </c>
      <c r="AS28" s="19">
        <f>""</f>
        <v/>
      </c>
      <c r="AT28" s="19">
        <f>""</f>
        <v/>
      </c>
      <c r="AU28" s="19">
        <f>""</f>
        <v/>
      </c>
      <c r="AV28" s="19">
        <f>""</f>
        <v/>
      </c>
      <c r="AW28" s="19">
        <f>'Dados'!$AF$97&amp;""</f>
        <v/>
      </c>
      <c r="AX28" s="19">
        <f>IF(ISNUMBER('Dados'!$AG$97),IF('Dados'!$AG$97&gt;0,'Dados'!$AG$97,""),"")</f>
        <v/>
      </c>
      <c r="AY28" s="19">
        <f>'Dados'!$AH$97&amp;""</f>
        <v/>
      </c>
      <c r="AZ28" s="19">
        <f>IF(ISNUMBER('Dados'!$AI$97),IF('Dados'!$AI$97&gt;0,'Dados'!$AI$97,""),"")</f>
        <v/>
      </c>
      <c r="BA28" s="19">
        <f>'Dados'!$AJ$97&amp;""</f>
        <v/>
      </c>
      <c r="BB28" s="19">
        <f>IF(ISNUMBER('Dados'!$AK$97),IF('Dados'!$AK$97&gt;0,'Dados'!$AK$97,""),"")</f>
        <v/>
      </c>
      <c r="BC28" s="19">
        <f>'Dados'!$E$97&amp;""</f>
        <v/>
      </c>
      <c r="BD28" s="19">
        <f>'Dados'!$AD$97&amp;""</f>
        <v/>
      </c>
      <c r="BE28" s="19">
        <f>INDEX('Dados'!$F$7:$F$11,'Dados'!$AB$97)</f>
        <v/>
      </c>
      <c r="BF28" s="19">
        <f>'Dados'!$AB$97</f>
        <v/>
      </c>
      <c r="BG28" s="19">
        <f>'Dados'!$AE$97</f>
        <v/>
      </c>
      <c r="BH28" s="19">
        <f>"Bestiário"</f>
        <v/>
      </c>
      <c r="DR28" s="19">
        <f>IF(ISERROR($B$28),"",IF(ISBLANK($B$28),"",$B$28))</f>
        <v/>
      </c>
      <c r="DV28" s="19">
        <f>IF(ISERROR($F$28),"",IF(ISBLANK($F$28),"",$F$28))</f>
        <v/>
      </c>
      <c r="DW28" s="19">
        <f>IF(ISERROR($G$28),"",IF(ISBLANK($G$28),"",$G$28))</f>
        <v/>
      </c>
      <c r="EA28" s="19">
        <f>ISERROR($B$28)*1+ISERROR($E$28)*1+ISERROR($F$28)*1+ISERROR($G$28)*1</f>
        <v/>
      </c>
    </row>
    <row r="29" ht="37" customHeight="1">
      <c r="A29" s="33">
        <f>IF(LEN($DQ$14)&gt;0,"4 · "&amp;$DQ$14,"4 · (vazio)")</f>
        <v/>
      </c>
      <c r="B29" s="28" t="n"/>
      <c r="C29" s="24" t="n"/>
      <c r="D29" s="16" t="n"/>
      <c r="E29" s="42" t="n"/>
      <c r="F29" s="42" t="n"/>
      <c r="G29" s="28" t="n"/>
      <c r="H29" s="24" t="n"/>
      <c r="I29" s="24" t="n"/>
      <c r="J29" s="16" t="n"/>
      <c r="K29" s="26">
        <f>IF(EA29&gt;0,"O Google leu como fórmula: escolha de novo ou digite com ' na frente.",IF(AND(LEN($DQ$14)&gt;0,LEN($DV$29)=0,$BL$14=0),"Diga se ele é ser racional (só ser racional Executa, 23.5)",""))</f>
        <v/>
      </c>
      <c r="N29" s="19">
        <f>'Dados'!$B$98</f>
        <v/>
      </c>
      <c r="O29" s="19">
        <f>'Dados'!$C$98</f>
        <v/>
      </c>
      <c r="P29" s="19">
        <f>'Dados'!$D$98</f>
        <v/>
      </c>
      <c r="Q29" s="19">
        <f>'Dados'!$G$98</f>
        <v/>
      </c>
      <c r="R29" s="19">
        <f>'Dados'!$H$98</f>
        <v/>
      </c>
      <c r="S29" s="19">
        <f>'Dados'!$I$98</f>
        <v/>
      </c>
      <c r="T29" s="19">
        <f>'Dados'!$J$98</f>
        <v/>
      </c>
      <c r="U29" s="19">
        <f>'Dados'!$K$98</f>
        <v/>
      </c>
      <c r="V29" s="19">
        <f>'Dados'!$L$98</f>
        <v/>
      </c>
      <c r="W29" s="19">
        <f>'Dados'!$M$98</f>
        <v/>
      </c>
      <c r="X29" s="19">
        <f>'Dados'!$N$98</f>
        <v/>
      </c>
      <c r="Y29" s="19">
        <f>'Dados'!$O$98</f>
        <v/>
      </c>
      <c r="Z29" s="19">
        <f>'Dados'!$P$98</f>
        <v/>
      </c>
      <c r="AA29" s="19">
        <f>'Dados'!$Q$98&amp;""</f>
        <v/>
      </c>
      <c r="AB29" s="19">
        <f>'Dados'!$R$98&amp;""</f>
        <v/>
      </c>
      <c r="AC29" s="19">
        <f>'Dados'!$S$98&amp;""</f>
        <v/>
      </c>
      <c r="AD29" s="19">
        <f>'Dados'!$T$98&amp;""</f>
        <v/>
      </c>
      <c r="AE29" s="19">
        <f>'Dados'!$U$98&amp;""</f>
        <v/>
      </c>
      <c r="AF29" s="19">
        <f>'Dados'!$V$98&amp;""</f>
        <v/>
      </c>
      <c r="AG29" s="19">
        <f>'Dados'!$F$98</f>
        <v/>
      </c>
      <c r="AH29" s="19">
        <f>'Dados'!$Z$98</f>
        <v/>
      </c>
      <c r="AI29" s="19">
        <f>'Dados'!$AA$98</f>
        <v/>
      </c>
      <c r="AJ29" s="19">
        <f>'Dados'!$W$98</f>
        <v/>
      </c>
      <c r="AK29" s="19">
        <f>""</f>
        <v/>
      </c>
      <c r="AL29" s="19">
        <f>""</f>
        <v/>
      </c>
      <c r="AM29" s="19">
        <f>""</f>
        <v/>
      </c>
      <c r="AN29" s="19">
        <f>""</f>
        <v/>
      </c>
      <c r="AO29" s="19">
        <f>""</f>
        <v/>
      </c>
      <c r="AP29" s="19">
        <f>""</f>
        <v/>
      </c>
      <c r="AQ29" s="19">
        <f>""</f>
        <v/>
      </c>
      <c r="AR29" s="19">
        <f>""</f>
        <v/>
      </c>
      <c r="AS29" s="19">
        <f>""</f>
        <v/>
      </c>
      <c r="AT29" s="19">
        <f>""</f>
        <v/>
      </c>
      <c r="AU29" s="19">
        <f>""</f>
        <v/>
      </c>
      <c r="AV29" s="19">
        <f>""</f>
        <v/>
      </c>
      <c r="AW29" s="19">
        <f>'Dados'!$AF$98&amp;""</f>
        <v/>
      </c>
      <c r="AX29" s="19">
        <f>IF(ISNUMBER('Dados'!$AG$98),IF('Dados'!$AG$98&gt;0,'Dados'!$AG$98,""),"")</f>
        <v/>
      </c>
      <c r="AY29" s="19">
        <f>'Dados'!$AH$98&amp;""</f>
        <v/>
      </c>
      <c r="AZ29" s="19">
        <f>IF(ISNUMBER('Dados'!$AI$98),IF('Dados'!$AI$98&gt;0,'Dados'!$AI$98,""),"")</f>
        <v/>
      </c>
      <c r="BA29" s="19">
        <f>'Dados'!$AJ$98&amp;""</f>
        <v/>
      </c>
      <c r="BB29" s="19">
        <f>IF(ISNUMBER('Dados'!$AK$98),IF('Dados'!$AK$98&gt;0,'Dados'!$AK$98,""),"")</f>
        <v/>
      </c>
      <c r="BC29" s="19">
        <f>'Dados'!$E$98&amp;""</f>
        <v/>
      </c>
      <c r="BD29" s="19">
        <f>'Dados'!$AD$98&amp;""</f>
        <v/>
      </c>
      <c r="BE29" s="19">
        <f>INDEX('Dados'!$F$7:$F$11,'Dados'!$AB$98)</f>
        <v/>
      </c>
      <c r="BF29" s="19">
        <f>'Dados'!$AB$98</f>
        <v/>
      </c>
      <c r="BG29" s="19">
        <f>'Dados'!$AE$98</f>
        <v/>
      </c>
      <c r="BH29" s="19">
        <f>"Bestiário"</f>
        <v/>
      </c>
      <c r="DR29" s="19">
        <f>IF(ISERROR($B$29),"",IF(ISBLANK($B$29),"",$B$29))</f>
        <v/>
      </c>
      <c r="DV29" s="19">
        <f>IF(ISERROR($F$29),"",IF(ISBLANK($F$29),"",$F$29))</f>
        <v/>
      </c>
      <c r="DW29" s="19">
        <f>IF(ISERROR($G$29),"",IF(ISBLANK($G$29),"",$G$29))</f>
        <v/>
      </c>
      <c r="EA29" s="19">
        <f>ISERROR($B$29)*1+ISERROR($E$29)*1+ISERROR($F$29)*1+ISERROR($G$29)*1</f>
        <v/>
      </c>
    </row>
    <row r="30" ht="37" customHeight="1">
      <c r="A30" s="32">
        <f>IF(LEN($DQ$15)&gt;0,"5 · "&amp;$DQ$15,"5 · (vazio)")</f>
        <v/>
      </c>
      <c r="B30" s="3" t="n"/>
      <c r="C30" s="24" t="n"/>
      <c r="D30" s="16" t="n"/>
      <c r="E30" s="36" t="n"/>
      <c r="F30" s="36" t="n"/>
      <c r="G30" s="3" t="n"/>
      <c r="H30" s="24" t="n"/>
      <c r="I30" s="24" t="n"/>
      <c r="J30" s="16" t="n"/>
      <c r="K30" s="18">
        <f>IF(EA30&gt;0,"O Google leu como fórmula: escolha de novo ou digite com ' na frente.",IF(AND(LEN($DQ$15)&gt;0,LEN($DV$30)=0,$BL$15=0),"Diga se ele é ser racional (só ser racional Executa, 23.5)",""))</f>
        <v/>
      </c>
      <c r="N30" s="19">
        <f>'Dados'!$B$99</f>
        <v/>
      </c>
      <c r="O30" s="19">
        <f>'Dados'!$C$99</f>
        <v/>
      </c>
      <c r="P30" s="19">
        <f>'Dados'!$D$99</f>
        <v/>
      </c>
      <c r="Q30" s="19">
        <f>'Dados'!$G$99</f>
        <v/>
      </c>
      <c r="R30" s="19">
        <f>'Dados'!$H$99</f>
        <v/>
      </c>
      <c r="S30" s="19">
        <f>'Dados'!$I$99</f>
        <v/>
      </c>
      <c r="T30" s="19">
        <f>'Dados'!$J$99</f>
        <v/>
      </c>
      <c r="U30" s="19">
        <f>'Dados'!$K$99</f>
        <v/>
      </c>
      <c r="V30" s="19">
        <f>'Dados'!$L$99</f>
        <v/>
      </c>
      <c r="W30" s="19">
        <f>'Dados'!$M$99</f>
        <v/>
      </c>
      <c r="X30" s="19">
        <f>'Dados'!$N$99</f>
        <v/>
      </c>
      <c r="Y30" s="19">
        <f>'Dados'!$O$99</f>
        <v/>
      </c>
      <c r="Z30" s="19">
        <f>'Dados'!$P$99</f>
        <v/>
      </c>
      <c r="AA30" s="19">
        <f>'Dados'!$Q$99&amp;""</f>
        <v/>
      </c>
      <c r="AB30" s="19">
        <f>'Dados'!$R$99&amp;""</f>
        <v/>
      </c>
      <c r="AC30" s="19">
        <f>'Dados'!$S$99&amp;""</f>
        <v/>
      </c>
      <c r="AD30" s="19">
        <f>'Dados'!$T$99&amp;""</f>
        <v/>
      </c>
      <c r="AE30" s="19">
        <f>'Dados'!$U$99&amp;""</f>
        <v/>
      </c>
      <c r="AF30" s="19">
        <f>'Dados'!$V$99&amp;""</f>
        <v/>
      </c>
      <c r="AG30" s="19">
        <f>'Dados'!$F$99</f>
        <v/>
      </c>
      <c r="AH30" s="19">
        <f>'Dados'!$Z$99</f>
        <v/>
      </c>
      <c r="AI30" s="19">
        <f>'Dados'!$AA$99</f>
        <v/>
      </c>
      <c r="AJ30" s="19">
        <f>'Dados'!$W$99</f>
        <v/>
      </c>
      <c r="AK30" s="19">
        <f>'Dados'!$E$128</f>
        <v/>
      </c>
      <c r="AL30" s="19">
        <f>""</f>
        <v/>
      </c>
      <c r="AM30" s="19">
        <f>'Dados'!$G$128</f>
        <v/>
      </c>
      <c r="AN30" s="19">
        <f>'Dados'!$H$128</f>
        <v/>
      </c>
      <c r="AO30" s="19">
        <f>'Dados'!$I$128</f>
        <v/>
      </c>
      <c r="AP30" s="19">
        <f>'Dados'!$J$128</f>
        <v/>
      </c>
      <c r="AQ30" s="19">
        <f>'Dados'!$K$128</f>
        <v/>
      </c>
      <c r="AR30" s="19">
        <f>""</f>
        <v/>
      </c>
      <c r="AS30" s="19">
        <f>""</f>
        <v/>
      </c>
      <c r="AT30" s="19">
        <f>""</f>
        <v/>
      </c>
      <c r="AU30" s="19">
        <f>""</f>
        <v/>
      </c>
      <c r="AV30" s="19">
        <f>""</f>
        <v/>
      </c>
      <c r="AW30" s="19">
        <f>'Dados'!$AF$99&amp;""</f>
        <v/>
      </c>
      <c r="AX30" s="19">
        <f>IF(ISNUMBER('Dados'!$AG$99),IF('Dados'!$AG$99&gt;0,'Dados'!$AG$99,""),"")</f>
        <v/>
      </c>
      <c r="AY30" s="19">
        <f>'Dados'!$AH$99&amp;""</f>
        <v/>
      </c>
      <c r="AZ30" s="19">
        <f>IF(ISNUMBER('Dados'!$AI$99),IF('Dados'!$AI$99&gt;0,'Dados'!$AI$99,""),"")</f>
        <v/>
      </c>
      <c r="BA30" s="19">
        <f>'Dados'!$AJ$99&amp;""</f>
        <v/>
      </c>
      <c r="BB30" s="19">
        <f>IF(ISNUMBER('Dados'!$AK$99),IF('Dados'!$AK$99&gt;0,'Dados'!$AK$99,""),"")</f>
        <v/>
      </c>
      <c r="BC30" s="19">
        <f>'Dados'!$E$99&amp;""</f>
        <v/>
      </c>
      <c r="BD30" s="19">
        <f>'Dados'!$AD$99&amp;""</f>
        <v/>
      </c>
      <c r="BE30" s="19">
        <f>INDEX('Dados'!$F$7:$F$11,'Dados'!$AB$99)</f>
        <v/>
      </c>
      <c r="BF30" s="19">
        <f>'Dados'!$AB$99</f>
        <v/>
      </c>
      <c r="BG30" s="19">
        <f>'Dados'!$AE$99</f>
        <v/>
      </c>
      <c r="BH30" s="19">
        <f>"Bestiário"</f>
        <v/>
      </c>
      <c r="DR30" s="19">
        <f>IF(ISERROR($B$30),"",IF(ISBLANK($B$30),"",$B$30))</f>
        <v/>
      </c>
      <c r="DV30" s="19">
        <f>IF(ISERROR($F$30),"",IF(ISBLANK($F$30),"",$F$30))</f>
        <v/>
      </c>
      <c r="DW30" s="19">
        <f>IF(ISERROR($G$30),"",IF(ISBLANK($G$30),"",$G$30))</f>
        <v/>
      </c>
      <c r="EA30" s="19">
        <f>ISERROR($B$30)*1+ISERROR($E$30)*1+ISERROR($F$30)*1+ISERROR($G$30)*1</f>
        <v/>
      </c>
    </row>
    <row r="31" ht="37" customHeight="1">
      <c r="A31" s="33">
        <f>IF(LEN($DQ$16)&gt;0,"6 · "&amp;$DQ$16,"6 · (vazio)")</f>
        <v/>
      </c>
      <c r="B31" s="28" t="n"/>
      <c r="C31" s="24" t="n"/>
      <c r="D31" s="16" t="n"/>
      <c r="E31" s="42" t="n"/>
      <c r="F31" s="42" t="n"/>
      <c r="G31" s="28" t="n"/>
      <c r="H31" s="24" t="n"/>
      <c r="I31" s="24" t="n"/>
      <c r="J31" s="16" t="n"/>
      <c r="K31" s="26">
        <f>IF(EA31&gt;0,"O Google leu como fórmula: escolha de novo ou digite com ' na frente.",IF(AND(LEN($DQ$16)&gt;0,LEN($DV$31)=0,$BL$16=0),"Diga se ele é ser racional (só ser racional Executa, 23.5)",""))</f>
        <v/>
      </c>
      <c r="N31" s="19">
        <f>'Dados'!$B$100</f>
        <v/>
      </c>
      <c r="O31" s="19">
        <f>'Dados'!$C$100</f>
        <v/>
      </c>
      <c r="P31" s="19">
        <f>'Dados'!$D$100</f>
        <v/>
      </c>
      <c r="Q31" s="19">
        <f>'Dados'!$G$100</f>
        <v/>
      </c>
      <c r="R31" s="19">
        <f>'Dados'!$H$100</f>
        <v/>
      </c>
      <c r="S31" s="19">
        <f>'Dados'!$I$100</f>
        <v/>
      </c>
      <c r="T31" s="19">
        <f>'Dados'!$J$100</f>
        <v/>
      </c>
      <c r="U31" s="19">
        <f>'Dados'!$K$100</f>
        <v/>
      </c>
      <c r="V31" s="19">
        <f>'Dados'!$L$100</f>
        <v/>
      </c>
      <c r="W31" s="19">
        <f>'Dados'!$M$100</f>
        <v/>
      </c>
      <c r="X31" s="19">
        <f>'Dados'!$N$100</f>
        <v/>
      </c>
      <c r="Y31" s="19">
        <f>'Dados'!$O$100</f>
        <v/>
      </c>
      <c r="Z31" s="19">
        <f>'Dados'!$P$100</f>
        <v/>
      </c>
      <c r="AA31" s="19">
        <f>'Dados'!$Q$100&amp;""</f>
        <v/>
      </c>
      <c r="AB31" s="19">
        <f>'Dados'!$R$100&amp;""</f>
        <v/>
      </c>
      <c r="AC31" s="19">
        <f>'Dados'!$S$100&amp;""</f>
        <v/>
      </c>
      <c r="AD31" s="19">
        <f>'Dados'!$T$100&amp;""</f>
        <v/>
      </c>
      <c r="AE31" s="19">
        <f>'Dados'!$U$100&amp;""</f>
        <v/>
      </c>
      <c r="AF31" s="19">
        <f>'Dados'!$V$100&amp;""</f>
        <v/>
      </c>
      <c r="AG31" s="19">
        <f>'Dados'!$F$100</f>
        <v/>
      </c>
      <c r="AH31" s="19">
        <f>'Dados'!$Z$100</f>
        <v/>
      </c>
      <c r="AI31" s="19">
        <f>'Dados'!$AA$100</f>
        <v/>
      </c>
      <c r="AJ31" s="19">
        <f>'Dados'!$W$100</f>
        <v/>
      </c>
      <c r="AK31" s="19">
        <f>""</f>
        <v/>
      </c>
      <c r="AL31" s="19">
        <f>""</f>
        <v/>
      </c>
      <c r="AM31" s="19">
        <f>""</f>
        <v/>
      </c>
      <c r="AN31" s="19">
        <f>""</f>
        <v/>
      </c>
      <c r="AO31" s="19">
        <f>""</f>
        <v/>
      </c>
      <c r="AP31" s="19">
        <f>""</f>
        <v/>
      </c>
      <c r="AQ31" s="19">
        <f>""</f>
        <v/>
      </c>
      <c r="AR31" s="19">
        <f>""</f>
        <v/>
      </c>
      <c r="AS31" s="19">
        <f>""</f>
        <v/>
      </c>
      <c r="AT31" s="19">
        <f>""</f>
        <v/>
      </c>
      <c r="AU31" s="19">
        <f>""</f>
        <v/>
      </c>
      <c r="AV31" s="19">
        <f>""</f>
        <v/>
      </c>
      <c r="AW31" s="19">
        <f>'Dados'!$AF$100&amp;""</f>
        <v/>
      </c>
      <c r="AX31" s="19">
        <f>IF(ISNUMBER('Dados'!$AG$100),IF('Dados'!$AG$100&gt;0,'Dados'!$AG$100,""),"")</f>
        <v/>
      </c>
      <c r="AY31" s="19">
        <f>'Dados'!$AH$100&amp;""</f>
        <v/>
      </c>
      <c r="AZ31" s="19">
        <f>IF(ISNUMBER('Dados'!$AI$100),IF('Dados'!$AI$100&gt;0,'Dados'!$AI$100,""),"")</f>
        <v/>
      </c>
      <c r="BA31" s="19">
        <f>'Dados'!$AJ$100&amp;""</f>
        <v/>
      </c>
      <c r="BB31" s="19">
        <f>IF(ISNUMBER('Dados'!$AK$100),IF('Dados'!$AK$100&gt;0,'Dados'!$AK$100,""),"")</f>
        <v/>
      </c>
      <c r="BC31" s="19">
        <f>'Dados'!$E$100&amp;""</f>
        <v/>
      </c>
      <c r="BD31" s="19">
        <f>'Dados'!$AD$100&amp;""</f>
        <v/>
      </c>
      <c r="BE31" s="19">
        <f>INDEX('Dados'!$F$7:$F$11,'Dados'!$AB$100)</f>
        <v/>
      </c>
      <c r="BF31" s="19">
        <f>'Dados'!$AB$100</f>
        <v/>
      </c>
      <c r="BG31" s="19">
        <f>'Dados'!$AE$100</f>
        <v/>
      </c>
      <c r="BH31" s="19">
        <f>"Bestiário"</f>
        <v/>
      </c>
      <c r="DR31" s="19">
        <f>IF(ISERROR($B$31),"",IF(ISBLANK($B$31),"",$B$31))</f>
        <v/>
      </c>
      <c r="DV31" s="19">
        <f>IF(ISERROR($F$31),"",IF(ISBLANK($F$31),"",$F$31))</f>
        <v/>
      </c>
      <c r="DW31" s="19">
        <f>IF(ISERROR($G$31),"",IF(ISBLANK($G$31),"",$G$31))</f>
        <v/>
      </c>
      <c r="EA31" s="19">
        <f>ISERROR($B$31)*1+ISERROR($E$31)*1+ISERROR($F$31)*1+ISERROR($G$31)*1</f>
        <v/>
      </c>
    </row>
    <row r="32" ht="37" customHeight="1">
      <c r="A32" s="32">
        <f>IF(LEN($DQ$17)&gt;0,"7 · "&amp;$DQ$17,"7 · (vazio)")</f>
        <v/>
      </c>
      <c r="B32" s="3" t="n"/>
      <c r="C32" s="24" t="n"/>
      <c r="D32" s="16" t="n"/>
      <c r="E32" s="36" t="n"/>
      <c r="F32" s="36" t="n"/>
      <c r="G32" s="3" t="n"/>
      <c r="H32" s="24" t="n"/>
      <c r="I32" s="24" t="n"/>
      <c r="J32" s="16" t="n"/>
      <c r="K32" s="18">
        <f>IF(EA32&gt;0,"O Google leu como fórmula: escolha de novo ou digite com ' na frente.",IF(AND(LEN($DQ$17)&gt;0,LEN($DV$32)=0,$BL$17=0),"Diga se ele é ser racional (só ser racional Executa, 23.5)",""))</f>
        <v/>
      </c>
      <c r="N32" s="19">
        <f>'Dados'!$B$101</f>
        <v/>
      </c>
      <c r="O32" s="19">
        <f>'Dados'!$C$101</f>
        <v/>
      </c>
      <c r="P32" s="19">
        <f>'Dados'!$D$101</f>
        <v/>
      </c>
      <c r="Q32" s="19">
        <f>'Dados'!$G$101</f>
        <v/>
      </c>
      <c r="R32" s="19">
        <f>'Dados'!$H$101</f>
        <v/>
      </c>
      <c r="S32" s="19">
        <f>'Dados'!$I$101</f>
        <v/>
      </c>
      <c r="T32" s="19">
        <f>'Dados'!$J$101</f>
        <v/>
      </c>
      <c r="U32" s="19">
        <f>'Dados'!$K$101</f>
        <v/>
      </c>
      <c r="V32" s="19">
        <f>'Dados'!$L$101</f>
        <v/>
      </c>
      <c r="W32" s="19">
        <f>'Dados'!$M$101</f>
        <v/>
      </c>
      <c r="X32" s="19">
        <f>'Dados'!$N$101</f>
        <v/>
      </c>
      <c r="Y32" s="19">
        <f>'Dados'!$O$101</f>
        <v/>
      </c>
      <c r="Z32" s="19">
        <f>'Dados'!$P$101</f>
        <v/>
      </c>
      <c r="AA32" s="19">
        <f>'Dados'!$Q$101&amp;""</f>
        <v/>
      </c>
      <c r="AB32" s="19">
        <f>'Dados'!$R$101&amp;""</f>
        <v/>
      </c>
      <c r="AC32" s="19">
        <f>'Dados'!$S$101&amp;""</f>
        <v/>
      </c>
      <c r="AD32" s="19">
        <f>'Dados'!$T$101&amp;""</f>
        <v/>
      </c>
      <c r="AE32" s="19">
        <f>'Dados'!$U$101&amp;""</f>
        <v/>
      </c>
      <c r="AF32" s="19">
        <f>'Dados'!$V$101&amp;""</f>
        <v/>
      </c>
      <c r="AG32" s="19">
        <f>'Dados'!$F$101</f>
        <v/>
      </c>
      <c r="AH32" s="19">
        <f>'Dados'!$Z$101</f>
        <v/>
      </c>
      <c r="AI32" s="19">
        <f>'Dados'!$AA$101</f>
        <v/>
      </c>
      <c r="AJ32" s="19">
        <f>'Dados'!$W$101</f>
        <v/>
      </c>
      <c r="AK32" s="19">
        <f>""</f>
        <v/>
      </c>
      <c r="AL32" s="19">
        <f>""</f>
        <v/>
      </c>
      <c r="AM32" s="19">
        <f>""</f>
        <v/>
      </c>
      <c r="AN32" s="19">
        <f>""</f>
        <v/>
      </c>
      <c r="AO32" s="19">
        <f>""</f>
        <v/>
      </c>
      <c r="AP32" s="19">
        <f>""</f>
        <v/>
      </c>
      <c r="AQ32" s="19">
        <f>""</f>
        <v/>
      </c>
      <c r="AR32" s="19">
        <f>""</f>
        <v/>
      </c>
      <c r="AS32" s="19">
        <f>""</f>
        <v/>
      </c>
      <c r="AT32" s="19">
        <f>""</f>
        <v/>
      </c>
      <c r="AU32" s="19">
        <f>""</f>
        <v/>
      </c>
      <c r="AV32" s="19">
        <f>""</f>
        <v/>
      </c>
      <c r="AW32" s="19">
        <f>'Dados'!$AF$101&amp;""</f>
        <v/>
      </c>
      <c r="AX32" s="19">
        <f>IF(ISNUMBER('Dados'!$AG$101),IF('Dados'!$AG$101&gt;0,'Dados'!$AG$101,""),"")</f>
        <v/>
      </c>
      <c r="AY32" s="19">
        <f>'Dados'!$AH$101&amp;""</f>
        <v/>
      </c>
      <c r="AZ32" s="19">
        <f>IF(ISNUMBER('Dados'!$AI$101),IF('Dados'!$AI$101&gt;0,'Dados'!$AI$101,""),"")</f>
        <v/>
      </c>
      <c r="BA32" s="19">
        <f>'Dados'!$AJ$101&amp;""</f>
        <v/>
      </c>
      <c r="BB32" s="19">
        <f>IF(ISNUMBER('Dados'!$AK$101),IF('Dados'!$AK$101&gt;0,'Dados'!$AK$101,""),"")</f>
        <v/>
      </c>
      <c r="BC32" s="19">
        <f>'Dados'!$E$101&amp;""</f>
        <v/>
      </c>
      <c r="BD32" s="19">
        <f>'Dados'!$AD$101&amp;""</f>
        <v/>
      </c>
      <c r="BE32" s="19">
        <f>INDEX('Dados'!$F$7:$F$11,'Dados'!$AB$101)</f>
        <v/>
      </c>
      <c r="BF32" s="19">
        <f>'Dados'!$AB$101</f>
        <v/>
      </c>
      <c r="BG32" s="19">
        <f>'Dados'!$AE$101</f>
        <v/>
      </c>
      <c r="BH32" s="19">
        <f>"Bestiário"</f>
        <v/>
      </c>
      <c r="DR32" s="19">
        <f>IF(ISERROR($B$32),"",IF(ISBLANK($B$32),"",$B$32))</f>
        <v/>
      </c>
      <c r="DV32" s="19">
        <f>IF(ISERROR($F$32),"",IF(ISBLANK($F$32),"",$F$32))</f>
        <v/>
      </c>
      <c r="DW32" s="19">
        <f>IF(ISERROR($G$32),"",IF(ISBLANK($G$32),"",$G$32))</f>
        <v/>
      </c>
      <c r="EA32" s="19">
        <f>ISERROR($B$32)*1+ISERROR($E$32)*1+ISERROR($F$32)*1+ISERROR($G$32)*1</f>
        <v/>
      </c>
    </row>
    <row r="33" ht="37" customHeight="1">
      <c r="A33" s="33">
        <f>IF(LEN($DQ$18)&gt;0,"8 · "&amp;$DQ$18,"8 · (vazio)")</f>
        <v/>
      </c>
      <c r="B33" s="28" t="n"/>
      <c r="C33" s="24" t="n"/>
      <c r="D33" s="16" t="n"/>
      <c r="E33" s="42" t="n"/>
      <c r="F33" s="42" t="n"/>
      <c r="G33" s="28" t="n"/>
      <c r="H33" s="24" t="n"/>
      <c r="I33" s="24" t="n"/>
      <c r="J33" s="16" t="n"/>
      <c r="K33" s="26">
        <f>IF(EA33&gt;0,"O Google leu como fórmula: escolha de novo ou digite com ' na frente.",IF(AND(LEN($DQ$18)&gt;0,LEN($DV$33)=0,$BL$18=0),"Diga se ele é ser racional (só ser racional Executa, 23.5)",""))</f>
        <v/>
      </c>
      <c r="N33" s="19">
        <f>'Dados'!$B$102</f>
        <v/>
      </c>
      <c r="O33" s="19">
        <f>'Dados'!$C$102</f>
        <v/>
      </c>
      <c r="P33" s="19">
        <f>'Dados'!$D$102</f>
        <v/>
      </c>
      <c r="Q33" s="19">
        <f>'Dados'!$G$102</f>
        <v/>
      </c>
      <c r="R33" s="19">
        <f>'Dados'!$H$102</f>
        <v/>
      </c>
      <c r="S33" s="19">
        <f>'Dados'!$I$102</f>
        <v/>
      </c>
      <c r="T33" s="19">
        <f>'Dados'!$J$102</f>
        <v/>
      </c>
      <c r="U33" s="19">
        <f>'Dados'!$K$102</f>
        <v/>
      </c>
      <c r="V33" s="19">
        <f>'Dados'!$L$102</f>
        <v/>
      </c>
      <c r="W33" s="19">
        <f>'Dados'!$M$102</f>
        <v/>
      </c>
      <c r="X33" s="19">
        <f>'Dados'!$N$102</f>
        <v/>
      </c>
      <c r="Y33" s="19">
        <f>'Dados'!$O$102</f>
        <v/>
      </c>
      <c r="Z33" s="19">
        <f>'Dados'!$P$102</f>
        <v/>
      </c>
      <c r="AA33" s="19">
        <f>'Dados'!$Q$102&amp;""</f>
        <v/>
      </c>
      <c r="AB33" s="19">
        <f>'Dados'!$R$102&amp;""</f>
        <v/>
      </c>
      <c r="AC33" s="19">
        <f>'Dados'!$S$102&amp;""</f>
        <v/>
      </c>
      <c r="AD33" s="19">
        <f>'Dados'!$T$102&amp;""</f>
        <v/>
      </c>
      <c r="AE33" s="19">
        <f>'Dados'!$U$102&amp;""</f>
        <v/>
      </c>
      <c r="AF33" s="19">
        <f>'Dados'!$V$102&amp;""</f>
        <v/>
      </c>
      <c r="AG33" s="19">
        <f>'Dados'!$F$102</f>
        <v/>
      </c>
      <c r="AH33" s="19">
        <f>'Dados'!$Z$102</f>
        <v/>
      </c>
      <c r="AI33" s="19">
        <f>'Dados'!$AA$102</f>
        <v/>
      </c>
      <c r="AJ33" s="19">
        <f>'Dados'!$W$102</f>
        <v/>
      </c>
      <c r="AK33" s="19">
        <f>""</f>
        <v/>
      </c>
      <c r="AL33" s="19">
        <f>""</f>
        <v/>
      </c>
      <c r="AM33" s="19">
        <f>""</f>
        <v/>
      </c>
      <c r="AN33" s="19">
        <f>""</f>
        <v/>
      </c>
      <c r="AO33" s="19">
        <f>""</f>
        <v/>
      </c>
      <c r="AP33" s="19">
        <f>""</f>
        <v/>
      </c>
      <c r="AQ33" s="19">
        <f>""</f>
        <v/>
      </c>
      <c r="AR33" s="19">
        <f>""</f>
        <v/>
      </c>
      <c r="AS33" s="19">
        <f>""</f>
        <v/>
      </c>
      <c r="AT33" s="19">
        <f>""</f>
        <v/>
      </c>
      <c r="AU33" s="19">
        <f>""</f>
        <v/>
      </c>
      <c r="AV33" s="19">
        <f>""</f>
        <v/>
      </c>
      <c r="AW33" s="19">
        <f>'Dados'!$AF$102&amp;""</f>
        <v/>
      </c>
      <c r="AX33" s="19">
        <f>IF(ISNUMBER('Dados'!$AG$102),IF('Dados'!$AG$102&gt;0,'Dados'!$AG$102,""),"")</f>
        <v/>
      </c>
      <c r="AY33" s="19">
        <f>'Dados'!$AH$102&amp;""</f>
        <v/>
      </c>
      <c r="AZ33" s="19">
        <f>IF(ISNUMBER('Dados'!$AI$102),IF('Dados'!$AI$102&gt;0,'Dados'!$AI$102,""),"")</f>
        <v/>
      </c>
      <c r="BA33" s="19">
        <f>'Dados'!$AJ$102&amp;""</f>
        <v/>
      </c>
      <c r="BB33" s="19">
        <f>IF(ISNUMBER('Dados'!$AK$102),IF('Dados'!$AK$102&gt;0,'Dados'!$AK$102,""),"")</f>
        <v/>
      </c>
      <c r="BC33" s="19">
        <f>'Dados'!$E$102&amp;""</f>
        <v/>
      </c>
      <c r="BD33" s="19">
        <f>'Dados'!$AD$102&amp;""</f>
        <v/>
      </c>
      <c r="BE33" s="19">
        <f>INDEX('Dados'!$F$7:$F$11,'Dados'!$AB$102)</f>
        <v/>
      </c>
      <c r="BF33" s="19">
        <f>'Dados'!$AB$102</f>
        <v/>
      </c>
      <c r="BG33" s="19">
        <f>'Dados'!$AE$102</f>
        <v/>
      </c>
      <c r="BH33" s="19">
        <f>"Bestiário"</f>
        <v/>
      </c>
      <c r="DR33" s="19">
        <f>IF(ISERROR($B$33),"",IF(ISBLANK($B$33),"",$B$33))</f>
        <v/>
      </c>
      <c r="DV33" s="19">
        <f>IF(ISERROR($F$33),"",IF(ISBLANK($F$33),"",$F$33))</f>
        <v/>
      </c>
      <c r="DW33" s="19">
        <f>IF(ISERROR($G$33),"",IF(ISBLANK($G$33),"",$G$33))</f>
        <v/>
      </c>
      <c r="EA33" s="19">
        <f>ISERROR($B$33)*1+ISERROR($E$33)*1+ISERROR($F$33)*1+ISERROR($G$33)*1</f>
        <v/>
      </c>
    </row>
    <row r="34" ht="37" customHeight="1">
      <c r="A34" s="32">
        <f>IF(LEN($DQ$19)&gt;0,"9 · "&amp;$DQ$19,"9 · (vazio)")</f>
        <v/>
      </c>
      <c r="B34" s="3" t="n"/>
      <c r="C34" s="24" t="n"/>
      <c r="D34" s="16" t="n"/>
      <c r="E34" s="36" t="n"/>
      <c r="F34" s="36" t="n"/>
      <c r="G34" s="3" t="n"/>
      <c r="H34" s="24" t="n"/>
      <c r="I34" s="24" t="n"/>
      <c r="J34" s="16" t="n"/>
      <c r="K34" s="18">
        <f>IF(EA34&gt;0,"O Google leu como fórmula: escolha de novo ou digite com ' na frente.",IF(AND(LEN($DQ$19)&gt;0,LEN($DV$34)=0,$BL$19=0),"Diga se ele é ser racional (só ser racional Executa, 23.5)",""))</f>
        <v/>
      </c>
      <c r="N34" s="19">
        <f>'Dados'!$B$103</f>
        <v/>
      </c>
      <c r="O34" s="19">
        <f>'Dados'!$C$103</f>
        <v/>
      </c>
      <c r="P34" s="19">
        <f>'Dados'!$D$103</f>
        <v/>
      </c>
      <c r="Q34" s="19">
        <f>'Dados'!$G$103</f>
        <v/>
      </c>
      <c r="R34" s="19">
        <f>'Dados'!$H$103</f>
        <v/>
      </c>
      <c r="S34" s="19">
        <f>'Dados'!$I$103</f>
        <v/>
      </c>
      <c r="T34" s="19">
        <f>'Dados'!$J$103</f>
        <v/>
      </c>
      <c r="U34" s="19">
        <f>'Dados'!$K$103</f>
        <v/>
      </c>
      <c r="V34" s="19">
        <f>'Dados'!$L$103</f>
        <v/>
      </c>
      <c r="W34" s="19">
        <f>'Dados'!$M$103</f>
        <v/>
      </c>
      <c r="X34" s="19">
        <f>'Dados'!$N$103</f>
        <v/>
      </c>
      <c r="Y34" s="19">
        <f>'Dados'!$O$103</f>
        <v/>
      </c>
      <c r="Z34" s="19">
        <f>'Dados'!$P$103</f>
        <v/>
      </c>
      <c r="AA34" s="19">
        <f>'Dados'!$Q$103&amp;""</f>
        <v/>
      </c>
      <c r="AB34" s="19">
        <f>'Dados'!$R$103&amp;""</f>
        <v/>
      </c>
      <c r="AC34" s="19">
        <f>'Dados'!$S$103&amp;""</f>
        <v/>
      </c>
      <c r="AD34" s="19">
        <f>'Dados'!$T$103&amp;""</f>
        <v/>
      </c>
      <c r="AE34" s="19">
        <f>'Dados'!$U$103&amp;""</f>
        <v/>
      </c>
      <c r="AF34" s="19">
        <f>'Dados'!$V$103&amp;""</f>
        <v/>
      </c>
      <c r="AG34" s="19">
        <f>'Dados'!$F$103</f>
        <v/>
      </c>
      <c r="AH34" s="19">
        <f>'Dados'!$Z$103</f>
        <v/>
      </c>
      <c r="AI34" s="19">
        <f>'Dados'!$AA$103</f>
        <v/>
      </c>
      <c r="AJ34" s="19">
        <f>'Dados'!$W$103</f>
        <v/>
      </c>
      <c r="AK34" s="19">
        <f>""</f>
        <v/>
      </c>
      <c r="AL34" s="19">
        <f>""</f>
        <v/>
      </c>
      <c r="AM34" s="19">
        <f>""</f>
        <v/>
      </c>
      <c r="AN34" s="19">
        <f>""</f>
        <v/>
      </c>
      <c r="AO34" s="19">
        <f>""</f>
        <v/>
      </c>
      <c r="AP34" s="19">
        <f>""</f>
        <v/>
      </c>
      <c r="AQ34" s="19">
        <f>""</f>
        <v/>
      </c>
      <c r="AR34" s="19">
        <f>""</f>
        <v/>
      </c>
      <c r="AS34" s="19">
        <f>""</f>
        <v/>
      </c>
      <c r="AT34" s="19">
        <f>""</f>
        <v/>
      </c>
      <c r="AU34" s="19">
        <f>""</f>
        <v/>
      </c>
      <c r="AV34" s="19">
        <f>""</f>
        <v/>
      </c>
      <c r="AW34" s="19">
        <f>'Dados'!$AF$103&amp;""</f>
        <v/>
      </c>
      <c r="AX34" s="19">
        <f>IF(ISNUMBER('Dados'!$AG$103),IF('Dados'!$AG$103&gt;0,'Dados'!$AG$103,""),"")</f>
        <v/>
      </c>
      <c r="AY34" s="19">
        <f>'Dados'!$AH$103&amp;""</f>
        <v/>
      </c>
      <c r="AZ34" s="19">
        <f>IF(ISNUMBER('Dados'!$AI$103),IF('Dados'!$AI$103&gt;0,'Dados'!$AI$103,""),"")</f>
        <v/>
      </c>
      <c r="BA34" s="19">
        <f>'Dados'!$AJ$103&amp;""</f>
        <v/>
      </c>
      <c r="BB34" s="19">
        <f>IF(ISNUMBER('Dados'!$AK$103),IF('Dados'!$AK$103&gt;0,'Dados'!$AK$103,""),"")</f>
        <v/>
      </c>
      <c r="BC34" s="19">
        <f>'Dados'!$E$103&amp;""</f>
        <v/>
      </c>
      <c r="BD34" s="19">
        <f>'Dados'!$AD$103&amp;""</f>
        <v/>
      </c>
      <c r="BE34" s="19">
        <f>INDEX('Dados'!$F$7:$F$11,'Dados'!$AB$103)</f>
        <v/>
      </c>
      <c r="BF34" s="19">
        <f>'Dados'!$AB$103</f>
        <v/>
      </c>
      <c r="BG34" s="19">
        <f>'Dados'!$AE$103</f>
        <v/>
      </c>
      <c r="BH34" s="19">
        <f>"Bestiário"</f>
        <v/>
      </c>
      <c r="DR34" s="19">
        <f>IF(ISERROR($B$34),"",IF(ISBLANK($B$34),"",$B$34))</f>
        <v/>
      </c>
      <c r="DV34" s="19">
        <f>IF(ISERROR($F$34),"",IF(ISBLANK($F$34),"",$F$34))</f>
        <v/>
      </c>
      <c r="DW34" s="19">
        <f>IF(ISERROR($G$34),"",IF(ISBLANK($G$34),"",$G$34))</f>
        <v/>
      </c>
      <c r="EA34" s="19">
        <f>ISERROR($B$34)*1+ISERROR($E$34)*1+ISERROR($F$34)*1+ISERROR($G$34)*1</f>
        <v/>
      </c>
    </row>
    <row r="35" ht="37" customHeight="1">
      <c r="A35" s="33">
        <f>IF(LEN($DQ$20)&gt;0,"10 · "&amp;$DQ$20,"10 · (vazio)")</f>
        <v/>
      </c>
      <c r="B35" s="28" t="n"/>
      <c r="C35" s="24" t="n"/>
      <c r="D35" s="16" t="n"/>
      <c r="E35" s="42" t="n"/>
      <c r="F35" s="42" t="n"/>
      <c r="G35" s="28" t="n"/>
      <c r="H35" s="24" t="n"/>
      <c r="I35" s="24" t="n"/>
      <c r="J35" s="16" t="n"/>
      <c r="K35" s="26">
        <f>IF(EA35&gt;0,"O Google leu como fórmula: escolha de novo ou digite com ' na frente.",IF(AND(LEN($DQ$20)&gt;0,LEN($DV$35)=0,$BL$20=0),"Diga se ele é ser racional (só ser racional Executa, 23.5)",""))</f>
        <v/>
      </c>
      <c r="N35" s="19">
        <f>'Dados'!$B$104</f>
        <v/>
      </c>
      <c r="O35" s="19">
        <f>'Dados'!$C$104</f>
        <v/>
      </c>
      <c r="P35" s="19">
        <f>'Dados'!$D$104</f>
        <v/>
      </c>
      <c r="Q35" s="19">
        <f>'Dados'!$G$104</f>
        <v/>
      </c>
      <c r="R35" s="19">
        <f>'Dados'!$H$104</f>
        <v/>
      </c>
      <c r="S35" s="19">
        <f>'Dados'!$I$104</f>
        <v/>
      </c>
      <c r="T35" s="19">
        <f>'Dados'!$J$104</f>
        <v/>
      </c>
      <c r="U35" s="19">
        <f>'Dados'!$K$104</f>
        <v/>
      </c>
      <c r="V35" s="19">
        <f>'Dados'!$L$104</f>
        <v/>
      </c>
      <c r="W35" s="19">
        <f>'Dados'!$M$104</f>
        <v/>
      </c>
      <c r="X35" s="19">
        <f>'Dados'!$N$104</f>
        <v/>
      </c>
      <c r="Y35" s="19">
        <f>'Dados'!$O$104</f>
        <v/>
      </c>
      <c r="Z35" s="19">
        <f>'Dados'!$P$104</f>
        <v/>
      </c>
      <c r="AA35" s="19">
        <f>'Dados'!$Q$104&amp;""</f>
        <v/>
      </c>
      <c r="AB35" s="19">
        <f>'Dados'!$R$104&amp;""</f>
        <v/>
      </c>
      <c r="AC35" s="19">
        <f>'Dados'!$S$104&amp;""</f>
        <v/>
      </c>
      <c r="AD35" s="19">
        <f>'Dados'!$T$104&amp;""</f>
        <v/>
      </c>
      <c r="AE35" s="19">
        <f>'Dados'!$U$104&amp;""</f>
        <v/>
      </c>
      <c r="AF35" s="19">
        <f>'Dados'!$V$104&amp;""</f>
        <v/>
      </c>
      <c r="AG35" s="19">
        <f>'Dados'!$F$104</f>
        <v/>
      </c>
      <c r="AH35" s="19">
        <f>'Dados'!$Z$104</f>
        <v/>
      </c>
      <c r="AI35" s="19">
        <f>'Dados'!$AA$104</f>
        <v/>
      </c>
      <c r="AJ35" s="19">
        <f>'Dados'!$W$104</f>
        <v/>
      </c>
      <c r="AK35" s="19">
        <f>""</f>
        <v/>
      </c>
      <c r="AL35" s="19">
        <f>""</f>
        <v/>
      </c>
      <c r="AM35" s="19">
        <f>""</f>
        <v/>
      </c>
      <c r="AN35" s="19">
        <f>""</f>
        <v/>
      </c>
      <c r="AO35" s="19">
        <f>""</f>
        <v/>
      </c>
      <c r="AP35" s="19">
        <f>""</f>
        <v/>
      </c>
      <c r="AQ35" s="19">
        <f>""</f>
        <v/>
      </c>
      <c r="AR35" s="19">
        <f>""</f>
        <v/>
      </c>
      <c r="AS35" s="19">
        <f>""</f>
        <v/>
      </c>
      <c r="AT35" s="19">
        <f>""</f>
        <v/>
      </c>
      <c r="AU35" s="19">
        <f>""</f>
        <v/>
      </c>
      <c r="AV35" s="19">
        <f>""</f>
        <v/>
      </c>
      <c r="AW35" s="19">
        <f>'Dados'!$AF$104&amp;""</f>
        <v/>
      </c>
      <c r="AX35" s="19">
        <f>IF(ISNUMBER('Dados'!$AG$104),IF('Dados'!$AG$104&gt;0,'Dados'!$AG$104,""),"")</f>
        <v/>
      </c>
      <c r="AY35" s="19">
        <f>'Dados'!$AH$104&amp;""</f>
        <v/>
      </c>
      <c r="AZ35" s="19">
        <f>IF(ISNUMBER('Dados'!$AI$104),IF('Dados'!$AI$104&gt;0,'Dados'!$AI$104,""),"")</f>
        <v/>
      </c>
      <c r="BA35" s="19">
        <f>'Dados'!$AJ$104&amp;""</f>
        <v/>
      </c>
      <c r="BB35" s="19">
        <f>IF(ISNUMBER('Dados'!$AK$104),IF('Dados'!$AK$104&gt;0,'Dados'!$AK$104,""),"")</f>
        <v/>
      </c>
      <c r="BC35" s="19">
        <f>'Dados'!$E$104&amp;""</f>
        <v/>
      </c>
      <c r="BD35" s="19">
        <f>'Dados'!$AD$104&amp;""</f>
        <v/>
      </c>
      <c r="BE35" s="19">
        <f>INDEX('Dados'!$F$7:$F$11,'Dados'!$AB$104)</f>
        <v/>
      </c>
      <c r="BF35" s="19">
        <f>'Dados'!$AB$104</f>
        <v/>
      </c>
      <c r="BG35" s="19">
        <f>'Dados'!$AE$104</f>
        <v/>
      </c>
      <c r="BH35" s="19">
        <f>"Bestiário"</f>
        <v/>
      </c>
      <c r="DR35" s="19">
        <f>IF(ISERROR($B$35),"",IF(ISBLANK($B$35),"",$B$35))</f>
        <v/>
      </c>
      <c r="DV35" s="19">
        <f>IF(ISERROR($F$35),"",IF(ISBLANK($F$35),"",$F$35))</f>
        <v/>
      </c>
      <c r="DW35" s="19">
        <f>IF(ISERROR($G$35),"",IF(ISBLANK($G$35),"",$G$35))</f>
        <v/>
      </c>
      <c r="EA35" s="19">
        <f>ISERROR($B$35)*1+ISERROR($E$35)*1+ISERROR($F$35)*1+ISERROR($G$35)*1</f>
        <v/>
      </c>
    </row>
    <row r="36" ht="37" customHeight="1">
      <c r="A36" s="32">
        <f>IF(LEN($DQ$21)&gt;0,"11 · "&amp;$DQ$21,"11 · (vazio)")</f>
        <v/>
      </c>
      <c r="B36" s="3" t="n"/>
      <c r="C36" s="24" t="n"/>
      <c r="D36" s="16" t="n"/>
      <c r="E36" s="36" t="n"/>
      <c r="F36" s="36" t="n"/>
      <c r="G36" s="3" t="n"/>
      <c r="H36" s="24" t="n"/>
      <c r="I36" s="24" t="n"/>
      <c r="J36" s="16" t="n"/>
      <c r="K36" s="18">
        <f>IF(EA36&gt;0,"O Google leu como fórmula: escolha de novo ou digite com ' na frente.",IF(AND(LEN($DQ$21)&gt;0,LEN($DV$36)=0,$BL$21=0),"Diga se ele é ser racional (só ser racional Executa, 23.5)",""))</f>
        <v/>
      </c>
      <c r="N36" s="19">
        <f>'Dados'!$B$105</f>
        <v/>
      </c>
      <c r="O36" s="19">
        <f>'Dados'!$C$105</f>
        <v/>
      </c>
      <c r="P36" s="19">
        <f>'Dados'!$D$105</f>
        <v/>
      </c>
      <c r="Q36" s="19">
        <f>'Dados'!$G$105</f>
        <v/>
      </c>
      <c r="R36" s="19">
        <f>'Dados'!$H$105</f>
        <v/>
      </c>
      <c r="S36" s="19">
        <f>'Dados'!$I$105</f>
        <v/>
      </c>
      <c r="T36" s="19">
        <f>'Dados'!$J$105</f>
        <v/>
      </c>
      <c r="U36" s="19">
        <f>'Dados'!$K$105</f>
        <v/>
      </c>
      <c r="V36" s="19">
        <f>'Dados'!$L$105</f>
        <v/>
      </c>
      <c r="W36" s="19">
        <f>'Dados'!$M$105</f>
        <v/>
      </c>
      <c r="X36" s="19">
        <f>'Dados'!$N$105</f>
        <v/>
      </c>
      <c r="Y36" s="19">
        <f>'Dados'!$O$105</f>
        <v/>
      </c>
      <c r="Z36" s="19">
        <f>'Dados'!$P$105</f>
        <v/>
      </c>
      <c r="AA36" s="19">
        <f>'Dados'!$Q$105&amp;""</f>
        <v/>
      </c>
      <c r="AB36" s="19">
        <f>'Dados'!$R$105&amp;""</f>
        <v/>
      </c>
      <c r="AC36" s="19">
        <f>'Dados'!$S$105&amp;""</f>
        <v/>
      </c>
      <c r="AD36" s="19">
        <f>'Dados'!$T$105&amp;""</f>
        <v/>
      </c>
      <c r="AE36" s="19">
        <f>'Dados'!$U$105&amp;""</f>
        <v/>
      </c>
      <c r="AF36" s="19">
        <f>'Dados'!$V$105&amp;""</f>
        <v/>
      </c>
      <c r="AG36" s="19">
        <f>'Dados'!$F$105</f>
        <v/>
      </c>
      <c r="AH36" s="19">
        <f>'Dados'!$Z$105</f>
        <v/>
      </c>
      <c r="AI36" s="19">
        <f>'Dados'!$AA$105</f>
        <v/>
      </c>
      <c r="AJ36" s="19">
        <f>'Dados'!$W$105</f>
        <v/>
      </c>
      <c r="AK36" s="19">
        <f>""</f>
        <v/>
      </c>
      <c r="AL36" s="19">
        <f>""</f>
        <v/>
      </c>
      <c r="AM36" s="19">
        <f>""</f>
        <v/>
      </c>
      <c r="AN36" s="19">
        <f>""</f>
        <v/>
      </c>
      <c r="AO36" s="19">
        <f>""</f>
        <v/>
      </c>
      <c r="AP36" s="19">
        <f>""</f>
        <v/>
      </c>
      <c r="AQ36" s="19">
        <f>""</f>
        <v/>
      </c>
      <c r="AR36" s="19">
        <f>""</f>
        <v/>
      </c>
      <c r="AS36" s="19">
        <f>""</f>
        <v/>
      </c>
      <c r="AT36" s="19">
        <f>""</f>
        <v/>
      </c>
      <c r="AU36" s="19">
        <f>""</f>
        <v/>
      </c>
      <c r="AV36" s="19">
        <f>""</f>
        <v/>
      </c>
      <c r="AW36" s="19">
        <f>'Dados'!$AF$105&amp;""</f>
        <v/>
      </c>
      <c r="AX36" s="19">
        <f>IF(ISNUMBER('Dados'!$AG$105),IF('Dados'!$AG$105&gt;0,'Dados'!$AG$105,""),"")</f>
        <v/>
      </c>
      <c r="AY36" s="19">
        <f>'Dados'!$AH$105&amp;""</f>
        <v/>
      </c>
      <c r="AZ36" s="19">
        <f>IF(ISNUMBER('Dados'!$AI$105),IF('Dados'!$AI$105&gt;0,'Dados'!$AI$105,""),"")</f>
        <v/>
      </c>
      <c r="BA36" s="19">
        <f>'Dados'!$AJ$105&amp;""</f>
        <v/>
      </c>
      <c r="BB36" s="19">
        <f>IF(ISNUMBER('Dados'!$AK$105),IF('Dados'!$AK$105&gt;0,'Dados'!$AK$105,""),"")</f>
        <v/>
      </c>
      <c r="BC36" s="19">
        <f>'Dados'!$E$105&amp;""</f>
        <v/>
      </c>
      <c r="BD36" s="19">
        <f>'Dados'!$AD$105&amp;""</f>
        <v/>
      </c>
      <c r="BE36" s="19">
        <f>INDEX('Dados'!$F$7:$F$11,'Dados'!$AB$105)</f>
        <v/>
      </c>
      <c r="BF36" s="19">
        <f>'Dados'!$AB$105</f>
        <v/>
      </c>
      <c r="BG36" s="19">
        <f>'Dados'!$AE$105</f>
        <v/>
      </c>
      <c r="BH36" s="19">
        <f>"Bestiário"</f>
        <v/>
      </c>
      <c r="DR36" s="19">
        <f>IF(ISERROR($B$36),"",IF(ISBLANK($B$36),"",$B$36))</f>
        <v/>
      </c>
      <c r="DV36" s="19">
        <f>IF(ISERROR($F$36),"",IF(ISBLANK($F$36),"",$F$36))</f>
        <v/>
      </c>
      <c r="DW36" s="19">
        <f>IF(ISERROR($G$36),"",IF(ISBLANK($G$36),"",$G$36))</f>
        <v/>
      </c>
      <c r="EA36" s="19">
        <f>ISERROR($B$36)*1+ISERROR($E$36)*1+ISERROR($F$36)*1+ISERROR($G$36)*1</f>
        <v/>
      </c>
    </row>
    <row r="37" ht="37" customHeight="1">
      <c r="A37" s="33">
        <f>IF(LEN($DQ$22)&gt;0,"12 · "&amp;$DQ$22,"12 · (vazio)")</f>
        <v/>
      </c>
      <c r="B37" s="28" t="n"/>
      <c r="C37" s="24" t="n"/>
      <c r="D37" s="16" t="n"/>
      <c r="E37" s="42" t="n"/>
      <c r="F37" s="42" t="n"/>
      <c r="G37" s="28" t="n"/>
      <c r="H37" s="24" t="n"/>
      <c r="I37" s="24" t="n"/>
      <c r="J37" s="16" t="n"/>
      <c r="K37" s="26">
        <f>IF(EA37&gt;0,"O Google leu como fórmula: escolha de novo ou digite com ' na frente.",IF(AND(LEN($DQ$22)&gt;0,LEN($DV$37)=0,$BL$22=0),"Diga se ele é ser racional (só ser racional Executa, 23.5)",""))</f>
        <v/>
      </c>
      <c r="N37" s="19">
        <f>'Dados'!$B$106</f>
        <v/>
      </c>
      <c r="O37" s="19">
        <f>'Dados'!$C$106</f>
        <v/>
      </c>
      <c r="P37" s="19">
        <f>'Dados'!$D$106</f>
        <v/>
      </c>
      <c r="Q37" s="19">
        <f>'Dados'!$G$106</f>
        <v/>
      </c>
      <c r="R37" s="19">
        <f>'Dados'!$H$106</f>
        <v/>
      </c>
      <c r="S37" s="19">
        <f>'Dados'!$I$106</f>
        <v/>
      </c>
      <c r="T37" s="19">
        <f>'Dados'!$J$106</f>
        <v/>
      </c>
      <c r="U37" s="19">
        <f>'Dados'!$K$106</f>
        <v/>
      </c>
      <c r="V37" s="19">
        <f>'Dados'!$L$106</f>
        <v/>
      </c>
      <c r="W37" s="19">
        <f>'Dados'!$M$106</f>
        <v/>
      </c>
      <c r="X37" s="19">
        <f>'Dados'!$N$106</f>
        <v/>
      </c>
      <c r="Y37" s="19">
        <f>'Dados'!$O$106</f>
        <v/>
      </c>
      <c r="Z37" s="19">
        <f>'Dados'!$P$106</f>
        <v/>
      </c>
      <c r="AA37" s="19">
        <f>'Dados'!$Q$106&amp;""</f>
        <v/>
      </c>
      <c r="AB37" s="19">
        <f>'Dados'!$R$106&amp;""</f>
        <v/>
      </c>
      <c r="AC37" s="19">
        <f>'Dados'!$S$106&amp;""</f>
        <v/>
      </c>
      <c r="AD37" s="19">
        <f>'Dados'!$T$106&amp;""</f>
        <v/>
      </c>
      <c r="AE37" s="19">
        <f>'Dados'!$U$106&amp;""</f>
        <v/>
      </c>
      <c r="AF37" s="19">
        <f>'Dados'!$V$106&amp;""</f>
        <v/>
      </c>
      <c r="AG37" s="19">
        <f>'Dados'!$F$106</f>
        <v/>
      </c>
      <c r="AH37" s="19">
        <f>'Dados'!$Z$106</f>
        <v/>
      </c>
      <c r="AI37" s="19">
        <f>'Dados'!$AA$106</f>
        <v/>
      </c>
      <c r="AJ37" s="19">
        <f>'Dados'!$W$106</f>
        <v/>
      </c>
      <c r="AK37" s="19">
        <f>""</f>
        <v/>
      </c>
      <c r="AL37" s="19">
        <f>""</f>
        <v/>
      </c>
      <c r="AM37" s="19">
        <f>""</f>
        <v/>
      </c>
      <c r="AN37" s="19">
        <f>""</f>
        <v/>
      </c>
      <c r="AO37" s="19">
        <f>""</f>
        <v/>
      </c>
      <c r="AP37" s="19">
        <f>""</f>
        <v/>
      </c>
      <c r="AQ37" s="19">
        <f>""</f>
        <v/>
      </c>
      <c r="AR37" s="19">
        <f>""</f>
        <v/>
      </c>
      <c r="AS37" s="19">
        <f>""</f>
        <v/>
      </c>
      <c r="AT37" s="19">
        <f>""</f>
        <v/>
      </c>
      <c r="AU37" s="19">
        <f>""</f>
        <v/>
      </c>
      <c r="AV37" s="19">
        <f>""</f>
        <v/>
      </c>
      <c r="AW37" s="19">
        <f>'Dados'!$AF$106&amp;""</f>
        <v/>
      </c>
      <c r="AX37" s="19">
        <f>IF(ISNUMBER('Dados'!$AG$106),IF('Dados'!$AG$106&gt;0,'Dados'!$AG$106,""),"")</f>
        <v/>
      </c>
      <c r="AY37" s="19">
        <f>'Dados'!$AH$106&amp;""</f>
        <v/>
      </c>
      <c r="AZ37" s="19">
        <f>IF(ISNUMBER('Dados'!$AI$106),IF('Dados'!$AI$106&gt;0,'Dados'!$AI$106,""),"")</f>
        <v/>
      </c>
      <c r="BA37" s="19">
        <f>'Dados'!$AJ$106&amp;""</f>
        <v/>
      </c>
      <c r="BB37" s="19">
        <f>IF(ISNUMBER('Dados'!$AK$106),IF('Dados'!$AK$106&gt;0,'Dados'!$AK$106,""),"")</f>
        <v/>
      </c>
      <c r="BC37" s="19">
        <f>'Dados'!$E$106&amp;""</f>
        <v/>
      </c>
      <c r="BD37" s="19">
        <f>'Dados'!$AD$106&amp;""</f>
        <v/>
      </c>
      <c r="BE37" s="19">
        <f>INDEX('Dados'!$F$7:$F$11,'Dados'!$AB$106)</f>
        <v/>
      </c>
      <c r="BF37" s="19">
        <f>'Dados'!$AB$106</f>
        <v/>
      </c>
      <c r="BG37" s="19">
        <f>'Dados'!$AE$106</f>
        <v/>
      </c>
      <c r="BH37" s="19">
        <f>"Bestiário"</f>
        <v/>
      </c>
      <c r="DR37" s="19">
        <f>IF(ISERROR($B$37),"",IF(ISBLANK($B$37),"",$B$37))</f>
        <v/>
      </c>
      <c r="DV37" s="19">
        <f>IF(ISERROR($F$37),"",IF(ISBLANK($F$37),"",$F$37))</f>
        <v/>
      </c>
      <c r="DW37" s="19">
        <f>IF(ISERROR($G$37),"",IF(ISBLANK($G$37),"",$G$37))</f>
        <v/>
      </c>
      <c r="EA37" s="19">
        <f>ISERROR($B$37)*1+ISERROR($E$37)*1+ISERROR($F$37)*1+ISERROR($G$37)*1</f>
        <v/>
      </c>
    </row>
    <row r="38">
      <c r="N38" s="19">
        <f>'Dados'!$B$107</f>
        <v/>
      </c>
      <c r="O38" s="19">
        <f>'Dados'!$C$107</f>
        <v/>
      </c>
      <c r="P38" s="19">
        <f>'Dados'!$D$107</f>
        <v/>
      </c>
      <c r="Q38" s="19">
        <f>'Dados'!$G$107</f>
        <v/>
      </c>
      <c r="R38" s="19">
        <f>'Dados'!$H$107</f>
        <v/>
      </c>
      <c r="S38" s="19">
        <f>'Dados'!$I$107</f>
        <v/>
      </c>
      <c r="T38" s="19">
        <f>'Dados'!$J$107</f>
        <v/>
      </c>
      <c r="U38" s="19">
        <f>'Dados'!$K$107</f>
        <v/>
      </c>
      <c r="V38" s="19">
        <f>'Dados'!$L$107</f>
        <v/>
      </c>
      <c r="W38" s="19">
        <f>'Dados'!$M$107</f>
        <v/>
      </c>
      <c r="X38" s="19">
        <f>'Dados'!$N$107</f>
        <v/>
      </c>
      <c r="Y38" s="19">
        <f>'Dados'!$O$107</f>
        <v/>
      </c>
      <c r="Z38" s="19">
        <f>'Dados'!$P$107</f>
        <v/>
      </c>
      <c r="AA38" s="19">
        <f>'Dados'!$Q$107&amp;""</f>
        <v/>
      </c>
      <c r="AB38" s="19">
        <f>'Dados'!$R$107&amp;""</f>
        <v/>
      </c>
      <c r="AC38" s="19">
        <f>'Dados'!$S$107&amp;""</f>
        <v/>
      </c>
      <c r="AD38" s="19">
        <f>'Dados'!$T$107&amp;""</f>
        <v/>
      </c>
      <c r="AE38" s="19">
        <f>'Dados'!$U$107&amp;""</f>
        <v/>
      </c>
      <c r="AF38" s="19">
        <f>'Dados'!$V$107&amp;""</f>
        <v/>
      </c>
      <c r="AG38" s="19">
        <f>'Dados'!$F$107</f>
        <v/>
      </c>
      <c r="AH38" s="19">
        <f>'Dados'!$Z$107</f>
        <v/>
      </c>
      <c r="AI38" s="19">
        <f>'Dados'!$AA$107</f>
        <v/>
      </c>
      <c r="AJ38" s="19">
        <f>'Dados'!$W$107</f>
        <v/>
      </c>
      <c r="AK38" s="19">
        <f>""</f>
        <v/>
      </c>
      <c r="AL38" s="19">
        <f>""</f>
        <v/>
      </c>
      <c r="AM38" s="19">
        <f>""</f>
        <v/>
      </c>
      <c r="AN38" s="19">
        <f>""</f>
        <v/>
      </c>
      <c r="AO38" s="19">
        <f>""</f>
        <v/>
      </c>
      <c r="AP38" s="19">
        <f>""</f>
        <v/>
      </c>
      <c r="AQ38" s="19">
        <f>""</f>
        <v/>
      </c>
      <c r="AR38" s="19">
        <f>""</f>
        <v/>
      </c>
      <c r="AS38" s="19">
        <f>""</f>
        <v/>
      </c>
      <c r="AT38" s="19">
        <f>""</f>
        <v/>
      </c>
      <c r="AU38" s="19">
        <f>""</f>
        <v/>
      </c>
      <c r="AV38" s="19">
        <f>""</f>
        <v/>
      </c>
      <c r="AW38" s="19">
        <f>'Dados'!$AF$107&amp;""</f>
        <v/>
      </c>
      <c r="AX38" s="19">
        <f>IF(ISNUMBER('Dados'!$AG$107),IF('Dados'!$AG$107&gt;0,'Dados'!$AG$107,""),"")</f>
        <v/>
      </c>
      <c r="AY38" s="19">
        <f>'Dados'!$AH$107&amp;""</f>
        <v/>
      </c>
      <c r="AZ38" s="19">
        <f>IF(ISNUMBER('Dados'!$AI$107),IF('Dados'!$AI$107&gt;0,'Dados'!$AI$107,""),"")</f>
        <v/>
      </c>
      <c r="BA38" s="19">
        <f>'Dados'!$AJ$107&amp;""</f>
        <v/>
      </c>
      <c r="BB38" s="19">
        <f>IF(ISNUMBER('Dados'!$AK$107),IF('Dados'!$AK$107&gt;0,'Dados'!$AK$107,""),"")</f>
        <v/>
      </c>
      <c r="BC38" s="19">
        <f>'Dados'!$E$107&amp;""</f>
        <v/>
      </c>
      <c r="BD38" s="19">
        <f>'Dados'!$AD$107&amp;""</f>
        <v/>
      </c>
      <c r="BE38" s="19">
        <f>INDEX('Dados'!$F$7:$F$11,'Dados'!$AB$107)</f>
        <v/>
      </c>
      <c r="BF38" s="19">
        <f>'Dados'!$AB$107</f>
        <v/>
      </c>
      <c r="BG38" s="19">
        <f>'Dados'!$AE$107</f>
        <v/>
      </c>
      <c r="BH38" s="19">
        <f>"Bestiário"</f>
        <v/>
      </c>
    </row>
    <row r="39" ht="20" customHeight="1">
      <c r="A39" s="12" t="inlineStr">
        <is>
          <t>I2 · Fraquezas e Resistência (preencha; vazias = sugeridas pela planilha)</t>
        </is>
      </c>
      <c r="N39" s="19">
        <f>'Dados'!$B$108</f>
        <v/>
      </c>
      <c r="O39" s="19">
        <f>'Dados'!$C$108</f>
        <v/>
      </c>
      <c r="P39" s="19">
        <f>'Dados'!$D$108</f>
        <v/>
      </c>
      <c r="Q39" s="19">
        <f>'Dados'!$G$108</f>
        <v/>
      </c>
      <c r="R39" s="19">
        <f>'Dados'!$H$108</f>
        <v/>
      </c>
      <c r="S39" s="19">
        <f>'Dados'!$I$108</f>
        <v/>
      </c>
      <c r="T39" s="19">
        <f>'Dados'!$J$108</f>
        <v/>
      </c>
      <c r="U39" s="19">
        <f>'Dados'!$K$108</f>
        <v/>
      </c>
      <c r="V39" s="19">
        <f>'Dados'!$L$108</f>
        <v/>
      </c>
      <c r="W39" s="19">
        <f>'Dados'!$M$108</f>
        <v/>
      </c>
      <c r="X39" s="19">
        <f>'Dados'!$N$108</f>
        <v/>
      </c>
      <c r="Y39" s="19">
        <f>'Dados'!$O$108</f>
        <v/>
      </c>
      <c r="Z39" s="19">
        <f>'Dados'!$P$108</f>
        <v/>
      </c>
      <c r="AA39" s="19">
        <f>'Dados'!$Q$108&amp;""</f>
        <v/>
      </c>
      <c r="AB39" s="19">
        <f>'Dados'!$R$108&amp;""</f>
        <v/>
      </c>
      <c r="AC39" s="19">
        <f>'Dados'!$S$108&amp;""</f>
        <v/>
      </c>
      <c r="AD39" s="19">
        <f>'Dados'!$T$108&amp;""</f>
        <v/>
      </c>
      <c r="AE39" s="19">
        <f>'Dados'!$U$108&amp;""</f>
        <v/>
      </c>
      <c r="AF39" s="19">
        <f>'Dados'!$V$108&amp;""</f>
        <v/>
      </c>
      <c r="AG39" s="19">
        <f>'Dados'!$F$108</f>
        <v/>
      </c>
      <c r="AH39" s="19">
        <f>'Dados'!$Z$108</f>
        <v/>
      </c>
      <c r="AI39" s="19">
        <f>'Dados'!$AA$108</f>
        <v/>
      </c>
      <c r="AJ39" s="19">
        <f>'Dados'!$W$108</f>
        <v/>
      </c>
      <c r="AK39" s="19">
        <f>""</f>
        <v/>
      </c>
      <c r="AL39" s="19">
        <f>""</f>
        <v/>
      </c>
      <c r="AM39" s="19">
        <f>""</f>
        <v/>
      </c>
      <c r="AN39" s="19">
        <f>""</f>
        <v/>
      </c>
      <c r="AO39" s="19">
        <f>""</f>
        <v/>
      </c>
      <c r="AP39" s="19">
        <f>""</f>
        <v/>
      </c>
      <c r="AQ39" s="19">
        <f>""</f>
        <v/>
      </c>
      <c r="AR39" s="19">
        <f>""</f>
        <v/>
      </c>
      <c r="AS39" s="19">
        <f>""</f>
        <v/>
      </c>
      <c r="AT39" s="19">
        <f>""</f>
        <v/>
      </c>
      <c r="AU39" s="19">
        <f>""</f>
        <v/>
      </c>
      <c r="AV39" s="19">
        <f>""</f>
        <v/>
      </c>
      <c r="AW39" s="19">
        <f>'Dados'!$AF$108&amp;""</f>
        <v/>
      </c>
      <c r="AX39" s="19">
        <f>IF(ISNUMBER('Dados'!$AG$108),IF('Dados'!$AG$108&gt;0,'Dados'!$AG$108,""),"")</f>
        <v/>
      </c>
      <c r="AY39" s="19">
        <f>'Dados'!$AH$108&amp;""</f>
        <v/>
      </c>
      <c r="AZ39" s="19">
        <f>IF(ISNUMBER('Dados'!$AI$108),IF('Dados'!$AI$108&gt;0,'Dados'!$AI$108,""),"")</f>
        <v/>
      </c>
      <c r="BA39" s="19">
        <f>'Dados'!$AJ$108&amp;""</f>
        <v/>
      </c>
      <c r="BB39" s="19">
        <f>IF(ISNUMBER('Dados'!$AK$108),IF('Dados'!$AK$108&gt;0,'Dados'!$AK$108,""),"")</f>
        <v/>
      </c>
      <c r="BC39" s="19">
        <f>'Dados'!$E$108&amp;""</f>
        <v/>
      </c>
      <c r="BD39" s="19">
        <f>'Dados'!$AD$108&amp;""</f>
        <v/>
      </c>
      <c r="BE39" s="19">
        <f>INDEX('Dados'!$F$7:$F$11,'Dados'!$AB$108)</f>
        <v/>
      </c>
      <c r="BF39" s="19">
        <f>'Dados'!$AB$108</f>
        <v/>
      </c>
      <c r="BG39" s="19">
        <f>'Dados'!$AE$108</f>
        <v/>
      </c>
      <c r="BH39" s="19">
        <f>"Bestiário"</f>
        <v/>
      </c>
    </row>
    <row r="40" ht="26" customHeight="1">
      <c r="A40" s="11" t="inlineStr">
        <is>
          <t>Sugestão da planilha — não é regra do livro (H12): Fraquezas vazias são sugeridas primeiro com os Elementos do grupo que ainda faltam no contrato (27.5), depois em ordem sorteada; Comum recebe 2. Quantas é regra; quais, decisão sua (28.1).</t>
        </is>
      </c>
      <c r="N40" s="19">
        <f>'Dados'!$B$109</f>
        <v/>
      </c>
      <c r="O40" s="19">
        <f>'Dados'!$C$109</f>
        <v/>
      </c>
      <c r="P40" s="19">
        <f>'Dados'!$D$109</f>
        <v/>
      </c>
      <c r="Q40" s="19">
        <f>'Dados'!$G$109</f>
        <v/>
      </c>
      <c r="R40" s="19">
        <f>'Dados'!$H$109</f>
        <v/>
      </c>
      <c r="S40" s="19">
        <f>'Dados'!$I$109</f>
        <v/>
      </c>
      <c r="T40" s="19">
        <f>'Dados'!$J$109</f>
        <v/>
      </c>
      <c r="U40" s="19">
        <f>'Dados'!$K$109</f>
        <v/>
      </c>
      <c r="V40" s="19">
        <f>'Dados'!$L$109</f>
        <v/>
      </c>
      <c r="W40" s="19">
        <f>'Dados'!$M$109</f>
        <v/>
      </c>
      <c r="X40" s="19">
        <f>'Dados'!$N$109</f>
        <v/>
      </c>
      <c r="Y40" s="19">
        <f>'Dados'!$O$109</f>
        <v/>
      </c>
      <c r="Z40" s="19">
        <f>'Dados'!$P$109</f>
        <v/>
      </c>
      <c r="AA40" s="19">
        <f>'Dados'!$Q$109&amp;""</f>
        <v/>
      </c>
      <c r="AB40" s="19">
        <f>'Dados'!$R$109&amp;""</f>
        <v/>
      </c>
      <c r="AC40" s="19">
        <f>'Dados'!$S$109&amp;""</f>
        <v/>
      </c>
      <c r="AD40" s="19">
        <f>'Dados'!$T$109&amp;""</f>
        <v/>
      </c>
      <c r="AE40" s="19">
        <f>'Dados'!$U$109&amp;""</f>
        <v/>
      </c>
      <c r="AF40" s="19">
        <f>'Dados'!$V$109&amp;""</f>
        <v/>
      </c>
      <c r="AG40" s="19">
        <f>'Dados'!$F$109</f>
        <v/>
      </c>
      <c r="AH40" s="19">
        <f>'Dados'!$Z$109</f>
        <v/>
      </c>
      <c r="AI40" s="19">
        <f>'Dados'!$AA$109</f>
        <v/>
      </c>
      <c r="AJ40" s="19">
        <f>'Dados'!$W$109</f>
        <v/>
      </c>
      <c r="AK40" s="19">
        <f>""</f>
        <v/>
      </c>
      <c r="AL40" s="19">
        <f>""</f>
        <v/>
      </c>
      <c r="AM40" s="19">
        <f>""</f>
        <v/>
      </c>
      <c r="AN40" s="19">
        <f>""</f>
        <v/>
      </c>
      <c r="AO40" s="19">
        <f>""</f>
        <v/>
      </c>
      <c r="AP40" s="19">
        <f>""</f>
        <v/>
      </c>
      <c r="AQ40" s="19">
        <f>""</f>
        <v/>
      </c>
      <c r="AR40" s="19">
        <f>""</f>
        <v/>
      </c>
      <c r="AS40" s="19">
        <f>""</f>
        <v/>
      </c>
      <c r="AT40" s="19">
        <f>""</f>
        <v/>
      </c>
      <c r="AU40" s="19">
        <f>""</f>
        <v/>
      </c>
      <c r="AV40" s="19">
        <f>""</f>
        <v/>
      </c>
      <c r="AW40" s="19">
        <f>'Dados'!$AF$109&amp;""</f>
        <v/>
      </c>
      <c r="AX40" s="19">
        <f>IF(ISNUMBER('Dados'!$AG$109),IF('Dados'!$AG$109&gt;0,'Dados'!$AG$109,""),"")</f>
        <v/>
      </c>
      <c r="AY40" s="19">
        <f>'Dados'!$AH$109&amp;""</f>
        <v/>
      </c>
      <c r="AZ40" s="19">
        <f>IF(ISNUMBER('Dados'!$AI$109),IF('Dados'!$AI$109&gt;0,'Dados'!$AI$109,""),"")</f>
        <v/>
      </c>
      <c r="BA40" s="19">
        <f>'Dados'!$AJ$109&amp;""</f>
        <v/>
      </c>
      <c r="BB40" s="19">
        <f>IF(ISNUMBER('Dados'!$AK$109),IF('Dados'!$AK$109&gt;0,'Dados'!$AK$109,""),"")</f>
        <v/>
      </c>
      <c r="BC40" s="19">
        <f>'Dados'!$E$109&amp;""</f>
        <v/>
      </c>
      <c r="BD40" s="19">
        <f>'Dados'!$AD$109&amp;""</f>
        <v/>
      </c>
      <c r="BE40" s="19">
        <f>INDEX('Dados'!$F$7:$F$11,'Dados'!$AB$109)</f>
        <v/>
      </c>
      <c r="BF40" s="19">
        <f>'Dados'!$AB$109</f>
        <v/>
      </c>
      <c r="BG40" s="19">
        <f>'Dados'!$AE$109</f>
        <v/>
      </c>
      <c r="BH40" s="19">
        <f>"Bestiário"</f>
        <v/>
      </c>
    </row>
    <row r="41">
      <c r="A41" s="7" t="inlineStr">
        <is>
          <t>Inimigo</t>
        </is>
      </c>
      <c r="B41" s="7" t="inlineStr">
        <is>
          <t>Fraqueza 1</t>
        </is>
      </c>
      <c r="C41" s="7" t="inlineStr">
        <is>
          <t>Fraqueza 2</t>
        </is>
      </c>
      <c r="D41" s="7" t="inlineStr">
        <is>
          <t>Fraqueza 3</t>
        </is>
      </c>
      <c r="E41" s="7" t="inlineStr">
        <is>
          <t>Fraqueza 4</t>
        </is>
      </c>
      <c r="F41" s="7" t="inlineStr">
        <is>
          <t>Resistência</t>
        </is>
      </c>
      <c r="G41" s="7" t="inlineStr">
        <is>
          <t>Fraquezas efetivas</t>
        </is>
      </c>
      <c r="H41" s="20" t="n"/>
      <c r="I41" s="20" t="n"/>
      <c r="J41" s="20" t="n"/>
      <c r="K41" s="7" t="inlineStr">
        <is>
          <t>Aviso</t>
        </is>
      </c>
      <c r="L41" s="20" t="n"/>
      <c r="N41" s="19">
        <f>'Dados'!$B$110</f>
        <v/>
      </c>
      <c r="O41" s="19">
        <f>'Dados'!$C$110</f>
        <v/>
      </c>
      <c r="P41" s="19">
        <f>'Dados'!$D$110</f>
        <v/>
      </c>
      <c r="Q41" s="19">
        <f>'Dados'!$G$110</f>
        <v/>
      </c>
      <c r="R41" s="19">
        <f>'Dados'!$H$110</f>
        <v/>
      </c>
      <c r="S41" s="19">
        <f>'Dados'!$I$110</f>
        <v/>
      </c>
      <c r="T41" s="19">
        <f>'Dados'!$J$110</f>
        <v/>
      </c>
      <c r="U41" s="19">
        <f>'Dados'!$K$110</f>
        <v/>
      </c>
      <c r="V41" s="19">
        <f>'Dados'!$L$110</f>
        <v/>
      </c>
      <c r="W41" s="19">
        <f>'Dados'!$M$110</f>
        <v/>
      </c>
      <c r="X41" s="19">
        <f>'Dados'!$N$110</f>
        <v/>
      </c>
      <c r="Y41" s="19">
        <f>'Dados'!$O$110</f>
        <v/>
      </c>
      <c r="Z41" s="19">
        <f>'Dados'!$P$110</f>
        <v/>
      </c>
      <c r="AA41" s="19">
        <f>'Dados'!$Q$110&amp;""</f>
        <v/>
      </c>
      <c r="AB41" s="19">
        <f>'Dados'!$R$110&amp;""</f>
        <v/>
      </c>
      <c r="AC41" s="19">
        <f>'Dados'!$S$110&amp;""</f>
        <v/>
      </c>
      <c r="AD41" s="19">
        <f>'Dados'!$T$110&amp;""</f>
        <v/>
      </c>
      <c r="AE41" s="19">
        <f>'Dados'!$U$110&amp;""</f>
        <v/>
      </c>
      <c r="AF41" s="19">
        <f>'Dados'!$V$110&amp;""</f>
        <v/>
      </c>
      <c r="AG41" s="19">
        <f>'Dados'!$F$110</f>
        <v/>
      </c>
      <c r="AH41" s="19">
        <f>'Dados'!$Z$110</f>
        <v/>
      </c>
      <c r="AI41" s="19">
        <f>'Dados'!$AA$110</f>
        <v/>
      </c>
      <c r="AJ41" s="19">
        <f>'Dados'!$W$110</f>
        <v/>
      </c>
      <c r="AK41" s="19">
        <f>""</f>
        <v/>
      </c>
      <c r="AL41" s="19">
        <f>""</f>
        <v/>
      </c>
      <c r="AM41" s="19">
        <f>""</f>
        <v/>
      </c>
      <c r="AN41" s="19">
        <f>""</f>
        <v/>
      </c>
      <c r="AO41" s="19">
        <f>""</f>
        <v/>
      </c>
      <c r="AP41" s="19">
        <f>""</f>
        <v/>
      </c>
      <c r="AQ41" s="19">
        <f>""</f>
        <v/>
      </c>
      <c r="AR41" s="19">
        <f>""</f>
        <v/>
      </c>
      <c r="AS41" s="19">
        <f>""</f>
        <v/>
      </c>
      <c r="AT41" s="19">
        <f>""</f>
        <v/>
      </c>
      <c r="AU41" s="19">
        <f>""</f>
        <v/>
      </c>
      <c r="AV41" s="19">
        <f>""</f>
        <v/>
      </c>
      <c r="AW41" s="19">
        <f>'Dados'!$AF$110&amp;""</f>
        <v/>
      </c>
      <c r="AX41" s="19">
        <f>IF(ISNUMBER('Dados'!$AG$110),IF('Dados'!$AG$110&gt;0,'Dados'!$AG$110,""),"")</f>
        <v/>
      </c>
      <c r="AY41" s="19">
        <f>'Dados'!$AH$110&amp;""</f>
        <v/>
      </c>
      <c r="AZ41" s="19">
        <f>IF(ISNUMBER('Dados'!$AI$110),IF('Dados'!$AI$110&gt;0,'Dados'!$AI$110,""),"")</f>
        <v/>
      </c>
      <c r="BA41" s="19">
        <f>'Dados'!$AJ$110&amp;""</f>
        <v/>
      </c>
      <c r="BB41" s="19">
        <f>IF(ISNUMBER('Dados'!$AK$110),IF('Dados'!$AK$110&gt;0,'Dados'!$AK$110,""),"")</f>
        <v/>
      </c>
      <c r="BC41" s="19">
        <f>'Dados'!$E$110&amp;""</f>
        <v/>
      </c>
      <c r="BD41" s="19">
        <f>'Dados'!$AD$110&amp;""</f>
        <v/>
      </c>
      <c r="BE41" s="19">
        <f>INDEX('Dados'!$F$7:$F$11,'Dados'!$AB$110)</f>
        <v/>
      </c>
      <c r="BF41" s="19">
        <f>'Dados'!$AB$110</f>
        <v/>
      </c>
      <c r="BG41" s="19">
        <f>'Dados'!$AE$110</f>
        <v/>
      </c>
      <c r="BH41" s="19">
        <f>"Bestiário"</f>
        <v/>
      </c>
    </row>
    <row r="42" ht="26" customHeight="1">
      <c r="A42" s="32">
        <f>IF(LEN($DQ$11)&gt;0,"1 · "&amp;$DQ$11,"1 · (vazio)")</f>
        <v/>
      </c>
      <c r="B42" s="36" t="n"/>
      <c r="C42" s="36" t="n"/>
      <c r="D42" s="36" t="n"/>
      <c r="E42" s="36" t="n"/>
      <c r="F42" s="36" t="n"/>
      <c r="G42" s="4">
        <f>IF(LEN($DQ$11)=0,"",$BY$11&amp;IF(LEN($BZ$11)&gt;0,", "&amp;$BZ$11,"")&amp;IF(LEN($CA$11)&gt;0,", "&amp;$CA$11,"")&amp;IF(LEN($CB$11)&gt;0,", "&amp;$CB$11,"")&amp;IF(AND($BX$11=1,$BL$11=0)," (sugeridas)",IF(AND($BX$11=1,$BL$11=1)," (da base)","")))</f>
        <v/>
      </c>
      <c r="K42" s="18">
        <f>IF(EA42&gt;0,"O Google leu como fórmula: escolha de novo na lista.",IF(LEN($DQ$11)=0,"",IF((IF(AND(LEN($DR$42)&gt;0,$DR$42=$DS$42),1,0)+IF(AND(LEN($DR$42)&gt;0,$DR$42=$DT$42),1,0)+IF(AND(LEN($DR$42)&gt;0,$DR$42=$DU$42),1,0)+IF(AND(LEN($DS$42)&gt;0,$DS$42=$DT$42),1,0)+IF(AND(LEN($DS$42)&gt;0,$DS$42=$DU$42),1,0)+IF(AND(LEN($DT$42)&gt;0,$DT$42=$DU$42),1,0))&gt;0,"Fraqueza repetida",IF(AND(LEN($CC$11)&gt;0,COUNTIF($BY$11:$CB$11,$CC$11)&gt;0),"Resistência igual a uma Fraqueza",IF(AND($BN$11="Comum",(IF(LEN($DR$42)&gt;0,1,0)+IF(LEN($DS$42)&gt;0,1,0)+IF(LEN($DT$42)&gt;0,1,0)+IF(LEN($DU$42)&gt;0,1,0))&gt;2),"Comum tem 1 a 2 Fraquezas (20.2)",IF(AND($BN$11="Elite",(IF(LEN($DR$42)&gt;0,1,0)+IF(LEN($DS$42)&gt;0,1,0)+IF(LEN($DT$42)&gt;0,1,0)+IF(LEN($DU$42)&gt;0,1,0))&gt;3),"Elite tem 3 Fraquezas (20.2)",IF(AND(LEN($CC$11)&gt;0,COUNTIF('Grupo'!$T$7:$T$12,$CC$11)&gt;=2),"Nunca aponte uma Resistência para o Elemento de dois personagens (27.5)","")))))))</f>
        <v/>
      </c>
      <c r="N42" s="19">
        <f>'Dados'!$B$111</f>
        <v/>
      </c>
      <c r="O42" s="19">
        <f>'Dados'!$C$111</f>
        <v/>
      </c>
      <c r="P42" s="19">
        <f>'Dados'!$D$111</f>
        <v/>
      </c>
      <c r="Q42" s="19">
        <f>'Dados'!$G$111</f>
        <v/>
      </c>
      <c r="R42" s="19">
        <f>'Dados'!$H$111</f>
        <v/>
      </c>
      <c r="S42" s="19">
        <f>'Dados'!$I$111</f>
        <v/>
      </c>
      <c r="T42" s="19">
        <f>'Dados'!$J$111</f>
        <v/>
      </c>
      <c r="U42" s="19">
        <f>'Dados'!$K$111</f>
        <v/>
      </c>
      <c r="V42" s="19">
        <f>'Dados'!$L$111</f>
        <v/>
      </c>
      <c r="W42" s="19">
        <f>'Dados'!$M$111</f>
        <v/>
      </c>
      <c r="X42" s="19">
        <f>'Dados'!$N$111</f>
        <v/>
      </c>
      <c r="Y42" s="19">
        <f>'Dados'!$O$111</f>
        <v/>
      </c>
      <c r="Z42" s="19">
        <f>'Dados'!$P$111</f>
        <v/>
      </c>
      <c r="AA42" s="19">
        <f>'Dados'!$Q$111&amp;""</f>
        <v/>
      </c>
      <c r="AB42" s="19">
        <f>'Dados'!$R$111&amp;""</f>
        <v/>
      </c>
      <c r="AC42" s="19">
        <f>'Dados'!$S$111&amp;""</f>
        <v/>
      </c>
      <c r="AD42" s="19">
        <f>'Dados'!$T$111&amp;""</f>
        <v/>
      </c>
      <c r="AE42" s="19">
        <f>'Dados'!$U$111&amp;""</f>
        <v/>
      </c>
      <c r="AF42" s="19">
        <f>'Dados'!$V$111&amp;""</f>
        <v/>
      </c>
      <c r="AG42" s="19">
        <f>'Dados'!$F$111</f>
        <v/>
      </c>
      <c r="AH42" s="19">
        <f>'Dados'!$Z$111</f>
        <v/>
      </c>
      <c r="AI42" s="19">
        <f>'Dados'!$AA$111</f>
        <v/>
      </c>
      <c r="AJ42" s="19">
        <f>'Dados'!$W$111</f>
        <v/>
      </c>
      <c r="AK42" s="19">
        <f>'Dados'!$E$130</f>
        <v/>
      </c>
      <c r="AL42" s="19">
        <f>""</f>
        <v/>
      </c>
      <c r="AM42" s="19">
        <f>'Dados'!$G$130</f>
        <v/>
      </c>
      <c r="AN42" s="19">
        <f>'Dados'!$H$130</f>
        <v/>
      </c>
      <c r="AO42" s="19">
        <f>'Dados'!$I$130</f>
        <v/>
      </c>
      <c r="AP42" s="19">
        <f>'Dados'!$J$130</f>
        <v/>
      </c>
      <c r="AQ42" s="19">
        <f>'Dados'!$K$130</f>
        <v/>
      </c>
      <c r="AR42" s="19">
        <f>""</f>
        <v/>
      </c>
      <c r="AS42" s="19">
        <f>""</f>
        <v/>
      </c>
      <c r="AT42" s="19">
        <f>""</f>
        <v/>
      </c>
      <c r="AU42" s="19">
        <f>""</f>
        <v/>
      </c>
      <c r="AV42" s="19">
        <f>""</f>
        <v/>
      </c>
      <c r="AW42" s="19">
        <f>'Dados'!$AF$111&amp;""</f>
        <v/>
      </c>
      <c r="AX42" s="19">
        <f>IF(ISNUMBER('Dados'!$AG$111),IF('Dados'!$AG$111&gt;0,'Dados'!$AG$111,""),"")</f>
        <v/>
      </c>
      <c r="AY42" s="19">
        <f>'Dados'!$AH$111&amp;""</f>
        <v/>
      </c>
      <c r="AZ42" s="19">
        <f>IF(ISNUMBER('Dados'!$AI$111),IF('Dados'!$AI$111&gt;0,'Dados'!$AI$111,""),"")</f>
        <v/>
      </c>
      <c r="BA42" s="19">
        <f>'Dados'!$AJ$111&amp;""</f>
        <v/>
      </c>
      <c r="BB42" s="19">
        <f>IF(ISNUMBER('Dados'!$AK$111),IF('Dados'!$AK$111&gt;0,'Dados'!$AK$111,""),"")</f>
        <v/>
      </c>
      <c r="BC42" s="19">
        <f>'Dados'!$E$111&amp;""</f>
        <v/>
      </c>
      <c r="BD42" s="19">
        <f>'Dados'!$AD$111&amp;""</f>
        <v/>
      </c>
      <c r="BE42" s="19">
        <f>INDEX('Dados'!$F$7:$F$11,'Dados'!$AB$111)</f>
        <v/>
      </c>
      <c r="BF42" s="19">
        <f>'Dados'!$AB$111</f>
        <v/>
      </c>
      <c r="BG42" s="19">
        <f>'Dados'!$AE$111</f>
        <v/>
      </c>
      <c r="BH42" s="19">
        <f>"Bestiário"</f>
        <v/>
      </c>
      <c r="DR42" s="19">
        <f>IF(ISERROR($B$42),"",IF(ISBLANK($B$42),"",$B$42))</f>
        <v/>
      </c>
      <c r="DS42" s="19">
        <f>IF(ISERROR($C$42),"",IF(ISBLANK($C$42),"",$C$42))</f>
        <v/>
      </c>
      <c r="DT42" s="19">
        <f>IF(ISERROR($D$42),"",IF(ISBLANK($D$42),"",$D$42))</f>
        <v/>
      </c>
      <c r="DU42" s="19">
        <f>IF(ISERROR($E$42),"",IF(ISBLANK($E$42),"",$E$42))</f>
        <v/>
      </c>
      <c r="DV42" s="19">
        <f>IF(ISERROR($F$42),"",IF(ISBLANK($F$42),"",$F$42))</f>
        <v/>
      </c>
      <c r="EA42" s="19">
        <f>ISERROR($B$42)*1+ISERROR($C$42)*1+ISERROR($D$42)*1+ISERROR($E$42)*1+ISERROR($F$42)*1</f>
        <v/>
      </c>
    </row>
    <row r="43" ht="26" customHeight="1">
      <c r="A43" s="33">
        <f>IF(LEN($DQ$12)&gt;0,"2 · "&amp;$DQ$12,"2 · (vazio)")</f>
        <v/>
      </c>
      <c r="B43" s="42" t="n"/>
      <c r="C43" s="42" t="n"/>
      <c r="D43" s="42" t="n"/>
      <c r="E43" s="42" t="n"/>
      <c r="F43" s="42" t="n"/>
      <c r="G43" s="9">
        <f>IF(LEN($DQ$12)=0,"",$BY$12&amp;IF(LEN($BZ$12)&gt;0,", "&amp;$BZ$12,"")&amp;IF(LEN($CA$12)&gt;0,", "&amp;$CA$12,"")&amp;IF(LEN($CB$12)&gt;0,", "&amp;$CB$12,"")&amp;IF(AND($BX$12=1,$BL$12=0)," (sugeridas)",IF(AND($BX$12=1,$BL$12=1)," (da base)","")))</f>
        <v/>
      </c>
      <c r="K43" s="26">
        <f>IF(EA43&gt;0,"O Google leu como fórmula: escolha de novo na lista.",IF(LEN($DQ$12)=0,"",IF((IF(AND(LEN($DR$43)&gt;0,$DR$43=$DS$43),1,0)+IF(AND(LEN($DR$43)&gt;0,$DR$43=$DT$43),1,0)+IF(AND(LEN($DR$43)&gt;0,$DR$43=$DU$43),1,0)+IF(AND(LEN($DS$43)&gt;0,$DS$43=$DT$43),1,0)+IF(AND(LEN($DS$43)&gt;0,$DS$43=$DU$43),1,0)+IF(AND(LEN($DT$43)&gt;0,$DT$43=$DU$43),1,0))&gt;0,"Fraqueza repetida",IF(AND(LEN($CC$12)&gt;0,COUNTIF($BY$12:$CB$12,$CC$12)&gt;0),"Resistência igual a uma Fraqueza",IF(AND($BN$12="Comum",(IF(LEN($DR$43)&gt;0,1,0)+IF(LEN($DS$43)&gt;0,1,0)+IF(LEN($DT$43)&gt;0,1,0)+IF(LEN($DU$43)&gt;0,1,0))&gt;2),"Comum tem 1 a 2 Fraquezas (20.2)",IF(AND($BN$12="Elite",(IF(LEN($DR$43)&gt;0,1,0)+IF(LEN($DS$43)&gt;0,1,0)+IF(LEN($DT$43)&gt;0,1,0)+IF(LEN($DU$43)&gt;0,1,0))&gt;3),"Elite tem 3 Fraquezas (20.2)",IF(AND(LEN($CC$12)&gt;0,COUNTIF('Grupo'!$T$7:$T$12,$CC$12)&gt;=2),"Nunca aponte uma Resistência para o Elemento de dois personagens (27.5)","")))))))</f>
        <v/>
      </c>
      <c r="N43" s="19">
        <f>'Dados'!$B$112</f>
        <v/>
      </c>
      <c r="O43" s="19">
        <f>'Dados'!$C$112</f>
        <v/>
      </c>
      <c r="P43" s="19">
        <f>'Dados'!$D$112</f>
        <v/>
      </c>
      <c r="Q43" s="19">
        <f>'Dados'!$G$112</f>
        <v/>
      </c>
      <c r="R43" s="19">
        <f>'Dados'!$H$112</f>
        <v/>
      </c>
      <c r="S43" s="19">
        <f>'Dados'!$I$112</f>
        <v/>
      </c>
      <c r="T43" s="19">
        <f>'Dados'!$J$112</f>
        <v/>
      </c>
      <c r="U43" s="19">
        <f>'Dados'!$K$112</f>
        <v/>
      </c>
      <c r="V43" s="19">
        <f>'Dados'!$L$112</f>
        <v/>
      </c>
      <c r="W43" s="19">
        <f>'Dados'!$M$112</f>
        <v/>
      </c>
      <c r="X43" s="19">
        <f>'Dados'!$N$112</f>
        <v/>
      </c>
      <c r="Y43" s="19">
        <f>'Dados'!$O$112</f>
        <v/>
      </c>
      <c r="Z43" s="19">
        <f>'Dados'!$P$112</f>
        <v/>
      </c>
      <c r="AA43" s="19">
        <f>'Dados'!$Q$112&amp;""</f>
        <v/>
      </c>
      <c r="AB43" s="19">
        <f>'Dados'!$R$112&amp;""</f>
        <v/>
      </c>
      <c r="AC43" s="19">
        <f>'Dados'!$S$112&amp;""</f>
        <v/>
      </c>
      <c r="AD43" s="19">
        <f>'Dados'!$T$112&amp;""</f>
        <v/>
      </c>
      <c r="AE43" s="19">
        <f>'Dados'!$U$112&amp;""</f>
        <v/>
      </c>
      <c r="AF43" s="19">
        <f>'Dados'!$V$112&amp;""</f>
        <v/>
      </c>
      <c r="AG43" s="19">
        <f>'Dados'!$F$112</f>
        <v/>
      </c>
      <c r="AH43" s="19">
        <f>'Dados'!$Z$112</f>
        <v/>
      </c>
      <c r="AI43" s="19">
        <f>'Dados'!$AA$112</f>
        <v/>
      </c>
      <c r="AJ43" s="19">
        <f>'Dados'!$W$112</f>
        <v/>
      </c>
      <c r="AK43" s="19">
        <f>""</f>
        <v/>
      </c>
      <c r="AL43" s="19">
        <f>""</f>
        <v/>
      </c>
      <c r="AM43" s="19">
        <f>""</f>
        <v/>
      </c>
      <c r="AN43" s="19">
        <f>""</f>
        <v/>
      </c>
      <c r="AO43" s="19">
        <f>""</f>
        <v/>
      </c>
      <c r="AP43" s="19">
        <f>""</f>
        <v/>
      </c>
      <c r="AQ43" s="19">
        <f>""</f>
        <v/>
      </c>
      <c r="AR43" s="19">
        <f>""</f>
        <v/>
      </c>
      <c r="AS43" s="19">
        <f>""</f>
        <v/>
      </c>
      <c r="AT43" s="19">
        <f>""</f>
        <v/>
      </c>
      <c r="AU43" s="19">
        <f>""</f>
        <v/>
      </c>
      <c r="AV43" s="19">
        <f>""</f>
        <v/>
      </c>
      <c r="AW43" s="19">
        <f>'Dados'!$AF$112&amp;""</f>
        <v/>
      </c>
      <c r="AX43" s="19">
        <f>IF(ISNUMBER('Dados'!$AG$112),IF('Dados'!$AG$112&gt;0,'Dados'!$AG$112,""),"")</f>
        <v/>
      </c>
      <c r="AY43" s="19">
        <f>'Dados'!$AH$112&amp;""</f>
        <v/>
      </c>
      <c r="AZ43" s="19">
        <f>IF(ISNUMBER('Dados'!$AI$112),IF('Dados'!$AI$112&gt;0,'Dados'!$AI$112,""),"")</f>
        <v/>
      </c>
      <c r="BA43" s="19">
        <f>'Dados'!$AJ$112&amp;""</f>
        <v/>
      </c>
      <c r="BB43" s="19">
        <f>IF(ISNUMBER('Dados'!$AK$112),IF('Dados'!$AK$112&gt;0,'Dados'!$AK$112,""),"")</f>
        <v/>
      </c>
      <c r="BC43" s="19">
        <f>'Dados'!$E$112&amp;""</f>
        <v/>
      </c>
      <c r="BD43" s="19">
        <f>'Dados'!$AD$112&amp;""</f>
        <v/>
      </c>
      <c r="BE43" s="19">
        <f>INDEX('Dados'!$F$7:$F$11,'Dados'!$AB$112)</f>
        <v/>
      </c>
      <c r="BF43" s="19">
        <f>'Dados'!$AB$112</f>
        <v/>
      </c>
      <c r="BG43" s="19">
        <f>'Dados'!$AE$112</f>
        <v/>
      </c>
      <c r="BH43" s="19">
        <f>"Bestiário"</f>
        <v/>
      </c>
      <c r="DR43" s="19">
        <f>IF(ISERROR($B$43),"",IF(ISBLANK($B$43),"",$B$43))</f>
        <v/>
      </c>
      <c r="DS43" s="19">
        <f>IF(ISERROR($C$43),"",IF(ISBLANK($C$43),"",$C$43))</f>
        <v/>
      </c>
      <c r="DT43" s="19">
        <f>IF(ISERROR($D$43),"",IF(ISBLANK($D$43),"",$D$43))</f>
        <v/>
      </c>
      <c r="DU43" s="19">
        <f>IF(ISERROR($E$43),"",IF(ISBLANK($E$43),"",$E$43))</f>
        <v/>
      </c>
      <c r="DV43" s="19">
        <f>IF(ISERROR($F$43),"",IF(ISBLANK($F$43),"",$F$43))</f>
        <v/>
      </c>
      <c r="EA43" s="19">
        <f>ISERROR($B$43)*1+ISERROR($C$43)*1+ISERROR($D$43)*1+ISERROR($E$43)*1+ISERROR($F$43)*1</f>
        <v/>
      </c>
    </row>
    <row r="44" ht="37" customHeight="1">
      <c r="A44" s="32">
        <f>IF(LEN($DQ$13)&gt;0,"3 · "&amp;$DQ$13,"3 · (vazio)")</f>
        <v/>
      </c>
      <c r="B44" s="36" t="n"/>
      <c r="C44" s="36" t="n"/>
      <c r="D44" s="36" t="n"/>
      <c r="E44" s="36" t="n"/>
      <c r="F44" s="36" t="n"/>
      <c r="G44" s="4">
        <f>IF(LEN($DQ$13)=0,"",$BY$13&amp;IF(LEN($BZ$13)&gt;0,", "&amp;$BZ$13,"")&amp;IF(LEN($CA$13)&gt;0,", "&amp;$CA$13,"")&amp;IF(LEN($CB$13)&gt;0,", "&amp;$CB$13,"")&amp;IF(AND($BX$13=1,$BL$13=0)," (sugeridas)",IF(AND($BX$13=1,$BL$13=1)," (da base)","")))</f>
        <v/>
      </c>
      <c r="K44" s="18">
        <f>IF(EA44&gt;0,"O Google leu como fórmula: escolha de novo na lista.",IF(LEN($DQ$13)=0,"",IF((IF(AND(LEN($DR$44)&gt;0,$DR$44=$DS$44),1,0)+IF(AND(LEN($DR$44)&gt;0,$DR$44=$DT$44),1,0)+IF(AND(LEN($DR$44)&gt;0,$DR$44=$DU$44),1,0)+IF(AND(LEN($DS$44)&gt;0,$DS$44=$DT$44),1,0)+IF(AND(LEN($DS$44)&gt;0,$DS$44=$DU$44),1,0)+IF(AND(LEN($DT$44)&gt;0,$DT$44=$DU$44),1,0))&gt;0,"Fraqueza repetida",IF(AND(LEN($CC$13)&gt;0,COUNTIF($BY$13:$CB$13,$CC$13)&gt;0),"Resistência igual a uma Fraqueza",IF(AND($BN$13="Comum",(IF(LEN($DR$44)&gt;0,1,0)+IF(LEN($DS$44)&gt;0,1,0)+IF(LEN($DT$44)&gt;0,1,0)+IF(LEN($DU$44)&gt;0,1,0))&gt;2),"Comum tem 1 a 2 Fraquezas (20.2)",IF(AND($BN$13="Elite",(IF(LEN($DR$44)&gt;0,1,0)+IF(LEN($DS$44)&gt;0,1,0)+IF(LEN($DT$44)&gt;0,1,0)+IF(LEN($DU$44)&gt;0,1,0))&gt;3),"Elite tem 3 Fraquezas (20.2)",IF(AND(LEN($CC$13)&gt;0,COUNTIF('Grupo'!$T$7:$T$12,$CC$13)&gt;=2),"Nunca aponte uma Resistência para o Elemento de dois personagens (27.5)","")))))))</f>
        <v/>
      </c>
      <c r="N44" s="19">
        <f>'Dados'!$B$113</f>
        <v/>
      </c>
      <c r="O44" s="19">
        <f>'Dados'!$C$113</f>
        <v/>
      </c>
      <c r="P44" s="19">
        <f>'Dados'!$D$113</f>
        <v/>
      </c>
      <c r="Q44" s="19">
        <f>'Dados'!$G$113</f>
        <v/>
      </c>
      <c r="R44" s="19">
        <f>'Dados'!$H$113</f>
        <v/>
      </c>
      <c r="S44" s="19">
        <f>'Dados'!$I$113</f>
        <v/>
      </c>
      <c r="T44" s="19">
        <f>'Dados'!$J$113</f>
        <v/>
      </c>
      <c r="U44" s="19">
        <f>'Dados'!$K$113</f>
        <v/>
      </c>
      <c r="V44" s="19">
        <f>'Dados'!$L$113</f>
        <v/>
      </c>
      <c r="W44" s="19">
        <f>'Dados'!$M$113</f>
        <v/>
      </c>
      <c r="X44" s="19">
        <f>'Dados'!$N$113</f>
        <v/>
      </c>
      <c r="Y44" s="19">
        <f>'Dados'!$O$113</f>
        <v/>
      </c>
      <c r="Z44" s="19">
        <f>'Dados'!$P$113</f>
        <v/>
      </c>
      <c r="AA44" s="19">
        <f>'Dados'!$Q$113&amp;""</f>
        <v/>
      </c>
      <c r="AB44" s="19">
        <f>'Dados'!$R$113&amp;""</f>
        <v/>
      </c>
      <c r="AC44" s="19">
        <f>'Dados'!$S$113&amp;""</f>
        <v/>
      </c>
      <c r="AD44" s="19">
        <f>'Dados'!$T$113&amp;""</f>
        <v/>
      </c>
      <c r="AE44" s="19">
        <f>'Dados'!$U$113&amp;""</f>
        <v/>
      </c>
      <c r="AF44" s="19">
        <f>'Dados'!$V$113&amp;""</f>
        <v/>
      </c>
      <c r="AG44" s="19">
        <f>'Dados'!$F$113</f>
        <v/>
      </c>
      <c r="AH44" s="19">
        <f>'Dados'!$Z$113</f>
        <v/>
      </c>
      <c r="AI44" s="19">
        <f>'Dados'!$AA$113</f>
        <v/>
      </c>
      <c r="AJ44" s="19">
        <f>'Dados'!$W$113</f>
        <v/>
      </c>
      <c r="AK44" s="19">
        <f>""</f>
        <v/>
      </c>
      <c r="AL44" s="19">
        <f>""</f>
        <v/>
      </c>
      <c r="AM44" s="19">
        <f>""</f>
        <v/>
      </c>
      <c r="AN44" s="19">
        <f>""</f>
        <v/>
      </c>
      <c r="AO44" s="19">
        <f>""</f>
        <v/>
      </c>
      <c r="AP44" s="19">
        <f>""</f>
        <v/>
      </c>
      <c r="AQ44" s="19">
        <f>""</f>
        <v/>
      </c>
      <c r="AR44" s="19">
        <f>""</f>
        <v/>
      </c>
      <c r="AS44" s="19">
        <f>""</f>
        <v/>
      </c>
      <c r="AT44" s="19">
        <f>""</f>
        <v/>
      </c>
      <c r="AU44" s="19">
        <f>""</f>
        <v/>
      </c>
      <c r="AV44" s="19">
        <f>""</f>
        <v/>
      </c>
      <c r="AW44" s="19">
        <f>'Dados'!$AF$113&amp;""</f>
        <v/>
      </c>
      <c r="AX44" s="19">
        <f>IF(ISNUMBER('Dados'!$AG$113),IF('Dados'!$AG$113&gt;0,'Dados'!$AG$113,""),"")</f>
        <v/>
      </c>
      <c r="AY44" s="19">
        <f>'Dados'!$AH$113&amp;""</f>
        <v/>
      </c>
      <c r="AZ44" s="19">
        <f>IF(ISNUMBER('Dados'!$AI$113),IF('Dados'!$AI$113&gt;0,'Dados'!$AI$113,""),"")</f>
        <v/>
      </c>
      <c r="BA44" s="19">
        <f>'Dados'!$AJ$113&amp;""</f>
        <v/>
      </c>
      <c r="BB44" s="19">
        <f>IF(ISNUMBER('Dados'!$AK$113),IF('Dados'!$AK$113&gt;0,'Dados'!$AK$113,""),"")</f>
        <v/>
      </c>
      <c r="BC44" s="19">
        <f>'Dados'!$E$113&amp;""</f>
        <v/>
      </c>
      <c r="BD44" s="19">
        <f>'Dados'!$AD$113&amp;""</f>
        <v/>
      </c>
      <c r="BE44" s="19">
        <f>INDEX('Dados'!$F$7:$F$11,'Dados'!$AB$113)</f>
        <v/>
      </c>
      <c r="BF44" s="19">
        <f>'Dados'!$AB$113</f>
        <v/>
      </c>
      <c r="BG44" s="19">
        <f>'Dados'!$AE$113</f>
        <v/>
      </c>
      <c r="BH44" s="19">
        <f>"Bestiário"</f>
        <v/>
      </c>
      <c r="DR44" s="19">
        <f>IF(ISERROR($B$44),"",IF(ISBLANK($B$44),"",$B$44))</f>
        <v/>
      </c>
      <c r="DS44" s="19">
        <f>IF(ISERROR($C$44),"",IF(ISBLANK($C$44),"",$C$44))</f>
        <v/>
      </c>
      <c r="DT44" s="19">
        <f>IF(ISERROR($D$44),"",IF(ISBLANK($D$44),"",$D$44))</f>
        <v/>
      </c>
      <c r="DU44" s="19">
        <f>IF(ISERROR($E$44),"",IF(ISBLANK($E$44),"",$E$44))</f>
        <v/>
      </c>
      <c r="DV44" s="19">
        <f>IF(ISERROR($F$44),"",IF(ISBLANK($F$44),"",$F$44))</f>
        <v/>
      </c>
      <c r="EA44" s="19">
        <f>ISERROR($B$44)*1+ISERROR($C$44)*1+ISERROR($D$44)*1+ISERROR($E$44)*1+ISERROR($F$44)*1</f>
        <v/>
      </c>
    </row>
    <row r="45" ht="26" customHeight="1">
      <c r="A45" s="33">
        <f>IF(LEN($DQ$14)&gt;0,"4 · "&amp;$DQ$14,"4 · (vazio)")</f>
        <v/>
      </c>
      <c r="B45" s="42" t="n"/>
      <c r="C45" s="42" t="n"/>
      <c r="D45" s="42" t="n"/>
      <c r="E45" s="42" t="n"/>
      <c r="F45" s="42" t="n"/>
      <c r="G45" s="9">
        <f>IF(LEN($DQ$14)=0,"",$BY$14&amp;IF(LEN($BZ$14)&gt;0,", "&amp;$BZ$14,"")&amp;IF(LEN($CA$14)&gt;0,", "&amp;$CA$14,"")&amp;IF(LEN($CB$14)&gt;0,", "&amp;$CB$14,"")&amp;IF(AND($BX$14=1,$BL$14=0)," (sugeridas)",IF(AND($BX$14=1,$BL$14=1)," (da base)","")))</f>
        <v/>
      </c>
      <c r="K45" s="26">
        <f>IF(EA45&gt;0,"O Google leu como fórmula: escolha de novo na lista.",IF(LEN($DQ$14)=0,"",IF((IF(AND(LEN($DR$45)&gt;0,$DR$45=$DS$45),1,0)+IF(AND(LEN($DR$45)&gt;0,$DR$45=$DT$45),1,0)+IF(AND(LEN($DR$45)&gt;0,$DR$45=$DU$45),1,0)+IF(AND(LEN($DS$45)&gt;0,$DS$45=$DT$45),1,0)+IF(AND(LEN($DS$45)&gt;0,$DS$45=$DU$45),1,0)+IF(AND(LEN($DT$45)&gt;0,$DT$45=$DU$45),1,0))&gt;0,"Fraqueza repetida",IF(AND(LEN($CC$14)&gt;0,COUNTIF($BY$14:$CB$14,$CC$14)&gt;0),"Resistência igual a uma Fraqueza",IF(AND($BN$14="Comum",(IF(LEN($DR$45)&gt;0,1,0)+IF(LEN($DS$45)&gt;0,1,0)+IF(LEN($DT$45)&gt;0,1,0)+IF(LEN($DU$45)&gt;0,1,0))&gt;2),"Comum tem 1 a 2 Fraquezas (20.2)",IF(AND($BN$14="Elite",(IF(LEN($DR$45)&gt;0,1,0)+IF(LEN($DS$45)&gt;0,1,0)+IF(LEN($DT$45)&gt;0,1,0)+IF(LEN($DU$45)&gt;0,1,0))&gt;3),"Elite tem 3 Fraquezas (20.2)",IF(AND(LEN($CC$14)&gt;0,COUNTIF('Grupo'!$T$7:$T$12,$CC$14)&gt;=2),"Nunca aponte uma Resistência para o Elemento de dois personagens (27.5)","")))))))</f>
        <v/>
      </c>
      <c r="N45" s="19">
        <f>'Dados'!$B$114</f>
        <v/>
      </c>
      <c r="O45" s="19">
        <f>'Dados'!$C$114</f>
        <v/>
      </c>
      <c r="P45" s="19">
        <f>'Dados'!$D$114</f>
        <v/>
      </c>
      <c r="Q45" s="19">
        <f>'Dados'!$G$114</f>
        <v/>
      </c>
      <c r="R45" s="19">
        <f>'Dados'!$H$114</f>
        <v/>
      </c>
      <c r="S45" s="19">
        <f>'Dados'!$I$114</f>
        <v/>
      </c>
      <c r="T45" s="19">
        <f>'Dados'!$J$114</f>
        <v/>
      </c>
      <c r="U45" s="19">
        <f>'Dados'!$K$114</f>
        <v/>
      </c>
      <c r="V45" s="19">
        <f>'Dados'!$L$114</f>
        <v/>
      </c>
      <c r="W45" s="19">
        <f>'Dados'!$M$114</f>
        <v/>
      </c>
      <c r="X45" s="19">
        <f>'Dados'!$N$114</f>
        <v/>
      </c>
      <c r="Y45" s="19">
        <f>'Dados'!$O$114</f>
        <v/>
      </c>
      <c r="Z45" s="19">
        <f>'Dados'!$P$114</f>
        <v/>
      </c>
      <c r="AA45" s="19">
        <f>'Dados'!$Q$114&amp;""</f>
        <v/>
      </c>
      <c r="AB45" s="19">
        <f>'Dados'!$R$114&amp;""</f>
        <v/>
      </c>
      <c r="AC45" s="19">
        <f>'Dados'!$S$114&amp;""</f>
        <v/>
      </c>
      <c r="AD45" s="19">
        <f>'Dados'!$T$114&amp;""</f>
        <v/>
      </c>
      <c r="AE45" s="19">
        <f>'Dados'!$U$114&amp;""</f>
        <v/>
      </c>
      <c r="AF45" s="19">
        <f>'Dados'!$V$114&amp;""</f>
        <v/>
      </c>
      <c r="AG45" s="19">
        <f>'Dados'!$F$114</f>
        <v/>
      </c>
      <c r="AH45" s="19">
        <f>'Dados'!$Z$114</f>
        <v/>
      </c>
      <c r="AI45" s="19">
        <f>'Dados'!$AA$114</f>
        <v/>
      </c>
      <c r="AJ45" s="19">
        <f>'Dados'!$W$114</f>
        <v/>
      </c>
      <c r="AK45" s="19">
        <f>""</f>
        <v/>
      </c>
      <c r="AL45" s="19">
        <f>""</f>
        <v/>
      </c>
      <c r="AM45" s="19">
        <f>""</f>
        <v/>
      </c>
      <c r="AN45" s="19">
        <f>""</f>
        <v/>
      </c>
      <c r="AO45" s="19">
        <f>""</f>
        <v/>
      </c>
      <c r="AP45" s="19">
        <f>""</f>
        <v/>
      </c>
      <c r="AQ45" s="19">
        <f>""</f>
        <v/>
      </c>
      <c r="AR45" s="19">
        <f>""</f>
        <v/>
      </c>
      <c r="AS45" s="19">
        <f>""</f>
        <v/>
      </c>
      <c r="AT45" s="19">
        <f>""</f>
        <v/>
      </c>
      <c r="AU45" s="19">
        <f>""</f>
        <v/>
      </c>
      <c r="AV45" s="19">
        <f>""</f>
        <v/>
      </c>
      <c r="AW45" s="19">
        <f>'Dados'!$AF$114&amp;""</f>
        <v/>
      </c>
      <c r="AX45" s="19">
        <f>IF(ISNUMBER('Dados'!$AG$114),IF('Dados'!$AG$114&gt;0,'Dados'!$AG$114,""),"")</f>
        <v/>
      </c>
      <c r="AY45" s="19">
        <f>'Dados'!$AH$114&amp;""</f>
        <v/>
      </c>
      <c r="AZ45" s="19">
        <f>IF(ISNUMBER('Dados'!$AI$114),IF('Dados'!$AI$114&gt;0,'Dados'!$AI$114,""),"")</f>
        <v/>
      </c>
      <c r="BA45" s="19">
        <f>'Dados'!$AJ$114&amp;""</f>
        <v/>
      </c>
      <c r="BB45" s="19">
        <f>IF(ISNUMBER('Dados'!$AK$114),IF('Dados'!$AK$114&gt;0,'Dados'!$AK$114,""),"")</f>
        <v/>
      </c>
      <c r="BC45" s="19">
        <f>'Dados'!$E$114&amp;""</f>
        <v/>
      </c>
      <c r="BD45" s="19">
        <f>'Dados'!$AD$114&amp;""</f>
        <v/>
      </c>
      <c r="BE45" s="19">
        <f>INDEX('Dados'!$F$7:$F$11,'Dados'!$AB$114)</f>
        <v/>
      </c>
      <c r="BF45" s="19">
        <f>'Dados'!$AB$114</f>
        <v/>
      </c>
      <c r="BG45" s="19">
        <f>'Dados'!$AE$114</f>
        <v/>
      </c>
      <c r="BH45" s="19">
        <f>"Bestiário"</f>
        <v/>
      </c>
      <c r="DR45" s="19">
        <f>IF(ISERROR($B$45),"",IF(ISBLANK($B$45),"",$B$45))</f>
        <v/>
      </c>
      <c r="DS45" s="19">
        <f>IF(ISERROR($C$45),"",IF(ISBLANK($C$45),"",$C$45))</f>
        <v/>
      </c>
      <c r="DT45" s="19">
        <f>IF(ISERROR($D$45),"",IF(ISBLANK($D$45),"",$D$45))</f>
        <v/>
      </c>
      <c r="DU45" s="19">
        <f>IF(ISERROR($E$45),"",IF(ISBLANK($E$45),"",$E$45))</f>
        <v/>
      </c>
      <c r="DV45" s="19">
        <f>IF(ISERROR($F$45),"",IF(ISBLANK($F$45),"",$F$45))</f>
        <v/>
      </c>
      <c r="EA45" s="19">
        <f>ISERROR($B$45)*1+ISERROR($C$45)*1+ISERROR($D$45)*1+ISERROR($E$45)*1+ISERROR($F$45)*1</f>
        <v/>
      </c>
    </row>
    <row r="46" ht="26" customHeight="1">
      <c r="A46" s="32">
        <f>IF(LEN($DQ$15)&gt;0,"5 · "&amp;$DQ$15,"5 · (vazio)")</f>
        <v/>
      </c>
      <c r="B46" s="36" t="n"/>
      <c r="C46" s="36" t="n"/>
      <c r="D46" s="36" t="n"/>
      <c r="E46" s="36" t="n"/>
      <c r="F46" s="36" t="n"/>
      <c r="G46" s="4">
        <f>IF(LEN($DQ$15)=0,"",$BY$15&amp;IF(LEN($BZ$15)&gt;0,", "&amp;$BZ$15,"")&amp;IF(LEN($CA$15)&gt;0,", "&amp;$CA$15,"")&amp;IF(LEN($CB$15)&gt;0,", "&amp;$CB$15,"")&amp;IF(AND($BX$15=1,$BL$15=0)," (sugeridas)",IF(AND($BX$15=1,$BL$15=1)," (da base)","")))</f>
        <v/>
      </c>
      <c r="K46" s="18">
        <f>IF(EA46&gt;0,"O Google leu como fórmula: escolha de novo na lista.",IF(LEN($DQ$15)=0,"",IF((IF(AND(LEN($DR$46)&gt;0,$DR$46=$DS$46),1,0)+IF(AND(LEN($DR$46)&gt;0,$DR$46=$DT$46),1,0)+IF(AND(LEN($DR$46)&gt;0,$DR$46=$DU$46),1,0)+IF(AND(LEN($DS$46)&gt;0,$DS$46=$DT$46),1,0)+IF(AND(LEN($DS$46)&gt;0,$DS$46=$DU$46),1,0)+IF(AND(LEN($DT$46)&gt;0,$DT$46=$DU$46),1,0))&gt;0,"Fraqueza repetida",IF(AND(LEN($CC$15)&gt;0,COUNTIF($BY$15:$CB$15,$CC$15)&gt;0),"Resistência igual a uma Fraqueza",IF(AND($BN$15="Comum",(IF(LEN($DR$46)&gt;0,1,0)+IF(LEN($DS$46)&gt;0,1,0)+IF(LEN($DT$46)&gt;0,1,0)+IF(LEN($DU$46)&gt;0,1,0))&gt;2),"Comum tem 1 a 2 Fraquezas (20.2)",IF(AND($BN$15="Elite",(IF(LEN($DR$46)&gt;0,1,0)+IF(LEN($DS$46)&gt;0,1,0)+IF(LEN($DT$46)&gt;0,1,0)+IF(LEN($DU$46)&gt;0,1,0))&gt;3),"Elite tem 3 Fraquezas (20.2)",IF(AND(LEN($CC$15)&gt;0,COUNTIF('Grupo'!$T$7:$T$12,$CC$15)&gt;=2),"Nunca aponte uma Resistência para o Elemento de dois personagens (27.5)","")))))))</f>
        <v/>
      </c>
      <c r="N46" s="19">
        <f>'Dados'!$B$115</f>
        <v/>
      </c>
      <c r="O46" s="19">
        <f>'Dados'!$C$115</f>
        <v/>
      </c>
      <c r="P46" s="19">
        <f>'Dados'!$D$115</f>
        <v/>
      </c>
      <c r="Q46" s="19">
        <f>'Dados'!$G$115</f>
        <v/>
      </c>
      <c r="R46" s="19">
        <f>'Dados'!$H$115</f>
        <v/>
      </c>
      <c r="S46" s="19">
        <f>'Dados'!$I$115</f>
        <v/>
      </c>
      <c r="T46" s="19">
        <f>'Dados'!$J$115</f>
        <v/>
      </c>
      <c r="U46" s="19">
        <f>'Dados'!$K$115</f>
        <v/>
      </c>
      <c r="V46" s="19">
        <f>'Dados'!$L$115</f>
        <v/>
      </c>
      <c r="W46" s="19">
        <f>'Dados'!$M$115</f>
        <v/>
      </c>
      <c r="X46" s="19">
        <f>'Dados'!$N$115</f>
        <v/>
      </c>
      <c r="Y46" s="19">
        <f>'Dados'!$O$115</f>
        <v/>
      </c>
      <c r="Z46" s="19">
        <f>'Dados'!$P$115</f>
        <v/>
      </c>
      <c r="AA46" s="19">
        <f>'Dados'!$Q$115&amp;""</f>
        <v/>
      </c>
      <c r="AB46" s="19">
        <f>'Dados'!$R$115&amp;""</f>
        <v/>
      </c>
      <c r="AC46" s="19">
        <f>'Dados'!$S$115&amp;""</f>
        <v/>
      </c>
      <c r="AD46" s="19">
        <f>'Dados'!$T$115&amp;""</f>
        <v/>
      </c>
      <c r="AE46" s="19">
        <f>'Dados'!$U$115&amp;""</f>
        <v/>
      </c>
      <c r="AF46" s="19">
        <f>'Dados'!$V$115&amp;""</f>
        <v/>
      </c>
      <c r="AG46" s="19">
        <f>'Dados'!$F$115</f>
        <v/>
      </c>
      <c r="AH46" s="19">
        <f>'Dados'!$Z$115</f>
        <v/>
      </c>
      <c r="AI46" s="19">
        <f>'Dados'!$AA$115</f>
        <v/>
      </c>
      <c r="AJ46" s="19">
        <f>'Dados'!$W$115</f>
        <v/>
      </c>
      <c r="AK46" s="19">
        <f>""</f>
        <v/>
      </c>
      <c r="AL46" s="19">
        <f>""</f>
        <v/>
      </c>
      <c r="AM46" s="19">
        <f>""</f>
        <v/>
      </c>
      <c r="AN46" s="19">
        <f>""</f>
        <v/>
      </c>
      <c r="AO46" s="19">
        <f>""</f>
        <v/>
      </c>
      <c r="AP46" s="19">
        <f>""</f>
        <v/>
      </c>
      <c r="AQ46" s="19">
        <f>""</f>
        <v/>
      </c>
      <c r="AR46" s="19">
        <f>""</f>
        <v/>
      </c>
      <c r="AS46" s="19">
        <f>""</f>
        <v/>
      </c>
      <c r="AT46" s="19">
        <f>""</f>
        <v/>
      </c>
      <c r="AU46" s="19">
        <f>""</f>
        <v/>
      </c>
      <c r="AV46" s="19">
        <f>""</f>
        <v/>
      </c>
      <c r="AW46" s="19">
        <f>'Dados'!$AF$115&amp;""</f>
        <v/>
      </c>
      <c r="AX46" s="19">
        <f>IF(ISNUMBER('Dados'!$AG$115),IF('Dados'!$AG$115&gt;0,'Dados'!$AG$115,""),"")</f>
        <v/>
      </c>
      <c r="AY46" s="19">
        <f>'Dados'!$AH$115&amp;""</f>
        <v/>
      </c>
      <c r="AZ46" s="19">
        <f>IF(ISNUMBER('Dados'!$AI$115),IF('Dados'!$AI$115&gt;0,'Dados'!$AI$115,""),"")</f>
        <v/>
      </c>
      <c r="BA46" s="19">
        <f>'Dados'!$AJ$115&amp;""</f>
        <v/>
      </c>
      <c r="BB46" s="19">
        <f>IF(ISNUMBER('Dados'!$AK$115),IF('Dados'!$AK$115&gt;0,'Dados'!$AK$115,""),"")</f>
        <v/>
      </c>
      <c r="BC46" s="19">
        <f>'Dados'!$E$115&amp;""</f>
        <v/>
      </c>
      <c r="BD46" s="19">
        <f>'Dados'!$AD$115&amp;""</f>
        <v/>
      </c>
      <c r="BE46" s="19">
        <f>INDEX('Dados'!$F$7:$F$11,'Dados'!$AB$115)</f>
        <v/>
      </c>
      <c r="BF46" s="19">
        <f>'Dados'!$AB$115</f>
        <v/>
      </c>
      <c r="BG46" s="19">
        <f>'Dados'!$AE$115</f>
        <v/>
      </c>
      <c r="BH46" s="19">
        <f>"Bestiário"</f>
        <v/>
      </c>
      <c r="DR46" s="19">
        <f>IF(ISERROR($B$46),"",IF(ISBLANK($B$46),"",$B$46))</f>
        <v/>
      </c>
      <c r="DS46" s="19">
        <f>IF(ISERROR($C$46),"",IF(ISBLANK($C$46),"",$C$46))</f>
        <v/>
      </c>
      <c r="DT46" s="19">
        <f>IF(ISERROR($D$46),"",IF(ISBLANK($D$46),"",$D$46))</f>
        <v/>
      </c>
      <c r="DU46" s="19">
        <f>IF(ISERROR($E$46),"",IF(ISBLANK($E$46),"",$E$46))</f>
        <v/>
      </c>
      <c r="DV46" s="19">
        <f>IF(ISERROR($F$46),"",IF(ISBLANK($F$46),"",$F$46))</f>
        <v/>
      </c>
      <c r="EA46" s="19">
        <f>ISERROR($B$46)*1+ISERROR($C$46)*1+ISERROR($D$46)*1+ISERROR($E$46)*1+ISERROR($F$46)*1</f>
        <v/>
      </c>
    </row>
    <row r="47" ht="26" customHeight="1">
      <c r="A47" s="33">
        <f>IF(LEN($DQ$16)&gt;0,"6 · "&amp;$DQ$16,"6 · (vazio)")</f>
        <v/>
      </c>
      <c r="B47" s="42" t="n"/>
      <c r="C47" s="42" t="n"/>
      <c r="D47" s="42" t="n"/>
      <c r="E47" s="42" t="n"/>
      <c r="F47" s="42" t="n"/>
      <c r="G47" s="9">
        <f>IF(LEN($DQ$16)=0,"",$BY$16&amp;IF(LEN($BZ$16)&gt;0,", "&amp;$BZ$16,"")&amp;IF(LEN($CA$16)&gt;0,", "&amp;$CA$16,"")&amp;IF(LEN($CB$16)&gt;0,", "&amp;$CB$16,"")&amp;IF(AND($BX$16=1,$BL$16=0)," (sugeridas)",IF(AND($BX$16=1,$BL$16=1)," (da base)","")))</f>
        <v/>
      </c>
      <c r="K47" s="26">
        <f>IF(EA47&gt;0,"O Google leu como fórmula: escolha de novo na lista.",IF(LEN($DQ$16)=0,"",IF((IF(AND(LEN($DR$47)&gt;0,$DR$47=$DS$47),1,0)+IF(AND(LEN($DR$47)&gt;0,$DR$47=$DT$47),1,0)+IF(AND(LEN($DR$47)&gt;0,$DR$47=$DU$47),1,0)+IF(AND(LEN($DS$47)&gt;0,$DS$47=$DT$47),1,0)+IF(AND(LEN($DS$47)&gt;0,$DS$47=$DU$47),1,0)+IF(AND(LEN($DT$47)&gt;0,$DT$47=$DU$47),1,0))&gt;0,"Fraqueza repetida",IF(AND(LEN($CC$16)&gt;0,COUNTIF($BY$16:$CB$16,$CC$16)&gt;0),"Resistência igual a uma Fraqueza",IF(AND($BN$16="Comum",(IF(LEN($DR$47)&gt;0,1,0)+IF(LEN($DS$47)&gt;0,1,0)+IF(LEN($DT$47)&gt;0,1,0)+IF(LEN($DU$47)&gt;0,1,0))&gt;2),"Comum tem 1 a 2 Fraquezas (20.2)",IF(AND($BN$16="Elite",(IF(LEN($DR$47)&gt;0,1,0)+IF(LEN($DS$47)&gt;0,1,0)+IF(LEN($DT$47)&gt;0,1,0)+IF(LEN($DU$47)&gt;0,1,0))&gt;3),"Elite tem 3 Fraquezas (20.2)",IF(AND(LEN($CC$16)&gt;0,COUNTIF('Grupo'!$T$7:$T$12,$CC$16)&gt;=2),"Nunca aponte uma Resistência para o Elemento de dois personagens (27.5)","")))))))</f>
        <v/>
      </c>
      <c r="N47" s="19">
        <f>'Dados'!$B$116</f>
        <v/>
      </c>
      <c r="O47" s="19">
        <f>'Dados'!$C$116</f>
        <v/>
      </c>
      <c r="P47" s="19">
        <f>'Dados'!$D$116</f>
        <v/>
      </c>
      <c r="Q47" s="19">
        <f>'Dados'!$G$116</f>
        <v/>
      </c>
      <c r="R47" s="19">
        <f>'Dados'!$H$116</f>
        <v/>
      </c>
      <c r="S47" s="19">
        <f>'Dados'!$I$116</f>
        <v/>
      </c>
      <c r="T47" s="19">
        <f>'Dados'!$J$116</f>
        <v/>
      </c>
      <c r="U47" s="19">
        <f>'Dados'!$K$116</f>
        <v/>
      </c>
      <c r="V47" s="19">
        <f>'Dados'!$L$116</f>
        <v/>
      </c>
      <c r="W47" s="19">
        <f>'Dados'!$M$116</f>
        <v/>
      </c>
      <c r="X47" s="19">
        <f>'Dados'!$N$116</f>
        <v/>
      </c>
      <c r="Y47" s="19">
        <f>'Dados'!$O$116</f>
        <v/>
      </c>
      <c r="Z47" s="19">
        <f>'Dados'!$P$116</f>
        <v/>
      </c>
      <c r="AA47" s="19">
        <f>'Dados'!$Q$116&amp;""</f>
        <v/>
      </c>
      <c r="AB47" s="19">
        <f>'Dados'!$R$116&amp;""</f>
        <v/>
      </c>
      <c r="AC47" s="19">
        <f>'Dados'!$S$116&amp;""</f>
        <v/>
      </c>
      <c r="AD47" s="19">
        <f>'Dados'!$T$116&amp;""</f>
        <v/>
      </c>
      <c r="AE47" s="19">
        <f>'Dados'!$U$116&amp;""</f>
        <v/>
      </c>
      <c r="AF47" s="19">
        <f>'Dados'!$V$116&amp;""</f>
        <v/>
      </c>
      <c r="AG47" s="19">
        <f>'Dados'!$F$116</f>
        <v/>
      </c>
      <c r="AH47" s="19">
        <f>'Dados'!$Z$116</f>
        <v/>
      </c>
      <c r="AI47" s="19">
        <f>'Dados'!$AA$116</f>
        <v/>
      </c>
      <c r="AJ47" s="19">
        <f>'Dados'!$W$116</f>
        <v/>
      </c>
      <c r="AK47" s="19">
        <f>""</f>
        <v/>
      </c>
      <c r="AL47" s="19">
        <f>""</f>
        <v/>
      </c>
      <c r="AM47" s="19">
        <f>""</f>
        <v/>
      </c>
      <c r="AN47" s="19">
        <f>""</f>
        <v/>
      </c>
      <c r="AO47" s="19">
        <f>""</f>
        <v/>
      </c>
      <c r="AP47" s="19">
        <f>""</f>
        <v/>
      </c>
      <c r="AQ47" s="19">
        <f>""</f>
        <v/>
      </c>
      <c r="AR47" s="19">
        <f>""</f>
        <v/>
      </c>
      <c r="AS47" s="19">
        <f>""</f>
        <v/>
      </c>
      <c r="AT47" s="19">
        <f>""</f>
        <v/>
      </c>
      <c r="AU47" s="19">
        <f>""</f>
        <v/>
      </c>
      <c r="AV47" s="19">
        <f>""</f>
        <v/>
      </c>
      <c r="AW47" s="19">
        <f>'Dados'!$AF$116&amp;""</f>
        <v/>
      </c>
      <c r="AX47" s="19">
        <f>IF(ISNUMBER('Dados'!$AG$116),IF('Dados'!$AG$116&gt;0,'Dados'!$AG$116,""),"")</f>
        <v/>
      </c>
      <c r="AY47" s="19">
        <f>'Dados'!$AH$116&amp;""</f>
        <v/>
      </c>
      <c r="AZ47" s="19">
        <f>IF(ISNUMBER('Dados'!$AI$116),IF('Dados'!$AI$116&gt;0,'Dados'!$AI$116,""),"")</f>
        <v/>
      </c>
      <c r="BA47" s="19">
        <f>'Dados'!$AJ$116&amp;""</f>
        <v/>
      </c>
      <c r="BB47" s="19">
        <f>IF(ISNUMBER('Dados'!$AK$116),IF('Dados'!$AK$116&gt;0,'Dados'!$AK$116,""),"")</f>
        <v/>
      </c>
      <c r="BC47" s="19">
        <f>'Dados'!$E$116&amp;""</f>
        <v/>
      </c>
      <c r="BD47" s="19">
        <f>'Dados'!$AD$116&amp;""</f>
        <v/>
      </c>
      <c r="BE47" s="19">
        <f>INDEX('Dados'!$F$7:$F$11,'Dados'!$AB$116)</f>
        <v/>
      </c>
      <c r="BF47" s="19">
        <f>'Dados'!$AB$116</f>
        <v/>
      </c>
      <c r="BG47" s="19">
        <f>'Dados'!$AE$116</f>
        <v/>
      </c>
      <c r="BH47" s="19">
        <f>"Bestiário"</f>
        <v/>
      </c>
      <c r="DR47" s="19">
        <f>IF(ISERROR($B$47),"",IF(ISBLANK($B$47),"",$B$47))</f>
        <v/>
      </c>
      <c r="DS47" s="19">
        <f>IF(ISERROR($C$47),"",IF(ISBLANK($C$47),"",$C$47))</f>
        <v/>
      </c>
      <c r="DT47" s="19">
        <f>IF(ISERROR($D$47),"",IF(ISBLANK($D$47),"",$D$47))</f>
        <v/>
      </c>
      <c r="DU47" s="19">
        <f>IF(ISERROR($E$47),"",IF(ISBLANK($E$47),"",$E$47))</f>
        <v/>
      </c>
      <c r="DV47" s="19">
        <f>IF(ISERROR($F$47),"",IF(ISBLANK($F$47),"",$F$47))</f>
        <v/>
      </c>
      <c r="EA47" s="19">
        <f>ISERROR($B$47)*1+ISERROR($C$47)*1+ISERROR($D$47)*1+ISERROR($E$47)*1+ISERROR($F$47)*1</f>
        <v/>
      </c>
    </row>
    <row r="48" ht="26" customHeight="1">
      <c r="A48" s="32">
        <f>IF(LEN($DQ$17)&gt;0,"7 · "&amp;$DQ$17,"7 · (vazio)")</f>
        <v/>
      </c>
      <c r="B48" s="36" t="n"/>
      <c r="C48" s="36" t="n"/>
      <c r="D48" s="36" t="n"/>
      <c r="E48" s="36" t="n"/>
      <c r="F48" s="36" t="n"/>
      <c r="G48" s="4">
        <f>IF(LEN($DQ$17)=0,"",$BY$17&amp;IF(LEN($BZ$17)&gt;0,", "&amp;$BZ$17,"")&amp;IF(LEN($CA$17)&gt;0,", "&amp;$CA$17,"")&amp;IF(LEN($CB$17)&gt;0,", "&amp;$CB$17,"")&amp;IF(AND($BX$17=1,$BL$17=0)," (sugeridas)",IF(AND($BX$17=1,$BL$17=1)," (da base)","")))</f>
        <v/>
      </c>
      <c r="K48" s="18">
        <f>IF(EA48&gt;0,"O Google leu como fórmula: escolha de novo na lista.",IF(LEN($DQ$17)=0,"",IF((IF(AND(LEN($DR$48)&gt;0,$DR$48=$DS$48),1,0)+IF(AND(LEN($DR$48)&gt;0,$DR$48=$DT$48),1,0)+IF(AND(LEN($DR$48)&gt;0,$DR$48=$DU$48),1,0)+IF(AND(LEN($DS$48)&gt;0,$DS$48=$DT$48),1,0)+IF(AND(LEN($DS$48)&gt;0,$DS$48=$DU$48),1,0)+IF(AND(LEN($DT$48)&gt;0,$DT$48=$DU$48),1,0))&gt;0,"Fraqueza repetida",IF(AND(LEN($CC$17)&gt;0,COUNTIF($BY$17:$CB$17,$CC$17)&gt;0),"Resistência igual a uma Fraqueza",IF(AND($BN$17="Comum",(IF(LEN($DR$48)&gt;0,1,0)+IF(LEN($DS$48)&gt;0,1,0)+IF(LEN($DT$48)&gt;0,1,0)+IF(LEN($DU$48)&gt;0,1,0))&gt;2),"Comum tem 1 a 2 Fraquezas (20.2)",IF(AND($BN$17="Elite",(IF(LEN($DR$48)&gt;0,1,0)+IF(LEN($DS$48)&gt;0,1,0)+IF(LEN($DT$48)&gt;0,1,0)+IF(LEN($DU$48)&gt;0,1,0))&gt;3),"Elite tem 3 Fraquezas (20.2)",IF(AND(LEN($CC$17)&gt;0,COUNTIF('Grupo'!$T$7:$T$12,$CC$17)&gt;=2),"Nunca aponte uma Resistência para o Elemento de dois personagens (27.5)","")))))))</f>
        <v/>
      </c>
      <c r="N48" s="19">
        <f>'Dados'!$B$117</f>
        <v/>
      </c>
      <c r="O48" s="19">
        <f>'Dados'!$C$117</f>
        <v/>
      </c>
      <c r="P48" s="19">
        <f>'Dados'!$D$117</f>
        <v/>
      </c>
      <c r="Q48" s="19">
        <f>'Dados'!$G$117</f>
        <v/>
      </c>
      <c r="R48" s="19">
        <f>'Dados'!$H$117</f>
        <v/>
      </c>
      <c r="S48" s="19">
        <f>'Dados'!$I$117</f>
        <v/>
      </c>
      <c r="T48" s="19">
        <f>'Dados'!$J$117</f>
        <v/>
      </c>
      <c r="U48" s="19">
        <f>'Dados'!$K$117</f>
        <v/>
      </c>
      <c r="V48" s="19">
        <f>'Dados'!$L$117</f>
        <v/>
      </c>
      <c r="W48" s="19">
        <f>'Dados'!$M$117</f>
        <v/>
      </c>
      <c r="X48" s="19">
        <f>'Dados'!$N$117</f>
        <v/>
      </c>
      <c r="Y48" s="19">
        <f>'Dados'!$O$117</f>
        <v/>
      </c>
      <c r="Z48" s="19">
        <f>'Dados'!$P$117</f>
        <v/>
      </c>
      <c r="AA48" s="19">
        <f>'Dados'!$Q$117&amp;""</f>
        <v/>
      </c>
      <c r="AB48" s="19">
        <f>'Dados'!$R$117&amp;""</f>
        <v/>
      </c>
      <c r="AC48" s="19">
        <f>'Dados'!$S$117&amp;""</f>
        <v/>
      </c>
      <c r="AD48" s="19">
        <f>'Dados'!$T$117&amp;""</f>
        <v/>
      </c>
      <c r="AE48" s="19">
        <f>'Dados'!$U$117&amp;""</f>
        <v/>
      </c>
      <c r="AF48" s="19">
        <f>'Dados'!$V$117&amp;""</f>
        <v/>
      </c>
      <c r="AG48" s="19">
        <f>'Dados'!$F$117</f>
        <v/>
      </c>
      <c r="AH48" s="19">
        <f>'Dados'!$Z$117</f>
        <v/>
      </c>
      <c r="AI48" s="19">
        <f>'Dados'!$AA$117</f>
        <v/>
      </c>
      <c r="AJ48" s="19">
        <f>'Dados'!$W$117</f>
        <v/>
      </c>
      <c r="AK48" s="19">
        <f>'Dados'!$E$132</f>
        <v/>
      </c>
      <c r="AL48" s="19">
        <f>""</f>
        <v/>
      </c>
      <c r="AM48" s="19">
        <f>'Dados'!$G$132</f>
        <v/>
      </c>
      <c r="AN48" s="19">
        <f>'Dados'!$H$132</f>
        <v/>
      </c>
      <c r="AO48" s="19">
        <f>'Dados'!$I$132</f>
        <v/>
      </c>
      <c r="AP48" s="19">
        <f>'Dados'!$J$132</f>
        <v/>
      </c>
      <c r="AQ48" s="19">
        <f>'Dados'!$K$132</f>
        <v/>
      </c>
      <c r="AR48" s="19">
        <f>""</f>
        <v/>
      </c>
      <c r="AS48" s="19">
        <f>""</f>
        <v/>
      </c>
      <c r="AT48" s="19">
        <f>""</f>
        <v/>
      </c>
      <c r="AU48" s="19">
        <f>""</f>
        <v/>
      </c>
      <c r="AV48" s="19">
        <f>""</f>
        <v/>
      </c>
      <c r="AW48" s="19">
        <f>'Dados'!$AF$117&amp;""</f>
        <v/>
      </c>
      <c r="AX48" s="19">
        <f>IF(ISNUMBER('Dados'!$AG$117),IF('Dados'!$AG$117&gt;0,'Dados'!$AG$117,""),"")</f>
        <v/>
      </c>
      <c r="AY48" s="19">
        <f>'Dados'!$AH$117&amp;""</f>
        <v/>
      </c>
      <c r="AZ48" s="19">
        <f>IF(ISNUMBER('Dados'!$AI$117),IF('Dados'!$AI$117&gt;0,'Dados'!$AI$117,""),"")</f>
        <v/>
      </c>
      <c r="BA48" s="19">
        <f>'Dados'!$AJ$117&amp;""</f>
        <v/>
      </c>
      <c r="BB48" s="19">
        <f>IF(ISNUMBER('Dados'!$AK$117),IF('Dados'!$AK$117&gt;0,'Dados'!$AK$117,""),"")</f>
        <v/>
      </c>
      <c r="BC48" s="19">
        <f>'Dados'!$E$117&amp;""</f>
        <v/>
      </c>
      <c r="BD48" s="19">
        <f>'Dados'!$AD$117&amp;""</f>
        <v/>
      </c>
      <c r="BE48" s="19">
        <f>INDEX('Dados'!$F$7:$F$11,'Dados'!$AB$117)</f>
        <v/>
      </c>
      <c r="BF48" s="19">
        <f>'Dados'!$AB$117</f>
        <v/>
      </c>
      <c r="BG48" s="19">
        <f>'Dados'!$AE$117</f>
        <v/>
      </c>
      <c r="BH48" s="19">
        <f>"Bestiário"</f>
        <v/>
      </c>
      <c r="DR48" s="19">
        <f>IF(ISERROR($B$48),"",IF(ISBLANK($B$48),"",$B$48))</f>
        <v/>
      </c>
      <c r="DS48" s="19">
        <f>IF(ISERROR($C$48),"",IF(ISBLANK($C$48),"",$C$48))</f>
        <v/>
      </c>
      <c r="DT48" s="19">
        <f>IF(ISERROR($D$48),"",IF(ISBLANK($D$48),"",$D$48))</f>
        <v/>
      </c>
      <c r="DU48" s="19">
        <f>IF(ISERROR($E$48),"",IF(ISBLANK($E$48),"",$E$48))</f>
        <v/>
      </c>
      <c r="DV48" s="19">
        <f>IF(ISERROR($F$48),"",IF(ISBLANK($F$48),"",$F$48))</f>
        <v/>
      </c>
      <c r="EA48" s="19">
        <f>ISERROR($B$48)*1+ISERROR($C$48)*1+ISERROR($D$48)*1+ISERROR($E$48)*1+ISERROR($F$48)*1</f>
        <v/>
      </c>
    </row>
    <row r="49" ht="26" customHeight="1">
      <c r="A49" s="33">
        <f>IF(LEN($DQ$18)&gt;0,"8 · "&amp;$DQ$18,"8 · (vazio)")</f>
        <v/>
      </c>
      <c r="B49" s="42" t="n"/>
      <c r="C49" s="42" t="n"/>
      <c r="D49" s="42" t="n"/>
      <c r="E49" s="42" t="n"/>
      <c r="F49" s="42" t="n"/>
      <c r="G49" s="9">
        <f>IF(LEN($DQ$18)=0,"",$BY$18&amp;IF(LEN($BZ$18)&gt;0,", "&amp;$BZ$18,"")&amp;IF(LEN($CA$18)&gt;0,", "&amp;$CA$18,"")&amp;IF(LEN($CB$18)&gt;0,", "&amp;$CB$18,"")&amp;IF(AND($BX$18=1,$BL$18=0)," (sugeridas)",IF(AND($BX$18=1,$BL$18=1)," (da base)","")))</f>
        <v/>
      </c>
      <c r="K49" s="26">
        <f>IF(EA49&gt;0,"O Google leu como fórmula: escolha de novo na lista.",IF(LEN($DQ$18)=0,"",IF((IF(AND(LEN($DR$49)&gt;0,$DR$49=$DS$49),1,0)+IF(AND(LEN($DR$49)&gt;0,$DR$49=$DT$49),1,0)+IF(AND(LEN($DR$49)&gt;0,$DR$49=$DU$49),1,0)+IF(AND(LEN($DS$49)&gt;0,$DS$49=$DT$49),1,0)+IF(AND(LEN($DS$49)&gt;0,$DS$49=$DU$49),1,0)+IF(AND(LEN($DT$49)&gt;0,$DT$49=$DU$49),1,0))&gt;0,"Fraqueza repetida",IF(AND(LEN($CC$18)&gt;0,COUNTIF($BY$18:$CB$18,$CC$18)&gt;0),"Resistência igual a uma Fraqueza",IF(AND($BN$18="Comum",(IF(LEN($DR$49)&gt;0,1,0)+IF(LEN($DS$49)&gt;0,1,0)+IF(LEN($DT$49)&gt;0,1,0)+IF(LEN($DU$49)&gt;0,1,0))&gt;2),"Comum tem 1 a 2 Fraquezas (20.2)",IF(AND($BN$18="Elite",(IF(LEN($DR$49)&gt;0,1,0)+IF(LEN($DS$49)&gt;0,1,0)+IF(LEN($DT$49)&gt;0,1,0)+IF(LEN($DU$49)&gt;0,1,0))&gt;3),"Elite tem 3 Fraquezas (20.2)",IF(AND(LEN($CC$18)&gt;0,COUNTIF('Grupo'!$T$7:$T$12,$CC$18)&gt;=2),"Nunca aponte uma Resistência para o Elemento de dois personagens (27.5)","")))))))</f>
        <v/>
      </c>
      <c r="N49" s="19">
        <f>'Dados'!$B$118</f>
        <v/>
      </c>
      <c r="O49" s="19">
        <f>'Dados'!$C$118</f>
        <v/>
      </c>
      <c r="P49" s="19">
        <f>'Dados'!$D$118</f>
        <v/>
      </c>
      <c r="Q49" s="19">
        <f>'Dados'!$G$118</f>
        <v/>
      </c>
      <c r="R49" s="19">
        <f>'Dados'!$H$118</f>
        <v/>
      </c>
      <c r="S49" s="19">
        <f>'Dados'!$I$118</f>
        <v/>
      </c>
      <c r="T49" s="19">
        <f>'Dados'!$J$118</f>
        <v/>
      </c>
      <c r="U49" s="19">
        <f>'Dados'!$K$118</f>
        <v/>
      </c>
      <c r="V49" s="19">
        <f>'Dados'!$L$118</f>
        <v/>
      </c>
      <c r="W49" s="19">
        <f>'Dados'!$M$118</f>
        <v/>
      </c>
      <c r="X49" s="19">
        <f>'Dados'!$N$118</f>
        <v/>
      </c>
      <c r="Y49" s="19">
        <f>'Dados'!$O$118</f>
        <v/>
      </c>
      <c r="Z49" s="19">
        <f>'Dados'!$P$118</f>
        <v/>
      </c>
      <c r="AA49" s="19">
        <f>'Dados'!$Q$118&amp;""</f>
        <v/>
      </c>
      <c r="AB49" s="19">
        <f>'Dados'!$R$118&amp;""</f>
        <v/>
      </c>
      <c r="AC49" s="19">
        <f>'Dados'!$S$118&amp;""</f>
        <v/>
      </c>
      <c r="AD49" s="19">
        <f>'Dados'!$T$118&amp;""</f>
        <v/>
      </c>
      <c r="AE49" s="19">
        <f>'Dados'!$U$118&amp;""</f>
        <v/>
      </c>
      <c r="AF49" s="19">
        <f>'Dados'!$V$118&amp;""</f>
        <v/>
      </c>
      <c r="AG49" s="19">
        <f>'Dados'!$F$118</f>
        <v/>
      </c>
      <c r="AH49" s="19">
        <f>'Dados'!$Z$118</f>
        <v/>
      </c>
      <c r="AI49" s="19">
        <f>'Dados'!$AA$118</f>
        <v/>
      </c>
      <c r="AJ49" s="19">
        <f>'Dados'!$W$118</f>
        <v/>
      </c>
      <c r="AK49" s="19">
        <f>""</f>
        <v/>
      </c>
      <c r="AL49" s="19">
        <f>""</f>
        <v/>
      </c>
      <c r="AM49" s="19">
        <f>""</f>
        <v/>
      </c>
      <c r="AN49" s="19">
        <f>""</f>
        <v/>
      </c>
      <c r="AO49" s="19">
        <f>""</f>
        <v/>
      </c>
      <c r="AP49" s="19">
        <f>""</f>
        <v/>
      </c>
      <c r="AQ49" s="19">
        <f>""</f>
        <v/>
      </c>
      <c r="AR49" s="19">
        <f>""</f>
        <v/>
      </c>
      <c r="AS49" s="19">
        <f>""</f>
        <v/>
      </c>
      <c r="AT49" s="19">
        <f>""</f>
        <v/>
      </c>
      <c r="AU49" s="19">
        <f>""</f>
        <v/>
      </c>
      <c r="AV49" s="19">
        <f>""</f>
        <v/>
      </c>
      <c r="AW49" s="19">
        <f>'Dados'!$AF$118&amp;""</f>
        <v/>
      </c>
      <c r="AX49" s="19">
        <f>IF(ISNUMBER('Dados'!$AG$118),IF('Dados'!$AG$118&gt;0,'Dados'!$AG$118,""),"")</f>
        <v/>
      </c>
      <c r="AY49" s="19">
        <f>'Dados'!$AH$118&amp;""</f>
        <v/>
      </c>
      <c r="AZ49" s="19">
        <f>IF(ISNUMBER('Dados'!$AI$118),IF('Dados'!$AI$118&gt;0,'Dados'!$AI$118,""),"")</f>
        <v/>
      </c>
      <c r="BA49" s="19">
        <f>'Dados'!$AJ$118&amp;""</f>
        <v/>
      </c>
      <c r="BB49" s="19">
        <f>IF(ISNUMBER('Dados'!$AK$118),IF('Dados'!$AK$118&gt;0,'Dados'!$AK$118,""),"")</f>
        <v/>
      </c>
      <c r="BC49" s="19">
        <f>'Dados'!$E$118&amp;""</f>
        <v/>
      </c>
      <c r="BD49" s="19">
        <f>'Dados'!$AD$118&amp;""</f>
        <v/>
      </c>
      <c r="BE49" s="19">
        <f>INDEX('Dados'!$F$7:$F$11,'Dados'!$AB$118)</f>
        <v/>
      </c>
      <c r="BF49" s="19">
        <f>'Dados'!$AB$118</f>
        <v/>
      </c>
      <c r="BG49" s="19">
        <f>'Dados'!$AE$118</f>
        <v/>
      </c>
      <c r="BH49" s="19">
        <f>"Bestiário"</f>
        <v/>
      </c>
      <c r="DR49" s="19">
        <f>IF(ISERROR($B$49),"",IF(ISBLANK($B$49),"",$B$49))</f>
        <v/>
      </c>
      <c r="DS49" s="19">
        <f>IF(ISERROR($C$49),"",IF(ISBLANK($C$49),"",$C$49))</f>
        <v/>
      </c>
      <c r="DT49" s="19">
        <f>IF(ISERROR($D$49),"",IF(ISBLANK($D$49),"",$D$49))</f>
        <v/>
      </c>
      <c r="DU49" s="19">
        <f>IF(ISERROR($E$49),"",IF(ISBLANK($E$49),"",$E$49))</f>
        <v/>
      </c>
      <c r="DV49" s="19">
        <f>IF(ISERROR($F$49),"",IF(ISBLANK($F$49),"",$F$49))</f>
        <v/>
      </c>
      <c r="EA49" s="19">
        <f>ISERROR($B$49)*1+ISERROR($C$49)*1+ISERROR($D$49)*1+ISERROR($E$49)*1+ISERROR($F$49)*1</f>
        <v/>
      </c>
    </row>
    <row r="50" ht="26" customHeight="1">
      <c r="A50" s="32">
        <f>IF(LEN($DQ$19)&gt;0,"9 · "&amp;$DQ$19,"9 · (vazio)")</f>
        <v/>
      </c>
      <c r="B50" s="36" t="n"/>
      <c r="C50" s="36" t="n"/>
      <c r="D50" s="36" t="n"/>
      <c r="E50" s="36" t="n"/>
      <c r="F50" s="36" t="n"/>
      <c r="G50" s="4">
        <f>IF(LEN($DQ$19)=0,"",$BY$19&amp;IF(LEN($BZ$19)&gt;0,", "&amp;$BZ$19,"")&amp;IF(LEN($CA$19)&gt;0,", "&amp;$CA$19,"")&amp;IF(LEN($CB$19)&gt;0,", "&amp;$CB$19,"")&amp;IF(AND($BX$19=1,$BL$19=0)," (sugeridas)",IF(AND($BX$19=1,$BL$19=1)," (da base)","")))</f>
        <v/>
      </c>
      <c r="K50" s="18">
        <f>IF(EA50&gt;0,"O Google leu como fórmula: escolha de novo na lista.",IF(LEN($DQ$19)=0,"",IF((IF(AND(LEN($DR$50)&gt;0,$DR$50=$DS$50),1,0)+IF(AND(LEN($DR$50)&gt;0,$DR$50=$DT$50),1,0)+IF(AND(LEN($DR$50)&gt;0,$DR$50=$DU$50),1,0)+IF(AND(LEN($DS$50)&gt;0,$DS$50=$DT$50),1,0)+IF(AND(LEN($DS$50)&gt;0,$DS$50=$DU$50),1,0)+IF(AND(LEN($DT$50)&gt;0,$DT$50=$DU$50),1,0))&gt;0,"Fraqueza repetida",IF(AND(LEN($CC$19)&gt;0,COUNTIF($BY$19:$CB$19,$CC$19)&gt;0),"Resistência igual a uma Fraqueza",IF(AND($BN$19="Comum",(IF(LEN($DR$50)&gt;0,1,0)+IF(LEN($DS$50)&gt;0,1,0)+IF(LEN($DT$50)&gt;0,1,0)+IF(LEN($DU$50)&gt;0,1,0))&gt;2),"Comum tem 1 a 2 Fraquezas (20.2)",IF(AND($BN$19="Elite",(IF(LEN($DR$50)&gt;0,1,0)+IF(LEN($DS$50)&gt;0,1,0)+IF(LEN($DT$50)&gt;0,1,0)+IF(LEN($DU$50)&gt;0,1,0))&gt;3),"Elite tem 3 Fraquezas (20.2)",IF(AND(LEN($CC$19)&gt;0,COUNTIF('Grupo'!$T$7:$T$12,$CC$19)&gt;=2),"Nunca aponte uma Resistência para o Elemento de dois personagens (27.5)","")))))))</f>
        <v/>
      </c>
      <c r="N50" s="19">
        <f>'Dados'!$B$119</f>
        <v/>
      </c>
      <c r="O50" s="19">
        <f>'Dados'!$C$119</f>
        <v/>
      </c>
      <c r="P50" s="19">
        <f>'Dados'!$D$119</f>
        <v/>
      </c>
      <c r="Q50" s="19">
        <f>'Dados'!$G$119</f>
        <v/>
      </c>
      <c r="R50" s="19">
        <f>'Dados'!$H$119</f>
        <v/>
      </c>
      <c r="S50" s="19">
        <f>'Dados'!$I$119</f>
        <v/>
      </c>
      <c r="T50" s="19">
        <f>'Dados'!$J$119</f>
        <v/>
      </c>
      <c r="U50" s="19">
        <f>'Dados'!$K$119</f>
        <v/>
      </c>
      <c r="V50" s="19">
        <f>'Dados'!$L$119</f>
        <v/>
      </c>
      <c r="W50" s="19">
        <f>'Dados'!$M$119</f>
        <v/>
      </c>
      <c r="X50" s="19">
        <f>'Dados'!$N$119</f>
        <v/>
      </c>
      <c r="Y50" s="19">
        <f>'Dados'!$O$119</f>
        <v/>
      </c>
      <c r="Z50" s="19">
        <f>'Dados'!$P$119</f>
        <v/>
      </c>
      <c r="AA50" s="19">
        <f>'Dados'!$Q$119&amp;""</f>
        <v/>
      </c>
      <c r="AB50" s="19">
        <f>'Dados'!$R$119&amp;""</f>
        <v/>
      </c>
      <c r="AC50" s="19">
        <f>'Dados'!$S$119&amp;""</f>
        <v/>
      </c>
      <c r="AD50" s="19">
        <f>'Dados'!$T$119&amp;""</f>
        <v/>
      </c>
      <c r="AE50" s="19">
        <f>'Dados'!$U$119&amp;""</f>
        <v/>
      </c>
      <c r="AF50" s="19">
        <f>'Dados'!$V$119&amp;""</f>
        <v/>
      </c>
      <c r="AG50" s="19">
        <f>'Dados'!$F$119</f>
        <v/>
      </c>
      <c r="AH50" s="19">
        <f>'Dados'!$Z$119</f>
        <v/>
      </c>
      <c r="AI50" s="19">
        <f>'Dados'!$AA$119</f>
        <v/>
      </c>
      <c r="AJ50" s="19">
        <f>'Dados'!$W$119</f>
        <v/>
      </c>
      <c r="AK50" s="19">
        <f>""</f>
        <v/>
      </c>
      <c r="AL50" s="19">
        <f>""</f>
        <v/>
      </c>
      <c r="AM50" s="19">
        <f>""</f>
        <v/>
      </c>
      <c r="AN50" s="19">
        <f>""</f>
        <v/>
      </c>
      <c r="AO50" s="19">
        <f>""</f>
        <v/>
      </c>
      <c r="AP50" s="19">
        <f>""</f>
        <v/>
      </c>
      <c r="AQ50" s="19">
        <f>""</f>
        <v/>
      </c>
      <c r="AR50" s="19">
        <f>""</f>
        <v/>
      </c>
      <c r="AS50" s="19">
        <f>""</f>
        <v/>
      </c>
      <c r="AT50" s="19">
        <f>""</f>
        <v/>
      </c>
      <c r="AU50" s="19">
        <f>""</f>
        <v/>
      </c>
      <c r="AV50" s="19">
        <f>""</f>
        <v/>
      </c>
      <c r="AW50" s="19">
        <f>'Dados'!$AF$119&amp;""</f>
        <v/>
      </c>
      <c r="AX50" s="19">
        <f>IF(ISNUMBER('Dados'!$AG$119),IF('Dados'!$AG$119&gt;0,'Dados'!$AG$119,""),"")</f>
        <v/>
      </c>
      <c r="AY50" s="19">
        <f>'Dados'!$AH$119&amp;""</f>
        <v/>
      </c>
      <c r="AZ50" s="19">
        <f>IF(ISNUMBER('Dados'!$AI$119),IF('Dados'!$AI$119&gt;0,'Dados'!$AI$119,""),"")</f>
        <v/>
      </c>
      <c r="BA50" s="19">
        <f>'Dados'!$AJ$119&amp;""</f>
        <v/>
      </c>
      <c r="BB50" s="19">
        <f>IF(ISNUMBER('Dados'!$AK$119),IF('Dados'!$AK$119&gt;0,'Dados'!$AK$119,""),"")</f>
        <v/>
      </c>
      <c r="BC50" s="19">
        <f>'Dados'!$E$119&amp;""</f>
        <v/>
      </c>
      <c r="BD50" s="19">
        <f>'Dados'!$AD$119&amp;""</f>
        <v/>
      </c>
      <c r="BE50" s="19">
        <f>INDEX('Dados'!$F$7:$F$11,'Dados'!$AB$119)</f>
        <v/>
      </c>
      <c r="BF50" s="19">
        <f>'Dados'!$AB$119</f>
        <v/>
      </c>
      <c r="BG50" s="19">
        <f>'Dados'!$AE$119</f>
        <v/>
      </c>
      <c r="BH50" s="19">
        <f>"Bestiário"</f>
        <v/>
      </c>
      <c r="DR50" s="19">
        <f>IF(ISERROR($B$50),"",IF(ISBLANK($B$50),"",$B$50))</f>
        <v/>
      </c>
      <c r="DS50" s="19">
        <f>IF(ISERROR($C$50),"",IF(ISBLANK($C$50),"",$C$50))</f>
        <v/>
      </c>
      <c r="DT50" s="19">
        <f>IF(ISERROR($D$50),"",IF(ISBLANK($D$50),"",$D$50))</f>
        <v/>
      </c>
      <c r="DU50" s="19">
        <f>IF(ISERROR($E$50),"",IF(ISBLANK($E$50),"",$E$50))</f>
        <v/>
      </c>
      <c r="DV50" s="19">
        <f>IF(ISERROR($F$50),"",IF(ISBLANK($F$50),"",$F$50))</f>
        <v/>
      </c>
      <c r="EA50" s="19">
        <f>ISERROR($B$50)*1+ISERROR($C$50)*1+ISERROR($D$50)*1+ISERROR($E$50)*1+ISERROR($F$50)*1</f>
        <v/>
      </c>
    </row>
    <row r="51" ht="26" customHeight="1">
      <c r="A51" s="33">
        <f>IF(LEN($DQ$20)&gt;0,"10 · "&amp;$DQ$20,"10 · (vazio)")</f>
        <v/>
      </c>
      <c r="B51" s="42" t="n"/>
      <c r="C51" s="42" t="n"/>
      <c r="D51" s="42" t="n"/>
      <c r="E51" s="42" t="n"/>
      <c r="F51" s="42" t="n"/>
      <c r="G51" s="9">
        <f>IF(LEN($DQ$20)=0,"",$BY$20&amp;IF(LEN($BZ$20)&gt;0,", "&amp;$BZ$20,"")&amp;IF(LEN($CA$20)&gt;0,", "&amp;$CA$20,"")&amp;IF(LEN($CB$20)&gt;0,", "&amp;$CB$20,"")&amp;IF(AND($BX$20=1,$BL$20=0)," (sugeridas)",IF(AND($BX$20=1,$BL$20=1)," (da base)","")))</f>
        <v/>
      </c>
      <c r="K51" s="26">
        <f>IF(EA51&gt;0,"O Google leu como fórmula: escolha de novo na lista.",IF(LEN($DQ$20)=0,"",IF((IF(AND(LEN($DR$51)&gt;0,$DR$51=$DS$51),1,0)+IF(AND(LEN($DR$51)&gt;0,$DR$51=$DT$51),1,0)+IF(AND(LEN($DR$51)&gt;0,$DR$51=$DU$51),1,0)+IF(AND(LEN($DS$51)&gt;0,$DS$51=$DT$51),1,0)+IF(AND(LEN($DS$51)&gt;0,$DS$51=$DU$51),1,0)+IF(AND(LEN($DT$51)&gt;0,$DT$51=$DU$51),1,0))&gt;0,"Fraqueza repetida",IF(AND(LEN($CC$20)&gt;0,COUNTIF($BY$20:$CB$20,$CC$20)&gt;0),"Resistência igual a uma Fraqueza",IF(AND($BN$20="Comum",(IF(LEN($DR$51)&gt;0,1,0)+IF(LEN($DS$51)&gt;0,1,0)+IF(LEN($DT$51)&gt;0,1,0)+IF(LEN($DU$51)&gt;0,1,0))&gt;2),"Comum tem 1 a 2 Fraquezas (20.2)",IF(AND($BN$20="Elite",(IF(LEN($DR$51)&gt;0,1,0)+IF(LEN($DS$51)&gt;0,1,0)+IF(LEN($DT$51)&gt;0,1,0)+IF(LEN($DU$51)&gt;0,1,0))&gt;3),"Elite tem 3 Fraquezas (20.2)",IF(AND(LEN($CC$20)&gt;0,COUNTIF('Grupo'!$T$7:$T$12,$CC$20)&gt;=2),"Nunca aponte uma Resistência para o Elemento de dois personagens (27.5)","")))))))</f>
        <v/>
      </c>
      <c r="N51" s="19">
        <f>'Dados'!$B$120</f>
        <v/>
      </c>
      <c r="O51" s="19">
        <f>'Dados'!$C$120</f>
        <v/>
      </c>
      <c r="P51" s="19">
        <f>'Dados'!$D$120</f>
        <v/>
      </c>
      <c r="Q51" s="19">
        <f>'Dados'!$G$120</f>
        <v/>
      </c>
      <c r="R51" s="19">
        <f>'Dados'!$H$120</f>
        <v/>
      </c>
      <c r="S51" s="19">
        <f>'Dados'!$I$120</f>
        <v/>
      </c>
      <c r="T51" s="19">
        <f>'Dados'!$J$120</f>
        <v/>
      </c>
      <c r="U51" s="19">
        <f>'Dados'!$K$120</f>
        <v/>
      </c>
      <c r="V51" s="19">
        <f>'Dados'!$L$120</f>
        <v/>
      </c>
      <c r="W51" s="19">
        <f>'Dados'!$M$120</f>
        <v/>
      </c>
      <c r="X51" s="19">
        <f>'Dados'!$N$120</f>
        <v/>
      </c>
      <c r="Y51" s="19">
        <f>'Dados'!$O$120</f>
        <v/>
      </c>
      <c r="Z51" s="19">
        <f>'Dados'!$P$120</f>
        <v/>
      </c>
      <c r="AA51" s="19">
        <f>'Dados'!$Q$120&amp;""</f>
        <v/>
      </c>
      <c r="AB51" s="19">
        <f>'Dados'!$R$120&amp;""</f>
        <v/>
      </c>
      <c r="AC51" s="19">
        <f>'Dados'!$S$120&amp;""</f>
        <v/>
      </c>
      <c r="AD51" s="19">
        <f>'Dados'!$T$120&amp;""</f>
        <v/>
      </c>
      <c r="AE51" s="19">
        <f>'Dados'!$U$120&amp;""</f>
        <v/>
      </c>
      <c r="AF51" s="19">
        <f>'Dados'!$V$120&amp;""</f>
        <v/>
      </c>
      <c r="AG51" s="19">
        <f>'Dados'!$F$120</f>
        <v/>
      </c>
      <c r="AH51" s="19">
        <f>'Dados'!$Z$120</f>
        <v/>
      </c>
      <c r="AI51" s="19">
        <f>'Dados'!$AA$120</f>
        <v/>
      </c>
      <c r="AJ51" s="19">
        <f>'Dados'!$W$120</f>
        <v/>
      </c>
      <c r="AK51" s="19">
        <f>""</f>
        <v/>
      </c>
      <c r="AL51" s="19">
        <f>""</f>
        <v/>
      </c>
      <c r="AM51" s="19">
        <f>""</f>
        <v/>
      </c>
      <c r="AN51" s="19">
        <f>""</f>
        <v/>
      </c>
      <c r="AO51" s="19">
        <f>""</f>
        <v/>
      </c>
      <c r="AP51" s="19">
        <f>""</f>
        <v/>
      </c>
      <c r="AQ51" s="19">
        <f>""</f>
        <v/>
      </c>
      <c r="AR51" s="19">
        <f>""</f>
        <v/>
      </c>
      <c r="AS51" s="19">
        <f>""</f>
        <v/>
      </c>
      <c r="AT51" s="19">
        <f>""</f>
        <v/>
      </c>
      <c r="AU51" s="19">
        <f>""</f>
        <v/>
      </c>
      <c r="AV51" s="19">
        <f>""</f>
        <v/>
      </c>
      <c r="AW51" s="19">
        <f>'Dados'!$AF$120&amp;""</f>
        <v/>
      </c>
      <c r="AX51" s="19">
        <f>IF(ISNUMBER('Dados'!$AG$120),IF('Dados'!$AG$120&gt;0,'Dados'!$AG$120,""),"")</f>
        <v/>
      </c>
      <c r="AY51" s="19">
        <f>'Dados'!$AH$120&amp;""</f>
        <v/>
      </c>
      <c r="AZ51" s="19">
        <f>IF(ISNUMBER('Dados'!$AI$120),IF('Dados'!$AI$120&gt;0,'Dados'!$AI$120,""),"")</f>
        <v/>
      </c>
      <c r="BA51" s="19">
        <f>'Dados'!$AJ$120&amp;""</f>
        <v/>
      </c>
      <c r="BB51" s="19">
        <f>IF(ISNUMBER('Dados'!$AK$120),IF('Dados'!$AK$120&gt;0,'Dados'!$AK$120,""),"")</f>
        <v/>
      </c>
      <c r="BC51" s="19">
        <f>'Dados'!$E$120&amp;""</f>
        <v/>
      </c>
      <c r="BD51" s="19">
        <f>'Dados'!$AD$120&amp;""</f>
        <v/>
      </c>
      <c r="BE51" s="19">
        <f>INDEX('Dados'!$F$7:$F$11,'Dados'!$AB$120)</f>
        <v/>
      </c>
      <c r="BF51" s="19">
        <f>'Dados'!$AB$120</f>
        <v/>
      </c>
      <c r="BG51" s="19">
        <f>'Dados'!$AE$120</f>
        <v/>
      </c>
      <c r="BH51" s="19">
        <f>"Bestiário"</f>
        <v/>
      </c>
      <c r="DR51" s="19">
        <f>IF(ISERROR($B$51),"",IF(ISBLANK($B$51),"",$B$51))</f>
        <v/>
      </c>
      <c r="DS51" s="19">
        <f>IF(ISERROR($C$51),"",IF(ISBLANK($C$51),"",$C$51))</f>
        <v/>
      </c>
      <c r="DT51" s="19">
        <f>IF(ISERROR($D$51),"",IF(ISBLANK($D$51),"",$D$51))</f>
        <v/>
      </c>
      <c r="DU51" s="19">
        <f>IF(ISERROR($E$51),"",IF(ISBLANK($E$51),"",$E$51))</f>
        <v/>
      </c>
      <c r="DV51" s="19">
        <f>IF(ISERROR($F$51),"",IF(ISBLANK($F$51),"",$F$51))</f>
        <v/>
      </c>
      <c r="EA51" s="19">
        <f>ISERROR($B$51)*1+ISERROR($C$51)*1+ISERROR($D$51)*1+ISERROR($E$51)*1+ISERROR($F$51)*1</f>
        <v/>
      </c>
    </row>
    <row r="52" ht="26" customHeight="1">
      <c r="A52" s="32">
        <f>IF(LEN($DQ$21)&gt;0,"11 · "&amp;$DQ$21,"11 · (vazio)")</f>
        <v/>
      </c>
      <c r="B52" s="36" t="n"/>
      <c r="C52" s="36" t="n"/>
      <c r="D52" s="36" t="n"/>
      <c r="E52" s="36" t="n"/>
      <c r="F52" s="36" t="n"/>
      <c r="G52" s="4">
        <f>IF(LEN($DQ$21)=0,"",$BY$21&amp;IF(LEN($BZ$21)&gt;0,", "&amp;$BZ$21,"")&amp;IF(LEN($CA$21)&gt;0,", "&amp;$CA$21,"")&amp;IF(LEN($CB$21)&gt;0,", "&amp;$CB$21,"")&amp;IF(AND($BX$21=1,$BL$21=0)," (sugeridas)",IF(AND($BX$21=1,$BL$21=1)," (da base)","")))</f>
        <v/>
      </c>
      <c r="K52" s="18">
        <f>IF(EA52&gt;0,"O Google leu como fórmula: escolha de novo na lista.",IF(LEN($DQ$21)=0,"",IF((IF(AND(LEN($DR$52)&gt;0,$DR$52=$DS$52),1,0)+IF(AND(LEN($DR$52)&gt;0,$DR$52=$DT$52),1,0)+IF(AND(LEN($DR$52)&gt;0,$DR$52=$DU$52),1,0)+IF(AND(LEN($DS$52)&gt;0,$DS$52=$DT$52),1,0)+IF(AND(LEN($DS$52)&gt;0,$DS$52=$DU$52),1,0)+IF(AND(LEN($DT$52)&gt;0,$DT$52=$DU$52),1,0))&gt;0,"Fraqueza repetida",IF(AND(LEN($CC$21)&gt;0,COUNTIF($BY$21:$CB$21,$CC$21)&gt;0),"Resistência igual a uma Fraqueza",IF(AND($BN$21="Comum",(IF(LEN($DR$52)&gt;0,1,0)+IF(LEN($DS$52)&gt;0,1,0)+IF(LEN($DT$52)&gt;0,1,0)+IF(LEN($DU$52)&gt;0,1,0))&gt;2),"Comum tem 1 a 2 Fraquezas (20.2)",IF(AND($BN$21="Elite",(IF(LEN($DR$52)&gt;0,1,0)+IF(LEN($DS$52)&gt;0,1,0)+IF(LEN($DT$52)&gt;0,1,0)+IF(LEN($DU$52)&gt;0,1,0))&gt;3),"Elite tem 3 Fraquezas (20.2)",IF(AND(LEN($CC$21)&gt;0,COUNTIF('Grupo'!$T$7:$T$12,$CC$21)&gt;=2),"Nunca aponte uma Resistência para o Elemento de dois personagens (27.5)","")))))))</f>
        <v/>
      </c>
      <c r="N52" s="19">
        <f>'Dados'!$B$121</f>
        <v/>
      </c>
      <c r="O52" s="19">
        <f>'Dados'!$C$121</f>
        <v/>
      </c>
      <c r="P52" s="19">
        <f>'Dados'!$D$121</f>
        <v/>
      </c>
      <c r="Q52" s="19">
        <f>'Dados'!$G$121</f>
        <v/>
      </c>
      <c r="R52" s="19">
        <f>'Dados'!$H$121</f>
        <v/>
      </c>
      <c r="S52" s="19">
        <f>'Dados'!$I$121</f>
        <v/>
      </c>
      <c r="T52" s="19">
        <f>'Dados'!$J$121</f>
        <v/>
      </c>
      <c r="U52" s="19">
        <f>'Dados'!$K$121</f>
        <v/>
      </c>
      <c r="V52" s="19">
        <f>'Dados'!$L$121</f>
        <v/>
      </c>
      <c r="W52" s="19">
        <f>'Dados'!$M$121</f>
        <v/>
      </c>
      <c r="X52" s="19">
        <f>'Dados'!$N$121</f>
        <v/>
      </c>
      <c r="Y52" s="19">
        <f>'Dados'!$O$121</f>
        <v/>
      </c>
      <c r="Z52" s="19">
        <f>'Dados'!$P$121</f>
        <v/>
      </c>
      <c r="AA52" s="19">
        <f>'Dados'!$Q$121&amp;""</f>
        <v/>
      </c>
      <c r="AB52" s="19">
        <f>'Dados'!$R$121&amp;""</f>
        <v/>
      </c>
      <c r="AC52" s="19">
        <f>'Dados'!$S$121&amp;""</f>
        <v/>
      </c>
      <c r="AD52" s="19">
        <f>'Dados'!$T$121&amp;""</f>
        <v/>
      </c>
      <c r="AE52" s="19">
        <f>'Dados'!$U$121&amp;""</f>
        <v/>
      </c>
      <c r="AF52" s="19">
        <f>'Dados'!$V$121&amp;""</f>
        <v/>
      </c>
      <c r="AG52" s="19">
        <f>'Dados'!$F$121</f>
        <v/>
      </c>
      <c r="AH52" s="19">
        <f>'Dados'!$Z$121</f>
        <v/>
      </c>
      <c r="AI52" s="19">
        <f>'Dados'!$AA$121</f>
        <v/>
      </c>
      <c r="AJ52" s="19">
        <f>'Dados'!$W$121</f>
        <v/>
      </c>
      <c r="AK52" s="19">
        <f>""</f>
        <v/>
      </c>
      <c r="AL52" s="19">
        <f>""</f>
        <v/>
      </c>
      <c r="AM52" s="19">
        <f>""</f>
        <v/>
      </c>
      <c r="AN52" s="19">
        <f>""</f>
        <v/>
      </c>
      <c r="AO52" s="19">
        <f>""</f>
        <v/>
      </c>
      <c r="AP52" s="19">
        <f>""</f>
        <v/>
      </c>
      <c r="AQ52" s="19">
        <f>""</f>
        <v/>
      </c>
      <c r="AR52" s="19">
        <f>""</f>
        <v/>
      </c>
      <c r="AS52" s="19">
        <f>""</f>
        <v/>
      </c>
      <c r="AT52" s="19">
        <f>""</f>
        <v/>
      </c>
      <c r="AU52" s="19">
        <f>""</f>
        <v/>
      </c>
      <c r="AV52" s="19">
        <f>""</f>
        <v/>
      </c>
      <c r="AW52" s="19">
        <f>'Dados'!$AF$121&amp;""</f>
        <v/>
      </c>
      <c r="AX52" s="19">
        <f>IF(ISNUMBER('Dados'!$AG$121),IF('Dados'!$AG$121&gt;0,'Dados'!$AG$121,""),"")</f>
        <v/>
      </c>
      <c r="AY52" s="19">
        <f>'Dados'!$AH$121&amp;""</f>
        <v/>
      </c>
      <c r="AZ52" s="19">
        <f>IF(ISNUMBER('Dados'!$AI$121),IF('Dados'!$AI$121&gt;0,'Dados'!$AI$121,""),"")</f>
        <v/>
      </c>
      <c r="BA52" s="19">
        <f>'Dados'!$AJ$121&amp;""</f>
        <v/>
      </c>
      <c r="BB52" s="19">
        <f>IF(ISNUMBER('Dados'!$AK$121),IF('Dados'!$AK$121&gt;0,'Dados'!$AK$121,""),"")</f>
        <v/>
      </c>
      <c r="BC52" s="19">
        <f>'Dados'!$E$121&amp;""</f>
        <v/>
      </c>
      <c r="BD52" s="19">
        <f>'Dados'!$AD$121&amp;""</f>
        <v/>
      </c>
      <c r="BE52" s="19">
        <f>INDEX('Dados'!$F$7:$F$11,'Dados'!$AB$121)</f>
        <v/>
      </c>
      <c r="BF52" s="19">
        <f>'Dados'!$AB$121</f>
        <v/>
      </c>
      <c r="BG52" s="19">
        <f>'Dados'!$AE$121</f>
        <v/>
      </c>
      <c r="BH52" s="19">
        <f>"Bestiário"</f>
        <v/>
      </c>
      <c r="DR52" s="19">
        <f>IF(ISERROR($B$52),"",IF(ISBLANK($B$52),"",$B$52))</f>
        <v/>
      </c>
      <c r="DS52" s="19">
        <f>IF(ISERROR($C$52),"",IF(ISBLANK($C$52),"",$C$52))</f>
        <v/>
      </c>
      <c r="DT52" s="19">
        <f>IF(ISERROR($D$52),"",IF(ISBLANK($D$52),"",$D$52))</f>
        <v/>
      </c>
      <c r="DU52" s="19">
        <f>IF(ISERROR($E$52),"",IF(ISBLANK($E$52),"",$E$52))</f>
        <v/>
      </c>
      <c r="DV52" s="19">
        <f>IF(ISERROR($F$52),"",IF(ISBLANK($F$52),"",$F$52))</f>
        <v/>
      </c>
      <c r="EA52" s="19">
        <f>ISERROR($B$52)*1+ISERROR($C$52)*1+ISERROR($D$52)*1+ISERROR($E$52)*1+ISERROR($F$52)*1</f>
        <v/>
      </c>
    </row>
    <row r="53" ht="26" customHeight="1">
      <c r="A53" s="33">
        <f>IF(LEN($DQ$22)&gt;0,"12 · "&amp;$DQ$22,"12 · (vazio)")</f>
        <v/>
      </c>
      <c r="B53" s="42" t="n"/>
      <c r="C53" s="42" t="n"/>
      <c r="D53" s="42" t="n"/>
      <c r="E53" s="42" t="n"/>
      <c r="F53" s="42" t="n"/>
      <c r="G53" s="9">
        <f>IF(LEN($DQ$22)=0,"",$BY$22&amp;IF(LEN($BZ$22)&gt;0,", "&amp;$BZ$22,"")&amp;IF(LEN($CA$22)&gt;0,", "&amp;$CA$22,"")&amp;IF(LEN($CB$22)&gt;0,", "&amp;$CB$22,"")&amp;IF(AND($BX$22=1,$BL$22=0)," (sugeridas)",IF(AND($BX$22=1,$BL$22=1)," (da base)","")))</f>
        <v/>
      </c>
      <c r="K53" s="26">
        <f>IF(EA53&gt;0,"O Google leu como fórmula: escolha de novo na lista.",IF(LEN($DQ$22)=0,"",IF((IF(AND(LEN($DR$53)&gt;0,$DR$53=$DS$53),1,0)+IF(AND(LEN($DR$53)&gt;0,$DR$53=$DT$53),1,0)+IF(AND(LEN($DR$53)&gt;0,$DR$53=$DU$53),1,0)+IF(AND(LEN($DS$53)&gt;0,$DS$53=$DT$53),1,0)+IF(AND(LEN($DS$53)&gt;0,$DS$53=$DU$53),1,0)+IF(AND(LEN($DT$53)&gt;0,$DT$53=$DU$53),1,0))&gt;0,"Fraqueza repetida",IF(AND(LEN($CC$22)&gt;0,COUNTIF($BY$22:$CB$22,$CC$22)&gt;0),"Resistência igual a uma Fraqueza",IF(AND($BN$22="Comum",(IF(LEN($DR$53)&gt;0,1,0)+IF(LEN($DS$53)&gt;0,1,0)+IF(LEN($DT$53)&gt;0,1,0)+IF(LEN($DU$53)&gt;0,1,0))&gt;2),"Comum tem 1 a 2 Fraquezas (20.2)",IF(AND($BN$22="Elite",(IF(LEN($DR$53)&gt;0,1,0)+IF(LEN($DS$53)&gt;0,1,0)+IF(LEN($DT$53)&gt;0,1,0)+IF(LEN($DU$53)&gt;0,1,0))&gt;3),"Elite tem 3 Fraquezas (20.2)",IF(AND(LEN($CC$22)&gt;0,COUNTIF('Grupo'!$T$7:$T$12,$CC$22)&gt;=2),"Nunca aponte uma Resistência para o Elemento de dois personagens (27.5)","")))))))</f>
        <v/>
      </c>
      <c r="N53" s="19">
        <f>'Dados'!$B$122</f>
        <v/>
      </c>
      <c r="O53" s="19">
        <f>'Dados'!$C$122</f>
        <v/>
      </c>
      <c r="P53" s="19">
        <f>'Dados'!$D$122</f>
        <v/>
      </c>
      <c r="Q53" s="19">
        <f>'Dados'!$G$122</f>
        <v/>
      </c>
      <c r="R53" s="19">
        <f>'Dados'!$H$122</f>
        <v/>
      </c>
      <c r="S53" s="19">
        <f>'Dados'!$I$122</f>
        <v/>
      </c>
      <c r="T53" s="19">
        <f>'Dados'!$J$122</f>
        <v/>
      </c>
      <c r="U53" s="19">
        <f>'Dados'!$K$122</f>
        <v/>
      </c>
      <c r="V53" s="19">
        <f>'Dados'!$L$122</f>
        <v/>
      </c>
      <c r="W53" s="19">
        <f>'Dados'!$M$122</f>
        <v/>
      </c>
      <c r="X53" s="19">
        <f>'Dados'!$N$122</f>
        <v/>
      </c>
      <c r="Y53" s="19">
        <f>'Dados'!$O$122</f>
        <v/>
      </c>
      <c r="Z53" s="19">
        <f>'Dados'!$P$122</f>
        <v/>
      </c>
      <c r="AA53" s="19">
        <f>'Dados'!$Q$122&amp;""</f>
        <v/>
      </c>
      <c r="AB53" s="19">
        <f>'Dados'!$R$122&amp;""</f>
        <v/>
      </c>
      <c r="AC53" s="19">
        <f>'Dados'!$S$122&amp;""</f>
        <v/>
      </c>
      <c r="AD53" s="19">
        <f>'Dados'!$T$122&amp;""</f>
        <v/>
      </c>
      <c r="AE53" s="19">
        <f>'Dados'!$U$122&amp;""</f>
        <v/>
      </c>
      <c r="AF53" s="19">
        <f>'Dados'!$V$122&amp;""</f>
        <v/>
      </c>
      <c r="AG53" s="19">
        <f>'Dados'!$F$122</f>
        <v/>
      </c>
      <c r="AH53" s="19">
        <f>'Dados'!$Z$122</f>
        <v/>
      </c>
      <c r="AI53" s="19">
        <f>'Dados'!$AA$122</f>
        <v/>
      </c>
      <c r="AJ53" s="19">
        <f>'Dados'!$W$122</f>
        <v/>
      </c>
      <c r="AK53" s="19">
        <f>'Dados'!$E$134</f>
        <v/>
      </c>
      <c r="AL53" s="19">
        <f>'Dados'!$E$135</f>
        <v/>
      </c>
      <c r="AM53" s="19">
        <f>'Dados'!$G$134</f>
        <v/>
      </c>
      <c r="AN53" s="19">
        <f>'Dados'!$H$134</f>
        <v/>
      </c>
      <c r="AO53" s="19">
        <f>'Dados'!$I$134</f>
        <v/>
      </c>
      <c r="AP53" s="19">
        <f>'Dados'!$J$134</f>
        <v/>
      </c>
      <c r="AQ53" s="19">
        <f>'Dados'!$K$134</f>
        <v/>
      </c>
      <c r="AR53" s="19">
        <f>'Dados'!$G$135</f>
        <v/>
      </c>
      <c r="AS53" s="19">
        <f>'Dados'!$H$135</f>
        <v/>
      </c>
      <c r="AT53" s="19">
        <f>'Dados'!$I$135</f>
        <v/>
      </c>
      <c r="AU53" s="19">
        <f>'Dados'!$J$135</f>
        <v/>
      </c>
      <c r="AV53" s="19">
        <f>'Dados'!$K$135</f>
        <v/>
      </c>
      <c r="AW53" s="19">
        <f>'Dados'!$AF$122&amp;""</f>
        <v/>
      </c>
      <c r="AX53" s="19">
        <f>IF(ISNUMBER('Dados'!$AG$122),IF('Dados'!$AG$122&gt;0,'Dados'!$AG$122,""),"")</f>
        <v/>
      </c>
      <c r="AY53" s="19">
        <f>'Dados'!$AH$122&amp;""</f>
        <v/>
      </c>
      <c r="AZ53" s="19">
        <f>IF(ISNUMBER('Dados'!$AI$122),IF('Dados'!$AI$122&gt;0,'Dados'!$AI$122,""),"")</f>
        <v/>
      </c>
      <c r="BA53" s="19">
        <f>'Dados'!$AJ$122&amp;""</f>
        <v/>
      </c>
      <c r="BB53" s="19">
        <f>IF(ISNUMBER('Dados'!$AK$122),IF('Dados'!$AK$122&gt;0,'Dados'!$AK$122,""),"")</f>
        <v/>
      </c>
      <c r="BC53" s="19">
        <f>'Dados'!$E$122&amp;""</f>
        <v/>
      </c>
      <c r="BD53" s="19">
        <f>'Dados'!$AD$122&amp;""</f>
        <v/>
      </c>
      <c r="BE53" s="19">
        <f>INDEX('Dados'!$F$7:$F$11,'Dados'!$AB$122)</f>
        <v/>
      </c>
      <c r="BF53" s="19">
        <f>'Dados'!$AB$122</f>
        <v/>
      </c>
      <c r="BG53" s="19">
        <f>'Dados'!$AE$122</f>
        <v/>
      </c>
      <c r="BH53" s="19">
        <f>"Bestiário"</f>
        <v/>
      </c>
      <c r="DR53" s="19">
        <f>IF(ISERROR($B$53),"",IF(ISBLANK($B$53),"",$B$53))</f>
        <v/>
      </c>
      <c r="DS53" s="19">
        <f>IF(ISERROR($C$53),"",IF(ISBLANK($C$53),"",$C$53))</f>
        <v/>
      </c>
      <c r="DT53" s="19">
        <f>IF(ISERROR($D$53),"",IF(ISBLANK($D$53),"",$D$53))</f>
        <v/>
      </c>
      <c r="DU53" s="19">
        <f>IF(ISERROR($E$53),"",IF(ISBLANK($E$53),"",$E$53))</f>
        <v/>
      </c>
      <c r="DV53" s="19">
        <f>IF(ISERROR($F$53),"",IF(ISBLANK($F$53),"",$F$53))</f>
        <v/>
      </c>
      <c r="EA53" s="19">
        <f>ISERROR($B$53)*1+ISERROR($C$53)*1+ISERROR($D$53)*1+ISERROR($E$53)*1+ISERROR($F$53)*1</f>
        <v/>
      </c>
    </row>
    <row r="54">
      <c r="N54" s="19">
        <f>'Dados'!$B$123</f>
        <v/>
      </c>
      <c r="O54" s="19">
        <f>'Dados'!$C$123</f>
        <v/>
      </c>
      <c r="P54" s="19">
        <f>'Dados'!$D$123</f>
        <v/>
      </c>
      <c r="Q54" s="19">
        <f>'Dados'!$G$123</f>
        <v/>
      </c>
      <c r="R54" s="19">
        <f>'Dados'!$H$123</f>
        <v/>
      </c>
      <c r="S54" s="19">
        <f>'Dados'!$I$123</f>
        <v/>
      </c>
      <c r="T54" s="19">
        <f>'Dados'!$J$123</f>
        <v/>
      </c>
      <c r="U54" s="19">
        <f>'Dados'!$K$123</f>
        <v/>
      </c>
      <c r="V54" s="19">
        <f>'Dados'!$L$123</f>
        <v/>
      </c>
      <c r="W54" s="19">
        <f>'Dados'!$M$123</f>
        <v/>
      </c>
      <c r="X54" s="19">
        <f>'Dados'!$N$123</f>
        <v/>
      </c>
      <c r="Y54" s="19">
        <f>'Dados'!$O$123</f>
        <v/>
      </c>
      <c r="Z54" s="19">
        <f>'Dados'!$P$123</f>
        <v/>
      </c>
      <c r="AA54" s="19">
        <f>'Dados'!$Q$123&amp;""</f>
        <v/>
      </c>
      <c r="AB54" s="19">
        <f>'Dados'!$R$123&amp;""</f>
        <v/>
      </c>
      <c r="AC54" s="19">
        <f>'Dados'!$S$123&amp;""</f>
        <v/>
      </c>
      <c r="AD54" s="19">
        <f>'Dados'!$T$123&amp;""</f>
        <v/>
      </c>
      <c r="AE54" s="19">
        <f>'Dados'!$U$123&amp;""</f>
        <v/>
      </c>
      <c r="AF54" s="19">
        <f>'Dados'!$V$123&amp;""</f>
        <v/>
      </c>
      <c r="AG54" s="19">
        <f>'Dados'!$F$123</f>
        <v/>
      </c>
      <c r="AH54" s="19">
        <f>'Dados'!$Z$123</f>
        <v/>
      </c>
      <c r="AI54" s="19">
        <f>'Dados'!$AA$123</f>
        <v/>
      </c>
      <c r="AJ54" s="19">
        <f>'Dados'!$W$123</f>
        <v/>
      </c>
      <c r="AK54" s="19">
        <f>'Dados'!$E$137</f>
        <v/>
      </c>
      <c r="AL54" s="19">
        <f>'Dados'!$E$138</f>
        <v/>
      </c>
      <c r="AM54" s="19">
        <f>'Dados'!$G$137</f>
        <v/>
      </c>
      <c r="AN54" s="19">
        <f>'Dados'!$H$137</f>
        <v/>
      </c>
      <c r="AO54" s="19">
        <f>'Dados'!$I$137</f>
        <v/>
      </c>
      <c r="AP54" s="19">
        <f>'Dados'!$J$137</f>
        <v/>
      </c>
      <c r="AQ54" s="19">
        <f>'Dados'!$K$137</f>
        <v/>
      </c>
      <c r="AR54" s="19">
        <f>'Dados'!$G$138</f>
        <v/>
      </c>
      <c r="AS54" s="19">
        <f>'Dados'!$H$138</f>
        <v/>
      </c>
      <c r="AT54" s="19">
        <f>'Dados'!$I$138</f>
        <v/>
      </c>
      <c r="AU54" s="19">
        <f>'Dados'!$J$138</f>
        <v/>
      </c>
      <c r="AV54" s="19">
        <f>'Dados'!$K$138</f>
        <v/>
      </c>
      <c r="AW54" s="19">
        <f>'Dados'!$AF$123&amp;""</f>
        <v/>
      </c>
      <c r="AX54" s="19">
        <f>IF(ISNUMBER('Dados'!$AG$123),IF('Dados'!$AG$123&gt;0,'Dados'!$AG$123,""),"")</f>
        <v/>
      </c>
      <c r="AY54" s="19">
        <f>'Dados'!$AH$123&amp;""</f>
        <v/>
      </c>
      <c r="AZ54" s="19">
        <f>IF(ISNUMBER('Dados'!$AI$123),IF('Dados'!$AI$123&gt;0,'Dados'!$AI$123,""),"")</f>
        <v/>
      </c>
      <c r="BA54" s="19">
        <f>'Dados'!$AJ$123&amp;""</f>
        <v/>
      </c>
      <c r="BB54" s="19">
        <f>IF(ISNUMBER('Dados'!$AK$123),IF('Dados'!$AK$123&gt;0,'Dados'!$AK$123,""),"")</f>
        <v/>
      </c>
      <c r="BC54" s="19">
        <f>'Dados'!$E$123&amp;""</f>
        <v/>
      </c>
      <c r="BD54" s="19">
        <f>'Dados'!$AD$123&amp;""</f>
        <v/>
      </c>
      <c r="BE54" s="19">
        <f>INDEX('Dados'!$F$7:$F$11,'Dados'!$AB$123)</f>
        <v/>
      </c>
      <c r="BF54" s="19">
        <f>'Dados'!$AB$123</f>
        <v/>
      </c>
      <c r="BG54" s="19">
        <f>'Dados'!$AE$123</f>
        <v/>
      </c>
      <c r="BH54" s="19">
        <f>"Bestiário"</f>
        <v/>
      </c>
    </row>
    <row r="55" ht="20" customHeight="1">
      <c r="A55" s="12" t="inlineStr">
        <is>
          <t>I3 · Ficha — números (automático: a linha de 28.3 da faixa e do tipo)</t>
        </is>
      </c>
    </row>
    <row r="56" ht="26" customHeight="1">
      <c r="A56" s="7" t="inlineStr">
        <is>
          <t>Inimigo</t>
        </is>
      </c>
      <c r="B56" s="7" t="inlineStr">
        <is>
          <t>Faixa efetiva</t>
        </is>
      </c>
      <c r="C56" s="7" t="inlineStr">
        <is>
          <t>PV</t>
        </is>
      </c>
      <c r="D56" s="7" t="inlineStr">
        <is>
          <t>Defesa</t>
        </is>
      </c>
      <c r="E56" s="7" t="inlineStr">
        <is>
          <t>RD</t>
        </is>
      </c>
      <c r="F56" s="7" t="inlineStr">
        <is>
          <t>Tenacidade</t>
        </is>
      </c>
      <c r="G56" s="7" t="inlineStr">
        <is>
          <t>VEL</t>
        </is>
      </c>
      <c r="H56" s="7" t="inlineStr">
        <is>
          <t>Teste de Ataque</t>
        </is>
      </c>
      <c r="I56" s="7" t="inlineStr">
        <is>
          <t>DT dos efeitos</t>
        </is>
      </c>
      <c r="J56" s="7" t="inlineStr">
        <is>
          <t>Teste de Resistência</t>
        </is>
      </c>
      <c r="K56" s="7" t="inlineStr">
        <is>
          <t>Observação</t>
        </is>
      </c>
      <c r="L56" s="20" t="n"/>
    </row>
    <row r="57" ht="26" customHeight="1">
      <c r="A57" s="32">
        <f>IF(LEN($DQ$11)&gt;0,"1 · "&amp;$DQ$11,"1 · (vazio)")</f>
        <v/>
      </c>
      <c r="B57" s="17">
        <f>IF(LEN($DQ$11)=0,"",$BQ$11)</f>
        <v/>
      </c>
      <c r="C57" s="17">
        <f>IF(LEN($DQ$11)=0,"",$BU$11)</f>
        <v/>
      </c>
      <c r="D57" s="17">
        <f>IF(LEN($DQ$11)=0,"",IFERROR(INDEX('Dados'!$E$38:$E$52,MATCH($BS$11,'Dados'!$A$38:$A$52,0)),""))</f>
        <v/>
      </c>
      <c r="E57" s="17">
        <f>IF(LEN($DQ$11)=0,"",IFERROR(INDEX('Dados'!$F$38:$F$52,MATCH($BS$11,'Dados'!$A$38:$A$52,0)),""))</f>
        <v/>
      </c>
      <c r="F57" s="17">
        <f>IF(LEN($DQ$11)=0,"",IFERROR(INDEX('Dados'!$G$38:$G$52,MATCH($BS$11,'Dados'!$A$38:$A$52,0)),""))</f>
        <v/>
      </c>
      <c r="G57" s="17">
        <f>IF(LEN($DQ$11)=0,"",IFERROR(INDEX('Dados'!$H$38:$H$52,MATCH($BS$11,'Dados'!$A$38:$A$52,0)),""))</f>
        <v/>
      </c>
      <c r="H57" s="17">
        <f>IF(LEN($DQ$11)=0,"","+"&amp;IFERROR(INDEX('Dados'!$I$38:$I$52,MATCH($BS$11,'Dados'!$A$38:$A$52,0)),""))</f>
        <v/>
      </c>
      <c r="I57" s="17">
        <f>IF(LEN($DQ$11)=0,"",IFERROR(INDEX('Dados'!$L$38:$L$52,MATCH($BS$11,'Dados'!$A$38:$A$52,0)),""))</f>
        <v/>
      </c>
      <c r="J57" s="17">
        <f>IF(LEN($DQ$11)=0,"","+"&amp;IFERROR(INDEX('Dados'!$M$38:$M$52,MATCH($BS$11,'Dados'!$A$38:$A$52,0)),""))</f>
        <v/>
      </c>
      <c r="K57" s="4">
        <f>IF(LEN($DQ$11)=0,"",IF($BK$11="Por nível — Sugestão","PV do nível "&amp;$BP$11&amp;": Sugestão da planilha — não é regra do livro (H1)",IF($BL$11=1,"Ajustado de "&amp;$DT$11&amp;" (28.4 passo 3)","")))</f>
        <v/>
      </c>
    </row>
    <row r="58" ht="26" customHeight="1">
      <c r="A58" s="33">
        <f>IF(LEN($DQ$12)&gt;0,"2 · "&amp;$DQ$12,"2 · (vazio)")</f>
        <v/>
      </c>
      <c r="B58" s="29">
        <f>IF(LEN($DQ$12)=0,"",$BQ$12)</f>
        <v/>
      </c>
      <c r="C58" s="29">
        <f>IF(LEN($DQ$12)=0,"",$BU$12)</f>
        <v/>
      </c>
      <c r="D58" s="29">
        <f>IF(LEN($DQ$12)=0,"",IFERROR(INDEX('Dados'!$E$38:$E$52,MATCH($BS$12,'Dados'!$A$38:$A$52,0)),""))</f>
        <v/>
      </c>
      <c r="E58" s="29">
        <f>IF(LEN($DQ$12)=0,"",IFERROR(INDEX('Dados'!$F$38:$F$52,MATCH($BS$12,'Dados'!$A$38:$A$52,0)),""))</f>
        <v/>
      </c>
      <c r="F58" s="29">
        <f>IF(LEN($DQ$12)=0,"",IFERROR(INDEX('Dados'!$G$38:$G$52,MATCH($BS$12,'Dados'!$A$38:$A$52,0)),""))</f>
        <v/>
      </c>
      <c r="G58" s="29">
        <f>IF(LEN($DQ$12)=0,"",IFERROR(INDEX('Dados'!$H$38:$H$52,MATCH($BS$12,'Dados'!$A$38:$A$52,0)),""))</f>
        <v/>
      </c>
      <c r="H58" s="29">
        <f>IF(LEN($DQ$12)=0,"","+"&amp;IFERROR(INDEX('Dados'!$I$38:$I$52,MATCH($BS$12,'Dados'!$A$38:$A$52,0)),""))</f>
        <v/>
      </c>
      <c r="I58" s="29">
        <f>IF(LEN($DQ$12)=0,"",IFERROR(INDEX('Dados'!$L$38:$L$52,MATCH($BS$12,'Dados'!$A$38:$A$52,0)),""))</f>
        <v/>
      </c>
      <c r="J58" s="29">
        <f>IF(LEN($DQ$12)=0,"","+"&amp;IFERROR(INDEX('Dados'!$M$38:$M$52,MATCH($BS$12,'Dados'!$A$38:$A$52,0)),""))</f>
        <v/>
      </c>
      <c r="K58" s="9">
        <f>IF(LEN($DQ$12)=0,"",IF($BK$12="Por nível — Sugestão","PV do nível "&amp;$BP$12&amp;": Sugestão da planilha — não é regra do livro (H1)",IF($BL$12=1,"Ajustado de "&amp;$DT$12&amp;" (28.4 passo 3)","")))</f>
        <v/>
      </c>
    </row>
    <row r="59" ht="37" customHeight="1">
      <c r="A59" s="32">
        <f>IF(LEN($DQ$13)&gt;0,"3 · "&amp;$DQ$13,"3 · (vazio)")</f>
        <v/>
      </c>
      <c r="B59" s="17">
        <f>IF(LEN($DQ$13)=0,"",$BQ$13)</f>
        <v/>
      </c>
      <c r="C59" s="17">
        <f>IF(LEN($DQ$13)=0,"",$BU$13)</f>
        <v/>
      </c>
      <c r="D59" s="17">
        <f>IF(LEN($DQ$13)=0,"",IFERROR(INDEX('Dados'!$E$38:$E$52,MATCH($BS$13,'Dados'!$A$38:$A$52,0)),""))</f>
        <v/>
      </c>
      <c r="E59" s="17">
        <f>IF(LEN($DQ$13)=0,"",IFERROR(INDEX('Dados'!$F$38:$F$52,MATCH($BS$13,'Dados'!$A$38:$A$52,0)),""))</f>
        <v/>
      </c>
      <c r="F59" s="17">
        <f>IF(LEN($DQ$13)=0,"",IFERROR(INDEX('Dados'!$G$38:$G$52,MATCH($BS$13,'Dados'!$A$38:$A$52,0)),""))</f>
        <v/>
      </c>
      <c r="G59" s="17">
        <f>IF(LEN($DQ$13)=0,"",IFERROR(INDEX('Dados'!$H$38:$H$52,MATCH($BS$13,'Dados'!$A$38:$A$52,0)),""))</f>
        <v/>
      </c>
      <c r="H59" s="17">
        <f>IF(LEN($DQ$13)=0,"","+"&amp;IFERROR(INDEX('Dados'!$I$38:$I$52,MATCH($BS$13,'Dados'!$A$38:$A$52,0)),""))</f>
        <v/>
      </c>
      <c r="I59" s="17">
        <f>IF(LEN($DQ$13)=0,"",IFERROR(INDEX('Dados'!$L$38:$L$52,MATCH($BS$13,'Dados'!$A$38:$A$52,0)),""))</f>
        <v/>
      </c>
      <c r="J59" s="17">
        <f>IF(LEN($DQ$13)=0,"","+"&amp;IFERROR(INDEX('Dados'!$M$38:$M$52,MATCH($BS$13,'Dados'!$A$38:$A$52,0)),""))</f>
        <v/>
      </c>
      <c r="K59" s="4">
        <f>IF(LEN($DQ$13)=0,"",IF($BK$13="Por nível — Sugestão","PV do nível "&amp;$BP$13&amp;": Sugestão da planilha — não é regra do livro (H1)",IF($BL$13=1,"Ajustado de "&amp;$DT$13&amp;" (28.4 passo 3)","")))</f>
        <v/>
      </c>
    </row>
    <row r="60" ht="26" customHeight="1">
      <c r="A60" s="33">
        <f>IF(LEN($DQ$14)&gt;0,"4 · "&amp;$DQ$14,"4 · (vazio)")</f>
        <v/>
      </c>
      <c r="B60" s="29">
        <f>IF(LEN($DQ$14)=0,"",$BQ$14)</f>
        <v/>
      </c>
      <c r="C60" s="29">
        <f>IF(LEN($DQ$14)=0,"",$BU$14)</f>
        <v/>
      </c>
      <c r="D60" s="29">
        <f>IF(LEN($DQ$14)=0,"",IFERROR(INDEX('Dados'!$E$38:$E$52,MATCH($BS$14,'Dados'!$A$38:$A$52,0)),""))</f>
        <v/>
      </c>
      <c r="E60" s="29">
        <f>IF(LEN($DQ$14)=0,"",IFERROR(INDEX('Dados'!$F$38:$F$52,MATCH($BS$14,'Dados'!$A$38:$A$52,0)),""))</f>
        <v/>
      </c>
      <c r="F60" s="29">
        <f>IF(LEN($DQ$14)=0,"",IFERROR(INDEX('Dados'!$G$38:$G$52,MATCH($BS$14,'Dados'!$A$38:$A$52,0)),""))</f>
        <v/>
      </c>
      <c r="G60" s="29">
        <f>IF(LEN($DQ$14)=0,"",IFERROR(INDEX('Dados'!$H$38:$H$52,MATCH($BS$14,'Dados'!$A$38:$A$52,0)),""))</f>
        <v/>
      </c>
      <c r="H60" s="29">
        <f>IF(LEN($DQ$14)=0,"","+"&amp;IFERROR(INDEX('Dados'!$I$38:$I$52,MATCH($BS$14,'Dados'!$A$38:$A$52,0)),""))</f>
        <v/>
      </c>
      <c r="I60" s="29">
        <f>IF(LEN($DQ$14)=0,"",IFERROR(INDEX('Dados'!$L$38:$L$52,MATCH($BS$14,'Dados'!$A$38:$A$52,0)),""))</f>
        <v/>
      </c>
      <c r="J60" s="29">
        <f>IF(LEN($DQ$14)=0,"","+"&amp;IFERROR(INDEX('Dados'!$M$38:$M$52,MATCH($BS$14,'Dados'!$A$38:$A$52,0)),""))</f>
        <v/>
      </c>
      <c r="K60" s="9">
        <f>IF(LEN($DQ$14)=0,"",IF($BK$14="Por nível — Sugestão","PV do nível "&amp;$BP$14&amp;": Sugestão da planilha — não é regra do livro (H1)",IF($BL$14=1,"Ajustado de "&amp;$DT$14&amp;" (28.4 passo 3)","")))</f>
        <v/>
      </c>
    </row>
    <row r="61" ht="26" customHeight="1">
      <c r="A61" s="32">
        <f>IF(LEN($DQ$15)&gt;0,"5 · "&amp;$DQ$15,"5 · (vazio)")</f>
        <v/>
      </c>
      <c r="B61" s="17">
        <f>IF(LEN($DQ$15)=0,"",$BQ$15)</f>
        <v/>
      </c>
      <c r="C61" s="17">
        <f>IF(LEN($DQ$15)=0,"",$BU$15)</f>
        <v/>
      </c>
      <c r="D61" s="17">
        <f>IF(LEN($DQ$15)=0,"",IFERROR(INDEX('Dados'!$E$38:$E$52,MATCH($BS$15,'Dados'!$A$38:$A$52,0)),""))</f>
        <v/>
      </c>
      <c r="E61" s="17">
        <f>IF(LEN($DQ$15)=0,"",IFERROR(INDEX('Dados'!$F$38:$F$52,MATCH($BS$15,'Dados'!$A$38:$A$52,0)),""))</f>
        <v/>
      </c>
      <c r="F61" s="17">
        <f>IF(LEN($DQ$15)=0,"",IFERROR(INDEX('Dados'!$G$38:$G$52,MATCH($BS$15,'Dados'!$A$38:$A$52,0)),""))</f>
        <v/>
      </c>
      <c r="G61" s="17">
        <f>IF(LEN($DQ$15)=0,"",IFERROR(INDEX('Dados'!$H$38:$H$52,MATCH($BS$15,'Dados'!$A$38:$A$52,0)),""))</f>
        <v/>
      </c>
      <c r="H61" s="17">
        <f>IF(LEN($DQ$15)=0,"","+"&amp;IFERROR(INDEX('Dados'!$I$38:$I$52,MATCH($BS$15,'Dados'!$A$38:$A$52,0)),""))</f>
        <v/>
      </c>
      <c r="I61" s="17">
        <f>IF(LEN($DQ$15)=0,"",IFERROR(INDEX('Dados'!$L$38:$L$52,MATCH($BS$15,'Dados'!$A$38:$A$52,0)),""))</f>
        <v/>
      </c>
      <c r="J61" s="17">
        <f>IF(LEN($DQ$15)=0,"","+"&amp;IFERROR(INDEX('Dados'!$M$38:$M$52,MATCH($BS$15,'Dados'!$A$38:$A$52,0)),""))</f>
        <v/>
      </c>
      <c r="K61" s="4">
        <f>IF(LEN($DQ$15)=0,"",IF($BK$15="Por nível — Sugestão","PV do nível "&amp;$BP$15&amp;": Sugestão da planilha — não é regra do livro (H1)",IF($BL$15=1,"Ajustado de "&amp;$DT$15&amp;" (28.4 passo 3)","")))</f>
        <v/>
      </c>
    </row>
    <row r="62" ht="26" customHeight="1">
      <c r="A62" s="33">
        <f>IF(LEN($DQ$16)&gt;0,"6 · "&amp;$DQ$16,"6 · (vazio)")</f>
        <v/>
      </c>
      <c r="B62" s="29">
        <f>IF(LEN($DQ$16)=0,"",$BQ$16)</f>
        <v/>
      </c>
      <c r="C62" s="29">
        <f>IF(LEN($DQ$16)=0,"",$BU$16)</f>
        <v/>
      </c>
      <c r="D62" s="29">
        <f>IF(LEN($DQ$16)=0,"",IFERROR(INDEX('Dados'!$E$38:$E$52,MATCH($BS$16,'Dados'!$A$38:$A$52,0)),""))</f>
        <v/>
      </c>
      <c r="E62" s="29">
        <f>IF(LEN($DQ$16)=0,"",IFERROR(INDEX('Dados'!$F$38:$F$52,MATCH($BS$16,'Dados'!$A$38:$A$52,0)),""))</f>
        <v/>
      </c>
      <c r="F62" s="29">
        <f>IF(LEN($DQ$16)=0,"",IFERROR(INDEX('Dados'!$G$38:$G$52,MATCH($BS$16,'Dados'!$A$38:$A$52,0)),""))</f>
        <v/>
      </c>
      <c r="G62" s="29">
        <f>IF(LEN($DQ$16)=0,"",IFERROR(INDEX('Dados'!$H$38:$H$52,MATCH($BS$16,'Dados'!$A$38:$A$52,0)),""))</f>
        <v/>
      </c>
      <c r="H62" s="29">
        <f>IF(LEN($DQ$16)=0,"","+"&amp;IFERROR(INDEX('Dados'!$I$38:$I$52,MATCH($BS$16,'Dados'!$A$38:$A$52,0)),""))</f>
        <v/>
      </c>
      <c r="I62" s="29">
        <f>IF(LEN($DQ$16)=0,"",IFERROR(INDEX('Dados'!$L$38:$L$52,MATCH($BS$16,'Dados'!$A$38:$A$52,0)),""))</f>
        <v/>
      </c>
      <c r="J62" s="29">
        <f>IF(LEN($DQ$16)=0,"","+"&amp;IFERROR(INDEX('Dados'!$M$38:$M$52,MATCH($BS$16,'Dados'!$A$38:$A$52,0)),""))</f>
        <v/>
      </c>
      <c r="K62" s="9">
        <f>IF(LEN($DQ$16)=0,"",IF($BK$16="Por nível — Sugestão","PV do nível "&amp;$BP$16&amp;": Sugestão da planilha — não é regra do livro (H1)",IF($BL$16=1,"Ajustado de "&amp;$DT$16&amp;" (28.4 passo 3)","")))</f>
        <v/>
      </c>
    </row>
    <row r="63" ht="26" customHeight="1">
      <c r="A63" s="32">
        <f>IF(LEN($DQ$17)&gt;0,"7 · "&amp;$DQ$17,"7 · (vazio)")</f>
        <v/>
      </c>
      <c r="B63" s="17">
        <f>IF(LEN($DQ$17)=0,"",$BQ$17)</f>
        <v/>
      </c>
      <c r="C63" s="17">
        <f>IF(LEN($DQ$17)=0,"",$BU$17)</f>
        <v/>
      </c>
      <c r="D63" s="17">
        <f>IF(LEN($DQ$17)=0,"",IFERROR(INDEX('Dados'!$E$38:$E$52,MATCH($BS$17,'Dados'!$A$38:$A$52,0)),""))</f>
        <v/>
      </c>
      <c r="E63" s="17">
        <f>IF(LEN($DQ$17)=0,"",IFERROR(INDEX('Dados'!$F$38:$F$52,MATCH($BS$17,'Dados'!$A$38:$A$52,0)),""))</f>
        <v/>
      </c>
      <c r="F63" s="17">
        <f>IF(LEN($DQ$17)=0,"",IFERROR(INDEX('Dados'!$G$38:$G$52,MATCH($BS$17,'Dados'!$A$38:$A$52,0)),""))</f>
        <v/>
      </c>
      <c r="G63" s="17">
        <f>IF(LEN($DQ$17)=0,"",IFERROR(INDEX('Dados'!$H$38:$H$52,MATCH($BS$17,'Dados'!$A$38:$A$52,0)),""))</f>
        <v/>
      </c>
      <c r="H63" s="17">
        <f>IF(LEN($DQ$17)=0,"","+"&amp;IFERROR(INDEX('Dados'!$I$38:$I$52,MATCH($BS$17,'Dados'!$A$38:$A$52,0)),""))</f>
        <v/>
      </c>
      <c r="I63" s="17">
        <f>IF(LEN($DQ$17)=0,"",IFERROR(INDEX('Dados'!$L$38:$L$52,MATCH($BS$17,'Dados'!$A$38:$A$52,0)),""))</f>
        <v/>
      </c>
      <c r="J63" s="17">
        <f>IF(LEN($DQ$17)=0,"","+"&amp;IFERROR(INDEX('Dados'!$M$38:$M$52,MATCH($BS$17,'Dados'!$A$38:$A$52,0)),""))</f>
        <v/>
      </c>
      <c r="K63" s="4">
        <f>IF(LEN($DQ$17)=0,"",IF($BK$17="Por nível — Sugestão","PV do nível "&amp;$BP$17&amp;": Sugestão da planilha — não é regra do livro (H1)",IF($BL$17=1,"Ajustado de "&amp;$DT$17&amp;" (28.4 passo 3)","")))</f>
        <v/>
      </c>
    </row>
    <row r="64" ht="26" customHeight="1">
      <c r="A64" s="33">
        <f>IF(LEN($DQ$18)&gt;0,"8 · "&amp;$DQ$18,"8 · (vazio)")</f>
        <v/>
      </c>
      <c r="B64" s="29">
        <f>IF(LEN($DQ$18)=0,"",$BQ$18)</f>
        <v/>
      </c>
      <c r="C64" s="29">
        <f>IF(LEN($DQ$18)=0,"",$BU$18)</f>
        <v/>
      </c>
      <c r="D64" s="29">
        <f>IF(LEN($DQ$18)=0,"",IFERROR(INDEX('Dados'!$E$38:$E$52,MATCH($BS$18,'Dados'!$A$38:$A$52,0)),""))</f>
        <v/>
      </c>
      <c r="E64" s="29">
        <f>IF(LEN($DQ$18)=0,"",IFERROR(INDEX('Dados'!$F$38:$F$52,MATCH($BS$18,'Dados'!$A$38:$A$52,0)),""))</f>
        <v/>
      </c>
      <c r="F64" s="29">
        <f>IF(LEN($DQ$18)=0,"",IFERROR(INDEX('Dados'!$G$38:$G$52,MATCH($BS$18,'Dados'!$A$38:$A$52,0)),""))</f>
        <v/>
      </c>
      <c r="G64" s="29">
        <f>IF(LEN($DQ$18)=0,"",IFERROR(INDEX('Dados'!$H$38:$H$52,MATCH($BS$18,'Dados'!$A$38:$A$52,0)),""))</f>
        <v/>
      </c>
      <c r="H64" s="29">
        <f>IF(LEN($DQ$18)=0,"","+"&amp;IFERROR(INDEX('Dados'!$I$38:$I$52,MATCH($BS$18,'Dados'!$A$38:$A$52,0)),""))</f>
        <v/>
      </c>
      <c r="I64" s="29">
        <f>IF(LEN($DQ$18)=0,"",IFERROR(INDEX('Dados'!$L$38:$L$52,MATCH($BS$18,'Dados'!$A$38:$A$52,0)),""))</f>
        <v/>
      </c>
      <c r="J64" s="29">
        <f>IF(LEN($DQ$18)=0,"","+"&amp;IFERROR(INDEX('Dados'!$M$38:$M$52,MATCH($BS$18,'Dados'!$A$38:$A$52,0)),""))</f>
        <v/>
      </c>
      <c r="K64" s="9">
        <f>IF(LEN($DQ$18)=0,"",IF($BK$18="Por nível — Sugestão","PV do nível "&amp;$BP$18&amp;": Sugestão da planilha — não é regra do livro (H1)",IF($BL$18=1,"Ajustado de "&amp;$DT$18&amp;" (28.4 passo 3)","")))</f>
        <v/>
      </c>
    </row>
    <row r="65" ht="26" customHeight="1">
      <c r="A65" s="32">
        <f>IF(LEN($DQ$19)&gt;0,"9 · "&amp;$DQ$19,"9 · (vazio)")</f>
        <v/>
      </c>
      <c r="B65" s="17">
        <f>IF(LEN($DQ$19)=0,"",$BQ$19)</f>
        <v/>
      </c>
      <c r="C65" s="17">
        <f>IF(LEN($DQ$19)=0,"",$BU$19)</f>
        <v/>
      </c>
      <c r="D65" s="17">
        <f>IF(LEN($DQ$19)=0,"",IFERROR(INDEX('Dados'!$E$38:$E$52,MATCH($BS$19,'Dados'!$A$38:$A$52,0)),""))</f>
        <v/>
      </c>
      <c r="E65" s="17">
        <f>IF(LEN($DQ$19)=0,"",IFERROR(INDEX('Dados'!$F$38:$F$52,MATCH($BS$19,'Dados'!$A$38:$A$52,0)),""))</f>
        <v/>
      </c>
      <c r="F65" s="17">
        <f>IF(LEN($DQ$19)=0,"",IFERROR(INDEX('Dados'!$G$38:$G$52,MATCH($BS$19,'Dados'!$A$38:$A$52,0)),""))</f>
        <v/>
      </c>
      <c r="G65" s="17">
        <f>IF(LEN($DQ$19)=0,"",IFERROR(INDEX('Dados'!$H$38:$H$52,MATCH($BS$19,'Dados'!$A$38:$A$52,0)),""))</f>
        <v/>
      </c>
      <c r="H65" s="17">
        <f>IF(LEN($DQ$19)=0,"","+"&amp;IFERROR(INDEX('Dados'!$I$38:$I$52,MATCH($BS$19,'Dados'!$A$38:$A$52,0)),""))</f>
        <v/>
      </c>
      <c r="I65" s="17">
        <f>IF(LEN($DQ$19)=0,"",IFERROR(INDEX('Dados'!$L$38:$L$52,MATCH($BS$19,'Dados'!$A$38:$A$52,0)),""))</f>
        <v/>
      </c>
      <c r="J65" s="17">
        <f>IF(LEN($DQ$19)=0,"","+"&amp;IFERROR(INDEX('Dados'!$M$38:$M$52,MATCH($BS$19,'Dados'!$A$38:$A$52,0)),""))</f>
        <v/>
      </c>
      <c r="K65" s="4">
        <f>IF(LEN($DQ$19)=0,"",IF($BK$19="Por nível — Sugestão","PV do nível "&amp;$BP$19&amp;": Sugestão da planilha — não é regra do livro (H1)",IF($BL$19=1,"Ajustado de "&amp;$DT$19&amp;" (28.4 passo 3)","")))</f>
        <v/>
      </c>
    </row>
    <row r="66" ht="26" customHeight="1">
      <c r="A66" s="33">
        <f>IF(LEN($DQ$20)&gt;0,"10 · "&amp;$DQ$20,"10 · (vazio)")</f>
        <v/>
      </c>
      <c r="B66" s="29">
        <f>IF(LEN($DQ$20)=0,"",$BQ$20)</f>
        <v/>
      </c>
      <c r="C66" s="29">
        <f>IF(LEN($DQ$20)=0,"",$BU$20)</f>
        <v/>
      </c>
      <c r="D66" s="29">
        <f>IF(LEN($DQ$20)=0,"",IFERROR(INDEX('Dados'!$E$38:$E$52,MATCH($BS$20,'Dados'!$A$38:$A$52,0)),""))</f>
        <v/>
      </c>
      <c r="E66" s="29">
        <f>IF(LEN($DQ$20)=0,"",IFERROR(INDEX('Dados'!$F$38:$F$52,MATCH($BS$20,'Dados'!$A$38:$A$52,0)),""))</f>
        <v/>
      </c>
      <c r="F66" s="29">
        <f>IF(LEN($DQ$20)=0,"",IFERROR(INDEX('Dados'!$G$38:$G$52,MATCH($BS$20,'Dados'!$A$38:$A$52,0)),""))</f>
        <v/>
      </c>
      <c r="G66" s="29">
        <f>IF(LEN($DQ$20)=0,"",IFERROR(INDEX('Dados'!$H$38:$H$52,MATCH($BS$20,'Dados'!$A$38:$A$52,0)),""))</f>
        <v/>
      </c>
      <c r="H66" s="29">
        <f>IF(LEN($DQ$20)=0,"","+"&amp;IFERROR(INDEX('Dados'!$I$38:$I$52,MATCH($BS$20,'Dados'!$A$38:$A$52,0)),""))</f>
        <v/>
      </c>
      <c r="I66" s="29">
        <f>IF(LEN($DQ$20)=0,"",IFERROR(INDEX('Dados'!$L$38:$L$52,MATCH($BS$20,'Dados'!$A$38:$A$52,0)),""))</f>
        <v/>
      </c>
      <c r="J66" s="29">
        <f>IF(LEN($DQ$20)=0,"","+"&amp;IFERROR(INDEX('Dados'!$M$38:$M$52,MATCH($BS$20,'Dados'!$A$38:$A$52,0)),""))</f>
        <v/>
      </c>
      <c r="K66" s="9">
        <f>IF(LEN($DQ$20)=0,"",IF($BK$20="Por nível — Sugestão","PV do nível "&amp;$BP$20&amp;": Sugestão da planilha — não é regra do livro (H1)",IF($BL$20=1,"Ajustado de "&amp;$DT$20&amp;" (28.4 passo 3)","")))</f>
        <v/>
      </c>
    </row>
    <row r="67" ht="26" customHeight="1">
      <c r="A67" s="32">
        <f>IF(LEN($DQ$21)&gt;0,"11 · "&amp;$DQ$21,"11 · (vazio)")</f>
        <v/>
      </c>
      <c r="B67" s="17">
        <f>IF(LEN($DQ$21)=0,"",$BQ$21)</f>
        <v/>
      </c>
      <c r="C67" s="17">
        <f>IF(LEN($DQ$21)=0,"",$BU$21)</f>
        <v/>
      </c>
      <c r="D67" s="17">
        <f>IF(LEN($DQ$21)=0,"",IFERROR(INDEX('Dados'!$E$38:$E$52,MATCH($BS$21,'Dados'!$A$38:$A$52,0)),""))</f>
        <v/>
      </c>
      <c r="E67" s="17">
        <f>IF(LEN($DQ$21)=0,"",IFERROR(INDEX('Dados'!$F$38:$F$52,MATCH($BS$21,'Dados'!$A$38:$A$52,0)),""))</f>
        <v/>
      </c>
      <c r="F67" s="17">
        <f>IF(LEN($DQ$21)=0,"",IFERROR(INDEX('Dados'!$G$38:$G$52,MATCH($BS$21,'Dados'!$A$38:$A$52,0)),""))</f>
        <v/>
      </c>
      <c r="G67" s="17">
        <f>IF(LEN($DQ$21)=0,"",IFERROR(INDEX('Dados'!$H$38:$H$52,MATCH($BS$21,'Dados'!$A$38:$A$52,0)),""))</f>
        <v/>
      </c>
      <c r="H67" s="17">
        <f>IF(LEN($DQ$21)=0,"","+"&amp;IFERROR(INDEX('Dados'!$I$38:$I$52,MATCH($BS$21,'Dados'!$A$38:$A$52,0)),""))</f>
        <v/>
      </c>
      <c r="I67" s="17">
        <f>IF(LEN($DQ$21)=0,"",IFERROR(INDEX('Dados'!$L$38:$L$52,MATCH($BS$21,'Dados'!$A$38:$A$52,0)),""))</f>
        <v/>
      </c>
      <c r="J67" s="17">
        <f>IF(LEN($DQ$21)=0,"","+"&amp;IFERROR(INDEX('Dados'!$M$38:$M$52,MATCH($BS$21,'Dados'!$A$38:$A$52,0)),""))</f>
        <v/>
      </c>
      <c r="K67" s="4">
        <f>IF(LEN($DQ$21)=0,"",IF($BK$21="Por nível — Sugestão","PV do nível "&amp;$BP$21&amp;": Sugestão da planilha — não é regra do livro (H1)",IF($BL$21=1,"Ajustado de "&amp;$DT$21&amp;" (28.4 passo 3)","")))</f>
        <v/>
      </c>
    </row>
    <row r="68" ht="26" customHeight="1">
      <c r="A68" s="33">
        <f>IF(LEN($DQ$22)&gt;0,"12 · "&amp;$DQ$22,"12 · (vazio)")</f>
        <v/>
      </c>
      <c r="B68" s="29">
        <f>IF(LEN($DQ$22)=0,"",$BQ$22)</f>
        <v/>
      </c>
      <c r="C68" s="29">
        <f>IF(LEN($DQ$22)=0,"",$BU$22)</f>
        <v/>
      </c>
      <c r="D68" s="29">
        <f>IF(LEN($DQ$22)=0,"",IFERROR(INDEX('Dados'!$E$38:$E$52,MATCH($BS$22,'Dados'!$A$38:$A$52,0)),""))</f>
        <v/>
      </c>
      <c r="E68" s="29">
        <f>IF(LEN($DQ$22)=0,"",IFERROR(INDEX('Dados'!$F$38:$F$52,MATCH($BS$22,'Dados'!$A$38:$A$52,0)),""))</f>
        <v/>
      </c>
      <c r="F68" s="29">
        <f>IF(LEN($DQ$22)=0,"",IFERROR(INDEX('Dados'!$G$38:$G$52,MATCH($BS$22,'Dados'!$A$38:$A$52,0)),""))</f>
        <v/>
      </c>
      <c r="G68" s="29">
        <f>IF(LEN($DQ$22)=0,"",IFERROR(INDEX('Dados'!$H$38:$H$52,MATCH($BS$22,'Dados'!$A$38:$A$52,0)),""))</f>
        <v/>
      </c>
      <c r="H68" s="29">
        <f>IF(LEN($DQ$22)=0,"","+"&amp;IFERROR(INDEX('Dados'!$I$38:$I$52,MATCH($BS$22,'Dados'!$A$38:$A$52,0)),""))</f>
        <v/>
      </c>
      <c r="I68" s="29">
        <f>IF(LEN($DQ$22)=0,"",IFERROR(INDEX('Dados'!$L$38:$L$52,MATCH($BS$22,'Dados'!$A$38:$A$52,0)),""))</f>
        <v/>
      </c>
      <c r="J68" s="29">
        <f>IF(LEN($DQ$22)=0,"","+"&amp;IFERROR(INDEX('Dados'!$M$38:$M$52,MATCH($BS$22,'Dados'!$A$38:$A$52,0)),""))</f>
        <v/>
      </c>
      <c r="K68" s="9">
        <f>IF(LEN($DQ$22)=0,"",IF($BK$22="Por nível — Sugestão","PV do nível "&amp;$BP$22&amp;": Sugestão da planilha — não é regra do livro (H1)",IF($BL$22=1,"Ajustado de "&amp;$DT$22&amp;" (28.4 passo 3)","")))</f>
        <v/>
      </c>
    </row>
    <row r="69"/>
    <row r="70" ht="20" customHeight="1">
      <c r="A70" s="12" t="inlineStr">
        <is>
          <t>I4 · Ficha — dano e regras (automático: 28.2, 28.3, 27.4)</t>
        </is>
      </c>
    </row>
    <row r="71" ht="37" customHeight="1">
      <c r="A71" s="7" t="inlineStr">
        <is>
          <t>Inimigo</t>
        </is>
      </c>
      <c r="B71" s="7" t="inlineStr">
        <is>
          <t>Dano por acerto</t>
        </is>
      </c>
      <c r="C71" s="20" t="n"/>
      <c r="D71" s="20" t="n"/>
      <c r="E71" s="7" t="inlineStr">
        <is>
          <t>Nº de Fraquezas (regra)</t>
        </is>
      </c>
      <c r="F71" s="7" t="inlineStr">
        <is>
          <t>Na Fila</t>
        </is>
      </c>
      <c r="G71" s="20" t="n"/>
      <c r="H71" s="7" t="inlineStr">
        <is>
          <t>Ações agressivas por Ciclo</t>
        </is>
      </c>
      <c r="I71" s="7" t="inlineStr">
        <is>
          <t>Custo no orçamento</t>
        </is>
      </c>
      <c r="J71" s="7" t="inlineStr">
        <is>
          <t>Execução</t>
        </is>
      </c>
      <c r="K71" s="7" t="inlineStr">
        <is>
          <t>Aviso</t>
        </is>
      </c>
      <c r="L71" s="20" t="n"/>
    </row>
    <row r="72" ht="26" customHeight="1">
      <c r="A72" s="32">
        <f>IF(LEN($DQ$11)&gt;0,"1 · "&amp;$DQ$11,"1 · (vazio)")</f>
        <v/>
      </c>
      <c r="B72" s="4">
        <f>IF(LEN($DQ$11)=0,"",IFERROR(INDEX('Dados'!$J$38:$J$52,MATCH($BS$11,'Dados'!$A$38:$A$52,0)),"")&amp;" · média "&amp;IFERROR(INDEX('Dados'!$K$38:$K$52,MATCH($BS$11,'Dados'!$A$38:$A$52,0)),""))</f>
        <v/>
      </c>
      <c r="E72" s="17">
        <f>IF(LEN($DQ$11)=0,"",IFERROR(INDEX('Dados'!$N$38:$N$52,MATCH($BS$11,'Dados'!$A$38:$A$52,0)),""))</f>
        <v/>
      </c>
      <c r="F72" s="4">
        <f>IF(LEN($DQ$11)=0,"","VEL "&amp;IFERROR(INDEX('Dados'!$H$38:$H$52,MATCH($BS$11,'Dados'!$A$38:$A$52,0)),"")&amp;", "&amp;IFERROR(INDEX('Dados'!$P$38:$P$52,MATCH($BS$11,'Dados'!$A$38:$A$52,0)),""))</f>
        <v/>
      </c>
      <c r="H72" s="17">
        <f>IF(LEN($DQ$11)=0,"",IFERROR(INDEX('Dados'!$Q$38:$Q$52,MATCH($BS$11,'Dados'!$A$38:$A$52,0)),""))</f>
        <v/>
      </c>
      <c r="I72" s="17">
        <f>IF(LEN($DQ$11)=0,"",$AI$11)</f>
        <v/>
      </c>
      <c r="J72" s="17">
        <f>IF(LEN($DQ$11)=0,"",$AF$11)</f>
        <v/>
      </c>
      <c r="K72" s="18">
        <f>IF(LEN($DQ$11)=0,"",IF(AND($BN$11="Boss",(IF(LEN($BY$11)&gt;0,1,0)+IF(LEN($BZ$11)&gt;0,1,0)+IF(LEN($CA$11)&gt;0,1,0)+IF(LEN($CB$11)&gt;0,1,0))&lt;4),"Boss tem 4 Fraquezas (20.2): faltam "&amp;(4-(IF(LEN($BY$11)&gt;0,1,0)+IF(LEN($BZ$11)&gt;0,1,0)+IF(LEN($CA$11)&gt;0,1,0)+IF(LEN($CB$11)&gt;0,1,0))),IF(AND($BN$11="Elite",(IF(LEN($BY$11)&gt;0,1,0)+IF(LEN($BZ$11)&gt;0,1,0)+IF(LEN($CA$11)&gt;0,1,0)+IF(LEN($CB$11)&gt;0,1,0))&lt;3),"Elite tem 3 Fraquezas (20.2): faltam "&amp;(3-(IF(LEN($BY$11)&gt;0,1,0)+IF(LEN($BZ$11)&gt;0,1,0)+IF(LEN($CA$11)&gt;0,1,0)+IF(LEN($CB$11)&gt;0,1,0))),IF((IF(LEN($BY$11)&gt;0,1,0)+IF(LEN($BZ$11)&gt;0,1,0)+IF(LEN($CA$11)&gt;0,1,0)+IF(LEN($CB$11)&gt;0,1,0))=0,"Sem Fraqueza: todo inimigo tem pelo menos 1 (20.2)",""))))</f>
        <v/>
      </c>
    </row>
    <row r="73" ht="26" customHeight="1">
      <c r="A73" s="33">
        <f>IF(LEN($DQ$12)&gt;0,"2 · "&amp;$DQ$12,"2 · (vazio)")</f>
        <v/>
      </c>
      <c r="B73" s="9">
        <f>IF(LEN($DQ$12)=0,"",IFERROR(INDEX('Dados'!$J$38:$J$52,MATCH($BS$12,'Dados'!$A$38:$A$52,0)),"")&amp;" · média "&amp;IFERROR(INDEX('Dados'!$K$38:$K$52,MATCH($BS$12,'Dados'!$A$38:$A$52,0)),""))</f>
        <v/>
      </c>
      <c r="E73" s="29">
        <f>IF(LEN($DQ$12)=0,"",IFERROR(INDEX('Dados'!$N$38:$N$52,MATCH($BS$12,'Dados'!$A$38:$A$52,0)),""))</f>
        <v/>
      </c>
      <c r="F73" s="9">
        <f>IF(LEN($DQ$12)=0,"","VEL "&amp;IFERROR(INDEX('Dados'!$H$38:$H$52,MATCH($BS$12,'Dados'!$A$38:$A$52,0)),"")&amp;", "&amp;IFERROR(INDEX('Dados'!$P$38:$P$52,MATCH($BS$12,'Dados'!$A$38:$A$52,0)),""))</f>
        <v/>
      </c>
      <c r="H73" s="29">
        <f>IF(LEN($DQ$12)=0,"",IFERROR(INDEX('Dados'!$Q$38:$Q$52,MATCH($BS$12,'Dados'!$A$38:$A$52,0)),""))</f>
        <v/>
      </c>
      <c r="I73" s="29">
        <f>IF(LEN($DQ$12)=0,"",$AI$12)</f>
        <v/>
      </c>
      <c r="J73" s="29">
        <f>IF(LEN($DQ$12)=0,"",$AF$12)</f>
        <v/>
      </c>
      <c r="K73" s="26">
        <f>IF(LEN($DQ$12)=0,"",IF(AND($BN$12="Boss",(IF(LEN($BY$12)&gt;0,1,0)+IF(LEN($BZ$12)&gt;0,1,0)+IF(LEN($CA$12)&gt;0,1,0)+IF(LEN($CB$12)&gt;0,1,0))&lt;4),"Boss tem 4 Fraquezas (20.2): faltam "&amp;(4-(IF(LEN($BY$12)&gt;0,1,0)+IF(LEN($BZ$12)&gt;0,1,0)+IF(LEN($CA$12)&gt;0,1,0)+IF(LEN($CB$12)&gt;0,1,0))),IF(AND($BN$12="Elite",(IF(LEN($BY$12)&gt;0,1,0)+IF(LEN($BZ$12)&gt;0,1,0)+IF(LEN($CA$12)&gt;0,1,0)+IF(LEN($CB$12)&gt;0,1,0))&lt;3),"Elite tem 3 Fraquezas (20.2): faltam "&amp;(3-(IF(LEN($BY$12)&gt;0,1,0)+IF(LEN($BZ$12)&gt;0,1,0)+IF(LEN($CA$12)&gt;0,1,0)+IF(LEN($CB$12)&gt;0,1,0))),IF((IF(LEN($BY$12)&gt;0,1,0)+IF(LEN($BZ$12)&gt;0,1,0)+IF(LEN($CA$12)&gt;0,1,0)+IF(LEN($CB$12)&gt;0,1,0))=0,"Sem Fraqueza: todo inimigo tem pelo menos 1 (20.2)",""))))</f>
        <v/>
      </c>
    </row>
    <row r="74" ht="37" customHeight="1">
      <c r="A74" s="32">
        <f>IF(LEN($DQ$13)&gt;0,"3 · "&amp;$DQ$13,"3 · (vazio)")</f>
        <v/>
      </c>
      <c r="B74" s="4">
        <f>IF(LEN($DQ$13)=0,"",IFERROR(INDEX('Dados'!$J$38:$J$52,MATCH($BS$13,'Dados'!$A$38:$A$52,0)),"")&amp;" · média "&amp;IFERROR(INDEX('Dados'!$K$38:$K$52,MATCH($BS$13,'Dados'!$A$38:$A$52,0)),""))</f>
        <v/>
      </c>
      <c r="E74" s="17">
        <f>IF(LEN($DQ$13)=0,"",IFERROR(INDEX('Dados'!$N$38:$N$52,MATCH($BS$13,'Dados'!$A$38:$A$52,0)),""))</f>
        <v/>
      </c>
      <c r="F74" s="4">
        <f>IF(LEN($DQ$13)=0,"","VEL "&amp;IFERROR(INDEX('Dados'!$H$38:$H$52,MATCH($BS$13,'Dados'!$A$38:$A$52,0)),"")&amp;", "&amp;IFERROR(INDEX('Dados'!$P$38:$P$52,MATCH($BS$13,'Dados'!$A$38:$A$52,0)),""))</f>
        <v/>
      </c>
      <c r="H74" s="17">
        <f>IF(LEN($DQ$13)=0,"",IFERROR(INDEX('Dados'!$Q$38:$Q$52,MATCH($BS$13,'Dados'!$A$38:$A$52,0)),""))</f>
        <v/>
      </c>
      <c r="I74" s="17">
        <f>IF(LEN($DQ$13)=0,"",$AI$13)</f>
        <v/>
      </c>
      <c r="J74" s="17">
        <f>IF(LEN($DQ$13)=0,"",$AF$13)</f>
        <v/>
      </c>
      <c r="K74" s="18">
        <f>IF(LEN($DQ$13)=0,"",IF(AND($BN$13="Boss",(IF(LEN($BY$13)&gt;0,1,0)+IF(LEN($BZ$13)&gt;0,1,0)+IF(LEN($CA$13)&gt;0,1,0)+IF(LEN($CB$13)&gt;0,1,0))&lt;4),"Boss tem 4 Fraquezas (20.2): faltam "&amp;(4-(IF(LEN($BY$13)&gt;0,1,0)+IF(LEN($BZ$13)&gt;0,1,0)+IF(LEN($CA$13)&gt;0,1,0)+IF(LEN($CB$13)&gt;0,1,0))),IF(AND($BN$13="Elite",(IF(LEN($BY$13)&gt;0,1,0)+IF(LEN($BZ$13)&gt;0,1,0)+IF(LEN($CA$13)&gt;0,1,0)+IF(LEN($CB$13)&gt;0,1,0))&lt;3),"Elite tem 3 Fraquezas (20.2): faltam "&amp;(3-(IF(LEN($BY$13)&gt;0,1,0)+IF(LEN($BZ$13)&gt;0,1,0)+IF(LEN($CA$13)&gt;0,1,0)+IF(LEN($CB$13)&gt;0,1,0))),IF((IF(LEN($BY$13)&gt;0,1,0)+IF(LEN($BZ$13)&gt;0,1,0)+IF(LEN($CA$13)&gt;0,1,0)+IF(LEN($CB$13)&gt;0,1,0))=0,"Sem Fraqueza: todo inimigo tem pelo menos 1 (20.2)",""))))</f>
        <v/>
      </c>
    </row>
    <row r="75" ht="26" customHeight="1">
      <c r="A75" s="33">
        <f>IF(LEN($DQ$14)&gt;0,"4 · "&amp;$DQ$14,"4 · (vazio)")</f>
        <v/>
      </c>
      <c r="B75" s="9">
        <f>IF(LEN($DQ$14)=0,"",IFERROR(INDEX('Dados'!$J$38:$J$52,MATCH($BS$14,'Dados'!$A$38:$A$52,0)),"")&amp;" · média "&amp;IFERROR(INDEX('Dados'!$K$38:$K$52,MATCH($BS$14,'Dados'!$A$38:$A$52,0)),""))</f>
        <v/>
      </c>
      <c r="E75" s="29">
        <f>IF(LEN($DQ$14)=0,"",IFERROR(INDEX('Dados'!$N$38:$N$52,MATCH($BS$14,'Dados'!$A$38:$A$52,0)),""))</f>
        <v/>
      </c>
      <c r="F75" s="9">
        <f>IF(LEN($DQ$14)=0,"","VEL "&amp;IFERROR(INDEX('Dados'!$H$38:$H$52,MATCH($BS$14,'Dados'!$A$38:$A$52,0)),"")&amp;", "&amp;IFERROR(INDEX('Dados'!$P$38:$P$52,MATCH($BS$14,'Dados'!$A$38:$A$52,0)),""))</f>
        <v/>
      </c>
      <c r="H75" s="29">
        <f>IF(LEN($DQ$14)=0,"",IFERROR(INDEX('Dados'!$Q$38:$Q$52,MATCH($BS$14,'Dados'!$A$38:$A$52,0)),""))</f>
        <v/>
      </c>
      <c r="I75" s="29">
        <f>IF(LEN($DQ$14)=0,"",$AI$14)</f>
        <v/>
      </c>
      <c r="J75" s="29">
        <f>IF(LEN($DQ$14)=0,"",$AF$14)</f>
        <v/>
      </c>
      <c r="K75" s="26">
        <f>IF(LEN($DQ$14)=0,"",IF(AND($BN$14="Boss",(IF(LEN($BY$14)&gt;0,1,0)+IF(LEN($BZ$14)&gt;0,1,0)+IF(LEN($CA$14)&gt;0,1,0)+IF(LEN($CB$14)&gt;0,1,0))&lt;4),"Boss tem 4 Fraquezas (20.2): faltam "&amp;(4-(IF(LEN($BY$14)&gt;0,1,0)+IF(LEN($BZ$14)&gt;0,1,0)+IF(LEN($CA$14)&gt;0,1,0)+IF(LEN($CB$14)&gt;0,1,0))),IF(AND($BN$14="Elite",(IF(LEN($BY$14)&gt;0,1,0)+IF(LEN($BZ$14)&gt;0,1,0)+IF(LEN($CA$14)&gt;0,1,0)+IF(LEN($CB$14)&gt;0,1,0))&lt;3),"Elite tem 3 Fraquezas (20.2): faltam "&amp;(3-(IF(LEN($BY$14)&gt;0,1,0)+IF(LEN($BZ$14)&gt;0,1,0)+IF(LEN($CA$14)&gt;0,1,0)+IF(LEN($CB$14)&gt;0,1,0))),IF((IF(LEN($BY$14)&gt;0,1,0)+IF(LEN($BZ$14)&gt;0,1,0)+IF(LEN($CA$14)&gt;0,1,0)+IF(LEN($CB$14)&gt;0,1,0))=0,"Sem Fraqueza: todo inimigo tem pelo menos 1 (20.2)",""))))</f>
        <v/>
      </c>
    </row>
    <row r="76" ht="26" customHeight="1">
      <c r="A76" s="32">
        <f>IF(LEN($DQ$15)&gt;0,"5 · "&amp;$DQ$15,"5 · (vazio)")</f>
        <v/>
      </c>
      <c r="B76" s="4">
        <f>IF(LEN($DQ$15)=0,"",IFERROR(INDEX('Dados'!$J$38:$J$52,MATCH($BS$15,'Dados'!$A$38:$A$52,0)),"")&amp;" · média "&amp;IFERROR(INDEX('Dados'!$K$38:$K$52,MATCH($BS$15,'Dados'!$A$38:$A$52,0)),""))</f>
        <v/>
      </c>
      <c r="E76" s="17">
        <f>IF(LEN($DQ$15)=0,"",IFERROR(INDEX('Dados'!$N$38:$N$52,MATCH($BS$15,'Dados'!$A$38:$A$52,0)),""))</f>
        <v/>
      </c>
      <c r="F76" s="4">
        <f>IF(LEN($DQ$15)=0,"","VEL "&amp;IFERROR(INDEX('Dados'!$H$38:$H$52,MATCH($BS$15,'Dados'!$A$38:$A$52,0)),"")&amp;", "&amp;IFERROR(INDEX('Dados'!$P$38:$P$52,MATCH($BS$15,'Dados'!$A$38:$A$52,0)),""))</f>
        <v/>
      </c>
      <c r="H76" s="17">
        <f>IF(LEN($DQ$15)=0,"",IFERROR(INDEX('Dados'!$Q$38:$Q$52,MATCH($BS$15,'Dados'!$A$38:$A$52,0)),""))</f>
        <v/>
      </c>
      <c r="I76" s="17">
        <f>IF(LEN($DQ$15)=0,"",$AI$15)</f>
        <v/>
      </c>
      <c r="J76" s="17">
        <f>IF(LEN($DQ$15)=0,"",$AF$15)</f>
        <v/>
      </c>
      <c r="K76" s="18">
        <f>IF(LEN($DQ$15)=0,"",IF(AND($BN$15="Boss",(IF(LEN($BY$15)&gt;0,1,0)+IF(LEN($BZ$15)&gt;0,1,0)+IF(LEN($CA$15)&gt;0,1,0)+IF(LEN($CB$15)&gt;0,1,0))&lt;4),"Boss tem 4 Fraquezas (20.2): faltam "&amp;(4-(IF(LEN($BY$15)&gt;0,1,0)+IF(LEN($BZ$15)&gt;0,1,0)+IF(LEN($CA$15)&gt;0,1,0)+IF(LEN($CB$15)&gt;0,1,0))),IF(AND($BN$15="Elite",(IF(LEN($BY$15)&gt;0,1,0)+IF(LEN($BZ$15)&gt;0,1,0)+IF(LEN($CA$15)&gt;0,1,0)+IF(LEN($CB$15)&gt;0,1,0))&lt;3),"Elite tem 3 Fraquezas (20.2): faltam "&amp;(3-(IF(LEN($BY$15)&gt;0,1,0)+IF(LEN($BZ$15)&gt;0,1,0)+IF(LEN($CA$15)&gt;0,1,0)+IF(LEN($CB$15)&gt;0,1,0))),IF((IF(LEN($BY$15)&gt;0,1,0)+IF(LEN($BZ$15)&gt;0,1,0)+IF(LEN($CA$15)&gt;0,1,0)+IF(LEN($CB$15)&gt;0,1,0))=0,"Sem Fraqueza: todo inimigo tem pelo menos 1 (20.2)",""))))</f>
        <v/>
      </c>
    </row>
    <row r="77" ht="26" customHeight="1">
      <c r="A77" s="33">
        <f>IF(LEN($DQ$16)&gt;0,"6 · "&amp;$DQ$16,"6 · (vazio)")</f>
        <v/>
      </c>
      <c r="B77" s="9">
        <f>IF(LEN($DQ$16)=0,"",IFERROR(INDEX('Dados'!$J$38:$J$52,MATCH($BS$16,'Dados'!$A$38:$A$52,0)),"")&amp;" · média "&amp;IFERROR(INDEX('Dados'!$K$38:$K$52,MATCH($BS$16,'Dados'!$A$38:$A$52,0)),""))</f>
        <v/>
      </c>
      <c r="E77" s="29">
        <f>IF(LEN($DQ$16)=0,"",IFERROR(INDEX('Dados'!$N$38:$N$52,MATCH($BS$16,'Dados'!$A$38:$A$52,0)),""))</f>
        <v/>
      </c>
      <c r="F77" s="9">
        <f>IF(LEN($DQ$16)=0,"","VEL "&amp;IFERROR(INDEX('Dados'!$H$38:$H$52,MATCH($BS$16,'Dados'!$A$38:$A$52,0)),"")&amp;", "&amp;IFERROR(INDEX('Dados'!$P$38:$P$52,MATCH($BS$16,'Dados'!$A$38:$A$52,0)),""))</f>
        <v/>
      </c>
      <c r="H77" s="29">
        <f>IF(LEN($DQ$16)=0,"",IFERROR(INDEX('Dados'!$Q$38:$Q$52,MATCH($BS$16,'Dados'!$A$38:$A$52,0)),""))</f>
        <v/>
      </c>
      <c r="I77" s="29">
        <f>IF(LEN($DQ$16)=0,"",$AI$16)</f>
        <v/>
      </c>
      <c r="J77" s="29">
        <f>IF(LEN($DQ$16)=0,"",$AF$16)</f>
        <v/>
      </c>
      <c r="K77" s="26">
        <f>IF(LEN($DQ$16)=0,"",IF(AND($BN$16="Boss",(IF(LEN($BY$16)&gt;0,1,0)+IF(LEN($BZ$16)&gt;0,1,0)+IF(LEN($CA$16)&gt;0,1,0)+IF(LEN($CB$16)&gt;0,1,0))&lt;4),"Boss tem 4 Fraquezas (20.2): faltam "&amp;(4-(IF(LEN($BY$16)&gt;0,1,0)+IF(LEN($BZ$16)&gt;0,1,0)+IF(LEN($CA$16)&gt;0,1,0)+IF(LEN($CB$16)&gt;0,1,0))),IF(AND($BN$16="Elite",(IF(LEN($BY$16)&gt;0,1,0)+IF(LEN($BZ$16)&gt;0,1,0)+IF(LEN($CA$16)&gt;0,1,0)+IF(LEN($CB$16)&gt;0,1,0))&lt;3),"Elite tem 3 Fraquezas (20.2): faltam "&amp;(3-(IF(LEN($BY$16)&gt;0,1,0)+IF(LEN($BZ$16)&gt;0,1,0)+IF(LEN($CA$16)&gt;0,1,0)+IF(LEN($CB$16)&gt;0,1,0))),IF((IF(LEN($BY$16)&gt;0,1,0)+IF(LEN($BZ$16)&gt;0,1,0)+IF(LEN($CA$16)&gt;0,1,0)+IF(LEN($CB$16)&gt;0,1,0))=0,"Sem Fraqueza: todo inimigo tem pelo menos 1 (20.2)",""))))</f>
        <v/>
      </c>
    </row>
    <row r="78" ht="26" customHeight="1">
      <c r="A78" s="32">
        <f>IF(LEN($DQ$17)&gt;0,"7 · "&amp;$DQ$17,"7 · (vazio)")</f>
        <v/>
      </c>
      <c r="B78" s="4">
        <f>IF(LEN($DQ$17)=0,"",IFERROR(INDEX('Dados'!$J$38:$J$52,MATCH($BS$17,'Dados'!$A$38:$A$52,0)),"")&amp;" · média "&amp;IFERROR(INDEX('Dados'!$K$38:$K$52,MATCH($BS$17,'Dados'!$A$38:$A$52,0)),""))</f>
        <v/>
      </c>
      <c r="E78" s="17">
        <f>IF(LEN($DQ$17)=0,"",IFERROR(INDEX('Dados'!$N$38:$N$52,MATCH($BS$17,'Dados'!$A$38:$A$52,0)),""))</f>
        <v/>
      </c>
      <c r="F78" s="4">
        <f>IF(LEN($DQ$17)=0,"","VEL "&amp;IFERROR(INDEX('Dados'!$H$38:$H$52,MATCH($BS$17,'Dados'!$A$38:$A$52,0)),"")&amp;", "&amp;IFERROR(INDEX('Dados'!$P$38:$P$52,MATCH($BS$17,'Dados'!$A$38:$A$52,0)),""))</f>
        <v/>
      </c>
      <c r="H78" s="17">
        <f>IF(LEN($DQ$17)=0,"",IFERROR(INDEX('Dados'!$Q$38:$Q$52,MATCH($BS$17,'Dados'!$A$38:$A$52,0)),""))</f>
        <v/>
      </c>
      <c r="I78" s="17">
        <f>IF(LEN($DQ$17)=0,"",$AI$17)</f>
        <v/>
      </c>
      <c r="J78" s="17">
        <f>IF(LEN($DQ$17)=0,"",$AF$17)</f>
        <v/>
      </c>
      <c r="K78" s="18">
        <f>IF(LEN($DQ$17)=0,"",IF(AND($BN$17="Boss",(IF(LEN($BY$17)&gt;0,1,0)+IF(LEN($BZ$17)&gt;0,1,0)+IF(LEN($CA$17)&gt;0,1,0)+IF(LEN($CB$17)&gt;0,1,0))&lt;4),"Boss tem 4 Fraquezas (20.2): faltam "&amp;(4-(IF(LEN($BY$17)&gt;0,1,0)+IF(LEN($BZ$17)&gt;0,1,0)+IF(LEN($CA$17)&gt;0,1,0)+IF(LEN($CB$17)&gt;0,1,0))),IF(AND($BN$17="Elite",(IF(LEN($BY$17)&gt;0,1,0)+IF(LEN($BZ$17)&gt;0,1,0)+IF(LEN($CA$17)&gt;0,1,0)+IF(LEN($CB$17)&gt;0,1,0))&lt;3),"Elite tem 3 Fraquezas (20.2): faltam "&amp;(3-(IF(LEN($BY$17)&gt;0,1,0)+IF(LEN($BZ$17)&gt;0,1,0)+IF(LEN($CA$17)&gt;0,1,0)+IF(LEN($CB$17)&gt;0,1,0))),IF((IF(LEN($BY$17)&gt;0,1,0)+IF(LEN($BZ$17)&gt;0,1,0)+IF(LEN($CA$17)&gt;0,1,0)+IF(LEN($CB$17)&gt;0,1,0))=0,"Sem Fraqueza: todo inimigo tem pelo menos 1 (20.2)",""))))</f>
        <v/>
      </c>
    </row>
    <row r="79" ht="26" customHeight="1">
      <c r="A79" s="33">
        <f>IF(LEN($DQ$18)&gt;0,"8 · "&amp;$DQ$18,"8 · (vazio)")</f>
        <v/>
      </c>
      <c r="B79" s="9">
        <f>IF(LEN($DQ$18)=0,"",IFERROR(INDEX('Dados'!$J$38:$J$52,MATCH($BS$18,'Dados'!$A$38:$A$52,0)),"")&amp;" · média "&amp;IFERROR(INDEX('Dados'!$K$38:$K$52,MATCH($BS$18,'Dados'!$A$38:$A$52,0)),""))</f>
        <v/>
      </c>
      <c r="E79" s="29">
        <f>IF(LEN($DQ$18)=0,"",IFERROR(INDEX('Dados'!$N$38:$N$52,MATCH($BS$18,'Dados'!$A$38:$A$52,0)),""))</f>
        <v/>
      </c>
      <c r="F79" s="9">
        <f>IF(LEN($DQ$18)=0,"","VEL "&amp;IFERROR(INDEX('Dados'!$H$38:$H$52,MATCH($BS$18,'Dados'!$A$38:$A$52,0)),"")&amp;", "&amp;IFERROR(INDEX('Dados'!$P$38:$P$52,MATCH($BS$18,'Dados'!$A$38:$A$52,0)),""))</f>
        <v/>
      </c>
      <c r="H79" s="29">
        <f>IF(LEN($DQ$18)=0,"",IFERROR(INDEX('Dados'!$Q$38:$Q$52,MATCH($BS$18,'Dados'!$A$38:$A$52,0)),""))</f>
        <v/>
      </c>
      <c r="I79" s="29">
        <f>IF(LEN($DQ$18)=0,"",$AI$18)</f>
        <v/>
      </c>
      <c r="J79" s="29">
        <f>IF(LEN($DQ$18)=0,"",$AF$18)</f>
        <v/>
      </c>
      <c r="K79" s="26">
        <f>IF(LEN($DQ$18)=0,"",IF(AND($BN$18="Boss",(IF(LEN($BY$18)&gt;0,1,0)+IF(LEN($BZ$18)&gt;0,1,0)+IF(LEN($CA$18)&gt;0,1,0)+IF(LEN($CB$18)&gt;0,1,0))&lt;4),"Boss tem 4 Fraquezas (20.2): faltam "&amp;(4-(IF(LEN($BY$18)&gt;0,1,0)+IF(LEN($BZ$18)&gt;0,1,0)+IF(LEN($CA$18)&gt;0,1,0)+IF(LEN($CB$18)&gt;0,1,0))),IF(AND($BN$18="Elite",(IF(LEN($BY$18)&gt;0,1,0)+IF(LEN($BZ$18)&gt;0,1,0)+IF(LEN($CA$18)&gt;0,1,0)+IF(LEN($CB$18)&gt;0,1,0))&lt;3),"Elite tem 3 Fraquezas (20.2): faltam "&amp;(3-(IF(LEN($BY$18)&gt;0,1,0)+IF(LEN($BZ$18)&gt;0,1,0)+IF(LEN($CA$18)&gt;0,1,0)+IF(LEN($CB$18)&gt;0,1,0))),IF((IF(LEN($BY$18)&gt;0,1,0)+IF(LEN($BZ$18)&gt;0,1,0)+IF(LEN($CA$18)&gt;0,1,0)+IF(LEN($CB$18)&gt;0,1,0))=0,"Sem Fraqueza: todo inimigo tem pelo menos 1 (20.2)",""))))</f>
        <v/>
      </c>
    </row>
    <row r="80" ht="26" customHeight="1">
      <c r="A80" s="32">
        <f>IF(LEN($DQ$19)&gt;0,"9 · "&amp;$DQ$19,"9 · (vazio)")</f>
        <v/>
      </c>
      <c r="B80" s="4">
        <f>IF(LEN($DQ$19)=0,"",IFERROR(INDEX('Dados'!$J$38:$J$52,MATCH($BS$19,'Dados'!$A$38:$A$52,0)),"")&amp;" · média "&amp;IFERROR(INDEX('Dados'!$K$38:$K$52,MATCH($BS$19,'Dados'!$A$38:$A$52,0)),""))</f>
        <v/>
      </c>
      <c r="E80" s="17">
        <f>IF(LEN($DQ$19)=0,"",IFERROR(INDEX('Dados'!$N$38:$N$52,MATCH($BS$19,'Dados'!$A$38:$A$52,0)),""))</f>
        <v/>
      </c>
      <c r="F80" s="4">
        <f>IF(LEN($DQ$19)=0,"","VEL "&amp;IFERROR(INDEX('Dados'!$H$38:$H$52,MATCH($BS$19,'Dados'!$A$38:$A$52,0)),"")&amp;", "&amp;IFERROR(INDEX('Dados'!$P$38:$P$52,MATCH($BS$19,'Dados'!$A$38:$A$52,0)),""))</f>
        <v/>
      </c>
      <c r="H80" s="17">
        <f>IF(LEN($DQ$19)=0,"",IFERROR(INDEX('Dados'!$Q$38:$Q$52,MATCH($BS$19,'Dados'!$A$38:$A$52,0)),""))</f>
        <v/>
      </c>
      <c r="I80" s="17">
        <f>IF(LEN($DQ$19)=0,"",$AI$19)</f>
        <v/>
      </c>
      <c r="J80" s="17">
        <f>IF(LEN($DQ$19)=0,"",$AF$19)</f>
        <v/>
      </c>
      <c r="K80" s="18">
        <f>IF(LEN($DQ$19)=0,"",IF(AND($BN$19="Boss",(IF(LEN($BY$19)&gt;0,1,0)+IF(LEN($BZ$19)&gt;0,1,0)+IF(LEN($CA$19)&gt;0,1,0)+IF(LEN($CB$19)&gt;0,1,0))&lt;4),"Boss tem 4 Fraquezas (20.2): faltam "&amp;(4-(IF(LEN($BY$19)&gt;0,1,0)+IF(LEN($BZ$19)&gt;0,1,0)+IF(LEN($CA$19)&gt;0,1,0)+IF(LEN($CB$19)&gt;0,1,0))),IF(AND($BN$19="Elite",(IF(LEN($BY$19)&gt;0,1,0)+IF(LEN($BZ$19)&gt;0,1,0)+IF(LEN($CA$19)&gt;0,1,0)+IF(LEN($CB$19)&gt;0,1,0))&lt;3),"Elite tem 3 Fraquezas (20.2): faltam "&amp;(3-(IF(LEN($BY$19)&gt;0,1,0)+IF(LEN($BZ$19)&gt;0,1,0)+IF(LEN($CA$19)&gt;0,1,0)+IF(LEN($CB$19)&gt;0,1,0))),IF((IF(LEN($BY$19)&gt;0,1,0)+IF(LEN($BZ$19)&gt;0,1,0)+IF(LEN($CA$19)&gt;0,1,0)+IF(LEN($CB$19)&gt;0,1,0))=0,"Sem Fraqueza: todo inimigo tem pelo menos 1 (20.2)",""))))</f>
        <v/>
      </c>
    </row>
    <row r="81" ht="26" customHeight="1">
      <c r="A81" s="33">
        <f>IF(LEN($DQ$20)&gt;0,"10 · "&amp;$DQ$20,"10 · (vazio)")</f>
        <v/>
      </c>
      <c r="B81" s="9">
        <f>IF(LEN($DQ$20)=0,"",IFERROR(INDEX('Dados'!$J$38:$J$52,MATCH($BS$20,'Dados'!$A$38:$A$52,0)),"")&amp;" · média "&amp;IFERROR(INDEX('Dados'!$K$38:$K$52,MATCH($BS$20,'Dados'!$A$38:$A$52,0)),""))</f>
        <v/>
      </c>
      <c r="E81" s="29">
        <f>IF(LEN($DQ$20)=0,"",IFERROR(INDEX('Dados'!$N$38:$N$52,MATCH($BS$20,'Dados'!$A$38:$A$52,0)),""))</f>
        <v/>
      </c>
      <c r="F81" s="9">
        <f>IF(LEN($DQ$20)=0,"","VEL "&amp;IFERROR(INDEX('Dados'!$H$38:$H$52,MATCH($BS$20,'Dados'!$A$38:$A$52,0)),"")&amp;", "&amp;IFERROR(INDEX('Dados'!$P$38:$P$52,MATCH($BS$20,'Dados'!$A$38:$A$52,0)),""))</f>
        <v/>
      </c>
      <c r="H81" s="29">
        <f>IF(LEN($DQ$20)=0,"",IFERROR(INDEX('Dados'!$Q$38:$Q$52,MATCH($BS$20,'Dados'!$A$38:$A$52,0)),""))</f>
        <v/>
      </c>
      <c r="I81" s="29">
        <f>IF(LEN($DQ$20)=0,"",$AI$20)</f>
        <v/>
      </c>
      <c r="J81" s="29">
        <f>IF(LEN($DQ$20)=0,"",$AF$20)</f>
        <v/>
      </c>
      <c r="K81" s="26">
        <f>IF(LEN($DQ$20)=0,"",IF(AND($BN$20="Boss",(IF(LEN($BY$20)&gt;0,1,0)+IF(LEN($BZ$20)&gt;0,1,0)+IF(LEN($CA$20)&gt;0,1,0)+IF(LEN($CB$20)&gt;0,1,0))&lt;4),"Boss tem 4 Fraquezas (20.2): faltam "&amp;(4-(IF(LEN($BY$20)&gt;0,1,0)+IF(LEN($BZ$20)&gt;0,1,0)+IF(LEN($CA$20)&gt;0,1,0)+IF(LEN($CB$20)&gt;0,1,0))),IF(AND($BN$20="Elite",(IF(LEN($BY$20)&gt;0,1,0)+IF(LEN($BZ$20)&gt;0,1,0)+IF(LEN($CA$20)&gt;0,1,0)+IF(LEN($CB$20)&gt;0,1,0))&lt;3),"Elite tem 3 Fraquezas (20.2): faltam "&amp;(3-(IF(LEN($BY$20)&gt;0,1,0)+IF(LEN($BZ$20)&gt;0,1,0)+IF(LEN($CA$20)&gt;0,1,0)+IF(LEN($CB$20)&gt;0,1,0))),IF((IF(LEN($BY$20)&gt;0,1,0)+IF(LEN($BZ$20)&gt;0,1,0)+IF(LEN($CA$20)&gt;0,1,0)+IF(LEN($CB$20)&gt;0,1,0))=0,"Sem Fraqueza: todo inimigo tem pelo menos 1 (20.2)",""))))</f>
        <v/>
      </c>
    </row>
    <row r="82" ht="26" customHeight="1">
      <c r="A82" s="32">
        <f>IF(LEN($DQ$21)&gt;0,"11 · "&amp;$DQ$21,"11 · (vazio)")</f>
        <v/>
      </c>
      <c r="B82" s="4">
        <f>IF(LEN($DQ$21)=0,"",IFERROR(INDEX('Dados'!$J$38:$J$52,MATCH($BS$21,'Dados'!$A$38:$A$52,0)),"")&amp;" · média "&amp;IFERROR(INDEX('Dados'!$K$38:$K$52,MATCH($BS$21,'Dados'!$A$38:$A$52,0)),""))</f>
        <v/>
      </c>
      <c r="E82" s="17">
        <f>IF(LEN($DQ$21)=0,"",IFERROR(INDEX('Dados'!$N$38:$N$52,MATCH($BS$21,'Dados'!$A$38:$A$52,0)),""))</f>
        <v/>
      </c>
      <c r="F82" s="4">
        <f>IF(LEN($DQ$21)=0,"","VEL "&amp;IFERROR(INDEX('Dados'!$H$38:$H$52,MATCH($BS$21,'Dados'!$A$38:$A$52,0)),"")&amp;", "&amp;IFERROR(INDEX('Dados'!$P$38:$P$52,MATCH($BS$21,'Dados'!$A$38:$A$52,0)),""))</f>
        <v/>
      </c>
      <c r="H82" s="17">
        <f>IF(LEN($DQ$21)=0,"",IFERROR(INDEX('Dados'!$Q$38:$Q$52,MATCH($BS$21,'Dados'!$A$38:$A$52,0)),""))</f>
        <v/>
      </c>
      <c r="I82" s="17">
        <f>IF(LEN($DQ$21)=0,"",$AI$21)</f>
        <v/>
      </c>
      <c r="J82" s="17">
        <f>IF(LEN($DQ$21)=0,"",$AF$21)</f>
        <v/>
      </c>
      <c r="K82" s="18">
        <f>IF(LEN($DQ$21)=0,"",IF(AND($BN$21="Boss",(IF(LEN($BY$21)&gt;0,1,0)+IF(LEN($BZ$21)&gt;0,1,0)+IF(LEN($CA$21)&gt;0,1,0)+IF(LEN($CB$21)&gt;0,1,0))&lt;4),"Boss tem 4 Fraquezas (20.2): faltam "&amp;(4-(IF(LEN($BY$21)&gt;0,1,0)+IF(LEN($BZ$21)&gt;0,1,0)+IF(LEN($CA$21)&gt;0,1,0)+IF(LEN($CB$21)&gt;0,1,0))),IF(AND($BN$21="Elite",(IF(LEN($BY$21)&gt;0,1,0)+IF(LEN($BZ$21)&gt;0,1,0)+IF(LEN($CA$21)&gt;0,1,0)+IF(LEN($CB$21)&gt;0,1,0))&lt;3),"Elite tem 3 Fraquezas (20.2): faltam "&amp;(3-(IF(LEN($BY$21)&gt;0,1,0)+IF(LEN($BZ$21)&gt;0,1,0)+IF(LEN($CA$21)&gt;0,1,0)+IF(LEN($CB$21)&gt;0,1,0))),IF((IF(LEN($BY$21)&gt;0,1,0)+IF(LEN($BZ$21)&gt;0,1,0)+IF(LEN($CA$21)&gt;0,1,0)+IF(LEN($CB$21)&gt;0,1,0))=0,"Sem Fraqueza: todo inimigo tem pelo menos 1 (20.2)",""))))</f>
        <v/>
      </c>
    </row>
    <row r="83" ht="26" customHeight="1">
      <c r="A83" s="33">
        <f>IF(LEN($DQ$22)&gt;0,"12 · "&amp;$DQ$22,"12 · (vazio)")</f>
        <v/>
      </c>
      <c r="B83" s="9">
        <f>IF(LEN($DQ$22)=0,"",IFERROR(INDEX('Dados'!$J$38:$J$52,MATCH($BS$22,'Dados'!$A$38:$A$52,0)),"")&amp;" · média "&amp;IFERROR(INDEX('Dados'!$K$38:$K$52,MATCH($BS$22,'Dados'!$A$38:$A$52,0)),""))</f>
        <v/>
      </c>
      <c r="E83" s="29">
        <f>IF(LEN($DQ$22)=0,"",IFERROR(INDEX('Dados'!$N$38:$N$52,MATCH($BS$22,'Dados'!$A$38:$A$52,0)),""))</f>
        <v/>
      </c>
      <c r="F83" s="9">
        <f>IF(LEN($DQ$22)=0,"","VEL "&amp;IFERROR(INDEX('Dados'!$H$38:$H$52,MATCH($BS$22,'Dados'!$A$38:$A$52,0)),"")&amp;", "&amp;IFERROR(INDEX('Dados'!$P$38:$P$52,MATCH($BS$22,'Dados'!$A$38:$A$52,0)),""))</f>
        <v/>
      </c>
      <c r="H83" s="29">
        <f>IF(LEN($DQ$22)=0,"",IFERROR(INDEX('Dados'!$Q$38:$Q$52,MATCH($BS$22,'Dados'!$A$38:$A$52,0)),""))</f>
        <v/>
      </c>
      <c r="I83" s="29">
        <f>IF(LEN($DQ$22)=0,"",$AI$22)</f>
        <v/>
      </c>
      <c r="J83" s="29">
        <f>IF(LEN($DQ$22)=0,"",$AF$22)</f>
        <v/>
      </c>
      <c r="K83" s="26">
        <f>IF(LEN($DQ$22)=0,"",IF(AND($BN$22="Boss",(IF(LEN($BY$22)&gt;0,1,0)+IF(LEN($BZ$22)&gt;0,1,0)+IF(LEN($CA$22)&gt;0,1,0)+IF(LEN($CB$22)&gt;0,1,0))&lt;4),"Boss tem 4 Fraquezas (20.2): faltam "&amp;(4-(IF(LEN($BY$22)&gt;0,1,0)+IF(LEN($BZ$22)&gt;0,1,0)+IF(LEN($CA$22)&gt;0,1,0)+IF(LEN($CB$22)&gt;0,1,0))),IF(AND($BN$22="Elite",(IF(LEN($BY$22)&gt;0,1,0)+IF(LEN($BZ$22)&gt;0,1,0)+IF(LEN($CA$22)&gt;0,1,0)+IF(LEN($CB$22)&gt;0,1,0))&lt;3),"Elite tem 3 Fraquezas (20.2): faltam "&amp;(3-(IF(LEN($BY$22)&gt;0,1,0)+IF(LEN($BZ$22)&gt;0,1,0)+IF(LEN($CA$22)&gt;0,1,0)+IF(LEN($CB$22)&gt;0,1,0))),IF((IF(LEN($BY$22)&gt;0,1,0)+IF(LEN($BZ$22)&gt;0,1,0)+IF(LEN($CA$22)&gt;0,1,0)+IF(LEN($CB$22)&gt;0,1,0))=0,"Sem Fraqueza: todo inimigo tem pelo menos 1 (20.2)",""))))</f>
        <v/>
      </c>
    </row>
    <row r="84"/>
    <row r="85" ht="20" customHeight="1">
      <c r="A85" s="12" t="inlineStr">
        <is>
          <t>I5 · Fases dos Bosses criados (28.5: a fase troca, não soma; Tenacidade ≤ âncora)</t>
        </is>
      </c>
    </row>
    <row r="86">
      <c r="A86" s="11" t="inlineStr">
        <is>
          <t>Sugestão da planilha — não é regra do livro (H4): limiares em partes iguais: 2 fases → topo da fase 2 = metade dos PV; 3 fases → 2/3 e 1/3. No modo Ajustar, as fases vêm da base (a I5 vence se preenchida).</t>
        </is>
      </c>
    </row>
    <row r="87" ht="26" customHeight="1">
      <c r="A87" s="7" t="inlineStr">
        <is>
          <t>Inimigo</t>
        </is>
      </c>
      <c r="B87" s="20" t="n"/>
      <c r="C87" s="7" t="inlineStr">
        <is>
          <t>Fase (2 ou 3)</t>
        </is>
      </c>
      <c r="D87" s="7" t="inlineStr">
        <is>
          <t>Fraqueza 1</t>
        </is>
      </c>
      <c r="E87" s="7" t="inlineStr">
        <is>
          <t>Fraqueza 2</t>
        </is>
      </c>
      <c r="F87" s="7" t="inlineStr">
        <is>
          <t>Fraqueza 3</t>
        </is>
      </c>
      <c r="G87" s="7" t="inlineStr">
        <is>
          <t>Fraqueza 4</t>
        </is>
      </c>
      <c r="H87" s="7" t="inlineStr">
        <is>
          <t>Tenacidade da fase</t>
        </is>
      </c>
      <c r="I87" s="7" t="inlineStr">
        <is>
          <t>Ritmo</t>
        </is>
      </c>
      <c r="J87" s="20" t="n"/>
      <c r="K87" s="7" t="inlineStr">
        <is>
          <t>Aviso</t>
        </is>
      </c>
      <c r="L87" s="20" t="n"/>
    </row>
    <row r="88" ht="37" customHeight="1">
      <c r="A88" s="30" t="n"/>
      <c r="B88" s="16" t="n"/>
      <c r="C88" s="15" t="n"/>
      <c r="D88" s="36" t="n"/>
      <c r="E88" s="36" t="n"/>
      <c r="F88" s="36" t="n"/>
      <c r="G88" s="36" t="n"/>
      <c r="H88" s="15" t="n"/>
      <c r="I88" s="3" t="n"/>
      <c r="J88" s="16" t="n"/>
      <c r="K88" s="18">
        <f>IF(EA88&gt;0,"O Google leu como fórmula: escolha de novo ou digite com ' na frente.",IF(LEN($DQ$88)=0,"",IF(NOT(ISNUMBER($O$88)),"Inimigo fora da tabela I1",IF(NOT(ISNUMBER($DS$88)),"Diga a fase (2 ou 3)",IF($DS$88&gt;INDEX($BV$11:$BV$22,$O$88),"Fase para inimigo sem essa fase: confira Fases na I1",IF(AND(ISNUMBER($DX$88),$DX$88&gt;INDEX($T$11:$T$22,$O$88)),"Tenacidade acima da âncora: a planilha usa a âncora (28.5 regra 3)",IF((IF(LEN($DT$88)&gt;0,1,0)+IF(LEN($DU$88)&gt;0,1,0)+IF(LEN($DV$88)&gt;0,1,0)+IF(LEN($DW$88)&gt;0,1,0))&lt;4,"Boss tem 4 Fraquezas em cada fase (28.5 regra 4)","")))))))</f>
        <v/>
      </c>
      <c r="N88" s="19">
        <f>IF(LEN($DQ$88)&gt;0,$DQ$88&amp;"|"&amp;$DS$88,"")</f>
        <v/>
      </c>
      <c r="O88" s="19">
        <f>IFERROR(MATCH($DQ$88,$DQ$11:$DQ$22,0),"")</f>
        <v/>
      </c>
      <c r="DQ88" s="19">
        <f>IF(ISERROR($A$88),"",IF(ISBLANK($A$88),"",$A$88))</f>
        <v/>
      </c>
      <c r="DS88" s="19">
        <f>IF(ISERROR($C$88),"",IF(ISBLANK($C$88),"",$C$88))</f>
        <v/>
      </c>
      <c r="DT88" s="19">
        <f>IF(ISERROR($D$88),"",IF(ISBLANK($D$88),"",$D$88))</f>
        <v/>
      </c>
      <c r="DU88" s="19">
        <f>IF(ISERROR($E$88),"",IF(ISBLANK($E$88),"",$E$88))</f>
        <v/>
      </c>
      <c r="DV88" s="19">
        <f>IF(ISERROR($F$88),"",IF(ISBLANK($F$88),"",$F$88))</f>
        <v/>
      </c>
      <c r="DW88" s="19">
        <f>IF(ISERROR($G$88),"",IF(ISBLANK($G$88),"",$G$88))</f>
        <v/>
      </c>
      <c r="DX88" s="19">
        <f>IF(ISERROR($H$88),"",IF(ISBLANK($H$88),"",$H$88))</f>
        <v/>
      </c>
      <c r="EA88" s="19">
        <f>ISERROR($A$88)*1+ISERROR($C$88)*1+ISERROR($D$88)*1+ISERROR($E$88)*1+ISERROR($F$88)*1+ISERROR($G$88)*1+ISERROR($H$88)*1+ISERROR($I$88)*1</f>
        <v/>
      </c>
    </row>
    <row r="89" ht="37" customHeight="1">
      <c r="A89" s="31" t="n"/>
      <c r="B89" s="16" t="n"/>
      <c r="C89" s="34" t="n"/>
      <c r="D89" s="42" t="n"/>
      <c r="E89" s="42" t="n"/>
      <c r="F89" s="42" t="n"/>
      <c r="G89" s="42" t="n"/>
      <c r="H89" s="34" t="n"/>
      <c r="I89" s="28" t="n"/>
      <c r="J89" s="16" t="n"/>
      <c r="K89" s="26">
        <f>IF(EA89&gt;0,"O Google leu como fórmula: escolha de novo ou digite com ' na frente.",IF(LEN($DQ$89)=0,"",IF(NOT(ISNUMBER($O$89)),"Inimigo fora da tabela I1",IF(NOT(ISNUMBER($DS$89)),"Diga a fase (2 ou 3)",IF($DS$89&gt;INDEX($BV$11:$BV$22,$O$89),"Fase para inimigo sem essa fase: confira Fases na I1",IF(AND(ISNUMBER($DX$89),$DX$89&gt;INDEX($T$11:$T$22,$O$89)),"Tenacidade acima da âncora: a planilha usa a âncora (28.5 regra 3)",IF((IF(LEN($DT$89)&gt;0,1,0)+IF(LEN($DU$89)&gt;0,1,0)+IF(LEN($DV$89)&gt;0,1,0)+IF(LEN($DW$89)&gt;0,1,0))&lt;4,"Boss tem 4 Fraquezas em cada fase (28.5 regra 4)","")))))))</f>
        <v/>
      </c>
      <c r="N89" s="19">
        <f>IF(LEN($DQ$89)&gt;0,$DQ$89&amp;"|"&amp;$DS$89,"")</f>
        <v/>
      </c>
      <c r="O89" s="19">
        <f>IFERROR(MATCH($DQ$89,$DQ$11:$DQ$22,0),"")</f>
        <v/>
      </c>
      <c r="DQ89" s="19">
        <f>IF(ISERROR($A$89),"",IF(ISBLANK($A$89),"",$A$89))</f>
        <v/>
      </c>
      <c r="DS89" s="19">
        <f>IF(ISERROR($C$89),"",IF(ISBLANK($C$89),"",$C$89))</f>
        <v/>
      </c>
      <c r="DT89" s="19">
        <f>IF(ISERROR($D$89),"",IF(ISBLANK($D$89),"",$D$89))</f>
        <v/>
      </c>
      <c r="DU89" s="19">
        <f>IF(ISERROR($E$89),"",IF(ISBLANK($E$89),"",$E$89))</f>
        <v/>
      </c>
      <c r="DV89" s="19">
        <f>IF(ISERROR($F$89),"",IF(ISBLANK($F$89),"",$F$89))</f>
        <v/>
      </c>
      <c r="DW89" s="19">
        <f>IF(ISERROR($G$89),"",IF(ISBLANK($G$89),"",$G$89))</f>
        <v/>
      </c>
      <c r="DX89" s="19">
        <f>IF(ISERROR($H$89),"",IF(ISBLANK($H$89),"",$H$89))</f>
        <v/>
      </c>
      <c r="EA89" s="19">
        <f>ISERROR($A$89)*1+ISERROR($C$89)*1+ISERROR($D$89)*1+ISERROR($E$89)*1+ISERROR($F$89)*1+ISERROR($G$89)*1+ISERROR($H$89)*1+ISERROR($I$89)*1</f>
        <v/>
      </c>
    </row>
    <row r="90" ht="37" customHeight="1">
      <c r="A90" s="30" t="n"/>
      <c r="B90" s="16" t="n"/>
      <c r="C90" s="15" t="n"/>
      <c r="D90" s="36" t="n"/>
      <c r="E90" s="36" t="n"/>
      <c r="F90" s="36" t="n"/>
      <c r="G90" s="36" t="n"/>
      <c r="H90" s="15" t="n"/>
      <c r="I90" s="3" t="n"/>
      <c r="J90" s="16" t="n"/>
      <c r="K90" s="18">
        <f>IF(EA90&gt;0,"O Google leu como fórmula: escolha de novo ou digite com ' na frente.",IF(LEN($DQ$90)=0,"",IF(NOT(ISNUMBER($O$90)),"Inimigo fora da tabela I1",IF(NOT(ISNUMBER($DS$90)),"Diga a fase (2 ou 3)",IF($DS$90&gt;INDEX($BV$11:$BV$22,$O$90),"Fase para inimigo sem essa fase: confira Fases na I1",IF(AND(ISNUMBER($DX$90),$DX$90&gt;INDEX($T$11:$T$22,$O$90)),"Tenacidade acima da âncora: a planilha usa a âncora (28.5 regra 3)",IF((IF(LEN($DT$90)&gt;0,1,0)+IF(LEN($DU$90)&gt;0,1,0)+IF(LEN($DV$90)&gt;0,1,0)+IF(LEN($DW$90)&gt;0,1,0))&lt;4,"Boss tem 4 Fraquezas em cada fase (28.5 regra 4)","")))))))</f>
        <v/>
      </c>
      <c r="N90" s="19">
        <f>IF(LEN($DQ$90)&gt;0,$DQ$90&amp;"|"&amp;$DS$90,"")</f>
        <v/>
      </c>
      <c r="O90" s="19">
        <f>IFERROR(MATCH($DQ$90,$DQ$11:$DQ$22,0),"")</f>
        <v/>
      </c>
      <c r="DQ90" s="19">
        <f>IF(ISERROR($A$90),"",IF(ISBLANK($A$90),"",$A$90))</f>
        <v/>
      </c>
      <c r="DS90" s="19">
        <f>IF(ISERROR($C$90),"",IF(ISBLANK($C$90),"",$C$90))</f>
        <v/>
      </c>
      <c r="DT90" s="19">
        <f>IF(ISERROR($D$90),"",IF(ISBLANK($D$90),"",$D$90))</f>
        <v/>
      </c>
      <c r="DU90" s="19">
        <f>IF(ISERROR($E$90),"",IF(ISBLANK($E$90),"",$E$90))</f>
        <v/>
      </c>
      <c r="DV90" s="19">
        <f>IF(ISERROR($F$90),"",IF(ISBLANK($F$90),"",$F$90))</f>
        <v/>
      </c>
      <c r="DW90" s="19">
        <f>IF(ISERROR($G$90),"",IF(ISBLANK($G$90),"",$G$90))</f>
        <v/>
      </c>
      <c r="DX90" s="19">
        <f>IF(ISERROR($H$90),"",IF(ISBLANK($H$90),"",$H$90))</f>
        <v/>
      </c>
      <c r="EA90" s="19">
        <f>ISERROR($A$90)*1+ISERROR($C$90)*1+ISERROR($D$90)*1+ISERROR($E$90)*1+ISERROR($F$90)*1+ISERROR($G$90)*1+ISERROR($H$90)*1+ISERROR($I$90)*1</f>
        <v/>
      </c>
    </row>
    <row r="91" ht="48" customHeight="1">
      <c r="A91" s="31" t="n"/>
      <c r="B91" s="16" t="n"/>
      <c r="C91" s="34" t="n"/>
      <c r="D91" s="42" t="n"/>
      <c r="E91" s="42" t="n"/>
      <c r="F91" s="42" t="n"/>
      <c r="G91" s="42" t="n"/>
      <c r="H91" s="34" t="n"/>
      <c r="I91" s="28" t="n"/>
      <c r="J91" s="16" t="n"/>
      <c r="K91" s="26">
        <f>IF(EA91&gt;0,"O Google leu como fórmula: escolha de novo ou digite com ' na frente.",IF(LEN($DQ$91)=0,"",IF(NOT(ISNUMBER($O$91)),"Inimigo fora da tabela I1",IF(NOT(ISNUMBER($DS$91)),"Diga a fase (2 ou 3)",IF($DS$91&gt;INDEX($BV$11:$BV$22,$O$91),"Fase para inimigo sem essa fase: confira Fases na I1",IF(AND(ISNUMBER($DX$91),$DX$91&gt;INDEX($T$11:$T$22,$O$91)),"Tenacidade acima da âncora: a planilha usa a âncora (28.5 regra 3)",IF((IF(LEN($DT$91)&gt;0,1,0)+IF(LEN($DU$91)&gt;0,1,0)+IF(LEN($DV$91)&gt;0,1,0)+IF(LEN($DW$91)&gt;0,1,0))&lt;4,"Boss tem 4 Fraquezas em cada fase (28.5 regra 4)","")))))))</f>
        <v/>
      </c>
      <c r="N91" s="19">
        <f>IF(LEN($DQ$91)&gt;0,$DQ$91&amp;"|"&amp;$DS$91,"")</f>
        <v/>
      </c>
      <c r="O91" s="19">
        <f>IFERROR(MATCH($DQ$91,$DQ$11:$DQ$22,0),"")</f>
        <v/>
      </c>
      <c r="DQ91" s="19">
        <f>IF(ISERROR($A$91),"",IF(ISBLANK($A$91),"",$A$91))</f>
        <v/>
      </c>
      <c r="DS91" s="19">
        <f>IF(ISERROR($C$91),"",IF(ISBLANK($C$91),"",$C$91))</f>
        <v/>
      </c>
      <c r="DT91" s="19">
        <f>IF(ISERROR($D$91),"",IF(ISBLANK($D$91),"",$D$91))</f>
        <v/>
      </c>
      <c r="DU91" s="19">
        <f>IF(ISERROR($E$91),"",IF(ISBLANK($E$91),"",$E$91))</f>
        <v/>
      </c>
      <c r="DV91" s="19">
        <f>IF(ISERROR($F$91),"",IF(ISBLANK($F$91),"",$F$91))</f>
        <v/>
      </c>
      <c r="DW91" s="19">
        <f>IF(ISERROR($G$91),"",IF(ISBLANK($G$91),"",$G$91))</f>
        <v/>
      </c>
      <c r="DX91" s="19">
        <f>IF(ISERROR($H$91),"",IF(ISBLANK($H$91),"",$H$91))</f>
        <v/>
      </c>
      <c r="EA91" s="19">
        <f>ISERROR($A$91)*1+ISERROR($C$91)*1+ISERROR($D$91)*1+ISERROR($E$91)*1+ISERROR($F$91)*1+ISERROR($G$91)*1+ISERROR($H$91)*1+ISERROR($I$91)*1</f>
        <v/>
      </c>
    </row>
    <row r="92" ht="37" customHeight="1">
      <c r="A92" s="30" t="n"/>
      <c r="B92" s="16" t="n"/>
      <c r="C92" s="15" t="n"/>
      <c r="D92" s="36" t="n"/>
      <c r="E92" s="36" t="n"/>
      <c r="F92" s="36" t="n"/>
      <c r="G92" s="36" t="n"/>
      <c r="H92" s="15" t="n"/>
      <c r="I92" s="3" t="n"/>
      <c r="J92" s="16" t="n"/>
      <c r="K92" s="18">
        <f>IF(EA92&gt;0,"O Google leu como fórmula: escolha de novo ou digite com ' na frente.",IF(LEN($DQ$92)=0,"",IF(NOT(ISNUMBER($O$92)),"Inimigo fora da tabela I1",IF(NOT(ISNUMBER($DS$92)),"Diga a fase (2 ou 3)",IF($DS$92&gt;INDEX($BV$11:$BV$22,$O$92),"Fase para inimigo sem essa fase: confira Fases na I1",IF(AND(ISNUMBER($DX$92),$DX$92&gt;INDEX($T$11:$T$22,$O$92)),"Tenacidade acima da âncora: a planilha usa a âncora (28.5 regra 3)",IF((IF(LEN($DT$92)&gt;0,1,0)+IF(LEN($DU$92)&gt;0,1,0)+IF(LEN($DV$92)&gt;0,1,0)+IF(LEN($DW$92)&gt;0,1,0))&lt;4,"Boss tem 4 Fraquezas em cada fase (28.5 regra 4)","")))))))</f>
        <v/>
      </c>
      <c r="N92" s="19">
        <f>IF(LEN($DQ$92)&gt;0,$DQ$92&amp;"|"&amp;$DS$92,"")</f>
        <v/>
      </c>
      <c r="O92" s="19">
        <f>IFERROR(MATCH($DQ$92,$DQ$11:$DQ$22,0),"")</f>
        <v/>
      </c>
      <c r="DQ92" s="19">
        <f>IF(ISERROR($A$92),"",IF(ISBLANK($A$92),"",$A$92))</f>
        <v/>
      </c>
      <c r="DS92" s="19">
        <f>IF(ISERROR($C$92),"",IF(ISBLANK($C$92),"",$C$92))</f>
        <v/>
      </c>
      <c r="DT92" s="19">
        <f>IF(ISERROR($D$92),"",IF(ISBLANK($D$92),"",$D$92))</f>
        <v/>
      </c>
      <c r="DU92" s="19">
        <f>IF(ISERROR($E$92),"",IF(ISBLANK($E$92),"",$E$92))</f>
        <v/>
      </c>
      <c r="DV92" s="19">
        <f>IF(ISERROR($F$92),"",IF(ISBLANK($F$92),"",$F$92))</f>
        <v/>
      </c>
      <c r="DW92" s="19">
        <f>IF(ISERROR($G$92),"",IF(ISBLANK($G$92),"",$G$92))</f>
        <v/>
      </c>
      <c r="DX92" s="19">
        <f>IF(ISERROR($H$92),"",IF(ISBLANK($H$92),"",$H$92))</f>
        <v/>
      </c>
      <c r="EA92" s="19">
        <f>ISERROR($A$92)*1+ISERROR($C$92)*1+ISERROR($D$92)*1+ISERROR($E$92)*1+ISERROR($F$92)*1+ISERROR($G$92)*1+ISERROR($H$92)*1+ISERROR($I$92)*1</f>
        <v/>
      </c>
    </row>
    <row r="93" ht="37" customHeight="1">
      <c r="A93" s="31" t="n"/>
      <c r="B93" s="16" t="n"/>
      <c r="C93" s="34" t="n"/>
      <c r="D93" s="42" t="n"/>
      <c r="E93" s="42" t="n"/>
      <c r="F93" s="42" t="n"/>
      <c r="G93" s="42" t="n"/>
      <c r="H93" s="34" t="n"/>
      <c r="I93" s="28" t="n"/>
      <c r="J93" s="16" t="n"/>
      <c r="K93" s="26">
        <f>IF(EA93&gt;0,"O Google leu como fórmula: escolha de novo ou digite com ' na frente.",IF(LEN($DQ$93)=0,"",IF(NOT(ISNUMBER($O$93)),"Inimigo fora da tabela I1",IF(NOT(ISNUMBER($DS$93)),"Diga a fase (2 ou 3)",IF($DS$93&gt;INDEX($BV$11:$BV$22,$O$93),"Fase para inimigo sem essa fase: confira Fases na I1",IF(AND(ISNUMBER($DX$93),$DX$93&gt;INDEX($T$11:$T$22,$O$93)),"Tenacidade acima da âncora: a planilha usa a âncora (28.5 regra 3)",IF((IF(LEN($DT$93)&gt;0,1,0)+IF(LEN($DU$93)&gt;0,1,0)+IF(LEN($DV$93)&gt;0,1,0)+IF(LEN($DW$93)&gt;0,1,0))&lt;4,"Boss tem 4 Fraquezas em cada fase (28.5 regra 4)","")))))))</f>
        <v/>
      </c>
      <c r="N93" s="19">
        <f>IF(LEN($DQ$93)&gt;0,$DQ$93&amp;"|"&amp;$DS$93,"")</f>
        <v/>
      </c>
      <c r="O93" s="19">
        <f>IFERROR(MATCH($DQ$93,$DQ$11:$DQ$22,0),"")</f>
        <v/>
      </c>
      <c r="DQ93" s="19">
        <f>IF(ISERROR($A$93),"",IF(ISBLANK($A$93),"",$A$93))</f>
        <v/>
      </c>
      <c r="DS93" s="19">
        <f>IF(ISERROR($C$93),"",IF(ISBLANK($C$93),"",$C$93))</f>
        <v/>
      </c>
      <c r="DT93" s="19">
        <f>IF(ISERROR($D$93),"",IF(ISBLANK($D$93),"",$D$93))</f>
        <v/>
      </c>
      <c r="DU93" s="19">
        <f>IF(ISERROR($E$93),"",IF(ISBLANK($E$93),"",$E$93))</f>
        <v/>
      </c>
      <c r="DV93" s="19">
        <f>IF(ISERROR($F$93),"",IF(ISBLANK($F$93),"",$F$93))</f>
        <v/>
      </c>
      <c r="DW93" s="19">
        <f>IF(ISERROR($G$93),"",IF(ISBLANK($G$93),"",$G$93))</f>
        <v/>
      </c>
      <c r="DX93" s="19">
        <f>IF(ISERROR($H$93),"",IF(ISBLANK($H$93),"",$H$93))</f>
        <v/>
      </c>
      <c r="EA93" s="19">
        <f>ISERROR($A$93)*1+ISERROR($C$93)*1+ISERROR($D$93)*1+ISERROR($E$93)*1+ISERROR($F$93)*1+ISERROR($G$93)*1+ISERROR($H$93)*1+ISERROR($I$93)*1</f>
        <v/>
      </c>
    </row>
    <row r="94" ht="48" customHeight="1">
      <c r="A94" s="30" t="n"/>
      <c r="B94" s="16" t="n"/>
      <c r="C94" s="15" t="n"/>
      <c r="D94" s="36" t="n"/>
      <c r="E94" s="36" t="n"/>
      <c r="F94" s="36" t="n"/>
      <c r="G94" s="36" t="n"/>
      <c r="H94" s="15" t="n"/>
      <c r="I94" s="3" t="n"/>
      <c r="J94" s="16" t="n"/>
      <c r="K94" s="18">
        <f>IF(EA94&gt;0,"O Google leu como fórmula: escolha de novo ou digite com ' na frente.",IF(LEN($DQ$94)=0,"",IF(NOT(ISNUMBER($O$94)),"Inimigo fora da tabela I1",IF(NOT(ISNUMBER($DS$94)),"Diga a fase (2 ou 3)",IF($DS$94&gt;INDEX($BV$11:$BV$22,$O$94),"Fase para inimigo sem essa fase: confira Fases na I1",IF(AND(ISNUMBER($DX$94),$DX$94&gt;INDEX($T$11:$T$22,$O$94)),"Tenacidade acima da âncora: a planilha usa a âncora (28.5 regra 3)",IF((IF(LEN($DT$94)&gt;0,1,0)+IF(LEN($DU$94)&gt;0,1,0)+IF(LEN($DV$94)&gt;0,1,0)+IF(LEN($DW$94)&gt;0,1,0))&lt;4,"Boss tem 4 Fraquezas em cada fase (28.5 regra 4)","")))))))</f>
        <v/>
      </c>
      <c r="N94" s="19">
        <f>IF(LEN($DQ$94)&gt;0,$DQ$94&amp;"|"&amp;$DS$94,"")</f>
        <v/>
      </c>
      <c r="O94" s="19">
        <f>IFERROR(MATCH($DQ$94,$DQ$11:$DQ$22,0),"")</f>
        <v/>
      </c>
      <c r="DQ94" s="19">
        <f>IF(ISERROR($A$94),"",IF(ISBLANK($A$94),"",$A$94))</f>
        <v/>
      </c>
      <c r="DS94" s="19">
        <f>IF(ISERROR($C$94),"",IF(ISBLANK($C$94),"",$C$94))</f>
        <v/>
      </c>
      <c r="DT94" s="19">
        <f>IF(ISERROR($D$94),"",IF(ISBLANK($D$94),"",$D$94))</f>
        <v/>
      </c>
      <c r="DU94" s="19">
        <f>IF(ISERROR($E$94),"",IF(ISBLANK($E$94),"",$E$94))</f>
        <v/>
      </c>
      <c r="DV94" s="19">
        <f>IF(ISERROR($F$94),"",IF(ISBLANK($F$94),"",$F$94))</f>
        <v/>
      </c>
      <c r="DW94" s="19">
        <f>IF(ISERROR($G$94),"",IF(ISBLANK($G$94),"",$G$94))</f>
        <v/>
      </c>
      <c r="DX94" s="19">
        <f>IF(ISERROR($H$94),"",IF(ISBLANK($H$94),"",$H$94))</f>
        <v/>
      </c>
      <c r="EA94" s="19">
        <f>ISERROR($A$94)*1+ISERROR($C$94)*1+ISERROR($D$94)*1+ISERROR($E$94)*1+ISERROR($F$94)*1+ISERROR($G$94)*1+ISERROR($H$94)*1+ISERROR($I$94)*1</f>
        <v/>
      </c>
    </row>
    <row r="95" ht="37" customHeight="1">
      <c r="A95" s="31" t="n"/>
      <c r="B95" s="16" t="n"/>
      <c r="C95" s="34" t="n"/>
      <c r="D95" s="42" t="n"/>
      <c r="E95" s="42" t="n"/>
      <c r="F95" s="42" t="n"/>
      <c r="G95" s="42" t="n"/>
      <c r="H95" s="34" t="n"/>
      <c r="I95" s="28" t="n"/>
      <c r="J95" s="16" t="n"/>
      <c r="K95" s="26">
        <f>IF(EA95&gt;0,"O Google leu como fórmula: escolha de novo ou digite com ' na frente.",IF(LEN($DQ$95)=0,"",IF(NOT(ISNUMBER($O$95)),"Inimigo fora da tabela I1",IF(NOT(ISNUMBER($DS$95)),"Diga a fase (2 ou 3)",IF($DS$95&gt;INDEX($BV$11:$BV$22,$O$95),"Fase para inimigo sem essa fase: confira Fases na I1",IF(AND(ISNUMBER($DX$95),$DX$95&gt;INDEX($T$11:$T$22,$O$95)),"Tenacidade acima da âncora: a planilha usa a âncora (28.5 regra 3)",IF((IF(LEN($DT$95)&gt;0,1,0)+IF(LEN($DU$95)&gt;0,1,0)+IF(LEN($DV$95)&gt;0,1,0)+IF(LEN($DW$95)&gt;0,1,0))&lt;4,"Boss tem 4 Fraquezas em cada fase (28.5 regra 4)","")))))))</f>
        <v/>
      </c>
      <c r="N95" s="19">
        <f>IF(LEN($DQ$95)&gt;0,$DQ$95&amp;"|"&amp;$DS$95,"")</f>
        <v/>
      </c>
      <c r="O95" s="19">
        <f>IFERROR(MATCH($DQ$95,$DQ$11:$DQ$22,0),"")</f>
        <v/>
      </c>
      <c r="DQ95" s="19">
        <f>IF(ISERROR($A$95),"",IF(ISBLANK($A$95),"",$A$95))</f>
        <v/>
      </c>
      <c r="DS95" s="19">
        <f>IF(ISERROR($C$95),"",IF(ISBLANK($C$95),"",$C$95))</f>
        <v/>
      </c>
      <c r="DT95" s="19">
        <f>IF(ISERROR($D$95),"",IF(ISBLANK($D$95),"",$D$95))</f>
        <v/>
      </c>
      <c r="DU95" s="19">
        <f>IF(ISERROR($E$95),"",IF(ISBLANK($E$95),"",$E$95))</f>
        <v/>
      </c>
      <c r="DV95" s="19">
        <f>IF(ISERROR($F$95),"",IF(ISBLANK($F$95),"",$F$95))</f>
        <v/>
      </c>
      <c r="DW95" s="19">
        <f>IF(ISERROR($G$95),"",IF(ISBLANK($G$95),"",$G$95))</f>
        <v/>
      </c>
      <c r="DX95" s="19">
        <f>IF(ISERROR($H$95),"",IF(ISBLANK($H$95),"",$H$95))</f>
        <v/>
      </c>
      <c r="EA95" s="19">
        <f>ISERROR($A$95)*1+ISERROR($C$95)*1+ISERROR($D$95)*1+ISERROR($E$95)*1+ISERROR($F$95)*1+ISERROR($G$95)*1+ISERROR($H$95)*1+ISERROR($I$95)*1</f>
        <v/>
      </c>
    </row>
    <row r="96" ht="37" customHeight="1">
      <c r="A96" s="30" t="n"/>
      <c r="B96" s="16" t="n"/>
      <c r="C96" s="15" t="n"/>
      <c r="D96" s="36" t="n"/>
      <c r="E96" s="36" t="n"/>
      <c r="F96" s="36" t="n"/>
      <c r="G96" s="36" t="n"/>
      <c r="H96" s="15" t="n"/>
      <c r="I96" s="3" t="n"/>
      <c r="J96" s="16" t="n"/>
      <c r="K96" s="18">
        <f>IF(EA96&gt;0,"O Google leu como fórmula: escolha de novo ou digite com ' na frente.",IF(LEN($DQ$96)=0,"",IF(NOT(ISNUMBER($O$96)),"Inimigo fora da tabela I1",IF(NOT(ISNUMBER($DS$96)),"Diga a fase (2 ou 3)",IF($DS$96&gt;INDEX($BV$11:$BV$22,$O$96),"Fase para inimigo sem essa fase: confira Fases na I1",IF(AND(ISNUMBER($DX$96),$DX$96&gt;INDEX($T$11:$T$22,$O$96)),"Tenacidade acima da âncora: a planilha usa a âncora (28.5 regra 3)",IF((IF(LEN($DT$96)&gt;0,1,0)+IF(LEN($DU$96)&gt;0,1,0)+IF(LEN($DV$96)&gt;0,1,0)+IF(LEN($DW$96)&gt;0,1,0))&lt;4,"Boss tem 4 Fraquezas em cada fase (28.5 regra 4)","")))))))</f>
        <v/>
      </c>
      <c r="N96" s="19">
        <f>IF(LEN($DQ$96)&gt;0,$DQ$96&amp;"|"&amp;$DS$96,"")</f>
        <v/>
      </c>
      <c r="O96" s="19">
        <f>IFERROR(MATCH($DQ$96,$DQ$11:$DQ$22,0),"")</f>
        <v/>
      </c>
      <c r="DQ96" s="19">
        <f>IF(ISERROR($A$96),"",IF(ISBLANK($A$96),"",$A$96))</f>
        <v/>
      </c>
      <c r="DS96" s="19">
        <f>IF(ISERROR($C$96),"",IF(ISBLANK($C$96),"",$C$96))</f>
        <v/>
      </c>
      <c r="DT96" s="19">
        <f>IF(ISERROR($D$96),"",IF(ISBLANK($D$96),"",$D$96))</f>
        <v/>
      </c>
      <c r="DU96" s="19">
        <f>IF(ISERROR($E$96),"",IF(ISBLANK($E$96),"",$E$96))</f>
        <v/>
      </c>
      <c r="DV96" s="19">
        <f>IF(ISERROR($F$96),"",IF(ISBLANK($F$96),"",$F$96))</f>
        <v/>
      </c>
      <c r="DW96" s="19">
        <f>IF(ISERROR($G$96),"",IF(ISBLANK($G$96),"",$G$96))</f>
        <v/>
      </c>
      <c r="DX96" s="19">
        <f>IF(ISERROR($H$96),"",IF(ISBLANK($H$96),"",$H$96))</f>
        <v/>
      </c>
      <c r="EA96" s="19">
        <f>ISERROR($A$96)*1+ISERROR($C$96)*1+ISERROR($D$96)*1+ISERROR($E$96)*1+ISERROR($F$96)*1+ISERROR($G$96)*1+ISERROR($H$96)*1+ISERROR($I$96)*1</f>
        <v/>
      </c>
    </row>
    <row r="97" ht="37" customHeight="1">
      <c r="A97" s="31" t="n"/>
      <c r="B97" s="16" t="n"/>
      <c r="C97" s="34" t="n"/>
      <c r="D97" s="42" t="n"/>
      <c r="E97" s="42" t="n"/>
      <c r="F97" s="42" t="n"/>
      <c r="G97" s="42" t="n"/>
      <c r="H97" s="34" t="n"/>
      <c r="I97" s="28" t="n"/>
      <c r="J97" s="16" t="n"/>
      <c r="K97" s="26">
        <f>IF(EA97&gt;0,"O Google leu como fórmula: escolha de novo ou digite com ' na frente.",IF(LEN($DQ$97)=0,"",IF(NOT(ISNUMBER($O$97)),"Inimigo fora da tabela I1",IF(NOT(ISNUMBER($DS$97)),"Diga a fase (2 ou 3)",IF($DS$97&gt;INDEX($BV$11:$BV$22,$O$97),"Fase para inimigo sem essa fase: confira Fases na I1",IF(AND(ISNUMBER($DX$97),$DX$97&gt;INDEX($T$11:$T$22,$O$97)),"Tenacidade acima da âncora: a planilha usa a âncora (28.5 regra 3)",IF((IF(LEN($DT$97)&gt;0,1,0)+IF(LEN($DU$97)&gt;0,1,0)+IF(LEN($DV$97)&gt;0,1,0)+IF(LEN($DW$97)&gt;0,1,0))&lt;4,"Boss tem 4 Fraquezas em cada fase (28.5 regra 4)","")))))))</f>
        <v/>
      </c>
      <c r="N97" s="19">
        <f>IF(LEN($DQ$97)&gt;0,$DQ$97&amp;"|"&amp;$DS$97,"")</f>
        <v/>
      </c>
      <c r="O97" s="19">
        <f>IFERROR(MATCH($DQ$97,$DQ$11:$DQ$22,0),"")</f>
        <v/>
      </c>
      <c r="DQ97" s="19">
        <f>IF(ISERROR($A$97),"",IF(ISBLANK($A$97),"",$A$97))</f>
        <v/>
      </c>
      <c r="DS97" s="19">
        <f>IF(ISERROR($C$97),"",IF(ISBLANK($C$97),"",$C$97))</f>
        <v/>
      </c>
      <c r="DT97" s="19">
        <f>IF(ISERROR($D$97),"",IF(ISBLANK($D$97),"",$D$97))</f>
        <v/>
      </c>
      <c r="DU97" s="19">
        <f>IF(ISERROR($E$97),"",IF(ISBLANK($E$97),"",$E$97))</f>
        <v/>
      </c>
      <c r="DV97" s="19">
        <f>IF(ISERROR($F$97),"",IF(ISBLANK($F$97),"",$F$97))</f>
        <v/>
      </c>
      <c r="DW97" s="19">
        <f>IF(ISERROR($G$97),"",IF(ISBLANK($G$97),"",$G$97))</f>
        <v/>
      </c>
      <c r="DX97" s="19">
        <f>IF(ISERROR($H$97),"",IF(ISBLANK($H$97),"",$H$97))</f>
        <v/>
      </c>
      <c r="EA97" s="19">
        <f>ISERROR($A$97)*1+ISERROR($C$97)*1+ISERROR($D$97)*1+ISERROR($E$97)*1+ISERROR($F$97)*1+ISERROR($G$97)*1+ISERROR($H$97)*1+ISERROR($I$97)*1</f>
        <v/>
      </c>
    </row>
    <row r="98" ht="37" customHeight="1">
      <c r="A98" s="30" t="n"/>
      <c r="B98" s="16" t="n"/>
      <c r="C98" s="15" t="n"/>
      <c r="D98" s="36" t="n"/>
      <c r="E98" s="36" t="n"/>
      <c r="F98" s="36" t="n"/>
      <c r="G98" s="36" t="n"/>
      <c r="H98" s="15" t="n"/>
      <c r="I98" s="3" t="n"/>
      <c r="J98" s="16" t="n"/>
      <c r="K98" s="18">
        <f>IF(EA98&gt;0,"O Google leu como fórmula: escolha de novo ou digite com ' na frente.",IF(LEN($DQ$98)=0,"",IF(NOT(ISNUMBER($O$98)),"Inimigo fora da tabela I1",IF(NOT(ISNUMBER($DS$98)),"Diga a fase (2 ou 3)",IF($DS$98&gt;INDEX($BV$11:$BV$22,$O$98),"Fase para inimigo sem essa fase: confira Fases na I1",IF(AND(ISNUMBER($DX$98),$DX$98&gt;INDEX($T$11:$T$22,$O$98)),"Tenacidade acima da âncora: a planilha usa a âncora (28.5 regra 3)",IF((IF(LEN($DT$98)&gt;0,1,0)+IF(LEN($DU$98)&gt;0,1,0)+IF(LEN($DV$98)&gt;0,1,0)+IF(LEN($DW$98)&gt;0,1,0))&lt;4,"Boss tem 4 Fraquezas em cada fase (28.5 regra 4)","")))))))</f>
        <v/>
      </c>
      <c r="N98" s="19">
        <f>IF(LEN($DQ$98)&gt;0,$DQ$98&amp;"|"&amp;$DS$98,"")</f>
        <v/>
      </c>
      <c r="O98" s="19">
        <f>IFERROR(MATCH($DQ$98,$DQ$11:$DQ$22,0),"")</f>
        <v/>
      </c>
      <c r="DQ98" s="19">
        <f>IF(ISERROR($A$98),"",IF(ISBLANK($A$98),"",$A$98))</f>
        <v/>
      </c>
      <c r="DS98" s="19">
        <f>IF(ISERROR($C$98),"",IF(ISBLANK($C$98),"",$C$98))</f>
        <v/>
      </c>
      <c r="DT98" s="19">
        <f>IF(ISERROR($D$98),"",IF(ISBLANK($D$98),"",$D$98))</f>
        <v/>
      </c>
      <c r="DU98" s="19">
        <f>IF(ISERROR($E$98),"",IF(ISBLANK($E$98),"",$E$98))</f>
        <v/>
      </c>
      <c r="DV98" s="19">
        <f>IF(ISERROR($F$98),"",IF(ISBLANK($F$98),"",$F$98))</f>
        <v/>
      </c>
      <c r="DW98" s="19">
        <f>IF(ISERROR($G$98),"",IF(ISBLANK($G$98),"",$G$98))</f>
        <v/>
      </c>
      <c r="DX98" s="19">
        <f>IF(ISERROR($H$98),"",IF(ISBLANK($H$98),"",$H$98))</f>
        <v/>
      </c>
      <c r="EA98" s="19">
        <f>ISERROR($A$98)*1+ISERROR($C$98)*1+ISERROR($D$98)*1+ISERROR($E$98)*1+ISERROR($F$98)*1+ISERROR($G$98)*1+ISERROR($H$98)*1+ISERROR($I$98)*1</f>
        <v/>
      </c>
    </row>
    <row r="99" ht="37" customHeight="1">
      <c r="A99" s="31" t="n"/>
      <c r="B99" s="16" t="n"/>
      <c r="C99" s="34" t="n"/>
      <c r="D99" s="42" t="n"/>
      <c r="E99" s="42" t="n"/>
      <c r="F99" s="42" t="n"/>
      <c r="G99" s="42" t="n"/>
      <c r="H99" s="34" t="n"/>
      <c r="I99" s="28" t="n"/>
      <c r="J99" s="16" t="n"/>
      <c r="K99" s="26">
        <f>IF(EA99&gt;0,"O Google leu como fórmula: escolha de novo ou digite com ' na frente.",IF(LEN($DQ$99)=0,"",IF(NOT(ISNUMBER($O$99)),"Inimigo fora da tabela I1",IF(NOT(ISNUMBER($DS$99)),"Diga a fase (2 ou 3)",IF($DS$99&gt;INDEX($BV$11:$BV$22,$O$99),"Fase para inimigo sem essa fase: confira Fases na I1",IF(AND(ISNUMBER($DX$99),$DX$99&gt;INDEX($T$11:$T$22,$O$99)),"Tenacidade acima da âncora: a planilha usa a âncora (28.5 regra 3)",IF((IF(LEN($DT$99)&gt;0,1,0)+IF(LEN($DU$99)&gt;0,1,0)+IF(LEN($DV$99)&gt;0,1,0)+IF(LEN($DW$99)&gt;0,1,0))&lt;4,"Boss tem 4 Fraquezas em cada fase (28.5 regra 4)","")))))))</f>
        <v/>
      </c>
      <c r="N99" s="19">
        <f>IF(LEN($DQ$99)&gt;0,$DQ$99&amp;"|"&amp;$DS$99,"")</f>
        <v/>
      </c>
      <c r="O99" s="19">
        <f>IFERROR(MATCH($DQ$99,$DQ$11:$DQ$22,0),"")</f>
        <v/>
      </c>
      <c r="DQ99" s="19">
        <f>IF(ISERROR($A$99),"",IF(ISBLANK($A$99),"",$A$99))</f>
        <v/>
      </c>
      <c r="DS99" s="19">
        <f>IF(ISERROR($C$99),"",IF(ISBLANK($C$99),"",$C$99))</f>
        <v/>
      </c>
      <c r="DT99" s="19">
        <f>IF(ISERROR($D$99),"",IF(ISBLANK($D$99),"",$D$99))</f>
        <v/>
      </c>
      <c r="DU99" s="19">
        <f>IF(ISERROR($E$99),"",IF(ISBLANK($E$99),"",$E$99))</f>
        <v/>
      </c>
      <c r="DV99" s="19">
        <f>IF(ISERROR($F$99),"",IF(ISBLANK($F$99),"",$F$99))</f>
        <v/>
      </c>
      <c r="DW99" s="19">
        <f>IF(ISERROR($G$99),"",IF(ISBLANK($G$99),"",$G$99))</f>
        <v/>
      </c>
      <c r="DX99" s="19">
        <f>IF(ISERROR($H$99),"",IF(ISBLANK($H$99),"",$H$99))</f>
        <v/>
      </c>
      <c r="EA99" s="19">
        <f>ISERROR($A$99)*1+ISERROR($C$99)*1+ISERROR($D$99)*1+ISERROR($E$99)*1+ISERROR($F$99)*1+ISERROR($G$99)*1+ISERROR($H$99)*1+ISERROR($I$99)*1</f>
        <v/>
      </c>
    </row>
    <row r="100" ht="26" customHeight="1">
      <c r="A100" s="7" t="inlineStr">
        <is>
          <t>Inimigo</t>
        </is>
      </c>
      <c r="B100" s="20" t="n"/>
      <c r="C100" s="7" t="inlineStr">
        <is>
          <t>Fase (2 ou 3)</t>
        </is>
      </c>
      <c r="D100" s="7" t="inlineStr">
        <is>
          <t>Fraqueza 1</t>
        </is>
      </c>
      <c r="E100" s="7" t="inlineStr">
        <is>
          <t>Fraqueza 2</t>
        </is>
      </c>
      <c r="F100" s="7" t="inlineStr">
        <is>
          <t>Fraqueza 3</t>
        </is>
      </c>
      <c r="G100" s="7" t="inlineStr">
        <is>
          <t>Fraqueza 4</t>
        </is>
      </c>
      <c r="H100" s="7" t="inlineStr">
        <is>
          <t>Tenacidade da fase</t>
        </is>
      </c>
      <c r="I100" s="7" t="inlineStr">
        <is>
          <t>Ritmo</t>
        </is>
      </c>
      <c r="J100" s="20" t="n"/>
      <c r="K100" s="7" t="inlineStr">
        <is>
          <t>Aviso</t>
        </is>
      </c>
      <c r="L100" s="20" t="n"/>
      <c r="DT100" s="19">
        <f>IF(ISERROR($D$100),"",IF(ISBLANK($D$100),"",$D$100))</f>
        <v/>
      </c>
      <c r="DU100" s="19">
        <f>IF(ISERROR($E$100),"",IF(ISBLANK($E$100),"",$E$100))</f>
        <v/>
      </c>
      <c r="DV100" s="19">
        <f>IF(ISERROR($F$100),"",IF(ISBLANK($F$100),"",$F$100))</f>
        <v/>
      </c>
      <c r="DW100" s="19">
        <f>IF(ISERROR($G$100),"",IF(ISBLANK($G$100),"",$G$100))</f>
        <v/>
      </c>
      <c r="DX100" s="19">
        <f>IF(ISERROR($H$100),"",IF(ISBLANK($H$100),"",$H$100))</f>
        <v/>
      </c>
    </row>
    <row r="101" ht="37" customHeight="1">
      <c r="A101" s="30" t="n"/>
      <c r="B101" s="16" t="n"/>
      <c r="C101" s="15" t="n"/>
      <c r="D101" s="36" t="n"/>
      <c r="E101" s="36" t="n"/>
      <c r="F101" s="36" t="n"/>
      <c r="G101" s="36" t="n"/>
      <c r="H101" s="15" t="n"/>
      <c r="I101" s="3" t="n"/>
      <c r="J101" s="16" t="n"/>
      <c r="K101" s="18">
        <f>IF(EA101&gt;0,"O Google leu como fórmula: escolha de novo ou digite com ' na frente.",IF(LEN($DQ$101)=0,"",IF(NOT(ISNUMBER($O$101)),"Inimigo fora da tabela I1",IF(NOT(ISNUMBER($DS$101)),"Diga a fase (2 ou 3)",IF($DS$101&gt;INDEX($BV$11:$BV$22,$O$101),"Fase para inimigo sem essa fase: confira Fases na I1",IF(AND(ISNUMBER($DX$101),$DX$101&gt;INDEX($T$11:$T$22,$O$101)),"Tenacidade acima da âncora: a planilha usa a âncora (28.5 regra 3)",IF((IF(LEN($DT$101)&gt;0,1,0)+IF(LEN($DU$101)&gt;0,1,0)+IF(LEN($DV$101)&gt;0,1,0)+IF(LEN($DW$101)&gt;0,1,0))&lt;4,"Boss tem 4 Fraquezas em cada fase (28.5 regra 4)","")))))))</f>
        <v/>
      </c>
      <c r="N101" s="19">
        <f>IF(LEN($DQ$101)&gt;0,$DQ$101&amp;"|"&amp;$DS$101,"")</f>
        <v/>
      </c>
      <c r="O101" s="19">
        <f>IFERROR(MATCH($DQ$101,$DQ$11:$DQ$22,0),"")</f>
        <v/>
      </c>
      <c r="DQ101" s="19">
        <f>IF(ISERROR($A$101),"",IF(ISBLANK($A$101),"",$A$101))</f>
        <v/>
      </c>
      <c r="DS101" s="19">
        <f>IF(ISERROR($C$101),"",IF(ISBLANK($C$101),"",$C$101))</f>
        <v/>
      </c>
      <c r="DT101" s="19">
        <f>IF(ISERROR($D$101),"",IF(ISBLANK($D$101),"",$D$101))</f>
        <v/>
      </c>
      <c r="DU101" s="19">
        <f>IF(ISERROR($E$101),"",IF(ISBLANK($E$101),"",$E$101))</f>
        <v/>
      </c>
      <c r="DV101" s="19">
        <f>IF(ISERROR($F$101),"",IF(ISBLANK($F$101),"",$F$101))</f>
        <v/>
      </c>
      <c r="DW101" s="19">
        <f>IF(ISERROR($G$101),"",IF(ISBLANK($G$101),"",$G$101))</f>
        <v/>
      </c>
      <c r="DX101" s="19">
        <f>IF(ISERROR($H$101),"",IF(ISBLANK($H$101),"",$H$101))</f>
        <v/>
      </c>
      <c r="EA101" s="19">
        <f>ISERROR($A$101)*1+ISERROR($C$101)*1+ISERROR($D$101)*1+ISERROR($E$101)*1+ISERROR($F$101)*1+ISERROR($G$101)*1+ISERROR($H$101)*1+ISERROR($I$101)*1</f>
        <v/>
      </c>
    </row>
    <row r="102" ht="37" customHeight="1">
      <c r="A102" s="31" t="n"/>
      <c r="B102" s="16" t="n"/>
      <c r="C102" s="34" t="n"/>
      <c r="D102" s="42" t="n"/>
      <c r="E102" s="42" t="n"/>
      <c r="F102" s="42" t="n"/>
      <c r="G102" s="42" t="n"/>
      <c r="H102" s="34" t="n"/>
      <c r="I102" s="28" t="n"/>
      <c r="J102" s="16" t="n"/>
      <c r="K102" s="26">
        <f>IF(EA102&gt;0,"O Google leu como fórmula: escolha de novo ou digite com ' na frente.",IF(LEN($DQ$102)=0,"",IF(NOT(ISNUMBER($O$102)),"Inimigo fora da tabela I1",IF(NOT(ISNUMBER($DS$102)),"Diga a fase (2 ou 3)",IF($DS$102&gt;INDEX($BV$11:$BV$22,$O$102),"Fase para inimigo sem essa fase: confira Fases na I1",IF(AND(ISNUMBER($DX$102),$DX$102&gt;INDEX($T$11:$T$22,$O$102)),"Tenacidade acima da âncora: a planilha usa a âncora (28.5 regra 3)",IF((IF(LEN($DT$102)&gt;0,1,0)+IF(LEN($DU$102)&gt;0,1,0)+IF(LEN($DV$102)&gt;0,1,0)+IF(LEN($DW$102)&gt;0,1,0))&lt;4,"Boss tem 4 Fraquezas em cada fase (28.5 regra 4)","")))))))</f>
        <v/>
      </c>
      <c r="N102" s="19">
        <f>IF(LEN($DQ$102)&gt;0,$DQ$102&amp;"|"&amp;$DS$102,"")</f>
        <v/>
      </c>
      <c r="O102" s="19">
        <f>IFERROR(MATCH($DQ$102,$DQ$11:$DQ$22,0),"")</f>
        <v/>
      </c>
      <c r="DQ102" s="19">
        <f>IF(ISERROR($A$102),"",IF(ISBLANK($A$102),"",$A$102))</f>
        <v/>
      </c>
      <c r="DS102" s="19">
        <f>IF(ISERROR($C$102),"",IF(ISBLANK($C$102),"",$C$102))</f>
        <v/>
      </c>
      <c r="DT102" s="19">
        <f>IF(ISERROR($D$102),"",IF(ISBLANK($D$102),"",$D$102))</f>
        <v/>
      </c>
      <c r="DU102" s="19">
        <f>IF(ISERROR($E$102),"",IF(ISBLANK($E$102),"",$E$102))</f>
        <v/>
      </c>
      <c r="DV102" s="19">
        <f>IF(ISERROR($F$102),"",IF(ISBLANK($F$102),"",$F$102))</f>
        <v/>
      </c>
      <c r="DW102" s="19">
        <f>IF(ISERROR($G$102),"",IF(ISBLANK($G$102),"",$G$102))</f>
        <v/>
      </c>
      <c r="DX102" s="19">
        <f>IF(ISERROR($H$102),"",IF(ISBLANK($H$102),"",$H$102))</f>
        <v/>
      </c>
      <c r="EA102" s="19">
        <f>ISERROR($A$102)*1+ISERROR($C$102)*1+ISERROR($D$102)*1+ISERROR($E$102)*1+ISERROR($F$102)*1+ISERROR($G$102)*1+ISERROR($H$102)*1+ISERROR($I$102)*1</f>
        <v/>
      </c>
    </row>
    <row r="103" ht="37" customHeight="1">
      <c r="A103" s="30" t="n"/>
      <c r="B103" s="16" t="n"/>
      <c r="C103" s="15" t="n"/>
      <c r="D103" s="36" t="n"/>
      <c r="E103" s="36" t="n"/>
      <c r="F103" s="36" t="n"/>
      <c r="G103" s="36" t="n"/>
      <c r="H103" s="15" t="n"/>
      <c r="I103" s="3" t="n"/>
      <c r="J103" s="16" t="n"/>
      <c r="K103" s="18">
        <f>IF(EA103&gt;0,"O Google leu como fórmula: escolha de novo ou digite com ' na frente.",IF(LEN($DQ$103)=0,"",IF(NOT(ISNUMBER($O$103)),"Inimigo fora da tabela I1",IF(NOT(ISNUMBER($DS$103)),"Diga a fase (2 ou 3)",IF($DS$103&gt;INDEX($BV$11:$BV$22,$O$103),"Fase para inimigo sem essa fase: confira Fases na I1",IF(AND(ISNUMBER($DX$103),$DX$103&gt;INDEX($T$11:$T$22,$O$103)),"Tenacidade acima da âncora: a planilha usa a âncora (28.5 regra 3)",IF((IF(LEN($DT$103)&gt;0,1,0)+IF(LEN($DU$103)&gt;0,1,0)+IF(LEN($DV$103)&gt;0,1,0)+IF(LEN($DW$103)&gt;0,1,0))&lt;4,"Boss tem 4 Fraquezas em cada fase (28.5 regra 4)","")))))))</f>
        <v/>
      </c>
      <c r="N103" s="19">
        <f>IF(LEN($DQ$103)&gt;0,$DQ$103&amp;"|"&amp;$DS$103,"")</f>
        <v/>
      </c>
      <c r="O103" s="19">
        <f>IFERROR(MATCH($DQ$103,$DQ$11:$DQ$22,0),"")</f>
        <v/>
      </c>
      <c r="DQ103" s="19">
        <f>IF(ISERROR($A$103),"",IF(ISBLANK($A$103),"",$A$103))</f>
        <v/>
      </c>
      <c r="DS103" s="19">
        <f>IF(ISERROR($C$103),"",IF(ISBLANK($C$103),"",$C$103))</f>
        <v/>
      </c>
      <c r="DT103" s="19">
        <f>IF(ISERROR($D$103),"",IF(ISBLANK($D$103),"",$D$103))</f>
        <v/>
      </c>
      <c r="DU103" s="19">
        <f>IF(ISERROR($E$103),"",IF(ISBLANK($E$103),"",$E$103))</f>
        <v/>
      </c>
      <c r="DV103" s="19">
        <f>IF(ISERROR($F$103),"",IF(ISBLANK($F$103),"",$F$103))</f>
        <v/>
      </c>
      <c r="DW103" s="19">
        <f>IF(ISERROR($G$103),"",IF(ISBLANK($G$103),"",$G$103))</f>
        <v/>
      </c>
      <c r="DX103" s="19">
        <f>IF(ISERROR($H$103),"",IF(ISBLANK($H$103),"",$H$103))</f>
        <v/>
      </c>
      <c r="EA103" s="19">
        <f>ISERROR($A$103)*1+ISERROR($C$103)*1+ISERROR($D$103)*1+ISERROR($E$103)*1+ISERROR($F$103)*1+ISERROR($G$103)*1+ISERROR($H$103)*1+ISERROR($I$103)*1</f>
        <v/>
      </c>
    </row>
    <row r="104" ht="48" customHeight="1">
      <c r="A104" s="31" t="n"/>
      <c r="B104" s="16" t="n"/>
      <c r="C104" s="34" t="n"/>
      <c r="D104" s="42" t="n"/>
      <c r="E104" s="42" t="n"/>
      <c r="F104" s="42" t="n"/>
      <c r="G104" s="42" t="n"/>
      <c r="H104" s="34" t="n"/>
      <c r="I104" s="28" t="n"/>
      <c r="J104" s="16" t="n"/>
      <c r="K104" s="26">
        <f>IF(EA104&gt;0,"O Google leu como fórmula: escolha de novo ou digite com ' na frente.",IF(LEN($DQ$104)=0,"",IF(NOT(ISNUMBER($O$104)),"Inimigo fora da tabela I1",IF(NOT(ISNUMBER($DS$104)),"Diga a fase (2 ou 3)",IF($DS$104&gt;INDEX($BV$11:$BV$22,$O$104),"Fase para inimigo sem essa fase: confira Fases na I1",IF(AND(ISNUMBER($DX$104),$DX$104&gt;INDEX($T$11:$T$22,$O$104)),"Tenacidade acima da âncora: a planilha usa a âncora (28.5 regra 3)",IF((IF(LEN($DT$104)&gt;0,1,0)+IF(LEN($DU$104)&gt;0,1,0)+IF(LEN($DV$104)&gt;0,1,0)+IF(LEN($DW$104)&gt;0,1,0))&lt;4,"Boss tem 4 Fraquezas em cada fase (28.5 regra 4)","")))))))</f>
        <v/>
      </c>
      <c r="N104" s="19">
        <f>IF(LEN($DQ$104)&gt;0,$DQ$104&amp;"|"&amp;$DS$104,"")</f>
        <v/>
      </c>
      <c r="O104" s="19">
        <f>IFERROR(MATCH($DQ$104,$DQ$11:$DQ$22,0),"")</f>
        <v/>
      </c>
      <c r="DQ104" s="19">
        <f>IF(ISERROR($A$104),"",IF(ISBLANK($A$104),"",$A$104))</f>
        <v/>
      </c>
      <c r="DS104" s="19">
        <f>IF(ISERROR($C$104),"",IF(ISBLANK($C$104),"",$C$104))</f>
        <v/>
      </c>
      <c r="DT104" s="19">
        <f>IF(ISERROR($D$104),"",IF(ISBLANK($D$104),"",$D$104))</f>
        <v/>
      </c>
      <c r="DU104" s="19">
        <f>IF(ISERROR($E$104),"",IF(ISBLANK($E$104),"",$E$104))</f>
        <v/>
      </c>
      <c r="DV104" s="19">
        <f>IF(ISERROR($F$104),"",IF(ISBLANK($F$104),"",$F$104))</f>
        <v/>
      </c>
      <c r="DW104" s="19">
        <f>IF(ISERROR($G$104),"",IF(ISBLANK($G$104),"",$G$104))</f>
        <v/>
      </c>
      <c r="DX104" s="19">
        <f>IF(ISERROR($H$104),"",IF(ISBLANK($H$104),"",$H$104))</f>
        <v/>
      </c>
      <c r="EA104" s="19">
        <f>ISERROR($A$104)*1+ISERROR($C$104)*1+ISERROR($D$104)*1+ISERROR($E$104)*1+ISERROR($F$104)*1+ISERROR($G$104)*1+ISERROR($H$104)*1+ISERROR($I$104)*1</f>
        <v/>
      </c>
    </row>
    <row r="105" ht="37" customHeight="1">
      <c r="A105" s="30" t="n"/>
      <c r="B105" s="16" t="n"/>
      <c r="C105" s="15" t="n"/>
      <c r="D105" s="36" t="n"/>
      <c r="E105" s="36" t="n"/>
      <c r="F105" s="36" t="n"/>
      <c r="G105" s="36" t="n"/>
      <c r="H105" s="15" t="n"/>
      <c r="I105" s="3" t="n"/>
      <c r="J105" s="16" t="n"/>
      <c r="K105" s="18">
        <f>IF(EA105&gt;0,"O Google leu como fórmula: escolha de novo ou digite com ' na frente.",IF(LEN($DQ$105)=0,"",IF(NOT(ISNUMBER($O$105)),"Inimigo fora da tabela I1",IF(NOT(ISNUMBER($DS$105)),"Diga a fase (2 ou 3)",IF($DS$105&gt;INDEX($BV$11:$BV$22,$O$105),"Fase para inimigo sem essa fase: confira Fases na I1",IF(AND(ISNUMBER($DX$105),$DX$105&gt;INDEX($T$11:$T$22,$O$105)),"Tenacidade acima da âncora: a planilha usa a âncora (28.5 regra 3)",IF((IF(LEN($DT$105)&gt;0,1,0)+IF(LEN($DU$105)&gt;0,1,0)+IF(LEN($DV$105)&gt;0,1,0)+IF(LEN($DW$105)&gt;0,1,0))&lt;4,"Boss tem 4 Fraquezas em cada fase (28.5 regra 4)","")))))))</f>
        <v/>
      </c>
      <c r="N105" s="19">
        <f>IF(LEN($DQ$105)&gt;0,$DQ$105&amp;"|"&amp;$DS$105,"")</f>
        <v/>
      </c>
      <c r="O105" s="19">
        <f>IFERROR(MATCH($DQ$105,$DQ$11:$DQ$22,0),"")</f>
        <v/>
      </c>
      <c r="DQ105" s="19">
        <f>IF(ISERROR($A$105),"",IF(ISBLANK($A$105),"",$A$105))</f>
        <v/>
      </c>
      <c r="DS105" s="19">
        <f>IF(ISERROR($C$105),"",IF(ISBLANK($C$105),"",$C$105))</f>
        <v/>
      </c>
      <c r="DT105" s="19">
        <f>IF(ISERROR($D$105),"",IF(ISBLANK($D$105),"",$D$105))</f>
        <v/>
      </c>
      <c r="DU105" s="19">
        <f>IF(ISERROR($E$105),"",IF(ISBLANK($E$105),"",$E$105))</f>
        <v/>
      </c>
      <c r="DV105" s="19">
        <f>IF(ISERROR($F$105),"",IF(ISBLANK($F$105),"",$F$105))</f>
        <v/>
      </c>
      <c r="DW105" s="19">
        <f>IF(ISERROR($G$105),"",IF(ISBLANK($G$105),"",$G$105))</f>
        <v/>
      </c>
      <c r="DX105" s="19">
        <f>IF(ISERROR($H$105),"",IF(ISBLANK($H$105),"",$H$105))</f>
        <v/>
      </c>
      <c r="EA105" s="19">
        <f>ISERROR($A$105)*1+ISERROR($C$105)*1+ISERROR($D$105)*1+ISERROR($E$105)*1+ISERROR($F$105)*1+ISERROR($G$105)*1+ISERROR($H$105)*1+ISERROR($I$105)*1</f>
        <v/>
      </c>
    </row>
    <row r="106" ht="48" customHeight="1">
      <c r="A106" s="31" t="n"/>
      <c r="B106" s="16" t="n"/>
      <c r="C106" s="34" t="n"/>
      <c r="D106" s="42" t="n"/>
      <c r="E106" s="42" t="n"/>
      <c r="F106" s="42" t="n"/>
      <c r="G106" s="42" t="n"/>
      <c r="H106" s="34" t="n"/>
      <c r="I106" s="28" t="n"/>
      <c r="J106" s="16" t="n"/>
      <c r="K106" s="26">
        <f>IF(EA106&gt;0,"O Google leu como fórmula: escolha de novo ou digite com ' na frente.",IF(LEN($DQ$106)=0,"",IF(NOT(ISNUMBER($O$106)),"Inimigo fora da tabela I1",IF(NOT(ISNUMBER($DS$106)),"Diga a fase (2 ou 3)",IF($DS$106&gt;INDEX($BV$11:$BV$22,$O$106),"Fase para inimigo sem essa fase: confira Fases na I1",IF(AND(ISNUMBER($DX$106),$DX$106&gt;INDEX($T$11:$T$22,$O$106)),"Tenacidade acima da âncora: a planilha usa a âncora (28.5 regra 3)",IF((IF(LEN($DT$106)&gt;0,1,0)+IF(LEN($DU$106)&gt;0,1,0)+IF(LEN($DV$106)&gt;0,1,0)+IF(LEN($DW$106)&gt;0,1,0))&lt;4,"Boss tem 4 Fraquezas em cada fase (28.5 regra 4)","")))))))</f>
        <v/>
      </c>
      <c r="N106" s="19">
        <f>IF(LEN($DQ$106)&gt;0,$DQ$106&amp;"|"&amp;$DS$106,"")</f>
        <v/>
      </c>
      <c r="O106" s="19">
        <f>IFERROR(MATCH($DQ$106,$DQ$11:$DQ$22,0),"")</f>
        <v/>
      </c>
      <c r="DQ106" s="19">
        <f>IF(ISERROR($A$106),"",IF(ISBLANK($A$106),"",$A$106))</f>
        <v/>
      </c>
      <c r="DS106" s="19">
        <f>IF(ISERROR($C$106),"",IF(ISBLANK($C$106),"",$C$106))</f>
        <v/>
      </c>
      <c r="DT106" s="19">
        <f>IF(ISERROR($D$106),"",IF(ISBLANK($D$106),"",$D$106))</f>
        <v/>
      </c>
      <c r="DU106" s="19">
        <f>IF(ISERROR($E$106),"",IF(ISBLANK($E$106),"",$E$106))</f>
        <v/>
      </c>
      <c r="DV106" s="19">
        <f>IF(ISERROR($F$106),"",IF(ISBLANK($F$106),"",$F$106))</f>
        <v/>
      </c>
      <c r="DW106" s="19">
        <f>IF(ISERROR($G$106),"",IF(ISBLANK($G$106),"",$G$106))</f>
        <v/>
      </c>
      <c r="DX106" s="19">
        <f>IF(ISERROR($H$106),"",IF(ISBLANK($H$106),"",$H$106))</f>
        <v/>
      </c>
      <c r="EA106" s="19">
        <f>ISERROR($A$106)*1+ISERROR($C$106)*1+ISERROR($D$106)*1+ISERROR($E$106)*1+ISERROR($F$106)*1+ISERROR($G$106)*1+ISERROR($H$106)*1+ISERROR($I$106)*1</f>
        <v/>
      </c>
    </row>
    <row r="107" ht="48" customHeight="1">
      <c r="A107" s="30" t="n"/>
      <c r="B107" s="16" t="n"/>
      <c r="C107" s="15" t="n"/>
      <c r="D107" s="36" t="n"/>
      <c r="E107" s="36" t="n"/>
      <c r="F107" s="36" t="n"/>
      <c r="G107" s="36" t="n"/>
      <c r="H107" s="15" t="n"/>
      <c r="I107" s="3" t="n"/>
      <c r="J107" s="16" t="n"/>
      <c r="K107" s="18">
        <f>IF(EA107&gt;0,"O Google leu como fórmula: escolha de novo ou digite com ' na frente.",IF(LEN($DQ$107)=0,"",IF(NOT(ISNUMBER($O$107)),"Inimigo fora da tabela I1",IF(NOT(ISNUMBER($DS$107)),"Diga a fase (2 ou 3)",IF($DS$107&gt;INDEX($BV$11:$BV$22,$O$107),"Fase para inimigo sem essa fase: confira Fases na I1",IF(AND(ISNUMBER($DX$107),$DX$107&gt;INDEX($T$11:$T$22,$O$107)),"Tenacidade acima da âncora: a planilha usa a âncora (28.5 regra 3)",IF((IF(LEN($DT$107)&gt;0,1,0)+IF(LEN($DU$107)&gt;0,1,0)+IF(LEN($DV$107)&gt;0,1,0)+IF(LEN($DW$107)&gt;0,1,0))&lt;4,"Boss tem 4 Fraquezas em cada fase (28.5 regra 4)","")))))))</f>
        <v/>
      </c>
      <c r="N107" s="19">
        <f>IF(LEN($DQ$107)&gt;0,$DQ$107&amp;"|"&amp;$DS$107,"")</f>
        <v/>
      </c>
      <c r="O107" s="19">
        <f>IFERROR(MATCH($DQ$107,$DQ$11:$DQ$22,0),"")</f>
        <v/>
      </c>
      <c r="DQ107" s="19">
        <f>IF(ISERROR($A$107),"",IF(ISBLANK($A$107),"",$A$107))</f>
        <v/>
      </c>
      <c r="DS107" s="19">
        <f>IF(ISERROR($C$107),"",IF(ISBLANK($C$107),"",$C$107))</f>
        <v/>
      </c>
      <c r="DT107" s="19">
        <f>IF(ISERROR($D$107),"",IF(ISBLANK($D$107),"",$D$107))</f>
        <v/>
      </c>
      <c r="DU107" s="19">
        <f>IF(ISERROR($E$107),"",IF(ISBLANK($E$107),"",$E$107))</f>
        <v/>
      </c>
      <c r="DV107" s="19">
        <f>IF(ISERROR($F$107),"",IF(ISBLANK($F$107),"",$F$107))</f>
        <v/>
      </c>
      <c r="DW107" s="19">
        <f>IF(ISERROR($G$107),"",IF(ISBLANK($G$107),"",$G$107))</f>
        <v/>
      </c>
      <c r="DX107" s="19">
        <f>IF(ISERROR($H$107),"",IF(ISBLANK($H$107),"",$H$107))</f>
        <v/>
      </c>
      <c r="EA107" s="19">
        <f>ISERROR($A$107)*1+ISERROR($C$107)*1+ISERROR($D$107)*1+ISERROR($E$107)*1+ISERROR($F$107)*1+ISERROR($G$107)*1+ISERROR($H$107)*1+ISERROR($I$107)*1</f>
        <v/>
      </c>
    </row>
    <row r="108" ht="48" customHeight="1">
      <c r="A108" s="31" t="n"/>
      <c r="B108" s="16" t="n"/>
      <c r="C108" s="34" t="n"/>
      <c r="D108" s="42" t="n"/>
      <c r="E108" s="42" t="n"/>
      <c r="F108" s="42" t="n"/>
      <c r="G108" s="42" t="n"/>
      <c r="H108" s="34" t="n"/>
      <c r="I108" s="28" t="n"/>
      <c r="J108" s="16" t="n"/>
      <c r="K108" s="26">
        <f>IF(EA108&gt;0,"O Google leu como fórmula: escolha de novo ou digite com ' na frente.",IF(LEN($DQ$108)=0,"",IF(NOT(ISNUMBER($O$108)),"Inimigo fora da tabela I1",IF(NOT(ISNUMBER($DS$108)),"Diga a fase (2 ou 3)",IF($DS$108&gt;INDEX($BV$11:$BV$22,$O$108),"Fase para inimigo sem essa fase: confira Fases na I1",IF(AND(ISNUMBER($DX$108),$DX$108&gt;INDEX($T$11:$T$22,$O$108)),"Tenacidade acima da âncora: a planilha usa a âncora (28.5 regra 3)",IF((IF(LEN($DT$108)&gt;0,1,0)+IF(LEN($DU$108)&gt;0,1,0)+IF(LEN($DV$108)&gt;0,1,0)+IF(LEN($DW$108)&gt;0,1,0))&lt;4,"Boss tem 4 Fraquezas em cada fase (28.5 regra 4)","")))))))</f>
        <v/>
      </c>
      <c r="N108" s="19">
        <f>IF(LEN($DQ$108)&gt;0,$DQ$108&amp;"|"&amp;$DS$108,"")</f>
        <v/>
      </c>
      <c r="O108" s="19">
        <f>IFERROR(MATCH($DQ$108,$DQ$11:$DQ$22,0),"")</f>
        <v/>
      </c>
      <c r="DQ108" s="19">
        <f>IF(ISERROR($A$108),"",IF(ISBLANK($A$108),"",$A$108))</f>
        <v/>
      </c>
      <c r="DS108" s="19">
        <f>IF(ISERROR($C$108),"",IF(ISBLANK($C$108),"",$C$108))</f>
        <v/>
      </c>
      <c r="DT108" s="19">
        <f>IF(ISERROR($D$108),"",IF(ISBLANK($D$108),"",$D$108))</f>
        <v/>
      </c>
      <c r="DU108" s="19">
        <f>IF(ISERROR($E$108),"",IF(ISBLANK($E$108),"",$E$108))</f>
        <v/>
      </c>
      <c r="DV108" s="19">
        <f>IF(ISERROR($F$108),"",IF(ISBLANK($F$108),"",$F$108))</f>
        <v/>
      </c>
      <c r="DW108" s="19">
        <f>IF(ISERROR($G$108),"",IF(ISBLANK($G$108),"",$G$108))</f>
        <v/>
      </c>
      <c r="DX108" s="19">
        <f>IF(ISERROR($H$108),"",IF(ISBLANK($H$108),"",$H$108))</f>
        <v/>
      </c>
      <c r="EA108" s="19">
        <f>ISERROR($A$108)*1+ISERROR($C$108)*1+ISERROR($D$108)*1+ISERROR($E$108)*1+ISERROR($F$108)*1+ISERROR($G$108)*1+ISERROR($H$108)*1+ISERROR($I$108)*1</f>
        <v/>
      </c>
    </row>
    <row r="109" ht="48" customHeight="1">
      <c r="A109" s="30" t="n"/>
      <c r="B109" s="16" t="n"/>
      <c r="C109" s="15" t="n"/>
      <c r="D109" s="36" t="n"/>
      <c r="E109" s="36" t="n"/>
      <c r="F109" s="36" t="n"/>
      <c r="G109" s="36" t="n"/>
      <c r="H109" s="15" t="n"/>
      <c r="I109" s="3" t="n"/>
      <c r="J109" s="16" t="n"/>
      <c r="K109" s="18">
        <f>IF(EA109&gt;0,"O Google leu como fórmula: escolha de novo ou digite com ' na frente.",IF(LEN($DQ$109)=0,"",IF(NOT(ISNUMBER($O$109)),"Inimigo fora da tabela I1",IF(NOT(ISNUMBER($DS$109)),"Diga a fase (2 ou 3)",IF($DS$109&gt;INDEX($BV$11:$BV$22,$O$109),"Fase para inimigo sem essa fase: confira Fases na I1",IF(AND(ISNUMBER($DX$109),$DX$109&gt;INDEX($T$11:$T$22,$O$109)),"Tenacidade acima da âncora: a planilha usa a âncora (28.5 regra 3)",IF((IF(LEN($DT$109)&gt;0,1,0)+IF(LEN($DU$109)&gt;0,1,0)+IF(LEN($DV$109)&gt;0,1,0)+IF(LEN($DW$109)&gt;0,1,0))&lt;4,"Boss tem 4 Fraquezas em cada fase (28.5 regra 4)","")))))))</f>
        <v/>
      </c>
      <c r="N109" s="19">
        <f>IF(LEN($DQ$109)&gt;0,$DQ$109&amp;"|"&amp;$DS$109,"")</f>
        <v/>
      </c>
      <c r="O109" s="19">
        <f>IFERROR(MATCH($DQ$109,$DQ$11:$DQ$22,0),"")</f>
        <v/>
      </c>
      <c r="DQ109" s="19">
        <f>IF(ISERROR($A$109),"",IF(ISBLANK($A$109),"",$A$109))</f>
        <v/>
      </c>
      <c r="DS109" s="19">
        <f>IF(ISERROR($C$109),"",IF(ISBLANK($C$109),"",$C$109))</f>
        <v/>
      </c>
      <c r="DT109" s="19">
        <f>IF(ISERROR($D$109),"",IF(ISBLANK($D$109),"",$D$109))</f>
        <v/>
      </c>
      <c r="DU109" s="19">
        <f>IF(ISERROR($E$109),"",IF(ISBLANK($E$109),"",$E$109))</f>
        <v/>
      </c>
      <c r="DV109" s="19">
        <f>IF(ISERROR($F$109),"",IF(ISBLANK($F$109),"",$F$109))</f>
        <v/>
      </c>
      <c r="DW109" s="19">
        <f>IF(ISERROR($G$109),"",IF(ISBLANK($G$109),"",$G$109))</f>
        <v/>
      </c>
      <c r="DX109" s="19">
        <f>IF(ISERROR($H$109),"",IF(ISBLANK($H$109),"",$H$109))</f>
        <v/>
      </c>
      <c r="EA109" s="19">
        <f>ISERROR($A$109)*1+ISERROR($C$109)*1+ISERROR($D$109)*1+ISERROR($E$109)*1+ISERROR($F$109)*1+ISERROR($G$109)*1+ISERROR($H$109)*1+ISERROR($I$109)*1</f>
        <v/>
      </c>
    </row>
    <row r="110" ht="37" customHeight="1">
      <c r="A110" s="31" t="n"/>
      <c r="B110" s="16" t="n"/>
      <c r="C110" s="34" t="n"/>
      <c r="D110" s="42" t="n"/>
      <c r="E110" s="42" t="n"/>
      <c r="F110" s="42" t="n"/>
      <c r="G110" s="42" t="n"/>
      <c r="H110" s="34" t="n"/>
      <c r="I110" s="28" t="n"/>
      <c r="J110" s="16" t="n"/>
      <c r="K110" s="26">
        <f>IF(EA110&gt;0,"O Google leu como fórmula: escolha de novo ou digite com ' na frente.",IF(LEN($DQ$110)=0,"",IF(NOT(ISNUMBER($O$110)),"Inimigo fora da tabela I1",IF(NOT(ISNUMBER($DS$110)),"Diga a fase (2 ou 3)",IF($DS$110&gt;INDEX($BV$11:$BV$22,$O$110),"Fase para inimigo sem essa fase: confira Fases na I1",IF(AND(ISNUMBER($DX$110),$DX$110&gt;INDEX($T$11:$T$22,$O$110)),"Tenacidade acima da âncora: a planilha usa a âncora (28.5 regra 3)",IF((IF(LEN($DT$110)&gt;0,1,0)+IF(LEN($DU$110)&gt;0,1,0)+IF(LEN($DV$110)&gt;0,1,0)+IF(LEN($DW$110)&gt;0,1,0))&lt;4,"Boss tem 4 Fraquezas em cada fase (28.5 regra 4)","")))))))</f>
        <v/>
      </c>
      <c r="N110" s="19">
        <f>IF(LEN($DQ$110)&gt;0,$DQ$110&amp;"|"&amp;$DS$110,"")</f>
        <v/>
      </c>
      <c r="O110" s="19">
        <f>IFERROR(MATCH($DQ$110,$DQ$11:$DQ$22,0),"")</f>
        <v/>
      </c>
      <c r="DQ110" s="19">
        <f>IF(ISERROR($A$110),"",IF(ISBLANK($A$110),"",$A$110))</f>
        <v/>
      </c>
      <c r="DS110" s="19">
        <f>IF(ISERROR($C$110),"",IF(ISBLANK($C$110),"",$C$110))</f>
        <v/>
      </c>
      <c r="DT110" s="19">
        <f>IF(ISERROR($D$110),"",IF(ISBLANK($D$110),"",$D$110))</f>
        <v/>
      </c>
      <c r="DU110" s="19">
        <f>IF(ISERROR($E$110),"",IF(ISBLANK($E$110),"",$E$110))</f>
        <v/>
      </c>
      <c r="DV110" s="19">
        <f>IF(ISERROR($F$110),"",IF(ISBLANK($F$110),"",$F$110))</f>
        <v/>
      </c>
      <c r="DW110" s="19">
        <f>IF(ISERROR($G$110),"",IF(ISBLANK($G$110),"",$G$110))</f>
        <v/>
      </c>
      <c r="DX110" s="19">
        <f>IF(ISERROR($H$110),"",IF(ISBLANK($H$110),"",$H$110))</f>
        <v/>
      </c>
      <c r="EA110" s="19">
        <f>ISERROR($A$110)*1+ISERROR($C$110)*1+ISERROR($D$110)*1+ISERROR($E$110)*1+ISERROR($F$110)*1+ISERROR($G$110)*1+ISERROR($H$110)*1+ISERROR($I$110)*1</f>
        <v/>
      </c>
    </row>
    <row r="111" ht="37" customHeight="1">
      <c r="A111" s="30" t="n"/>
      <c r="B111" s="16" t="n"/>
      <c r="C111" s="15" t="n"/>
      <c r="D111" s="36" t="n"/>
      <c r="E111" s="36" t="n"/>
      <c r="F111" s="36" t="n"/>
      <c r="G111" s="36" t="n"/>
      <c r="H111" s="15" t="n"/>
      <c r="I111" s="3" t="n"/>
      <c r="J111" s="16" t="n"/>
      <c r="K111" s="18">
        <f>IF(EA111&gt;0,"O Google leu como fórmula: escolha de novo ou digite com ' na frente.",IF(LEN($DQ$111)=0,"",IF(NOT(ISNUMBER($O$111)),"Inimigo fora da tabela I1",IF(NOT(ISNUMBER($DS$111)),"Diga a fase (2 ou 3)",IF($DS$111&gt;INDEX($BV$11:$BV$22,$O$111),"Fase para inimigo sem essa fase: confira Fases na I1",IF(AND(ISNUMBER($DX$111),$DX$111&gt;INDEX($T$11:$T$22,$O$111)),"Tenacidade acima da âncora: a planilha usa a âncora (28.5 regra 3)",IF((IF(LEN($DT$111)&gt;0,1,0)+IF(LEN($DU$111)&gt;0,1,0)+IF(LEN($DV$111)&gt;0,1,0)+IF(LEN($DW$111)&gt;0,1,0))&lt;4,"Boss tem 4 Fraquezas em cada fase (28.5 regra 4)","")))))))</f>
        <v/>
      </c>
      <c r="N111" s="19">
        <f>IF(LEN($DQ$111)&gt;0,$DQ$111&amp;"|"&amp;$DS$111,"")</f>
        <v/>
      </c>
      <c r="O111" s="19">
        <f>IFERROR(MATCH($DQ$111,$DQ$11:$DQ$22,0),"")</f>
        <v/>
      </c>
      <c r="DQ111" s="19">
        <f>IF(ISERROR($A$111),"",IF(ISBLANK($A$111),"",$A$111))</f>
        <v/>
      </c>
      <c r="DS111" s="19">
        <f>IF(ISERROR($C$111),"",IF(ISBLANK($C$111),"",$C$111))</f>
        <v/>
      </c>
      <c r="DT111" s="19">
        <f>IF(ISERROR($D$111),"",IF(ISBLANK($D$111),"",$D$111))</f>
        <v/>
      </c>
      <c r="DU111" s="19">
        <f>IF(ISERROR($E$111),"",IF(ISBLANK($E$111),"",$E$111))</f>
        <v/>
      </c>
      <c r="DV111" s="19">
        <f>IF(ISERROR($F$111),"",IF(ISBLANK($F$111),"",$F$111))</f>
        <v/>
      </c>
      <c r="DW111" s="19">
        <f>IF(ISERROR($G$111),"",IF(ISBLANK($G$111),"",$G$111))</f>
        <v/>
      </c>
      <c r="DX111" s="19">
        <f>IF(ISERROR($H$111),"",IF(ISBLANK($H$111),"",$H$111))</f>
        <v/>
      </c>
      <c r="EA111" s="19">
        <f>ISERROR($A$111)*1+ISERROR($C$111)*1+ISERROR($D$111)*1+ISERROR($E$111)*1+ISERROR($F$111)*1+ISERROR($G$111)*1+ISERROR($H$111)*1+ISERROR($I$111)*1</f>
        <v/>
      </c>
    </row>
    <row r="112" ht="37" customHeight="1">
      <c r="A112" s="31" t="n"/>
      <c r="B112" s="16" t="n"/>
      <c r="C112" s="34" t="n"/>
      <c r="D112" s="42" t="n"/>
      <c r="E112" s="42" t="n"/>
      <c r="F112" s="42" t="n"/>
      <c r="G112" s="42" t="n"/>
      <c r="H112" s="34" t="n"/>
      <c r="I112" s="28" t="n"/>
      <c r="J112" s="16" t="n"/>
      <c r="K112" s="26">
        <f>IF(EA112&gt;0,"O Google leu como fórmula: escolha de novo ou digite com ' na frente.",IF(LEN($DQ$112)=0,"",IF(NOT(ISNUMBER($O$112)),"Inimigo fora da tabela I1",IF(NOT(ISNUMBER($DS$112)),"Diga a fase (2 ou 3)",IF($DS$112&gt;INDEX($BV$11:$BV$22,$O$112),"Fase para inimigo sem essa fase: confira Fases na I1",IF(AND(ISNUMBER($DX$112),$DX$112&gt;INDEX($T$11:$T$22,$O$112)),"Tenacidade acima da âncora: a planilha usa a âncora (28.5 regra 3)",IF((IF(LEN($DT$112)&gt;0,1,0)+IF(LEN($DU$112)&gt;0,1,0)+IF(LEN($DV$112)&gt;0,1,0)+IF(LEN($DW$112)&gt;0,1,0))&lt;4,"Boss tem 4 Fraquezas em cada fase (28.5 regra 4)","")))))))</f>
        <v/>
      </c>
      <c r="N112" s="19">
        <f>IF(LEN($DQ$112)&gt;0,$DQ$112&amp;"|"&amp;$DS$112,"")</f>
        <v/>
      </c>
      <c r="O112" s="19">
        <f>IFERROR(MATCH($DQ$112,$DQ$11:$DQ$22,0),"")</f>
        <v/>
      </c>
      <c r="DQ112" s="19">
        <f>IF(ISERROR($A$112),"",IF(ISBLANK($A$112),"",$A$112))</f>
        <v/>
      </c>
      <c r="DS112" s="19">
        <f>IF(ISERROR($C$112),"",IF(ISBLANK($C$112),"",$C$112))</f>
        <v/>
      </c>
      <c r="DT112" s="19">
        <f>IF(ISERROR($D$112),"",IF(ISBLANK($D$112),"",$D$112))</f>
        <v/>
      </c>
      <c r="DU112" s="19">
        <f>IF(ISERROR($E$112),"",IF(ISBLANK($E$112),"",$E$112))</f>
        <v/>
      </c>
      <c r="DV112" s="19">
        <f>IF(ISERROR($F$112),"",IF(ISBLANK($F$112),"",$F$112))</f>
        <v/>
      </c>
      <c r="DW112" s="19">
        <f>IF(ISERROR($G$112),"",IF(ISBLANK($G$112),"",$G$112))</f>
        <v/>
      </c>
      <c r="DX112" s="19">
        <f>IF(ISERROR($H$112),"",IF(ISBLANK($H$112),"",$H$112))</f>
        <v/>
      </c>
      <c r="EA112" s="19">
        <f>ISERROR($A$112)*1+ISERROR($C$112)*1+ISERROR($D$112)*1+ISERROR($E$112)*1+ISERROR($F$112)*1+ISERROR($G$112)*1+ISERROR($H$112)*1+ISERROR($I$112)*1</f>
        <v/>
      </c>
    </row>
    <row r="113"/>
    <row r="114" ht="20" customHeight="1">
      <c r="A114" s="12" t="inlineStr">
        <is>
          <t>Ações dos inimigos criados — entradas (régua de 28.4; modo Ajustar usa as da base)</t>
        </is>
      </c>
    </row>
    <row r="115" ht="26" customHeight="1">
      <c r="A115" s="7" t="inlineStr">
        <is>
          <t>Inimigo</t>
        </is>
      </c>
      <c r="B115" s="20" t="n"/>
      <c r="C115" s="7" t="inlineStr">
        <is>
          <t>Tipo de ação</t>
        </is>
      </c>
      <c r="D115" s="20" t="n"/>
      <c r="E115" s="7" t="inlineStr">
        <is>
          <t>Nome da ação</t>
        </is>
      </c>
      <c r="F115" s="20" t="n"/>
      <c r="G115" s="7" t="inlineStr">
        <is>
          <t>Alcance</t>
        </is>
      </c>
      <c r="H115" s="7" t="inlineStr">
        <is>
          <t>Elemento</t>
        </is>
      </c>
      <c r="I115" s="7" t="inlineStr">
        <is>
          <t>Recarga (Ciclos)</t>
        </is>
      </c>
      <c r="J115" s="7" t="inlineStr">
        <is>
          <t>Duração (turnos)</t>
        </is>
      </c>
      <c r="K115" s="7" t="inlineStr">
        <is>
          <t>Aviso</t>
        </is>
      </c>
      <c r="L115" s="20" t="n"/>
    </row>
    <row r="116" ht="37" customHeight="1">
      <c r="A116" s="30" t="n"/>
      <c r="B116" s="16" t="n"/>
      <c r="C116" s="3" t="n"/>
      <c r="D116" s="16" t="n"/>
      <c r="E116" s="3" t="n"/>
      <c r="F116" s="16" t="n"/>
      <c r="G116" s="36" t="n"/>
      <c r="H116" s="36" t="n"/>
      <c r="I116" s="15" t="n"/>
      <c r="J116" s="15" t="n"/>
      <c r="K116" s="18">
        <f>IF(EA116&gt;0,"O Google leu como fórmula: escolha de novo ou digite com ' na frente.",IF(LEN($DQ$116)=0,"",IF(NOT(ISNUMBER($R$116)),"Inimigo fora da tabela I1",IF(AND($O$116=1,$DS$116&lt;&gt;"Reação",NOT(ISNUMBER($DY$116))),"Ação especial precisa de recarga de 2 ou 3 Ciclos (28.4)",IF(COUNTIFS($DQ$116:$DQ$153,$DQ$116,$O$116:$O$153,1)&gt;3,"Mais de 3 ações especiais neste inimigo (28.1: de 1 a 3)",IF(AND($DS$116="Especial de dano 1 alvo (até 1,5×)",INDEX($O$11:$O$22,$R$116)="Comum"),"Pico de dano: ocupa a ação do turno (28.4)",""))))))</f>
        <v/>
      </c>
      <c r="N116" s="19">
        <f>IF(AND(LEN($DQ$116)&gt;0,LEN($DS$116)&gt;0),1,0)</f>
        <v/>
      </c>
      <c r="O116" s="19">
        <f>IF(AND($N$116=1,$DS$116&lt;&gt;"Ataque normal"),1,0)</f>
        <v/>
      </c>
      <c r="P116" s="19">
        <f>IF($N$116=1,$DQ$116&amp;"|"&amp;COUNTIFS($DQ$116,$DQ$116,$N$116:N116,1),"")</f>
        <v/>
      </c>
      <c r="Q116" s="19">
        <f>IF($O$116=1,$DQ$116&amp;"|"&amp;COUNTIFS($DQ$116,$DQ$116,$O$116:O116,1),"")</f>
        <v/>
      </c>
      <c r="R116" s="19">
        <f>IFERROR(MATCH($DQ$116,$DQ$11:$DQ$22,0),"")</f>
        <v/>
      </c>
      <c r="S116" s="19">
        <f>$F$157</f>
        <v/>
      </c>
      <c r="DQ116" s="19">
        <f>IF(ISERROR($A$116),"",IF(ISBLANK($A$116),"",$A$116))</f>
        <v/>
      </c>
      <c r="DS116" s="19">
        <f>IF(ISERROR($C$116),"",IF(ISBLANK($C$116),"",$C$116))</f>
        <v/>
      </c>
      <c r="DU116" s="19">
        <f>IF(ISERROR($E$116),"",IF(ISBLANK($E$116),"",$E$116))</f>
        <v/>
      </c>
      <c r="DW116" s="19">
        <f>IF(ISERROR($G$116),"",IF(ISBLANK($G$116),"",$G$116))</f>
        <v/>
      </c>
      <c r="DX116" s="19">
        <f>IF(ISERROR($H$116),"",IF(ISBLANK($H$116),"",$H$116))</f>
        <v/>
      </c>
      <c r="DY116" s="19">
        <f>IF(ISERROR($I$116),"",IF(ISBLANK($I$116),"",$I$116))</f>
        <v/>
      </c>
      <c r="DZ116" s="19">
        <f>IF(ISERROR($J$116),"",IF(ISBLANK($J$116),"",$J$116))</f>
        <v/>
      </c>
      <c r="EA116" s="19">
        <f>ISERROR($A$116)*1+ISERROR($C$116)*1+ISERROR($E$116)*1+ISERROR($G$116)*1+ISERROR($H$116)*1+ISERROR($I$116)*1+ISERROR($J$116)*1</f>
        <v/>
      </c>
    </row>
    <row r="117" ht="37" customHeight="1">
      <c r="A117" s="31" t="n"/>
      <c r="B117" s="16" t="n"/>
      <c r="C117" s="28" t="n"/>
      <c r="D117" s="16" t="n"/>
      <c r="E117" s="28" t="n"/>
      <c r="F117" s="16" t="n"/>
      <c r="G117" s="42" t="n"/>
      <c r="H117" s="42" t="n"/>
      <c r="I117" s="34" t="n"/>
      <c r="J117" s="34" t="n"/>
      <c r="K117" s="26">
        <f>IF(EA117&gt;0,"O Google leu como fórmula: escolha de novo ou digite com ' na frente.",IF(LEN($DQ$117)=0,"",IF(NOT(ISNUMBER($R$117)),"Inimigo fora da tabela I1",IF(AND($O$117=1,$DS$117&lt;&gt;"Reação",NOT(ISNUMBER($DY$117))),"Ação especial precisa de recarga de 2 ou 3 Ciclos (28.4)",IF(COUNTIFS($DQ$116:$DQ$153,$DQ$117,$O$116:$O$153,1)&gt;3,"Mais de 3 ações especiais neste inimigo (28.1: de 1 a 3)",IF(AND($DS$117="Especial de dano 1 alvo (até 1,5×)",INDEX($O$11:$O$22,$R$117)="Comum"),"Pico de dano: ocupa a ação do turno (28.4)",""))))))</f>
        <v/>
      </c>
      <c r="N117" s="19">
        <f>IF(AND(LEN($DQ$117)&gt;0,LEN($DS$117)&gt;0),1,0)</f>
        <v/>
      </c>
      <c r="O117" s="19">
        <f>IF(AND($N$117=1,$DS$117&lt;&gt;"Ataque normal"),1,0)</f>
        <v/>
      </c>
      <c r="P117" s="19">
        <f>IF($N$117=1,$DQ$117&amp;"|"&amp;COUNTIFS($DQ$116:$DQ$117,$DQ$117,$N$116:N117,1),"")</f>
        <v/>
      </c>
      <c r="Q117" s="19">
        <f>IF($O$117=1,$DQ$117&amp;"|"&amp;COUNTIFS($DQ$116:$DQ$117,$DQ$117,$O$116:O117,1),"")</f>
        <v/>
      </c>
      <c r="R117" s="19">
        <f>IFERROR(MATCH($DQ$117,$DQ$11:$DQ$22,0),"")</f>
        <v/>
      </c>
      <c r="S117" s="19">
        <f>$F$158</f>
        <v/>
      </c>
      <c r="DQ117" s="19">
        <f>IF(ISERROR($A$117),"",IF(ISBLANK($A$117),"",$A$117))</f>
        <v/>
      </c>
      <c r="DS117" s="19">
        <f>IF(ISERROR($C$117),"",IF(ISBLANK($C$117),"",$C$117))</f>
        <v/>
      </c>
      <c r="DU117" s="19">
        <f>IF(ISERROR($E$117),"",IF(ISBLANK($E$117),"",$E$117))</f>
        <v/>
      </c>
      <c r="DW117" s="19">
        <f>IF(ISERROR($G$117),"",IF(ISBLANK($G$117),"",$G$117))</f>
        <v/>
      </c>
      <c r="DX117" s="19">
        <f>IF(ISERROR($H$117),"",IF(ISBLANK($H$117),"",$H$117))</f>
        <v/>
      </c>
      <c r="DY117" s="19">
        <f>IF(ISERROR($I$117),"",IF(ISBLANK($I$117),"",$I$117))</f>
        <v/>
      </c>
      <c r="DZ117" s="19">
        <f>IF(ISERROR($J$117),"",IF(ISBLANK($J$117),"",$J$117))</f>
        <v/>
      </c>
      <c r="EA117" s="19">
        <f>ISERROR($A$117)*1+ISERROR($C$117)*1+ISERROR($E$117)*1+ISERROR($G$117)*1+ISERROR($H$117)*1+ISERROR($I$117)*1+ISERROR($J$117)*1</f>
        <v/>
      </c>
    </row>
    <row r="118" ht="37" customHeight="1">
      <c r="A118" s="30" t="n"/>
      <c r="B118" s="16" t="n"/>
      <c r="C118" s="3" t="n"/>
      <c r="D118" s="16" t="n"/>
      <c r="E118" s="3" t="n"/>
      <c r="F118" s="16" t="n"/>
      <c r="G118" s="36" t="n"/>
      <c r="H118" s="36" t="n"/>
      <c r="I118" s="15" t="n"/>
      <c r="J118" s="15" t="n"/>
      <c r="K118" s="18">
        <f>IF(EA118&gt;0,"O Google leu como fórmula: escolha de novo ou digite com ' na frente.",IF(LEN($DQ$118)=0,"",IF(NOT(ISNUMBER($R$118)),"Inimigo fora da tabela I1",IF(AND($O$118=1,$DS$118&lt;&gt;"Reação",NOT(ISNUMBER($DY$118))),"Ação especial precisa de recarga de 2 ou 3 Ciclos (28.4)",IF(COUNTIFS($DQ$116:$DQ$153,$DQ$118,$O$116:$O$153,1)&gt;3,"Mais de 3 ações especiais neste inimigo (28.1: de 1 a 3)",IF(AND($DS$118="Especial de dano 1 alvo (até 1,5×)",INDEX($O$11:$O$22,$R$118)="Comum"),"Pico de dano: ocupa a ação do turno (28.4)",""))))))</f>
        <v/>
      </c>
      <c r="N118" s="19">
        <f>IF(AND(LEN($DQ$118)&gt;0,LEN($DS$118)&gt;0),1,0)</f>
        <v/>
      </c>
      <c r="O118" s="19">
        <f>IF(AND($N$118=1,$DS$118&lt;&gt;"Ataque normal"),1,0)</f>
        <v/>
      </c>
      <c r="P118" s="19">
        <f>IF($N$118=1,$DQ$118&amp;"|"&amp;COUNTIFS($DQ$116:$DQ$118,$DQ$118,$N$116:N118,1),"")</f>
        <v/>
      </c>
      <c r="Q118" s="19">
        <f>IF($O$118=1,$DQ$118&amp;"|"&amp;COUNTIFS($DQ$116:$DQ$118,$DQ$118,$O$116:O118,1),"")</f>
        <v/>
      </c>
      <c r="R118" s="19">
        <f>IFERROR(MATCH($DQ$118,$DQ$11:$DQ$22,0),"")</f>
        <v/>
      </c>
      <c r="S118" s="19">
        <f>$F$159</f>
        <v/>
      </c>
      <c r="DQ118" s="19">
        <f>IF(ISERROR($A$118),"",IF(ISBLANK($A$118),"",$A$118))</f>
        <v/>
      </c>
      <c r="DS118" s="19">
        <f>IF(ISERROR($C$118),"",IF(ISBLANK($C$118),"",$C$118))</f>
        <v/>
      </c>
      <c r="DU118" s="19">
        <f>IF(ISERROR($E$118),"",IF(ISBLANK($E$118),"",$E$118))</f>
        <v/>
      </c>
      <c r="DW118" s="19">
        <f>IF(ISERROR($G$118),"",IF(ISBLANK($G$118),"",$G$118))</f>
        <v/>
      </c>
      <c r="DX118" s="19">
        <f>IF(ISERROR($H$118),"",IF(ISBLANK($H$118),"",$H$118))</f>
        <v/>
      </c>
      <c r="DY118" s="19">
        <f>IF(ISERROR($I$118),"",IF(ISBLANK($I$118),"",$I$118))</f>
        <v/>
      </c>
      <c r="DZ118" s="19">
        <f>IF(ISERROR($J$118),"",IF(ISBLANK($J$118),"",$J$118))</f>
        <v/>
      </c>
      <c r="EA118" s="19">
        <f>ISERROR($A$118)*1+ISERROR($C$118)*1+ISERROR($E$118)*1+ISERROR($G$118)*1+ISERROR($H$118)*1+ISERROR($I$118)*1+ISERROR($J$118)*1</f>
        <v/>
      </c>
    </row>
    <row r="119" ht="37" customHeight="1">
      <c r="A119" s="31" t="n"/>
      <c r="B119" s="16" t="n"/>
      <c r="C119" s="28" t="n"/>
      <c r="D119" s="16" t="n"/>
      <c r="E119" s="28" t="n"/>
      <c r="F119" s="16" t="n"/>
      <c r="G119" s="42" t="n"/>
      <c r="H119" s="42" t="n"/>
      <c r="I119" s="34" t="n"/>
      <c r="J119" s="34" t="n"/>
      <c r="K119" s="26">
        <f>IF(EA119&gt;0,"O Google leu como fórmula: escolha de novo ou digite com ' na frente.",IF(LEN($DQ$119)=0,"",IF(NOT(ISNUMBER($R$119)),"Inimigo fora da tabela I1",IF(AND($O$119=1,$DS$119&lt;&gt;"Reação",NOT(ISNUMBER($DY$119))),"Ação especial precisa de recarga de 2 ou 3 Ciclos (28.4)",IF(COUNTIFS($DQ$116:$DQ$153,$DQ$119,$O$116:$O$153,1)&gt;3,"Mais de 3 ações especiais neste inimigo (28.1: de 1 a 3)",IF(AND($DS$119="Especial de dano 1 alvo (até 1,5×)",INDEX($O$11:$O$22,$R$119)="Comum"),"Pico de dano: ocupa a ação do turno (28.4)",""))))))</f>
        <v/>
      </c>
      <c r="N119" s="19">
        <f>IF(AND(LEN($DQ$119)&gt;0,LEN($DS$119)&gt;0),1,0)</f>
        <v/>
      </c>
      <c r="O119" s="19">
        <f>IF(AND($N$119=1,$DS$119&lt;&gt;"Ataque normal"),1,0)</f>
        <v/>
      </c>
      <c r="P119" s="19">
        <f>IF($N$119=1,$DQ$119&amp;"|"&amp;COUNTIFS($DQ$116:$DQ$119,$DQ$119,$N$116:N119,1),"")</f>
        <v/>
      </c>
      <c r="Q119" s="19">
        <f>IF($O$119=1,$DQ$119&amp;"|"&amp;COUNTIFS($DQ$116:$DQ$119,$DQ$119,$O$116:O119,1),"")</f>
        <v/>
      </c>
      <c r="R119" s="19">
        <f>IFERROR(MATCH($DQ$119,$DQ$11:$DQ$22,0),"")</f>
        <v/>
      </c>
      <c r="S119" s="19">
        <f>$F$160</f>
        <v/>
      </c>
      <c r="DQ119" s="19">
        <f>IF(ISERROR($A$119),"",IF(ISBLANK($A$119),"",$A$119))</f>
        <v/>
      </c>
      <c r="DS119" s="19">
        <f>IF(ISERROR($C$119),"",IF(ISBLANK($C$119),"",$C$119))</f>
        <v/>
      </c>
      <c r="DU119" s="19">
        <f>IF(ISERROR($E$119),"",IF(ISBLANK($E$119),"",$E$119))</f>
        <v/>
      </c>
      <c r="DW119" s="19">
        <f>IF(ISERROR($G$119),"",IF(ISBLANK($G$119),"",$G$119))</f>
        <v/>
      </c>
      <c r="DX119" s="19">
        <f>IF(ISERROR($H$119),"",IF(ISBLANK($H$119),"",$H$119))</f>
        <v/>
      </c>
      <c r="DY119" s="19">
        <f>IF(ISERROR($I$119),"",IF(ISBLANK($I$119),"",$I$119))</f>
        <v/>
      </c>
      <c r="DZ119" s="19">
        <f>IF(ISERROR($J$119),"",IF(ISBLANK($J$119),"",$J$119))</f>
        <v/>
      </c>
      <c r="EA119" s="19">
        <f>ISERROR($A$119)*1+ISERROR($C$119)*1+ISERROR($E$119)*1+ISERROR($G$119)*1+ISERROR($H$119)*1+ISERROR($I$119)*1+ISERROR($J$119)*1</f>
        <v/>
      </c>
    </row>
    <row r="120" ht="37" customHeight="1">
      <c r="A120" s="30" t="n"/>
      <c r="B120" s="16" t="n"/>
      <c r="C120" s="3" t="n"/>
      <c r="D120" s="16" t="n"/>
      <c r="E120" s="3" t="n"/>
      <c r="F120" s="16" t="n"/>
      <c r="G120" s="36" t="n"/>
      <c r="H120" s="36" t="n"/>
      <c r="I120" s="15" t="n"/>
      <c r="J120" s="15" t="n"/>
      <c r="K120" s="18">
        <f>IF(EA120&gt;0,"O Google leu como fórmula: escolha de novo ou digite com ' na frente.",IF(LEN($DQ$120)=0,"",IF(NOT(ISNUMBER($R$120)),"Inimigo fora da tabela I1",IF(AND($O$120=1,$DS$120&lt;&gt;"Reação",NOT(ISNUMBER($DY$120))),"Ação especial precisa de recarga de 2 ou 3 Ciclos (28.4)",IF(COUNTIFS($DQ$116:$DQ$153,$DQ$120,$O$116:$O$153,1)&gt;3,"Mais de 3 ações especiais neste inimigo (28.1: de 1 a 3)",IF(AND($DS$120="Especial de dano 1 alvo (até 1,5×)",INDEX($O$11:$O$22,$R$120)="Comum"),"Pico de dano: ocupa a ação do turno (28.4)",""))))))</f>
        <v/>
      </c>
      <c r="N120" s="19">
        <f>IF(AND(LEN($DQ$120)&gt;0,LEN($DS$120)&gt;0),1,0)</f>
        <v/>
      </c>
      <c r="O120" s="19">
        <f>IF(AND($N$120=1,$DS$120&lt;&gt;"Ataque normal"),1,0)</f>
        <v/>
      </c>
      <c r="P120" s="19">
        <f>IF($N$120=1,$DQ$120&amp;"|"&amp;COUNTIFS($DQ$116:$DQ$120,$DQ$120,$N$116:N120,1),"")</f>
        <v/>
      </c>
      <c r="Q120" s="19">
        <f>IF($O$120=1,$DQ$120&amp;"|"&amp;COUNTIFS($DQ$116:$DQ$120,$DQ$120,$O$116:O120,1),"")</f>
        <v/>
      </c>
      <c r="R120" s="19">
        <f>IFERROR(MATCH($DQ$120,$DQ$11:$DQ$22,0),"")</f>
        <v/>
      </c>
      <c r="S120" s="19">
        <f>$F$161</f>
        <v/>
      </c>
      <c r="DQ120" s="19">
        <f>IF(ISERROR($A$120),"",IF(ISBLANK($A$120),"",$A$120))</f>
        <v/>
      </c>
      <c r="DS120" s="19">
        <f>IF(ISERROR($C$120),"",IF(ISBLANK($C$120),"",$C$120))</f>
        <v/>
      </c>
      <c r="DU120" s="19">
        <f>IF(ISERROR($E$120),"",IF(ISBLANK($E$120),"",$E$120))</f>
        <v/>
      </c>
      <c r="DW120" s="19">
        <f>IF(ISERROR($G$120),"",IF(ISBLANK($G$120),"",$G$120))</f>
        <v/>
      </c>
      <c r="DX120" s="19">
        <f>IF(ISERROR($H$120),"",IF(ISBLANK($H$120),"",$H$120))</f>
        <v/>
      </c>
      <c r="DY120" s="19">
        <f>IF(ISERROR($I$120),"",IF(ISBLANK($I$120),"",$I$120))</f>
        <v/>
      </c>
      <c r="DZ120" s="19">
        <f>IF(ISERROR($J$120),"",IF(ISBLANK($J$120),"",$J$120))</f>
        <v/>
      </c>
      <c r="EA120" s="19">
        <f>ISERROR($A$120)*1+ISERROR($C$120)*1+ISERROR($E$120)*1+ISERROR($G$120)*1+ISERROR($H$120)*1+ISERROR($I$120)*1+ISERROR($J$120)*1</f>
        <v/>
      </c>
    </row>
    <row r="121" ht="37" customHeight="1">
      <c r="A121" s="31" t="n"/>
      <c r="B121" s="16" t="n"/>
      <c r="C121" s="28" t="n"/>
      <c r="D121" s="16" t="n"/>
      <c r="E121" s="28" t="n"/>
      <c r="F121" s="16" t="n"/>
      <c r="G121" s="42" t="n"/>
      <c r="H121" s="42" t="n"/>
      <c r="I121" s="34" t="n"/>
      <c r="J121" s="34" t="n"/>
      <c r="K121" s="26">
        <f>IF(EA121&gt;0,"O Google leu como fórmula: escolha de novo ou digite com ' na frente.",IF(LEN($DQ$121)=0,"",IF(NOT(ISNUMBER($R$121)),"Inimigo fora da tabela I1",IF(AND($O$121=1,$DS$121&lt;&gt;"Reação",NOT(ISNUMBER($DY$121))),"Ação especial precisa de recarga de 2 ou 3 Ciclos (28.4)",IF(COUNTIFS($DQ$116:$DQ$153,$DQ$121,$O$116:$O$153,1)&gt;3,"Mais de 3 ações especiais neste inimigo (28.1: de 1 a 3)",IF(AND($DS$121="Especial de dano 1 alvo (até 1,5×)",INDEX($O$11:$O$22,$R$121)="Comum"),"Pico de dano: ocupa a ação do turno (28.4)",""))))))</f>
        <v/>
      </c>
      <c r="N121" s="19">
        <f>IF(AND(LEN($DQ$121)&gt;0,LEN($DS$121)&gt;0),1,0)</f>
        <v/>
      </c>
      <c r="O121" s="19">
        <f>IF(AND($N$121=1,$DS$121&lt;&gt;"Ataque normal"),1,0)</f>
        <v/>
      </c>
      <c r="P121" s="19">
        <f>IF($N$121=1,$DQ$121&amp;"|"&amp;COUNTIFS($DQ$116:$DQ$121,$DQ$121,$N$116:N121,1),"")</f>
        <v/>
      </c>
      <c r="Q121" s="19">
        <f>IF($O$121=1,$DQ$121&amp;"|"&amp;COUNTIFS($DQ$116:$DQ$121,$DQ$121,$O$116:O121,1),"")</f>
        <v/>
      </c>
      <c r="R121" s="19">
        <f>IFERROR(MATCH($DQ$121,$DQ$11:$DQ$22,0),"")</f>
        <v/>
      </c>
      <c r="S121" s="19">
        <f>$F$162</f>
        <v/>
      </c>
      <c r="DQ121" s="19">
        <f>IF(ISERROR($A$121),"",IF(ISBLANK($A$121),"",$A$121))</f>
        <v/>
      </c>
      <c r="DS121" s="19">
        <f>IF(ISERROR($C$121),"",IF(ISBLANK($C$121),"",$C$121))</f>
        <v/>
      </c>
      <c r="DU121" s="19">
        <f>IF(ISERROR($E$121),"",IF(ISBLANK($E$121),"",$E$121))</f>
        <v/>
      </c>
      <c r="DW121" s="19">
        <f>IF(ISERROR($G$121),"",IF(ISBLANK($G$121),"",$G$121))</f>
        <v/>
      </c>
      <c r="DX121" s="19">
        <f>IF(ISERROR($H$121),"",IF(ISBLANK($H$121),"",$H$121))</f>
        <v/>
      </c>
      <c r="DY121" s="19">
        <f>IF(ISERROR($I$121),"",IF(ISBLANK($I$121),"",$I$121))</f>
        <v/>
      </c>
      <c r="DZ121" s="19">
        <f>IF(ISERROR($J$121),"",IF(ISBLANK($J$121),"",$J$121))</f>
        <v/>
      </c>
      <c r="EA121" s="19">
        <f>ISERROR($A$121)*1+ISERROR($C$121)*1+ISERROR($E$121)*1+ISERROR($G$121)*1+ISERROR($H$121)*1+ISERROR($I$121)*1+ISERROR($J$121)*1</f>
        <v/>
      </c>
    </row>
    <row r="122" ht="37" customHeight="1">
      <c r="A122" s="30" t="n"/>
      <c r="B122" s="16" t="n"/>
      <c r="C122" s="3" t="n"/>
      <c r="D122" s="16" t="n"/>
      <c r="E122" s="3" t="n"/>
      <c r="F122" s="16" t="n"/>
      <c r="G122" s="36" t="n"/>
      <c r="H122" s="36" t="n"/>
      <c r="I122" s="15" t="n"/>
      <c r="J122" s="15" t="n"/>
      <c r="K122" s="18">
        <f>IF(EA122&gt;0,"O Google leu como fórmula: escolha de novo ou digite com ' na frente.",IF(LEN($DQ$122)=0,"",IF(NOT(ISNUMBER($R$122)),"Inimigo fora da tabela I1",IF(AND($O$122=1,$DS$122&lt;&gt;"Reação",NOT(ISNUMBER($DY$122))),"Ação especial precisa de recarga de 2 ou 3 Ciclos (28.4)",IF(COUNTIFS($DQ$116:$DQ$153,$DQ$122,$O$116:$O$153,1)&gt;3,"Mais de 3 ações especiais neste inimigo (28.1: de 1 a 3)",IF(AND($DS$122="Especial de dano 1 alvo (até 1,5×)",INDEX($O$11:$O$22,$R$122)="Comum"),"Pico de dano: ocupa a ação do turno (28.4)",""))))))</f>
        <v/>
      </c>
      <c r="N122" s="19">
        <f>IF(AND(LEN($DQ$122)&gt;0,LEN($DS$122)&gt;0),1,0)</f>
        <v/>
      </c>
      <c r="O122" s="19">
        <f>IF(AND($N$122=1,$DS$122&lt;&gt;"Ataque normal"),1,0)</f>
        <v/>
      </c>
      <c r="P122" s="19">
        <f>IF($N$122=1,$DQ$122&amp;"|"&amp;COUNTIFS($DQ$116:$DQ$122,$DQ$122,$N$116:N122,1),"")</f>
        <v/>
      </c>
      <c r="Q122" s="19">
        <f>IF($O$122=1,$DQ$122&amp;"|"&amp;COUNTIFS($DQ$116:$DQ$122,$DQ$122,$O$116:O122,1),"")</f>
        <v/>
      </c>
      <c r="R122" s="19">
        <f>IFERROR(MATCH($DQ$122,$DQ$11:$DQ$22,0),"")</f>
        <v/>
      </c>
      <c r="S122" s="19">
        <f>$F$163</f>
        <v/>
      </c>
      <c r="DQ122" s="19">
        <f>IF(ISERROR($A$122),"",IF(ISBLANK($A$122),"",$A$122))</f>
        <v/>
      </c>
      <c r="DS122" s="19">
        <f>IF(ISERROR($C$122),"",IF(ISBLANK($C$122),"",$C$122))</f>
        <v/>
      </c>
      <c r="DU122" s="19">
        <f>IF(ISERROR($E$122),"",IF(ISBLANK($E$122),"",$E$122))</f>
        <v/>
      </c>
      <c r="DW122" s="19">
        <f>IF(ISERROR($G$122),"",IF(ISBLANK($G$122),"",$G$122))</f>
        <v/>
      </c>
      <c r="DX122" s="19">
        <f>IF(ISERROR($H$122),"",IF(ISBLANK($H$122),"",$H$122))</f>
        <v/>
      </c>
      <c r="DY122" s="19">
        <f>IF(ISERROR($I$122),"",IF(ISBLANK($I$122),"",$I$122))</f>
        <v/>
      </c>
      <c r="DZ122" s="19">
        <f>IF(ISERROR($J$122),"",IF(ISBLANK($J$122),"",$J$122))</f>
        <v/>
      </c>
      <c r="EA122" s="19">
        <f>ISERROR($A$122)*1+ISERROR($C$122)*1+ISERROR($E$122)*1+ISERROR($G$122)*1+ISERROR($H$122)*1+ISERROR($I$122)*1+ISERROR($J$122)*1</f>
        <v/>
      </c>
    </row>
    <row r="123" ht="37" customHeight="1">
      <c r="A123" s="31" t="n"/>
      <c r="B123" s="16" t="n"/>
      <c r="C123" s="28" t="n"/>
      <c r="D123" s="16" t="n"/>
      <c r="E123" s="28" t="n"/>
      <c r="F123" s="16" t="n"/>
      <c r="G123" s="42" t="n"/>
      <c r="H123" s="42" t="n"/>
      <c r="I123" s="34" t="n"/>
      <c r="J123" s="34" t="n"/>
      <c r="K123" s="26">
        <f>IF(EA123&gt;0,"O Google leu como fórmula: escolha de novo ou digite com ' na frente.",IF(LEN($DQ$123)=0,"",IF(NOT(ISNUMBER($R$123)),"Inimigo fora da tabela I1",IF(AND($O$123=1,$DS$123&lt;&gt;"Reação",NOT(ISNUMBER($DY$123))),"Ação especial precisa de recarga de 2 ou 3 Ciclos (28.4)",IF(COUNTIFS($DQ$116:$DQ$153,$DQ$123,$O$116:$O$153,1)&gt;3,"Mais de 3 ações especiais neste inimigo (28.1: de 1 a 3)",IF(AND($DS$123="Especial de dano 1 alvo (até 1,5×)",INDEX($O$11:$O$22,$R$123)="Comum"),"Pico de dano: ocupa a ação do turno (28.4)",""))))))</f>
        <v/>
      </c>
      <c r="N123" s="19">
        <f>IF(AND(LEN($DQ$123)&gt;0,LEN($DS$123)&gt;0),1,0)</f>
        <v/>
      </c>
      <c r="O123" s="19">
        <f>IF(AND($N$123=1,$DS$123&lt;&gt;"Ataque normal"),1,0)</f>
        <v/>
      </c>
      <c r="P123" s="19">
        <f>IF($N$123=1,$DQ$123&amp;"|"&amp;COUNTIFS($DQ$116:$DQ$123,$DQ$123,$N$116:N123,1),"")</f>
        <v/>
      </c>
      <c r="Q123" s="19">
        <f>IF($O$123=1,$DQ$123&amp;"|"&amp;COUNTIFS($DQ$116:$DQ$123,$DQ$123,$O$116:O123,1),"")</f>
        <v/>
      </c>
      <c r="R123" s="19">
        <f>IFERROR(MATCH($DQ$123,$DQ$11:$DQ$22,0),"")</f>
        <v/>
      </c>
      <c r="S123" s="19">
        <f>$F$164</f>
        <v/>
      </c>
      <c r="DQ123" s="19">
        <f>IF(ISERROR($A$123),"",IF(ISBLANK($A$123),"",$A$123))</f>
        <v/>
      </c>
      <c r="DS123" s="19">
        <f>IF(ISERROR($C$123),"",IF(ISBLANK($C$123),"",$C$123))</f>
        <v/>
      </c>
      <c r="DU123" s="19">
        <f>IF(ISERROR($E$123),"",IF(ISBLANK($E$123),"",$E$123))</f>
        <v/>
      </c>
      <c r="DW123" s="19">
        <f>IF(ISERROR($G$123),"",IF(ISBLANK($G$123),"",$G$123))</f>
        <v/>
      </c>
      <c r="DX123" s="19">
        <f>IF(ISERROR($H$123),"",IF(ISBLANK($H$123),"",$H$123))</f>
        <v/>
      </c>
      <c r="DY123" s="19">
        <f>IF(ISERROR($I$123),"",IF(ISBLANK($I$123),"",$I$123))</f>
        <v/>
      </c>
      <c r="DZ123" s="19">
        <f>IF(ISERROR($J$123),"",IF(ISBLANK($J$123),"",$J$123))</f>
        <v/>
      </c>
      <c r="EA123" s="19">
        <f>ISERROR($A$123)*1+ISERROR($C$123)*1+ISERROR($E$123)*1+ISERROR($G$123)*1+ISERROR($H$123)*1+ISERROR($I$123)*1+ISERROR($J$123)*1</f>
        <v/>
      </c>
    </row>
    <row r="124" ht="37" customHeight="1">
      <c r="A124" s="30" t="n"/>
      <c r="B124" s="16" t="n"/>
      <c r="C124" s="3" t="n"/>
      <c r="D124" s="16" t="n"/>
      <c r="E124" s="3" t="n"/>
      <c r="F124" s="16" t="n"/>
      <c r="G124" s="36" t="n"/>
      <c r="H124" s="36" t="n"/>
      <c r="I124" s="15" t="n"/>
      <c r="J124" s="15" t="n"/>
      <c r="K124" s="18">
        <f>IF(EA124&gt;0,"O Google leu como fórmula: escolha de novo ou digite com ' na frente.",IF(LEN($DQ$124)=0,"",IF(NOT(ISNUMBER($R$124)),"Inimigo fora da tabela I1",IF(AND($O$124=1,$DS$124&lt;&gt;"Reação",NOT(ISNUMBER($DY$124))),"Ação especial precisa de recarga de 2 ou 3 Ciclos (28.4)",IF(COUNTIFS($DQ$116:$DQ$153,$DQ$124,$O$116:$O$153,1)&gt;3,"Mais de 3 ações especiais neste inimigo (28.1: de 1 a 3)",IF(AND($DS$124="Especial de dano 1 alvo (até 1,5×)",INDEX($O$11:$O$22,$R$124)="Comum"),"Pico de dano: ocupa a ação do turno (28.4)",""))))))</f>
        <v/>
      </c>
      <c r="N124" s="19">
        <f>IF(AND(LEN($DQ$124)&gt;0,LEN($DS$124)&gt;0),1,0)</f>
        <v/>
      </c>
      <c r="O124" s="19">
        <f>IF(AND($N$124=1,$DS$124&lt;&gt;"Ataque normal"),1,0)</f>
        <v/>
      </c>
      <c r="P124" s="19">
        <f>IF($N$124=1,$DQ$124&amp;"|"&amp;COUNTIFS($DQ$116:$DQ$124,$DQ$124,$N$116:N124,1),"")</f>
        <v/>
      </c>
      <c r="Q124" s="19">
        <f>IF($O$124=1,$DQ$124&amp;"|"&amp;COUNTIFS($DQ$116:$DQ$124,$DQ$124,$O$116:O124,1),"")</f>
        <v/>
      </c>
      <c r="R124" s="19">
        <f>IFERROR(MATCH($DQ$124,$DQ$11:$DQ$22,0),"")</f>
        <v/>
      </c>
      <c r="S124" s="19">
        <f>$F$165</f>
        <v/>
      </c>
      <c r="DQ124" s="19">
        <f>IF(ISERROR($A$124),"",IF(ISBLANK($A$124),"",$A$124))</f>
        <v/>
      </c>
      <c r="DS124" s="19">
        <f>IF(ISERROR($C$124),"",IF(ISBLANK($C$124),"",$C$124))</f>
        <v/>
      </c>
      <c r="DU124" s="19">
        <f>IF(ISERROR($E$124),"",IF(ISBLANK($E$124),"",$E$124))</f>
        <v/>
      </c>
      <c r="DW124" s="19">
        <f>IF(ISERROR($G$124),"",IF(ISBLANK($G$124),"",$G$124))</f>
        <v/>
      </c>
      <c r="DX124" s="19">
        <f>IF(ISERROR($H$124),"",IF(ISBLANK($H$124),"",$H$124))</f>
        <v/>
      </c>
      <c r="DY124" s="19">
        <f>IF(ISERROR($I$124),"",IF(ISBLANK($I$124),"",$I$124))</f>
        <v/>
      </c>
      <c r="DZ124" s="19">
        <f>IF(ISERROR($J$124),"",IF(ISBLANK($J$124),"",$J$124))</f>
        <v/>
      </c>
      <c r="EA124" s="19">
        <f>ISERROR($A$124)*1+ISERROR($C$124)*1+ISERROR($E$124)*1+ISERROR($G$124)*1+ISERROR($H$124)*1+ISERROR($I$124)*1+ISERROR($J$124)*1</f>
        <v/>
      </c>
    </row>
    <row r="125" ht="37" customHeight="1">
      <c r="A125" s="31" t="n"/>
      <c r="B125" s="16" t="n"/>
      <c r="C125" s="28" t="n"/>
      <c r="D125" s="16" t="n"/>
      <c r="E125" s="28" t="n"/>
      <c r="F125" s="16" t="n"/>
      <c r="G125" s="42" t="n"/>
      <c r="H125" s="42" t="n"/>
      <c r="I125" s="34" t="n"/>
      <c r="J125" s="34" t="n"/>
      <c r="K125" s="26">
        <f>IF(EA125&gt;0,"O Google leu como fórmula: escolha de novo ou digite com ' na frente.",IF(LEN($DQ$125)=0,"",IF(NOT(ISNUMBER($R$125)),"Inimigo fora da tabela I1",IF(AND($O$125=1,$DS$125&lt;&gt;"Reação",NOT(ISNUMBER($DY$125))),"Ação especial precisa de recarga de 2 ou 3 Ciclos (28.4)",IF(COUNTIFS($DQ$116:$DQ$153,$DQ$125,$O$116:$O$153,1)&gt;3,"Mais de 3 ações especiais neste inimigo (28.1: de 1 a 3)",IF(AND($DS$125="Especial de dano 1 alvo (até 1,5×)",INDEX($O$11:$O$22,$R$125)="Comum"),"Pico de dano: ocupa a ação do turno (28.4)",""))))))</f>
        <v/>
      </c>
      <c r="N125" s="19">
        <f>IF(AND(LEN($DQ$125)&gt;0,LEN($DS$125)&gt;0),1,0)</f>
        <v/>
      </c>
      <c r="O125" s="19">
        <f>IF(AND($N$125=1,$DS$125&lt;&gt;"Ataque normal"),1,0)</f>
        <v/>
      </c>
      <c r="P125" s="19">
        <f>IF($N$125=1,$DQ$125&amp;"|"&amp;COUNTIFS($DQ$116:$DQ$125,$DQ$125,$N$116:N125,1),"")</f>
        <v/>
      </c>
      <c r="Q125" s="19">
        <f>IF($O$125=1,$DQ$125&amp;"|"&amp;COUNTIFS($DQ$116:$DQ$125,$DQ$125,$O$116:O125,1),"")</f>
        <v/>
      </c>
      <c r="R125" s="19">
        <f>IFERROR(MATCH($DQ$125,$DQ$11:$DQ$22,0),"")</f>
        <v/>
      </c>
      <c r="S125" s="19">
        <f>$F$166</f>
        <v/>
      </c>
      <c r="DQ125" s="19">
        <f>IF(ISERROR($A$125),"",IF(ISBLANK($A$125),"",$A$125))</f>
        <v/>
      </c>
      <c r="DS125" s="19">
        <f>IF(ISERROR($C$125),"",IF(ISBLANK($C$125),"",$C$125))</f>
        <v/>
      </c>
      <c r="DU125" s="19">
        <f>IF(ISERROR($E$125),"",IF(ISBLANK($E$125),"",$E$125))</f>
        <v/>
      </c>
      <c r="DW125" s="19">
        <f>IF(ISERROR($G$125),"",IF(ISBLANK($G$125),"",$G$125))</f>
        <v/>
      </c>
      <c r="DX125" s="19">
        <f>IF(ISERROR($H$125),"",IF(ISBLANK($H$125),"",$H$125))</f>
        <v/>
      </c>
      <c r="DY125" s="19">
        <f>IF(ISERROR($I$125),"",IF(ISBLANK($I$125),"",$I$125))</f>
        <v/>
      </c>
      <c r="DZ125" s="19">
        <f>IF(ISERROR($J$125),"",IF(ISBLANK($J$125),"",$J$125))</f>
        <v/>
      </c>
      <c r="EA125" s="19">
        <f>ISERROR($A$125)*1+ISERROR($C$125)*1+ISERROR($E$125)*1+ISERROR($G$125)*1+ISERROR($H$125)*1+ISERROR($I$125)*1+ISERROR($J$125)*1</f>
        <v/>
      </c>
    </row>
    <row r="126" ht="37" customHeight="1">
      <c r="A126" s="30" t="n"/>
      <c r="B126" s="16" t="n"/>
      <c r="C126" s="3" t="n"/>
      <c r="D126" s="16" t="n"/>
      <c r="E126" s="3" t="n"/>
      <c r="F126" s="16" t="n"/>
      <c r="G126" s="36" t="n"/>
      <c r="H126" s="36" t="n"/>
      <c r="I126" s="15" t="n"/>
      <c r="J126" s="15" t="n"/>
      <c r="K126" s="18">
        <f>IF(EA126&gt;0,"O Google leu como fórmula: escolha de novo ou digite com ' na frente.",IF(LEN($DQ$126)=0,"",IF(NOT(ISNUMBER($R$126)),"Inimigo fora da tabela I1",IF(AND($O$126=1,$DS$126&lt;&gt;"Reação",NOT(ISNUMBER($DY$126))),"Ação especial precisa de recarga de 2 ou 3 Ciclos (28.4)",IF(COUNTIFS($DQ$116:$DQ$153,$DQ$126,$O$116:$O$153,1)&gt;3,"Mais de 3 ações especiais neste inimigo (28.1: de 1 a 3)",IF(AND($DS$126="Especial de dano 1 alvo (até 1,5×)",INDEX($O$11:$O$22,$R$126)="Comum"),"Pico de dano: ocupa a ação do turno (28.4)",""))))))</f>
        <v/>
      </c>
      <c r="N126" s="19">
        <f>IF(AND(LEN($DQ$126)&gt;0,LEN($DS$126)&gt;0),1,0)</f>
        <v/>
      </c>
      <c r="O126" s="19">
        <f>IF(AND($N$126=1,$DS$126&lt;&gt;"Ataque normal"),1,0)</f>
        <v/>
      </c>
      <c r="P126" s="19">
        <f>IF($N$126=1,$DQ$126&amp;"|"&amp;COUNTIFS($DQ$116:$DQ$126,$DQ$126,$N$116:N126,1),"")</f>
        <v/>
      </c>
      <c r="Q126" s="19">
        <f>IF($O$126=1,$DQ$126&amp;"|"&amp;COUNTIFS($DQ$116:$DQ$126,$DQ$126,$O$116:O126,1),"")</f>
        <v/>
      </c>
      <c r="R126" s="19">
        <f>IFERROR(MATCH($DQ$126,$DQ$11:$DQ$22,0),"")</f>
        <v/>
      </c>
      <c r="S126" s="19">
        <f>$F$167</f>
        <v/>
      </c>
      <c r="DQ126" s="19">
        <f>IF(ISERROR($A$126),"",IF(ISBLANK($A$126),"",$A$126))</f>
        <v/>
      </c>
      <c r="DS126" s="19">
        <f>IF(ISERROR($C$126),"",IF(ISBLANK($C$126),"",$C$126))</f>
        <v/>
      </c>
      <c r="DU126" s="19">
        <f>IF(ISERROR($E$126),"",IF(ISBLANK($E$126),"",$E$126))</f>
        <v/>
      </c>
      <c r="DW126" s="19">
        <f>IF(ISERROR($G$126),"",IF(ISBLANK($G$126),"",$G$126))</f>
        <v/>
      </c>
      <c r="DX126" s="19">
        <f>IF(ISERROR($H$126),"",IF(ISBLANK($H$126),"",$H$126))</f>
        <v/>
      </c>
      <c r="DY126" s="19">
        <f>IF(ISERROR($I$126),"",IF(ISBLANK($I$126),"",$I$126))</f>
        <v/>
      </c>
      <c r="DZ126" s="19">
        <f>IF(ISERROR($J$126),"",IF(ISBLANK($J$126),"",$J$126))</f>
        <v/>
      </c>
      <c r="EA126" s="19">
        <f>ISERROR($A$126)*1+ISERROR($C$126)*1+ISERROR($E$126)*1+ISERROR($G$126)*1+ISERROR($H$126)*1+ISERROR($I$126)*1+ISERROR($J$126)*1</f>
        <v/>
      </c>
    </row>
    <row r="127" ht="37" customHeight="1">
      <c r="A127" s="31" t="n"/>
      <c r="B127" s="16" t="n"/>
      <c r="C127" s="28" t="n"/>
      <c r="D127" s="16" t="n"/>
      <c r="E127" s="28" t="n"/>
      <c r="F127" s="16" t="n"/>
      <c r="G127" s="42" t="n"/>
      <c r="H127" s="42" t="n"/>
      <c r="I127" s="34" t="n"/>
      <c r="J127" s="34" t="n"/>
      <c r="K127" s="26">
        <f>IF(EA127&gt;0,"O Google leu como fórmula: escolha de novo ou digite com ' na frente.",IF(LEN($DQ$127)=0,"",IF(NOT(ISNUMBER($R$127)),"Inimigo fora da tabela I1",IF(AND($O$127=1,$DS$127&lt;&gt;"Reação",NOT(ISNUMBER($DY$127))),"Ação especial precisa de recarga de 2 ou 3 Ciclos (28.4)",IF(COUNTIFS($DQ$116:$DQ$153,$DQ$127,$O$116:$O$153,1)&gt;3,"Mais de 3 ações especiais neste inimigo (28.1: de 1 a 3)",IF(AND($DS$127="Especial de dano 1 alvo (até 1,5×)",INDEX($O$11:$O$22,$R$127)="Comum"),"Pico de dano: ocupa a ação do turno (28.4)",""))))))</f>
        <v/>
      </c>
      <c r="N127" s="19">
        <f>IF(AND(LEN($DQ$127)&gt;0,LEN($DS$127)&gt;0),1,0)</f>
        <v/>
      </c>
      <c r="O127" s="19">
        <f>IF(AND($N$127=1,$DS$127&lt;&gt;"Ataque normal"),1,0)</f>
        <v/>
      </c>
      <c r="P127" s="19">
        <f>IF($N$127=1,$DQ$127&amp;"|"&amp;COUNTIFS($DQ$116:$DQ$127,$DQ$127,$N$116:N127,1),"")</f>
        <v/>
      </c>
      <c r="Q127" s="19">
        <f>IF($O$127=1,$DQ$127&amp;"|"&amp;COUNTIFS($DQ$116:$DQ$127,$DQ$127,$O$116:O127,1),"")</f>
        <v/>
      </c>
      <c r="R127" s="19">
        <f>IFERROR(MATCH($DQ$127,$DQ$11:$DQ$22,0),"")</f>
        <v/>
      </c>
      <c r="S127" s="19">
        <f>$F$168</f>
        <v/>
      </c>
      <c r="DQ127" s="19">
        <f>IF(ISERROR($A$127),"",IF(ISBLANK($A$127),"",$A$127))</f>
        <v/>
      </c>
      <c r="DS127" s="19">
        <f>IF(ISERROR($C$127),"",IF(ISBLANK($C$127),"",$C$127))</f>
        <v/>
      </c>
      <c r="DU127" s="19">
        <f>IF(ISERROR($E$127),"",IF(ISBLANK($E$127),"",$E$127))</f>
        <v/>
      </c>
      <c r="DW127" s="19">
        <f>IF(ISERROR($G$127),"",IF(ISBLANK($G$127),"",$G$127))</f>
        <v/>
      </c>
      <c r="DX127" s="19">
        <f>IF(ISERROR($H$127),"",IF(ISBLANK($H$127),"",$H$127))</f>
        <v/>
      </c>
      <c r="DY127" s="19">
        <f>IF(ISERROR($I$127),"",IF(ISBLANK($I$127),"",$I$127))</f>
        <v/>
      </c>
      <c r="DZ127" s="19">
        <f>IF(ISERROR($J$127),"",IF(ISBLANK($J$127),"",$J$127))</f>
        <v/>
      </c>
      <c r="EA127" s="19">
        <f>ISERROR($A$127)*1+ISERROR($C$127)*1+ISERROR($E$127)*1+ISERROR($G$127)*1+ISERROR($H$127)*1+ISERROR($I$127)*1+ISERROR($J$127)*1</f>
        <v/>
      </c>
    </row>
    <row r="128" ht="26" customHeight="1">
      <c r="A128" s="7" t="inlineStr">
        <is>
          <t>Inimigo</t>
        </is>
      </c>
      <c r="B128" s="20" t="n"/>
      <c r="C128" s="7" t="inlineStr">
        <is>
          <t>Tipo de ação</t>
        </is>
      </c>
      <c r="D128" s="20" t="n"/>
      <c r="E128" s="7" t="inlineStr">
        <is>
          <t>Nome da ação</t>
        </is>
      </c>
      <c r="F128" s="20" t="n"/>
      <c r="G128" s="7" t="inlineStr">
        <is>
          <t>Alcance</t>
        </is>
      </c>
      <c r="H128" s="7" t="inlineStr">
        <is>
          <t>Elemento</t>
        </is>
      </c>
      <c r="I128" s="7" t="inlineStr">
        <is>
          <t>Recarga (Ciclos)</t>
        </is>
      </c>
      <c r="J128" s="7" t="inlineStr">
        <is>
          <t>Duração (turnos)</t>
        </is>
      </c>
      <c r="K128" s="7" t="inlineStr">
        <is>
          <t>Aviso</t>
        </is>
      </c>
      <c r="L128" s="20" t="n"/>
      <c r="DQ128" s="19">
        <f>IF(ISERROR($A$128),"",IF(ISBLANK($A$128),"",$A$128))</f>
        <v/>
      </c>
      <c r="DU128" s="19">
        <f>IF(ISERROR($E$128),"",IF(ISBLANK($E$128),"",$E$128))</f>
        <v/>
      </c>
      <c r="DY128" s="19">
        <f>IF(ISERROR($I$128),"",IF(ISBLANK($I$128),"",$I$128))</f>
        <v/>
      </c>
    </row>
    <row r="129" ht="37" customHeight="1">
      <c r="A129" s="30" t="n"/>
      <c r="B129" s="16" t="n"/>
      <c r="C129" s="3" t="n"/>
      <c r="D129" s="16" t="n"/>
      <c r="E129" s="3" t="n"/>
      <c r="F129" s="16" t="n"/>
      <c r="G129" s="36" t="n"/>
      <c r="H129" s="36" t="n"/>
      <c r="I129" s="15" t="n"/>
      <c r="J129" s="15" t="n"/>
      <c r="K129" s="18">
        <f>IF(EA129&gt;0,"O Google leu como fórmula: escolha de novo ou digite com ' na frente.",IF(LEN($DQ$129)=0,"",IF(NOT(ISNUMBER($R$129)),"Inimigo fora da tabela I1",IF(AND($O$129=1,$DS$129&lt;&gt;"Reação",NOT(ISNUMBER($DY$129))),"Ação especial precisa de recarga de 2 ou 3 Ciclos (28.4)",IF(COUNTIFS($DQ$116:$DQ$153,$DQ$129,$O$116:$O$153,1)&gt;3,"Mais de 3 ações especiais neste inimigo (28.1: de 1 a 3)",IF(AND($DS$129="Especial de dano 1 alvo (até 1,5×)",INDEX($O$11:$O$22,$R$129)="Comum"),"Pico de dano: ocupa a ação do turno (28.4)",""))))))</f>
        <v/>
      </c>
      <c r="N129" s="19">
        <f>IF(AND(LEN($DQ$129)&gt;0,LEN($DS$129)&gt;0),1,0)</f>
        <v/>
      </c>
      <c r="O129" s="19">
        <f>IF(AND($N$129=1,$DS$129&lt;&gt;"Ataque normal"),1,0)</f>
        <v/>
      </c>
      <c r="P129" s="19">
        <f>IF($N$129=1,$DQ$129&amp;"|"&amp;COUNTIFS($DQ$116:$DQ$129,$DQ$129,$N$116:N129,1),"")</f>
        <v/>
      </c>
      <c r="Q129" s="19">
        <f>IF($O$129=1,$DQ$129&amp;"|"&amp;COUNTIFS($DQ$116:$DQ$129,$DQ$129,$O$116:O129,1),"")</f>
        <v/>
      </c>
      <c r="R129" s="19">
        <f>IFERROR(MATCH($DQ$129,$DQ$11:$DQ$22,0),"")</f>
        <v/>
      </c>
      <c r="S129" s="19">
        <f>$F$170</f>
        <v/>
      </c>
      <c r="DQ129" s="19">
        <f>IF(ISERROR($A$129),"",IF(ISBLANK($A$129),"",$A$129))</f>
        <v/>
      </c>
      <c r="DS129" s="19">
        <f>IF(ISERROR($C$129),"",IF(ISBLANK($C$129),"",$C$129))</f>
        <v/>
      </c>
      <c r="DU129" s="19">
        <f>IF(ISERROR($E$129),"",IF(ISBLANK($E$129),"",$E$129))</f>
        <v/>
      </c>
      <c r="DW129" s="19">
        <f>IF(ISERROR($G$129),"",IF(ISBLANK($G$129),"",$G$129))</f>
        <v/>
      </c>
      <c r="DX129" s="19">
        <f>IF(ISERROR($H$129),"",IF(ISBLANK($H$129),"",$H$129))</f>
        <v/>
      </c>
      <c r="DY129" s="19">
        <f>IF(ISERROR($I$129),"",IF(ISBLANK($I$129),"",$I$129))</f>
        <v/>
      </c>
      <c r="DZ129" s="19">
        <f>IF(ISERROR($J$129),"",IF(ISBLANK($J$129),"",$J$129))</f>
        <v/>
      </c>
      <c r="EA129" s="19">
        <f>ISERROR($A$129)*1+ISERROR($C$129)*1+ISERROR($E$129)*1+ISERROR($G$129)*1+ISERROR($H$129)*1+ISERROR($I$129)*1+ISERROR($J$129)*1</f>
        <v/>
      </c>
    </row>
    <row r="130" ht="37" customHeight="1">
      <c r="A130" s="31" t="n"/>
      <c r="B130" s="16" t="n"/>
      <c r="C130" s="28" t="n"/>
      <c r="D130" s="16" t="n"/>
      <c r="E130" s="28" t="n"/>
      <c r="F130" s="16" t="n"/>
      <c r="G130" s="42" t="n"/>
      <c r="H130" s="42" t="n"/>
      <c r="I130" s="34" t="n"/>
      <c r="J130" s="34" t="n"/>
      <c r="K130" s="26">
        <f>IF(EA130&gt;0,"O Google leu como fórmula: escolha de novo ou digite com ' na frente.",IF(LEN($DQ$130)=0,"",IF(NOT(ISNUMBER($R$130)),"Inimigo fora da tabela I1",IF(AND($O$130=1,$DS$130&lt;&gt;"Reação",NOT(ISNUMBER($DY$130))),"Ação especial precisa de recarga de 2 ou 3 Ciclos (28.4)",IF(COUNTIFS($DQ$116:$DQ$153,$DQ$130,$O$116:$O$153,1)&gt;3,"Mais de 3 ações especiais neste inimigo (28.1: de 1 a 3)",IF(AND($DS$130="Especial de dano 1 alvo (até 1,5×)",INDEX($O$11:$O$22,$R$130)="Comum"),"Pico de dano: ocupa a ação do turno (28.4)",""))))))</f>
        <v/>
      </c>
      <c r="N130" s="19">
        <f>IF(AND(LEN($DQ$130)&gt;0,LEN($DS$130)&gt;0),1,0)</f>
        <v/>
      </c>
      <c r="O130" s="19">
        <f>IF(AND($N$130=1,$DS$130&lt;&gt;"Ataque normal"),1,0)</f>
        <v/>
      </c>
      <c r="P130" s="19">
        <f>IF($N$130=1,$DQ$130&amp;"|"&amp;COUNTIFS($DQ$116:$DQ$130,$DQ$130,$N$116:N130,1),"")</f>
        <v/>
      </c>
      <c r="Q130" s="19">
        <f>IF($O$130=1,$DQ$130&amp;"|"&amp;COUNTIFS($DQ$116:$DQ$130,$DQ$130,$O$116:O130,1),"")</f>
        <v/>
      </c>
      <c r="R130" s="19">
        <f>IFERROR(MATCH($DQ$130,$DQ$11:$DQ$22,0),"")</f>
        <v/>
      </c>
      <c r="S130" s="19">
        <f>$F$171</f>
        <v/>
      </c>
      <c r="DQ130" s="19">
        <f>IF(ISERROR($A$130),"",IF(ISBLANK($A$130),"",$A$130))</f>
        <v/>
      </c>
      <c r="DS130" s="19">
        <f>IF(ISERROR($C$130),"",IF(ISBLANK($C$130),"",$C$130))</f>
        <v/>
      </c>
      <c r="DU130" s="19">
        <f>IF(ISERROR($E$130),"",IF(ISBLANK($E$130),"",$E$130))</f>
        <v/>
      </c>
      <c r="DW130" s="19">
        <f>IF(ISERROR($G$130),"",IF(ISBLANK($G$130),"",$G$130))</f>
        <v/>
      </c>
      <c r="DX130" s="19">
        <f>IF(ISERROR($H$130),"",IF(ISBLANK($H$130),"",$H$130))</f>
        <v/>
      </c>
      <c r="DY130" s="19">
        <f>IF(ISERROR($I$130),"",IF(ISBLANK($I$130),"",$I$130))</f>
        <v/>
      </c>
      <c r="DZ130" s="19">
        <f>IF(ISERROR($J$130),"",IF(ISBLANK($J$130),"",$J$130))</f>
        <v/>
      </c>
      <c r="EA130" s="19">
        <f>ISERROR($A$130)*1+ISERROR($C$130)*1+ISERROR($E$130)*1+ISERROR($G$130)*1+ISERROR($H$130)*1+ISERROR($I$130)*1+ISERROR($J$130)*1</f>
        <v/>
      </c>
    </row>
    <row r="131" ht="37" customHeight="1">
      <c r="A131" s="30" t="n"/>
      <c r="B131" s="16" t="n"/>
      <c r="C131" s="3" t="n"/>
      <c r="D131" s="16" t="n"/>
      <c r="E131" s="3" t="n"/>
      <c r="F131" s="16" t="n"/>
      <c r="G131" s="36" t="n"/>
      <c r="H131" s="36" t="n"/>
      <c r="I131" s="15" t="n"/>
      <c r="J131" s="15" t="n"/>
      <c r="K131" s="18">
        <f>IF(EA131&gt;0,"O Google leu como fórmula: escolha de novo ou digite com ' na frente.",IF(LEN($DQ$131)=0,"",IF(NOT(ISNUMBER($R$131)),"Inimigo fora da tabela I1",IF(AND($O$131=1,$DS$131&lt;&gt;"Reação",NOT(ISNUMBER($DY$131))),"Ação especial precisa de recarga de 2 ou 3 Ciclos (28.4)",IF(COUNTIFS($DQ$116:$DQ$153,$DQ$131,$O$116:$O$153,1)&gt;3,"Mais de 3 ações especiais neste inimigo (28.1: de 1 a 3)",IF(AND($DS$131="Especial de dano 1 alvo (até 1,5×)",INDEX($O$11:$O$22,$R$131)="Comum"),"Pico de dano: ocupa a ação do turno (28.4)",""))))))</f>
        <v/>
      </c>
      <c r="N131" s="19">
        <f>IF(AND(LEN($DQ$131)&gt;0,LEN($DS$131)&gt;0),1,0)</f>
        <v/>
      </c>
      <c r="O131" s="19">
        <f>IF(AND($N$131=1,$DS$131&lt;&gt;"Ataque normal"),1,0)</f>
        <v/>
      </c>
      <c r="P131" s="19">
        <f>IF($N$131=1,$DQ$131&amp;"|"&amp;COUNTIFS($DQ$116:$DQ$131,$DQ$131,$N$116:N131,1),"")</f>
        <v/>
      </c>
      <c r="Q131" s="19">
        <f>IF($O$131=1,$DQ$131&amp;"|"&amp;COUNTIFS($DQ$116:$DQ$131,$DQ$131,$O$116:O131,1),"")</f>
        <v/>
      </c>
      <c r="R131" s="19">
        <f>IFERROR(MATCH($DQ$131,$DQ$11:$DQ$22,0),"")</f>
        <v/>
      </c>
      <c r="S131" s="19">
        <f>$F$172</f>
        <v/>
      </c>
      <c r="DQ131" s="19">
        <f>IF(ISERROR($A$131),"",IF(ISBLANK($A$131),"",$A$131))</f>
        <v/>
      </c>
      <c r="DS131" s="19">
        <f>IF(ISERROR($C$131),"",IF(ISBLANK($C$131),"",$C$131))</f>
        <v/>
      </c>
      <c r="DU131" s="19">
        <f>IF(ISERROR($E$131),"",IF(ISBLANK($E$131),"",$E$131))</f>
        <v/>
      </c>
      <c r="DW131" s="19">
        <f>IF(ISERROR($G$131),"",IF(ISBLANK($G$131),"",$G$131))</f>
        <v/>
      </c>
      <c r="DX131" s="19">
        <f>IF(ISERROR($H$131),"",IF(ISBLANK($H$131),"",$H$131))</f>
        <v/>
      </c>
      <c r="DY131" s="19">
        <f>IF(ISERROR($I$131),"",IF(ISBLANK($I$131),"",$I$131))</f>
        <v/>
      </c>
      <c r="DZ131" s="19">
        <f>IF(ISERROR($J$131),"",IF(ISBLANK($J$131),"",$J$131))</f>
        <v/>
      </c>
      <c r="EA131" s="19">
        <f>ISERROR($A$131)*1+ISERROR($C$131)*1+ISERROR($E$131)*1+ISERROR($G$131)*1+ISERROR($H$131)*1+ISERROR($I$131)*1+ISERROR($J$131)*1</f>
        <v/>
      </c>
    </row>
    <row r="132" ht="37" customHeight="1">
      <c r="A132" s="31" t="n"/>
      <c r="B132" s="16" t="n"/>
      <c r="C132" s="28" t="n"/>
      <c r="D132" s="16" t="n"/>
      <c r="E132" s="28" t="n"/>
      <c r="F132" s="16" t="n"/>
      <c r="G132" s="42" t="n"/>
      <c r="H132" s="42" t="n"/>
      <c r="I132" s="34" t="n"/>
      <c r="J132" s="34" t="n"/>
      <c r="K132" s="26">
        <f>IF(EA132&gt;0,"O Google leu como fórmula: escolha de novo ou digite com ' na frente.",IF(LEN($DQ$132)=0,"",IF(NOT(ISNUMBER($R$132)),"Inimigo fora da tabela I1",IF(AND($O$132=1,$DS$132&lt;&gt;"Reação",NOT(ISNUMBER($DY$132))),"Ação especial precisa de recarga de 2 ou 3 Ciclos (28.4)",IF(COUNTIFS($DQ$116:$DQ$153,$DQ$132,$O$116:$O$153,1)&gt;3,"Mais de 3 ações especiais neste inimigo (28.1: de 1 a 3)",IF(AND($DS$132="Especial de dano 1 alvo (até 1,5×)",INDEX($O$11:$O$22,$R$132)="Comum"),"Pico de dano: ocupa a ação do turno (28.4)",""))))))</f>
        <v/>
      </c>
      <c r="N132" s="19">
        <f>IF(AND(LEN($DQ$132)&gt;0,LEN($DS$132)&gt;0),1,0)</f>
        <v/>
      </c>
      <c r="O132" s="19">
        <f>IF(AND($N$132=1,$DS$132&lt;&gt;"Ataque normal"),1,0)</f>
        <v/>
      </c>
      <c r="P132" s="19">
        <f>IF($N$132=1,$DQ$132&amp;"|"&amp;COUNTIFS($DQ$116:$DQ$132,$DQ$132,$N$116:N132,1),"")</f>
        <v/>
      </c>
      <c r="Q132" s="19">
        <f>IF($O$132=1,$DQ$132&amp;"|"&amp;COUNTIFS($DQ$116:$DQ$132,$DQ$132,$O$116:O132,1),"")</f>
        <v/>
      </c>
      <c r="R132" s="19">
        <f>IFERROR(MATCH($DQ$132,$DQ$11:$DQ$22,0),"")</f>
        <v/>
      </c>
      <c r="S132" s="19">
        <f>$F$173</f>
        <v/>
      </c>
      <c r="DQ132" s="19">
        <f>IF(ISERROR($A$132),"",IF(ISBLANK($A$132),"",$A$132))</f>
        <v/>
      </c>
      <c r="DS132" s="19">
        <f>IF(ISERROR($C$132),"",IF(ISBLANK($C$132),"",$C$132))</f>
        <v/>
      </c>
      <c r="DU132" s="19">
        <f>IF(ISERROR($E$132),"",IF(ISBLANK($E$132),"",$E$132))</f>
        <v/>
      </c>
      <c r="DW132" s="19">
        <f>IF(ISERROR($G$132),"",IF(ISBLANK($G$132),"",$G$132))</f>
        <v/>
      </c>
      <c r="DX132" s="19">
        <f>IF(ISERROR($H$132),"",IF(ISBLANK($H$132),"",$H$132))</f>
        <v/>
      </c>
      <c r="DY132" s="19">
        <f>IF(ISERROR($I$132),"",IF(ISBLANK($I$132),"",$I$132))</f>
        <v/>
      </c>
      <c r="DZ132" s="19">
        <f>IF(ISERROR($J$132),"",IF(ISBLANK($J$132),"",$J$132))</f>
        <v/>
      </c>
      <c r="EA132" s="19">
        <f>ISERROR($A$132)*1+ISERROR($C$132)*1+ISERROR($E$132)*1+ISERROR($G$132)*1+ISERROR($H$132)*1+ISERROR($I$132)*1+ISERROR($J$132)*1</f>
        <v/>
      </c>
    </row>
    <row r="133" ht="37" customHeight="1">
      <c r="A133" s="30" t="n"/>
      <c r="B133" s="16" t="n"/>
      <c r="C133" s="3" t="n"/>
      <c r="D133" s="16" t="n"/>
      <c r="E133" s="3" t="n"/>
      <c r="F133" s="16" t="n"/>
      <c r="G133" s="36" t="n"/>
      <c r="H133" s="36" t="n"/>
      <c r="I133" s="15" t="n"/>
      <c r="J133" s="15" t="n"/>
      <c r="K133" s="18">
        <f>IF(EA133&gt;0,"O Google leu como fórmula: escolha de novo ou digite com ' na frente.",IF(LEN($DQ$133)=0,"",IF(NOT(ISNUMBER($R$133)),"Inimigo fora da tabela I1",IF(AND($O$133=1,$DS$133&lt;&gt;"Reação",NOT(ISNUMBER($DY$133))),"Ação especial precisa de recarga de 2 ou 3 Ciclos (28.4)",IF(COUNTIFS($DQ$116:$DQ$153,$DQ$133,$O$116:$O$153,1)&gt;3,"Mais de 3 ações especiais neste inimigo (28.1: de 1 a 3)",IF(AND($DS$133="Especial de dano 1 alvo (até 1,5×)",INDEX($O$11:$O$22,$R$133)="Comum"),"Pico de dano: ocupa a ação do turno (28.4)",""))))))</f>
        <v/>
      </c>
      <c r="N133" s="19">
        <f>IF(AND(LEN($DQ$133)&gt;0,LEN($DS$133)&gt;0),1,0)</f>
        <v/>
      </c>
      <c r="O133" s="19">
        <f>IF(AND($N$133=1,$DS$133&lt;&gt;"Ataque normal"),1,0)</f>
        <v/>
      </c>
      <c r="P133" s="19">
        <f>IF($N$133=1,$DQ$133&amp;"|"&amp;COUNTIFS($DQ$116:$DQ$133,$DQ$133,$N$116:N133,1),"")</f>
        <v/>
      </c>
      <c r="Q133" s="19">
        <f>IF($O$133=1,$DQ$133&amp;"|"&amp;COUNTIFS($DQ$116:$DQ$133,$DQ$133,$O$116:O133,1),"")</f>
        <v/>
      </c>
      <c r="R133" s="19">
        <f>IFERROR(MATCH($DQ$133,$DQ$11:$DQ$22,0),"")</f>
        <v/>
      </c>
      <c r="S133" s="19">
        <f>$F$174</f>
        <v/>
      </c>
      <c r="DQ133" s="19">
        <f>IF(ISERROR($A$133),"",IF(ISBLANK($A$133),"",$A$133))</f>
        <v/>
      </c>
      <c r="DS133" s="19">
        <f>IF(ISERROR($C$133),"",IF(ISBLANK($C$133),"",$C$133))</f>
        <v/>
      </c>
      <c r="DU133" s="19">
        <f>IF(ISERROR($E$133),"",IF(ISBLANK($E$133),"",$E$133))</f>
        <v/>
      </c>
      <c r="DW133" s="19">
        <f>IF(ISERROR($G$133),"",IF(ISBLANK($G$133),"",$G$133))</f>
        <v/>
      </c>
      <c r="DX133" s="19">
        <f>IF(ISERROR($H$133),"",IF(ISBLANK($H$133),"",$H$133))</f>
        <v/>
      </c>
      <c r="DY133" s="19">
        <f>IF(ISERROR($I$133),"",IF(ISBLANK($I$133),"",$I$133))</f>
        <v/>
      </c>
      <c r="DZ133" s="19">
        <f>IF(ISERROR($J$133),"",IF(ISBLANK($J$133),"",$J$133))</f>
        <v/>
      </c>
      <c r="EA133" s="19">
        <f>ISERROR($A$133)*1+ISERROR($C$133)*1+ISERROR($E$133)*1+ISERROR($G$133)*1+ISERROR($H$133)*1+ISERROR($I$133)*1+ISERROR($J$133)*1</f>
        <v/>
      </c>
    </row>
    <row r="134" ht="37" customHeight="1">
      <c r="A134" s="31" t="n"/>
      <c r="B134" s="16" t="n"/>
      <c r="C134" s="28" t="n"/>
      <c r="D134" s="16" t="n"/>
      <c r="E134" s="28" t="n"/>
      <c r="F134" s="16" t="n"/>
      <c r="G134" s="42" t="n"/>
      <c r="H134" s="42" t="n"/>
      <c r="I134" s="34" t="n"/>
      <c r="J134" s="34" t="n"/>
      <c r="K134" s="26">
        <f>IF(EA134&gt;0,"O Google leu como fórmula: escolha de novo ou digite com ' na frente.",IF(LEN($DQ$134)=0,"",IF(NOT(ISNUMBER($R$134)),"Inimigo fora da tabela I1",IF(AND($O$134=1,$DS$134&lt;&gt;"Reação",NOT(ISNUMBER($DY$134))),"Ação especial precisa de recarga de 2 ou 3 Ciclos (28.4)",IF(COUNTIFS($DQ$116:$DQ$153,$DQ$134,$O$116:$O$153,1)&gt;3,"Mais de 3 ações especiais neste inimigo (28.1: de 1 a 3)",IF(AND($DS$134="Especial de dano 1 alvo (até 1,5×)",INDEX($O$11:$O$22,$R$134)="Comum"),"Pico de dano: ocupa a ação do turno (28.4)",""))))))</f>
        <v/>
      </c>
      <c r="N134" s="19">
        <f>IF(AND(LEN($DQ$134)&gt;0,LEN($DS$134)&gt;0),1,0)</f>
        <v/>
      </c>
      <c r="O134" s="19">
        <f>IF(AND($N$134=1,$DS$134&lt;&gt;"Ataque normal"),1,0)</f>
        <v/>
      </c>
      <c r="P134" s="19">
        <f>IF($N$134=1,$DQ$134&amp;"|"&amp;COUNTIFS($DQ$116:$DQ$134,$DQ$134,$N$116:N134,1),"")</f>
        <v/>
      </c>
      <c r="Q134" s="19">
        <f>IF($O$134=1,$DQ$134&amp;"|"&amp;COUNTIFS($DQ$116:$DQ$134,$DQ$134,$O$116:O134,1),"")</f>
        <v/>
      </c>
      <c r="R134" s="19">
        <f>IFERROR(MATCH($DQ$134,$DQ$11:$DQ$22,0),"")</f>
        <v/>
      </c>
      <c r="S134" s="19">
        <f>$F$175</f>
        <v/>
      </c>
      <c r="DQ134" s="19">
        <f>IF(ISERROR($A$134),"",IF(ISBLANK($A$134),"",$A$134))</f>
        <v/>
      </c>
      <c r="DS134" s="19">
        <f>IF(ISERROR($C$134),"",IF(ISBLANK($C$134),"",$C$134))</f>
        <v/>
      </c>
      <c r="DU134" s="19">
        <f>IF(ISERROR($E$134),"",IF(ISBLANK($E$134),"",$E$134))</f>
        <v/>
      </c>
      <c r="DW134" s="19">
        <f>IF(ISERROR($G$134),"",IF(ISBLANK($G$134),"",$G$134))</f>
        <v/>
      </c>
      <c r="DX134" s="19">
        <f>IF(ISERROR($H$134),"",IF(ISBLANK($H$134),"",$H$134))</f>
        <v/>
      </c>
      <c r="DY134" s="19">
        <f>IF(ISERROR($I$134),"",IF(ISBLANK($I$134),"",$I$134))</f>
        <v/>
      </c>
      <c r="DZ134" s="19">
        <f>IF(ISERROR($J$134),"",IF(ISBLANK($J$134),"",$J$134))</f>
        <v/>
      </c>
      <c r="EA134" s="19">
        <f>ISERROR($A$134)*1+ISERROR($C$134)*1+ISERROR($E$134)*1+ISERROR($G$134)*1+ISERROR($H$134)*1+ISERROR($I$134)*1+ISERROR($J$134)*1</f>
        <v/>
      </c>
    </row>
    <row r="135" ht="37" customHeight="1">
      <c r="A135" s="30" t="n"/>
      <c r="B135" s="16" t="n"/>
      <c r="C135" s="3" t="n"/>
      <c r="D135" s="16" t="n"/>
      <c r="E135" s="3" t="n"/>
      <c r="F135" s="16" t="n"/>
      <c r="G135" s="36" t="n"/>
      <c r="H135" s="36" t="n"/>
      <c r="I135" s="15" t="n"/>
      <c r="J135" s="15" t="n"/>
      <c r="K135" s="18">
        <f>IF(EA135&gt;0,"O Google leu como fórmula: escolha de novo ou digite com ' na frente.",IF(LEN($DQ$135)=0,"",IF(NOT(ISNUMBER($R$135)),"Inimigo fora da tabela I1",IF(AND($O$135=1,$DS$135&lt;&gt;"Reação",NOT(ISNUMBER($DY$135))),"Ação especial precisa de recarga de 2 ou 3 Ciclos (28.4)",IF(COUNTIFS($DQ$116:$DQ$153,$DQ$135,$O$116:$O$153,1)&gt;3,"Mais de 3 ações especiais neste inimigo (28.1: de 1 a 3)",IF(AND($DS$135="Especial de dano 1 alvo (até 1,5×)",INDEX($O$11:$O$22,$R$135)="Comum"),"Pico de dano: ocupa a ação do turno (28.4)",""))))))</f>
        <v/>
      </c>
      <c r="N135" s="19">
        <f>IF(AND(LEN($DQ$135)&gt;0,LEN($DS$135)&gt;0),1,0)</f>
        <v/>
      </c>
      <c r="O135" s="19">
        <f>IF(AND($N$135=1,$DS$135&lt;&gt;"Ataque normal"),1,0)</f>
        <v/>
      </c>
      <c r="P135" s="19">
        <f>IF($N$135=1,$DQ$135&amp;"|"&amp;COUNTIFS($DQ$116:$DQ$135,$DQ$135,$N$116:N135,1),"")</f>
        <v/>
      </c>
      <c r="Q135" s="19">
        <f>IF($O$135=1,$DQ$135&amp;"|"&amp;COUNTIFS($DQ$116:$DQ$135,$DQ$135,$O$116:O135,1),"")</f>
        <v/>
      </c>
      <c r="R135" s="19">
        <f>IFERROR(MATCH($DQ$135,$DQ$11:$DQ$22,0),"")</f>
        <v/>
      </c>
      <c r="S135" s="19">
        <f>$F$176</f>
        <v/>
      </c>
      <c r="DQ135" s="19">
        <f>IF(ISERROR($A$135),"",IF(ISBLANK($A$135),"",$A$135))</f>
        <v/>
      </c>
      <c r="DS135" s="19">
        <f>IF(ISERROR($C$135),"",IF(ISBLANK($C$135),"",$C$135))</f>
        <v/>
      </c>
      <c r="DU135" s="19">
        <f>IF(ISERROR($E$135),"",IF(ISBLANK($E$135),"",$E$135))</f>
        <v/>
      </c>
      <c r="DW135" s="19">
        <f>IF(ISERROR($G$135),"",IF(ISBLANK($G$135),"",$G$135))</f>
        <v/>
      </c>
      <c r="DX135" s="19">
        <f>IF(ISERROR($H$135),"",IF(ISBLANK($H$135),"",$H$135))</f>
        <v/>
      </c>
      <c r="DY135" s="19">
        <f>IF(ISERROR($I$135),"",IF(ISBLANK($I$135),"",$I$135))</f>
        <v/>
      </c>
      <c r="DZ135" s="19">
        <f>IF(ISERROR($J$135),"",IF(ISBLANK($J$135),"",$J$135))</f>
        <v/>
      </c>
      <c r="EA135" s="19">
        <f>ISERROR($A$135)*1+ISERROR($C$135)*1+ISERROR($E$135)*1+ISERROR($G$135)*1+ISERROR($H$135)*1+ISERROR($I$135)*1+ISERROR($J$135)*1</f>
        <v/>
      </c>
    </row>
    <row r="136" ht="37" customHeight="1">
      <c r="A136" s="31" t="n"/>
      <c r="B136" s="16" t="n"/>
      <c r="C136" s="28" t="n"/>
      <c r="D136" s="16" t="n"/>
      <c r="E136" s="28" t="n"/>
      <c r="F136" s="16" t="n"/>
      <c r="G136" s="42" t="n"/>
      <c r="H136" s="42" t="n"/>
      <c r="I136" s="34" t="n"/>
      <c r="J136" s="34" t="n"/>
      <c r="K136" s="26">
        <f>IF(EA136&gt;0,"O Google leu como fórmula: escolha de novo ou digite com ' na frente.",IF(LEN($DQ$136)=0,"",IF(NOT(ISNUMBER($R$136)),"Inimigo fora da tabela I1",IF(AND($O$136=1,$DS$136&lt;&gt;"Reação",NOT(ISNUMBER($DY$136))),"Ação especial precisa de recarga de 2 ou 3 Ciclos (28.4)",IF(COUNTIFS($DQ$116:$DQ$153,$DQ$136,$O$116:$O$153,1)&gt;3,"Mais de 3 ações especiais neste inimigo (28.1: de 1 a 3)",IF(AND($DS$136="Especial de dano 1 alvo (até 1,5×)",INDEX($O$11:$O$22,$R$136)="Comum"),"Pico de dano: ocupa a ação do turno (28.4)",""))))))</f>
        <v/>
      </c>
      <c r="N136" s="19">
        <f>IF(AND(LEN($DQ$136)&gt;0,LEN($DS$136)&gt;0),1,0)</f>
        <v/>
      </c>
      <c r="O136" s="19">
        <f>IF(AND($N$136=1,$DS$136&lt;&gt;"Ataque normal"),1,0)</f>
        <v/>
      </c>
      <c r="P136" s="19">
        <f>IF($N$136=1,$DQ$136&amp;"|"&amp;COUNTIFS($DQ$116:$DQ$136,$DQ$136,$N$116:N136,1),"")</f>
        <v/>
      </c>
      <c r="Q136" s="19">
        <f>IF($O$136=1,$DQ$136&amp;"|"&amp;COUNTIFS($DQ$116:$DQ$136,$DQ$136,$O$116:O136,1),"")</f>
        <v/>
      </c>
      <c r="R136" s="19">
        <f>IFERROR(MATCH($DQ$136,$DQ$11:$DQ$22,0),"")</f>
        <v/>
      </c>
      <c r="S136" s="19">
        <f>$F$177</f>
        <v/>
      </c>
      <c r="DQ136" s="19">
        <f>IF(ISERROR($A$136),"",IF(ISBLANK($A$136),"",$A$136))</f>
        <v/>
      </c>
      <c r="DS136" s="19">
        <f>IF(ISERROR($C$136),"",IF(ISBLANK($C$136),"",$C$136))</f>
        <v/>
      </c>
      <c r="DU136" s="19">
        <f>IF(ISERROR($E$136),"",IF(ISBLANK($E$136),"",$E$136))</f>
        <v/>
      </c>
      <c r="DW136" s="19">
        <f>IF(ISERROR($G$136),"",IF(ISBLANK($G$136),"",$G$136))</f>
        <v/>
      </c>
      <c r="DX136" s="19">
        <f>IF(ISERROR($H$136),"",IF(ISBLANK($H$136),"",$H$136))</f>
        <v/>
      </c>
      <c r="DY136" s="19">
        <f>IF(ISERROR($I$136),"",IF(ISBLANK($I$136),"",$I$136))</f>
        <v/>
      </c>
      <c r="DZ136" s="19">
        <f>IF(ISERROR($J$136),"",IF(ISBLANK($J$136),"",$J$136))</f>
        <v/>
      </c>
      <c r="EA136" s="19">
        <f>ISERROR($A$136)*1+ISERROR($C$136)*1+ISERROR($E$136)*1+ISERROR($G$136)*1+ISERROR($H$136)*1+ISERROR($I$136)*1+ISERROR($J$136)*1</f>
        <v/>
      </c>
    </row>
    <row r="137" ht="37" customHeight="1">
      <c r="A137" s="30" t="n"/>
      <c r="B137" s="16" t="n"/>
      <c r="C137" s="3" t="n"/>
      <c r="D137" s="16" t="n"/>
      <c r="E137" s="3" t="n"/>
      <c r="F137" s="16" t="n"/>
      <c r="G137" s="36" t="n"/>
      <c r="H137" s="36" t="n"/>
      <c r="I137" s="15" t="n"/>
      <c r="J137" s="15" t="n"/>
      <c r="K137" s="18">
        <f>IF(EA137&gt;0,"O Google leu como fórmula: escolha de novo ou digite com ' na frente.",IF(LEN($DQ$137)=0,"",IF(NOT(ISNUMBER($R$137)),"Inimigo fora da tabela I1",IF(AND($O$137=1,$DS$137&lt;&gt;"Reação",NOT(ISNUMBER($DY$137))),"Ação especial precisa de recarga de 2 ou 3 Ciclos (28.4)",IF(COUNTIFS($DQ$116:$DQ$153,$DQ$137,$O$116:$O$153,1)&gt;3,"Mais de 3 ações especiais neste inimigo (28.1: de 1 a 3)",IF(AND($DS$137="Especial de dano 1 alvo (até 1,5×)",INDEX($O$11:$O$22,$R$137)="Comum"),"Pico de dano: ocupa a ação do turno (28.4)",""))))))</f>
        <v/>
      </c>
      <c r="N137" s="19">
        <f>IF(AND(LEN($DQ$137)&gt;0,LEN($DS$137)&gt;0),1,0)</f>
        <v/>
      </c>
      <c r="O137" s="19">
        <f>IF(AND($N$137=1,$DS$137&lt;&gt;"Ataque normal"),1,0)</f>
        <v/>
      </c>
      <c r="P137" s="19">
        <f>IF($N$137=1,$DQ$137&amp;"|"&amp;COUNTIFS($DQ$116:$DQ$137,$DQ$137,$N$116:N137,1),"")</f>
        <v/>
      </c>
      <c r="Q137" s="19">
        <f>IF($O$137=1,$DQ$137&amp;"|"&amp;COUNTIFS($DQ$116:$DQ$137,$DQ$137,$O$116:O137,1),"")</f>
        <v/>
      </c>
      <c r="R137" s="19">
        <f>IFERROR(MATCH($DQ$137,$DQ$11:$DQ$22,0),"")</f>
        <v/>
      </c>
      <c r="S137" s="19">
        <f>$F$178</f>
        <v/>
      </c>
      <c r="DQ137" s="19">
        <f>IF(ISERROR($A$137),"",IF(ISBLANK($A$137),"",$A$137))</f>
        <v/>
      </c>
      <c r="DS137" s="19">
        <f>IF(ISERROR($C$137),"",IF(ISBLANK($C$137),"",$C$137))</f>
        <v/>
      </c>
      <c r="DU137" s="19">
        <f>IF(ISERROR($E$137),"",IF(ISBLANK($E$137),"",$E$137))</f>
        <v/>
      </c>
      <c r="DW137" s="19">
        <f>IF(ISERROR($G$137),"",IF(ISBLANK($G$137),"",$G$137))</f>
        <v/>
      </c>
      <c r="DX137" s="19">
        <f>IF(ISERROR($H$137),"",IF(ISBLANK($H$137),"",$H$137))</f>
        <v/>
      </c>
      <c r="DY137" s="19">
        <f>IF(ISERROR($I$137),"",IF(ISBLANK($I$137),"",$I$137))</f>
        <v/>
      </c>
      <c r="DZ137" s="19">
        <f>IF(ISERROR($J$137),"",IF(ISBLANK($J$137),"",$J$137))</f>
        <v/>
      </c>
      <c r="EA137" s="19">
        <f>ISERROR($A$137)*1+ISERROR($C$137)*1+ISERROR($E$137)*1+ISERROR($G$137)*1+ISERROR($H$137)*1+ISERROR($I$137)*1+ISERROR($J$137)*1</f>
        <v/>
      </c>
    </row>
    <row r="138" ht="37" customHeight="1">
      <c r="A138" s="31" t="n"/>
      <c r="B138" s="16" t="n"/>
      <c r="C138" s="28" t="n"/>
      <c r="D138" s="16" t="n"/>
      <c r="E138" s="28" t="n"/>
      <c r="F138" s="16" t="n"/>
      <c r="G138" s="42" t="n"/>
      <c r="H138" s="42" t="n"/>
      <c r="I138" s="34" t="n"/>
      <c r="J138" s="34" t="n"/>
      <c r="K138" s="26">
        <f>IF(EA138&gt;0,"O Google leu como fórmula: escolha de novo ou digite com ' na frente.",IF(LEN($DQ$138)=0,"",IF(NOT(ISNUMBER($R$138)),"Inimigo fora da tabela I1",IF(AND($O$138=1,$DS$138&lt;&gt;"Reação",NOT(ISNUMBER($DY$138))),"Ação especial precisa de recarga de 2 ou 3 Ciclos (28.4)",IF(COUNTIFS($DQ$116:$DQ$153,$DQ$138,$O$116:$O$153,1)&gt;3,"Mais de 3 ações especiais neste inimigo (28.1: de 1 a 3)",IF(AND($DS$138="Especial de dano 1 alvo (até 1,5×)",INDEX($O$11:$O$22,$R$138)="Comum"),"Pico de dano: ocupa a ação do turno (28.4)",""))))))</f>
        <v/>
      </c>
      <c r="N138" s="19">
        <f>IF(AND(LEN($DQ$138)&gt;0,LEN($DS$138)&gt;0),1,0)</f>
        <v/>
      </c>
      <c r="O138" s="19">
        <f>IF(AND($N$138=1,$DS$138&lt;&gt;"Ataque normal"),1,0)</f>
        <v/>
      </c>
      <c r="P138" s="19">
        <f>IF($N$138=1,$DQ$138&amp;"|"&amp;COUNTIFS($DQ$116:$DQ$138,$DQ$138,$N$116:N138,1),"")</f>
        <v/>
      </c>
      <c r="Q138" s="19">
        <f>IF($O$138=1,$DQ$138&amp;"|"&amp;COUNTIFS($DQ$116:$DQ$138,$DQ$138,$O$116:O138,1),"")</f>
        <v/>
      </c>
      <c r="R138" s="19">
        <f>IFERROR(MATCH($DQ$138,$DQ$11:$DQ$22,0),"")</f>
        <v/>
      </c>
      <c r="S138" s="19">
        <f>$F$179</f>
        <v/>
      </c>
      <c r="DQ138" s="19">
        <f>IF(ISERROR($A$138),"",IF(ISBLANK($A$138),"",$A$138))</f>
        <v/>
      </c>
      <c r="DS138" s="19">
        <f>IF(ISERROR($C$138),"",IF(ISBLANK($C$138),"",$C$138))</f>
        <v/>
      </c>
      <c r="DU138" s="19">
        <f>IF(ISERROR($E$138),"",IF(ISBLANK($E$138),"",$E$138))</f>
        <v/>
      </c>
      <c r="DW138" s="19">
        <f>IF(ISERROR($G$138),"",IF(ISBLANK($G$138),"",$G$138))</f>
        <v/>
      </c>
      <c r="DX138" s="19">
        <f>IF(ISERROR($H$138),"",IF(ISBLANK($H$138),"",$H$138))</f>
        <v/>
      </c>
      <c r="DY138" s="19">
        <f>IF(ISERROR($I$138),"",IF(ISBLANK($I$138),"",$I$138))</f>
        <v/>
      </c>
      <c r="DZ138" s="19">
        <f>IF(ISERROR($J$138),"",IF(ISBLANK($J$138),"",$J$138))</f>
        <v/>
      </c>
      <c r="EA138" s="19">
        <f>ISERROR($A$138)*1+ISERROR($C$138)*1+ISERROR($E$138)*1+ISERROR($G$138)*1+ISERROR($H$138)*1+ISERROR($I$138)*1+ISERROR($J$138)*1</f>
        <v/>
      </c>
    </row>
    <row r="139" ht="37" customHeight="1">
      <c r="A139" s="30" t="n"/>
      <c r="B139" s="16" t="n"/>
      <c r="C139" s="3" t="n"/>
      <c r="D139" s="16" t="n"/>
      <c r="E139" s="3" t="n"/>
      <c r="F139" s="16" t="n"/>
      <c r="G139" s="36" t="n"/>
      <c r="H139" s="36" t="n"/>
      <c r="I139" s="15" t="n"/>
      <c r="J139" s="15" t="n"/>
      <c r="K139" s="18">
        <f>IF(EA139&gt;0,"O Google leu como fórmula: escolha de novo ou digite com ' na frente.",IF(LEN($DQ$139)=0,"",IF(NOT(ISNUMBER($R$139)),"Inimigo fora da tabela I1",IF(AND($O$139=1,$DS$139&lt;&gt;"Reação",NOT(ISNUMBER($DY$139))),"Ação especial precisa de recarga de 2 ou 3 Ciclos (28.4)",IF(COUNTIFS($DQ$116:$DQ$153,$DQ$139,$O$116:$O$153,1)&gt;3,"Mais de 3 ações especiais neste inimigo (28.1: de 1 a 3)",IF(AND($DS$139="Especial de dano 1 alvo (até 1,5×)",INDEX($O$11:$O$22,$R$139)="Comum"),"Pico de dano: ocupa a ação do turno (28.4)",""))))))</f>
        <v/>
      </c>
      <c r="N139" s="19">
        <f>IF(AND(LEN($DQ$139)&gt;0,LEN($DS$139)&gt;0),1,0)</f>
        <v/>
      </c>
      <c r="O139" s="19">
        <f>IF(AND($N$139=1,$DS$139&lt;&gt;"Ataque normal"),1,0)</f>
        <v/>
      </c>
      <c r="P139" s="19">
        <f>IF($N$139=1,$DQ$139&amp;"|"&amp;COUNTIFS($DQ$116:$DQ$139,$DQ$139,$N$116:N139,1),"")</f>
        <v/>
      </c>
      <c r="Q139" s="19">
        <f>IF($O$139=1,$DQ$139&amp;"|"&amp;COUNTIFS($DQ$116:$DQ$139,$DQ$139,$O$116:O139,1),"")</f>
        <v/>
      </c>
      <c r="R139" s="19">
        <f>IFERROR(MATCH($DQ$139,$DQ$11:$DQ$22,0),"")</f>
        <v/>
      </c>
      <c r="S139" s="19">
        <f>$F$180</f>
        <v/>
      </c>
      <c r="DQ139" s="19">
        <f>IF(ISERROR($A$139),"",IF(ISBLANK($A$139),"",$A$139))</f>
        <v/>
      </c>
      <c r="DS139" s="19">
        <f>IF(ISERROR($C$139),"",IF(ISBLANK($C$139),"",$C$139))</f>
        <v/>
      </c>
      <c r="DU139" s="19">
        <f>IF(ISERROR($E$139),"",IF(ISBLANK($E$139),"",$E$139))</f>
        <v/>
      </c>
      <c r="DW139" s="19">
        <f>IF(ISERROR($G$139),"",IF(ISBLANK($G$139),"",$G$139))</f>
        <v/>
      </c>
      <c r="DX139" s="19">
        <f>IF(ISERROR($H$139),"",IF(ISBLANK($H$139),"",$H$139))</f>
        <v/>
      </c>
      <c r="DY139" s="19">
        <f>IF(ISERROR($I$139),"",IF(ISBLANK($I$139),"",$I$139))</f>
        <v/>
      </c>
      <c r="DZ139" s="19">
        <f>IF(ISERROR($J$139),"",IF(ISBLANK($J$139),"",$J$139))</f>
        <v/>
      </c>
      <c r="EA139" s="19">
        <f>ISERROR($A$139)*1+ISERROR($C$139)*1+ISERROR($E$139)*1+ISERROR($G$139)*1+ISERROR($H$139)*1+ISERROR($I$139)*1+ISERROR($J$139)*1</f>
        <v/>
      </c>
    </row>
    <row r="140" ht="37" customHeight="1">
      <c r="A140" s="31" t="n"/>
      <c r="B140" s="16" t="n"/>
      <c r="C140" s="28" t="n"/>
      <c r="D140" s="16" t="n"/>
      <c r="E140" s="28" t="n"/>
      <c r="F140" s="16" t="n"/>
      <c r="G140" s="42" t="n"/>
      <c r="H140" s="42" t="n"/>
      <c r="I140" s="34" t="n"/>
      <c r="J140" s="34" t="n"/>
      <c r="K140" s="26">
        <f>IF(EA140&gt;0,"O Google leu como fórmula: escolha de novo ou digite com ' na frente.",IF(LEN($DQ$140)=0,"",IF(NOT(ISNUMBER($R$140)),"Inimigo fora da tabela I1",IF(AND($O$140=1,$DS$140&lt;&gt;"Reação",NOT(ISNUMBER($DY$140))),"Ação especial precisa de recarga de 2 ou 3 Ciclos (28.4)",IF(COUNTIFS($DQ$116:$DQ$153,$DQ$140,$O$116:$O$153,1)&gt;3,"Mais de 3 ações especiais neste inimigo (28.1: de 1 a 3)",IF(AND($DS$140="Especial de dano 1 alvo (até 1,5×)",INDEX($O$11:$O$22,$R$140)="Comum"),"Pico de dano: ocupa a ação do turno (28.4)",""))))))</f>
        <v/>
      </c>
      <c r="N140" s="19">
        <f>IF(AND(LEN($DQ$140)&gt;0,LEN($DS$140)&gt;0),1,0)</f>
        <v/>
      </c>
      <c r="O140" s="19">
        <f>IF(AND($N$140=1,$DS$140&lt;&gt;"Ataque normal"),1,0)</f>
        <v/>
      </c>
      <c r="P140" s="19">
        <f>IF($N$140=1,$DQ$140&amp;"|"&amp;COUNTIFS($DQ$116:$DQ$140,$DQ$140,$N$116:N140,1),"")</f>
        <v/>
      </c>
      <c r="Q140" s="19">
        <f>IF($O$140=1,$DQ$140&amp;"|"&amp;COUNTIFS($DQ$116:$DQ$140,$DQ$140,$O$116:O140,1),"")</f>
        <v/>
      </c>
      <c r="R140" s="19">
        <f>IFERROR(MATCH($DQ$140,$DQ$11:$DQ$22,0),"")</f>
        <v/>
      </c>
      <c r="S140" s="19">
        <f>$F$181</f>
        <v/>
      </c>
      <c r="DQ140" s="19">
        <f>IF(ISERROR($A$140),"",IF(ISBLANK($A$140),"",$A$140))</f>
        <v/>
      </c>
      <c r="DS140" s="19">
        <f>IF(ISERROR($C$140),"",IF(ISBLANK($C$140),"",$C$140))</f>
        <v/>
      </c>
      <c r="DU140" s="19">
        <f>IF(ISERROR($E$140),"",IF(ISBLANK($E$140),"",$E$140))</f>
        <v/>
      </c>
      <c r="DW140" s="19">
        <f>IF(ISERROR($G$140),"",IF(ISBLANK($G$140),"",$G$140))</f>
        <v/>
      </c>
      <c r="DX140" s="19">
        <f>IF(ISERROR($H$140),"",IF(ISBLANK($H$140),"",$H$140))</f>
        <v/>
      </c>
      <c r="DY140" s="19">
        <f>IF(ISERROR($I$140),"",IF(ISBLANK($I$140),"",$I$140))</f>
        <v/>
      </c>
      <c r="DZ140" s="19">
        <f>IF(ISERROR($J$140),"",IF(ISBLANK($J$140),"",$J$140))</f>
        <v/>
      </c>
      <c r="EA140" s="19">
        <f>ISERROR($A$140)*1+ISERROR($C$140)*1+ISERROR($E$140)*1+ISERROR($G$140)*1+ISERROR($H$140)*1+ISERROR($I$140)*1+ISERROR($J$140)*1</f>
        <v/>
      </c>
    </row>
    <row r="141" ht="26" customHeight="1">
      <c r="A141" s="7" t="inlineStr">
        <is>
          <t>Inimigo</t>
        </is>
      </c>
      <c r="B141" s="20" t="n"/>
      <c r="C141" s="7" t="inlineStr">
        <is>
          <t>Tipo de ação</t>
        </is>
      </c>
      <c r="D141" s="20" t="n"/>
      <c r="E141" s="7" t="inlineStr">
        <is>
          <t>Nome da ação</t>
        </is>
      </c>
      <c r="F141" s="20" t="n"/>
      <c r="G141" s="7" t="inlineStr">
        <is>
          <t>Alcance</t>
        </is>
      </c>
      <c r="H141" s="7" t="inlineStr">
        <is>
          <t>Elemento</t>
        </is>
      </c>
      <c r="I141" s="7" t="inlineStr">
        <is>
          <t>Recarga (Ciclos)</t>
        </is>
      </c>
      <c r="J141" s="7" t="inlineStr">
        <is>
          <t>Duração (turnos)</t>
        </is>
      </c>
      <c r="K141" s="7" t="inlineStr">
        <is>
          <t>Aviso</t>
        </is>
      </c>
      <c r="L141" s="20" t="n"/>
      <c r="DQ141" s="19">
        <f>IF(ISERROR($A$141),"",IF(ISBLANK($A$141),"",$A$141))</f>
        <v/>
      </c>
      <c r="DU141" s="19">
        <f>IF(ISERROR($E$141),"",IF(ISBLANK($E$141),"",$E$141))</f>
        <v/>
      </c>
      <c r="DY141" s="19">
        <f>IF(ISERROR($I$141),"",IF(ISBLANK($I$141),"",$I$141))</f>
        <v/>
      </c>
    </row>
    <row r="142" ht="37" customHeight="1">
      <c r="A142" s="30" t="n"/>
      <c r="B142" s="16" t="n"/>
      <c r="C142" s="3" t="n"/>
      <c r="D142" s="16" t="n"/>
      <c r="E142" s="3" t="n"/>
      <c r="F142" s="16" t="n"/>
      <c r="G142" s="36" t="n"/>
      <c r="H142" s="36" t="n"/>
      <c r="I142" s="15" t="n"/>
      <c r="J142" s="15" t="n"/>
      <c r="K142" s="18">
        <f>IF(EA142&gt;0,"O Google leu como fórmula: escolha de novo ou digite com ' na frente.",IF(LEN($DQ$142)=0,"",IF(NOT(ISNUMBER($R$142)),"Inimigo fora da tabela I1",IF(AND($O$142=1,$DS$142&lt;&gt;"Reação",NOT(ISNUMBER($DY$142))),"Ação especial precisa de recarga de 2 ou 3 Ciclos (28.4)",IF(COUNTIFS($DQ$116:$DQ$153,$DQ$142,$O$116:$O$153,1)&gt;3,"Mais de 3 ações especiais neste inimigo (28.1: de 1 a 3)",IF(AND($DS$142="Especial de dano 1 alvo (até 1,5×)",INDEX($O$11:$O$22,$R$142)="Comum"),"Pico de dano: ocupa a ação do turno (28.4)",""))))))</f>
        <v/>
      </c>
      <c r="N142" s="19">
        <f>IF(AND(LEN($DQ$142)&gt;0,LEN($DS$142)&gt;0),1,0)</f>
        <v/>
      </c>
      <c r="O142" s="19">
        <f>IF(AND($N$142=1,$DS$142&lt;&gt;"Ataque normal"),1,0)</f>
        <v/>
      </c>
      <c r="P142" s="19">
        <f>IF($N$142=1,$DQ$142&amp;"|"&amp;COUNTIFS($DQ$116:$DQ$142,$DQ$142,$N$116:N142,1),"")</f>
        <v/>
      </c>
      <c r="Q142" s="19">
        <f>IF($O$142=1,$DQ$142&amp;"|"&amp;COUNTIFS($DQ$116:$DQ$142,$DQ$142,$O$116:O142,1),"")</f>
        <v/>
      </c>
      <c r="R142" s="19">
        <f>IFERROR(MATCH($DQ$142,$DQ$11:$DQ$22,0),"")</f>
        <v/>
      </c>
      <c r="S142" s="19">
        <f>$F$183</f>
        <v/>
      </c>
      <c r="DQ142" s="19">
        <f>IF(ISERROR($A$142),"",IF(ISBLANK($A$142),"",$A$142))</f>
        <v/>
      </c>
      <c r="DS142" s="19">
        <f>IF(ISERROR($C$142),"",IF(ISBLANK($C$142),"",$C$142))</f>
        <v/>
      </c>
      <c r="DU142" s="19">
        <f>IF(ISERROR($E$142),"",IF(ISBLANK($E$142),"",$E$142))</f>
        <v/>
      </c>
      <c r="DW142" s="19">
        <f>IF(ISERROR($G$142),"",IF(ISBLANK($G$142),"",$G$142))</f>
        <v/>
      </c>
      <c r="DX142" s="19">
        <f>IF(ISERROR($H$142),"",IF(ISBLANK($H$142),"",$H$142))</f>
        <v/>
      </c>
      <c r="DY142" s="19">
        <f>IF(ISERROR($I$142),"",IF(ISBLANK($I$142),"",$I$142))</f>
        <v/>
      </c>
      <c r="DZ142" s="19">
        <f>IF(ISERROR($J$142),"",IF(ISBLANK($J$142),"",$J$142))</f>
        <v/>
      </c>
      <c r="EA142" s="19">
        <f>ISERROR($A$142)*1+ISERROR($C$142)*1+ISERROR($E$142)*1+ISERROR($G$142)*1+ISERROR($H$142)*1+ISERROR($I$142)*1+ISERROR($J$142)*1</f>
        <v/>
      </c>
    </row>
    <row r="143" ht="37" customHeight="1">
      <c r="A143" s="31" t="n"/>
      <c r="B143" s="16" t="n"/>
      <c r="C143" s="28" t="n"/>
      <c r="D143" s="16" t="n"/>
      <c r="E143" s="28" t="n"/>
      <c r="F143" s="16" t="n"/>
      <c r="G143" s="42" t="n"/>
      <c r="H143" s="42" t="n"/>
      <c r="I143" s="34" t="n"/>
      <c r="J143" s="34" t="n"/>
      <c r="K143" s="26">
        <f>IF(EA143&gt;0,"O Google leu como fórmula: escolha de novo ou digite com ' na frente.",IF(LEN($DQ$143)=0,"",IF(NOT(ISNUMBER($R$143)),"Inimigo fora da tabela I1",IF(AND($O$143=1,$DS$143&lt;&gt;"Reação",NOT(ISNUMBER($DY$143))),"Ação especial precisa de recarga de 2 ou 3 Ciclos (28.4)",IF(COUNTIFS($DQ$116:$DQ$153,$DQ$143,$O$116:$O$153,1)&gt;3,"Mais de 3 ações especiais neste inimigo (28.1: de 1 a 3)",IF(AND($DS$143="Especial de dano 1 alvo (até 1,5×)",INDEX($O$11:$O$22,$R$143)="Comum"),"Pico de dano: ocupa a ação do turno (28.4)",""))))))</f>
        <v/>
      </c>
      <c r="N143" s="19">
        <f>IF(AND(LEN($DQ$143)&gt;0,LEN($DS$143)&gt;0),1,0)</f>
        <v/>
      </c>
      <c r="O143" s="19">
        <f>IF(AND($N$143=1,$DS$143&lt;&gt;"Ataque normal"),1,0)</f>
        <v/>
      </c>
      <c r="P143" s="19">
        <f>IF($N$143=1,$DQ$143&amp;"|"&amp;COUNTIFS($DQ$116:$DQ$143,$DQ$143,$N$116:N143,1),"")</f>
        <v/>
      </c>
      <c r="Q143" s="19">
        <f>IF($O$143=1,$DQ$143&amp;"|"&amp;COUNTIFS($DQ$116:$DQ$143,$DQ$143,$O$116:O143,1),"")</f>
        <v/>
      </c>
      <c r="R143" s="19">
        <f>IFERROR(MATCH($DQ$143,$DQ$11:$DQ$22,0),"")</f>
        <v/>
      </c>
      <c r="S143" s="19">
        <f>$F$184</f>
        <v/>
      </c>
      <c r="DQ143" s="19">
        <f>IF(ISERROR($A$143),"",IF(ISBLANK($A$143),"",$A$143))</f>
        <v/>
      </c>
      <c r="DS143" s="19">
        <f>IF(ISERROR($C$143),"",IF(ISBLANK($C$143),"",$C$143))</f>
        <v/>
      </c>
      <c r="DU143" s="19">
        <f>IF(ISERROR($E$143),"",IF(ISBLANK($E$143),"",$E$143))</f>
        <v/>
      </c>
      <c r="DW143" s="19">
        <f>IF(ISERROR($G$143),"",IF(ISBLANK($G$143),"",$G$143))</f>
        <v/>
      </c>
      <c r="DX143" s="19">
        <f>IF(ISERROR($H$143),"",IF(ISBLANK($H$143),"",$H$143))</f>
        <v/>
      </c>
      <c r="DY143" s="19">
        <f>IF(ISERROR($I$143),"",IF(ISBLANK($I$143),"",$I$143))</f>
        <v/>
      </c>
      <c r="DZ143" s="19">
        <f>IF(ISERROR($J$143),"",IF(ISBLANK($J$143),"",$J$143))</f>
        <v/>
      </c>
      <c r="EA143" s="19">
        <f>ISERROR($A$143)*1+ISERROR($C$143)*1+ISERROR($E$143)*1+ISERROR($G$143)*1+ISERROR($H$143)*1+ISERROR($I$143)*1+ISERROR($J$143)*1</f>
        <v/>
      </c>
    </row>
    <row r="144" ht="37" customHeight="1">
      <c r="A144" s="30" t="n"/>
      <c r="B144" s="16" t="n"/>
      <c r="C144" s="3" t="n"/>
      <c r="D144" s="16" t="n"/>
      <c r="E144" s="3" t="n"/>
      <c r="F144" s="16" t="n"/>
      <c r="G144" s="36" t="n"/>
      <c r="H144" s="36" t="n"/>
      <c r="I144" s="15" t="n"/>
      <c r="J144" s="15" t="n"/>
      <c r="K144" s="18">
        <f>IF(EA144&gt;0,"O Google leu como fórmula: escolha de novo ou digite com ' na frente.",IF(LEN($DQ$144)=0,"",IF(NOT(ISNUMBER($R$144)),"Inimigo fora da tabela I1",IF(AND($O$144=1,$DS$144&lt;&gt;"Reação",NOT(ISNUMBER($DY$144))),"Ação especial precisa de recarga de 2 ou 3 Ciclos (28.4)",IF(COUNTIFS($DQ$116:$DQ$153,$DQ$144,$O$116:$O$153,1)&gt;3,"Mais de 3 ações especiais neste inimigo (28.1: de 1 a 3)",IF(AND($DS$144="Especial de dano 1 alvo (até 1,5×)",INDEX($O$11:$O$22,$R$144)="Comum"),"Pico de dano: ocupa a ação do turno (28.4)",""))))))</f>
        <v/>
      </c>
      <c r="N144" s="19">
        <f>IF(AND(LEN($DQ$144)&gt;0,LEN($DS$144)&gt;0),1,0)</f>
        <v/>
      </c>
      <c r="O144" s="19">
        <f>IF(AND($N$144=1,$DS$144&lt;&gt;"Ataque normal"),1,0)</f>
        <v/>
      </c>
      <c r="P144" s="19">
        <f>IF($N$144=1,$DQ$144&amp;"|"&amp;COUNTIFS($DQ$116:$DQ$144,$DQ$144,$N$116:N144,1),"")</f>
        <v/>
      </c>
      <c r="Q144" s="19">
        <f>IF($O$144=1,$DQ$144&amp;"|"&amp;COUNTIFS($DQ$116:$DQ$144,$DQ$144,$O$116:O144,1),"")</f>
        <v/>
      </c>
      <c r="R144" s="19">
        <f>IFERROR(MATCH($DQ$144,$DQ$11:$DQ$22,0),"")</f>
        <v/>
      </c>
      <c r="S144" s="19">
        <f>$F$185</f>
        <v/>
      </c>
      <c r="DQ144" s="19">
        <f>IF(ISERROR($A$144),"",IF(ISBLANK($A$144),"",$A$144))</f>
        <v/>
      </c>
      <c r="DS144" s="19">
        <f>IF(ISERROR($C$144),"",IF(ISBLANK($C$144),"",$C$144))</f>
        <v/>
      </c>
      <c r="DU144" s="19">
        <f>IF(ISERROR($E$144),"",IF(ISBLANK($E$144),"",$E$144))</f>
        <v/>
      </c>
      <c r="DW144" s="19">
        <f>IF(ISERROR($G$144),"",IF(ISBLANK($G$144),"",$G$144))</f>
        <v/>
      </c>
      <c r="DX144" s="19">
        <f>IF(ISERROR($H$144),"",IF(ISBLANK($H$144),"",$H$144))</f>
        <v/>
      </c>
      <c r="DY144" s="19">
        <f>IF(ISERROR($I$144),"",IF(ISBLANK($I$144),"",$I$144))</f>
        <v/>
      </c>
      <c r="DZ144" s="19">
        <f>IF(ISERROR($J$144),"",IF(ISBLANK($J$144),"",$J$144))</f>
        <v/>
      </c>
      <c r="EA144" s="19">
        <f>ISERROR($A$144)*1+ISERROR($C$144)*1+ISERROR($E$144)*1+ISERROR($G$144)*1+ISERROR($H$144)*1+ISERROR($I$144)*1+ISERROR($J$144)*1</f>
        <v/>
      </c>
    </row>
    <row r="145" ht="37" customHeight="1">
      <c r="A145" s="31" t="n"/>
      <c r="B145" s="16" t="n"/>
      <c r="C145" s="28" t="n"/>
      <c r="D145" s="16" t="n"/>
      <c r="E145" s="28" t="n"/>
      <c r="F145" s="16" t="n"/>
      <c r="G145" s="42" t="n"/>
      <c r="H145" s="42" t="n"/>
      <c r="I145" s="34" t="n"/>
      <c r="J145" s="34" t="n"/>
      <c r="K145" s="26">
        <f>IF(EA145&gt;0,"O Google leu como fórmula: escolha de novo ou digite com ' na frente.",IF(LEN($DQ$145)=0,"",IF(NOT(ISNUMBER($R$145)),"Inimigo fora da tabela I1",IF(AND($O$145=1,$DS$145&lt;&gt;"Reação",NOT(ISNUMBER($DY$145))),"Ação especial precisa de recarga de 2 ou 3 Ciclos (28.4)",IF(COUNTIFS($DQ$116:$DQ$153,$DQ$145,$O$116:$O$153,1)&gt;3,"Mais de 3 ações especiais neste inimigo (28.1: de 1 a 3)",IF(AND($DS$145="Especial de dano 1 alvo (até 1,5×)",INDEX($O$11:$O$22,$R$145)="Comum"),"Pico de dano: ocupa a ação do turno (28.4)",""))))))</f>
        <v/>
      </c>
      <c r="N145" s="19">
        <f>IF(AND(LEN($DQ$145)&gt;0,LEN($DS$145)&gt;0),1,0)</f>
        <v/>
      </c>
      <c r="O145" s="19">
        <f>IF(AND($N$145=1,$DS$145&lt;&gt;"Ataque normal"),1,0)</f>
        <v/>
      </c>
      <c r="P145" s="19">
        <f>IF($N$145=1,$DQ$145&amp;"|"&amp;COUNTIFS($DQ$116:$DQ$145,$DQ$145,$N$116:N145,1),"")</f>
        <v/>
      </c>
      <c r="Q145" s="19">
        <f>IF($O$145=1,$DQ$145&amp;"|"&amp;COUNTIFS($DQ$116:$DQ$145,$DQ$145,$O$116:O145,1),"")</f>
        <v/>
      </c>
      <c r="R145" s="19">
        <f>IFERROR(MATCH($DQ$145,$DQ$11:$DQ$22,0),"")</f>
        <v/>
      </c>
      <c r="S145" s="19">
        <f>$F$186</f>
        <v/>
      </c>
      <c r="DQ145" s="19">
        <f>IF(ISERROR($A$145),"",IF(ISBLANK($A$145),"",$A$145))</f>
        <v/>
      </c>
      <c r="DS145" s="19">
        <f>IF(ISERROR($C$145),"",IF(ISBLANK($C$145),"",$C$145))</f>
        <v/>
      </c>
      <c r="DU145" s="19">
        <f>IF(ISERROR($E$145),"",IF(ISBLANK($E$145),"",$E$145))</f>
        <v/>
      </c>
      <c r="DW145" s="19">
        <f>IF(ISERROR($G$145),"",IF(ISBLANK($G$145),"",$G$145))</f>
        <v/>
      </c>
      <c r="DX145" s="19">
        <f>IF(ISERROR($H$145),"",IF(ISBLANK($H$145),"",$H$145))</f>
        <v/>
      </c>
      <c r="DY145" s="19">
        <f>IF(ISERROR($I$145),"",IF(ISBLANK($I$145),"",$I$145))</f>
        <v/>
      </c>
      <c r="DZ145" s="19">
        <f>IF(ISERROR($J$145),"",IF(ISBLANK($J$145),"",$J$145))</f>
        <v/>
      </c>
      <c r="EA145" s="19">
        <f>ISERROR($A$145)*1+ISERROR($C$145)*1+ISERROR($E$145)*1+ISERROR($G$145)*1+ISERROR($H$145)*1+ISERROR($I$145)*1+ISERROR($J$145)*1</f>
        <v/>
      </c>
    </row>
    <row r="146" ht="37" customHeight="1">
      <c r="A146" s="30" t="n"/>
      <c r="B146" s="16" t="n"/>
      <c r="C146" s="3" t="n"/>
      <c r="D146" s="16" t="n"/>
      <c r="E146" s="3" t="n"/>
      <c r="F146" s="16" t="n"/>
      <c r="G146" s="36" t="n"/>
      <c r="H146" s="36" t="n"/>
      <c r="I146" s="15" t="n"/>
      <c r="J146" s="15" t="n"/>
      <c r="K146" s="18">
        <f>IF(EA146&gt;0,"O Google leu como fórmula: escolha de novo ou digite com ' na frente.",IF(LEN($DQ$146)=0,"",IF(NOT(ISNUMBER($R$146)),"Inimigo fora da tabela I1",IF(AND($O$146=1,$DS$146&lt;&gt;"Reação",NOT(ISNUMBER($DY$146))),"Ação especial precisa de recarga de 2 ou 3 Ciclos (28.4)",IF(COUNTIFS($DQ$116:$DQ$153,$DQ$146,$O$116:$O$153,1)&gt;3,"Mais de 3 ações especiais neste inimigo (28.1: de 1 a 3)",IF(AND($DS$146="Especial de dano 1 alvo (até 1,5×)",INDEX($O$11:$O$22,$R$146)="Comum"),"Pico de dano: ocupa a ação do turno (28.4)",""))))))</f>
        <v/>
      </c>
      <c r="N146" s="19">
        <f>IF(AND(LEN($DQ$146)&gt;0,LEN($DS$146)&gt;0),1,0)</f>
        <v/>
      </c>
      <c r="O146" s="19">
        <f>IF(AND($N$146=1,$DS$146&lt;&gt;"Ataque normal"),1,0)</f>
        <v/>
      </c>
      <c r="P146" s="19">
        <f>IF($N$146=1,$DQ$146&amp;"|"&amp;COUNTIFS($DQ$116:$DQ$146,$DQ$146,$N$116:N146,1),"")</f>
        <v/>
      </c>
      <c r="Q146" s="19">
        <f>IF($O$146=1,$DQ$146&amp;"|"&amp;COUNTIFS($DQ$116:$DQ$146,$DQ$146,$O$116:O146,1),"")</f>
        <v/>
      </c>
      <c r="R146" s="19">
        <f>IFERROR(MATCH($DQ$146,$DQ$11:$DQ$22,0),"")</f>
        <v/>
      </c>
      <c r="S146" s="19">
        <f>$F$187</f>
        <v/>
      </c>
      <c r="DQ146" s="19">
        <f>IF(ISERROR($A$146),"",IF(ISBLANK($A$146),"",$A$146))</f>
        <v/>
      </c>
      <c r="DS146" s="19">
        <f>IF(ISERROR($C$146),"",IF(ISBLANK($C$146),"",$C$146))</f>
        <v/>
      </c>
      <c r="DU146" s="19">
        <f>IF(ISERROR($E$146),"",IF(ISBLANK($E$146),"",$E$146))</f>
        <v/>
      </c>
      <c r="DW146" s="19">
        <f>IF(ISERROR($G$146),"",IF(ISBLANK($G$146),"",$G$146))</f>
        <v/>
      </c>
      <c r="DX146" s="19">
        <f>IF(ISERROR($H$146),"",IF(ISBLANK($H$146),"",$H$146))</f>
        <v/>
      </c>
      <c r="DY146" s="19">
        <f>IF(ISERROR($I$146),"",IF(ISBLANK($I$146),"",$I$146))</f>
        <v/>
      </c>
      <c r="DZ146" s="19">
        <f>IF(ISERROR($J$146),"",IF(ISBLANK($J$146),"",$J$146))</f>
        <v/>
      </c>
      <c r="EA146" s="19">
        <f>ISERROR($A$146)*1+ISERROR($C$146)*1+ISERROR($E$146)*1+ISERROR($G$146)*1+ISERROR($H$146)*1+ISERROR($I$146)*1+ISERROR($J$146)*1</f>
        <v/>
      </c>
    </row>
    <row r="147" ht="37" customHeight="1">
      <c r="A147" s="31" t="n"/>
      <c r="B147" s="16" t="n"/>
      <c r="C147" s="28" t="n"/>
      <c r="D147" s="16" t="n"/>
      <c r="E147" s="28" t="n"/>
      <c r="F147" s="16" t="n"/>
      <c r="G147" s="42" t="n"/>
      <c r="H147" s="42" t="n"/>
      <c r="I147" s="34" t="n"/>
      <c r="J147" s="34" t="n"/>
      <c r="K147" s="26">
        <f>IF(EA147&gt;0,"O Google leu como fórmula: escolha de novo ou digite com ' na frente.",IF(LEN($DQ$147)=0,"",IF(NOT(ISNUMBER($R$147)),"Inimigo fora da tabela I1",IF(AND($O$147=1,$DS$147&lt;&gt;"Reação",NOT(ISNUMBER($DY$147))),"Ação especial precisa de recarga de 2 ou 3 Ciclos (28.4)",IF(COUNTIFS($DQ$116:$DQ$153,$DQ$147,$O$116:$O$153,1)&gt;3,"Mais de 3 ações especiais neste inimigo (28.1: de 1 a 3)",IF(AND($DS$147="Especial de dano 1 alvo (até 1,5×)",INDEX($O$11:$O$22,$R$147)="Comum"),"Pico de dano: ocupa a ação do turno (28.4)",""))))))</f>
        <v/>
      </c>
      <c r="N147" s="19">
        <f>IF(AND(LEN($DQ$147)&gt;0,LEN($DS$147)&gt;0),1,0)</f>
        <v/>
      </c>
      <c r="O147" s="19">
        <f>IF(AND($N$147=1,$DS$147&lt;&gt;"Ataque normal"),1,0)</f>
        <v/>
      </c>
      <c r="P147" s="19">
        <f>IF($N$147=1,$DQ$147&amp;"|"&amp;COUNTIFS($DQ$116:$DQ$147,$DQ$147,$N$116:N147,1),"")</f>
        <v/>
      </c>
      <c r="Q147" s="19">
        <f>IF($O$147=1,$DQ$147&amp;"|"&amp;COUNTIFS($DQ$116:$DQ$147,$DQ$147,$O$116:O147,1),"")</f>
        <v/>
      </c>
      <c r="R147" s="19">
        <f>IFERROR(MATCH($DQ$147,$DQ$11:$DQ$22,0),"")</f>
        <v/>
      </c>
      <c r="S147" s="19">
        <f>$F$188</f>
        <v/>
      </c>
      <c r="DQ147" s="19">
        <f>IF(ISERROR($A$147),"",IF(ISBLANK($A$147),"",$A$147))</f>
        <v/>
      </c>
      <c r="DS147" s="19">
        <f>IF(ISERROR($C$147),"",IF(ISBLANK($C$147),"",$C$147))</f>
        <v/>
      </c>
      <c r="DU147" s="19">
        <f>IF(ISERROR($E$147),"",IF(ISBLANK($E$147),"",$E$147))</f>
        <v/>
      </c>
      <c r="DW147" s="19">
        <f>IF(ISERROR($G$147),"",IF(ISBLANK($G$147),"",$G$147))</f>
        <v/>
      </c>
      <c r="DX147" s="19">
        <f>IF(ISERROR($H$147),"",IF(ISBLANK($H$147),"",$H$147))</f>
        <v/>
      </c>
      <c r="DY147" s="19">
        <f>IF(ISERROR($I$147),"",IF(ISBLANK($I$147),"",$I$147))</f>
        <v/>
      </c>
      <c r="DZ147" s="19">
        <f>IF(ISERROR($J$147),"",IF(ISBLANK($J$147),"",$J$147))</f>
        <v/>
      </c>
      <c r="EA147" s="19">
        <f>ISERROR($A$147)*1+ISERROR($C$147)*1+ISERROR($E$147)*1+ISERROR($G$147)*1+ISERROR($H$147)*1+ISERROR($I$147)*1+ISERROR($J$147)*1</f>
        <v/>
      </c>
    </row>
    <row r="148" ht="37" customHeight="1">
      <c r="A148" s="30" t="n"/>
      <c r="B148" s="16" t="n"/>
      <c r="C148" s="3" t="n"/>
      <c r="D148" s="16" t="n"/>
      <c r="E148" s="3" t="n"/>
      <c r="F148" s="16" t="n"/>
      <c r="G148" s="36" t="n"/>
      <c r="H148" s="36" t="n"/>
      <c r="I148" s="15" t="n"/>
      <c r="J148" s="15" t="n"/>
      <c r="K148" s="18">
        <f>IF(EA148&gt;0,"O Google leu como fórmula: escolha de novo ou digite com ' na frente.",IF(LEN($DQ$148)=0,"",IF(NOT(ISNUMBER($R$148)),"Inimigo fora da tabela I1",IF(AND($O$148=1,$DS$148&lt;&gt;"Reação",NOT(ISNUMBER($DY$148))),"Ação especial precisa de recarga de 2 ou 3 Ciclos (28.4)",IF(COUNTIFS($DQ$116:$DQ$153,$DQ$148,$O$116:$O$153,1)&gt;3,"Mais de 3 ações especiais neste inimigo (28.1: de 1 a 3)",IF(AND($DS$148="Especial de dano 1 alvo (até 1,5×)",INDEX($O$11:$O$22,$R$148)="Comum"),"Pico de dano: ocupa a ação do turno (28.4)",""))))))</f>
        <v/>
      </c>
      <c r="N148" s="19">
        <f>IF(AND(LEN($DQ$148)&gt;0,LEN($DS$148)&gt;0),1,0)</f>
        <v/>
      </c>
      <c r="O148" s="19">
        <f>IF(AND($N$148=1,$DS$148&lt;&gt;"Ataque normal"),1,0)</f>
        <v/>
      </c>
      <c r="P148" s="19">
        <f>IF($N$148=1,$DQ$148&amp;"|"&amp;COUNTIFS($DQ$116:$DQ$148,$DQ$148,$N$116:N148,1),"")</f>
        <v/>
      </c>
      <c r="Q148" s="19">
        <f>IF($O$148=1,$DQ$148&amp;"|"&amp;COUNTIFS($DQ$116:$DQ$148,$DQ$148,$O$116:O148,1),"")</f>
        <v/>
      </c>
      <c r="R148" s="19">
        <f>IFERROR(MATCH($DQ$148,$DQ$11:$DQ$22,0),"")</f>
        <v/>
      </c>
      <c r="S148" s="19">
        <f>$F$189</f>
        <v/>
      </c>
      <c r="DQ148" s="19">
        <f>IF(ISERROR($A$148),"",IF(ISBLANK($A$148),"",$A$148))</f>
        <v/>
      </c>
      <c r="DS148" s="19">
        <f>IF(ISERROR($C$148),"",IF(ISBLANK($C$148),"",$C$148))</f>
        <v/>
      </c>
      <c r="DU148" s="19">
        <f>IF(ISERROR($E$148),"",IF(ISBLANK($E$148),"",$E$148))</f>
        <v/>
      </c>
      <c r="DW148" s="19">
        <f>IF(ISERROR($G$148),"",IF(ISBLANK($G$148),"",$G$148))</f>
        <v/>
      </c>
      <c r="DX148" s="19">
        <f>IF(ISERROR($H$148),"",IF(ISBLANK($H$148),"",$H$148))</f>
        <v/>
      </c>
      <c r="DY148" s="19">
        <f>IF(ISERROR($I$148),"",IF(ISBLANK($I$148),"",$I$148))</f>
        <v/>
      </c>
      <c r="DZ148" s="19">
        <f>IF(ISERROR($J$148),"",IF(ISBLANK($J$148),"",$J$148))</f>
        <v/>
      </c>
      <c r="EA148" s="19">
        <f>ISERROR($A$148)*1+ISERROR($C$148)*1+ISERROR($E$148)*1+ISERROR($G$148)*1+ISERROR($H$148)*1+ISERROR($I$148)*1+ISERROR($J$148)*1</f>
        <v/>
      </c>
    </row>
    <row r="149" ht="37" customHeight="1">
      <c r="A149" s="31" t="n"/>
      <c r="B149" s="16" t="n"/>
      <c r="C149" s="28" t="n"/>
      <c r="D149" s="16" t="n"/>
      <c r="E149" s="28" t="n"/>
      <c r="F149" s="16" t="n"/>
      <c r="G149" s="42" t="n"/>
      <c r="H149" s="42" t="n"/>
      <c r="I149" s="34" t="n"/>
      <c r="J149" s="34" t="n"/>
      <c r="K149" s="26">
        <f>IF(EA149&gt;0,"O Google leu como fórmula: escolha de novo ou digite com ' na frente.",IF(LEN($DQ$149)=0,"",IF(NOT(ISNUMBER($R$149)),"Inimigo fora da tabela I1",IF(AND($O$149=1,$DS$149&lt;&gt;"Reação",NOT(ISNUMBER($DY$149))),"Ação especial precisa de recarga de 2 ou 3 Ciclos (28.4)",IF(COUNTIFS($DQ$116:$DQ$153,$DQ$149,$O$116:$O$153,1)&gt;3,"Mais de 3 ações especiais neste inimigo (28.1: de 1 a 3)",IF(AND($DS$149="Especial de dano 1 alvo (até 1,5×)",INDEX($O$11:$O$22,$R$149)="Comum"),"Pico de dano: ocupa a ação do turno (28.4)",""))))))</f>
        <v/>
      </c>
      <c r="N149" s="19">
        <f>IF(AND(LEN($DQ$149)&gt;0,LEN($DS$149)&gt;0),1,0)</f>
        <v/>
      </c>
      <c r="O149" s="19">
        <f>IF(AND($N$149=1,$DS$149&lt;&gt;"Ataque normal"),1,0)</f>
        <v/>
      </c>
      <c r="P149" s="19">
        <f>IF($N$149=1,$DQ$149&amp;"|"&amp;COUNTIFS($DQ$116:$DQ$149,$DQ$149,$N$116:N149,1),"")</f>
        <v/>
      </c>
      <c r="Q149" s="19">
        <f>IF($O$149=1,$DQ$149&amp;"|"&amp;COUNTIFS($DQ$116:$DQ$149,$DQ$149,$O$116:O149,1),"")</f>
        <v/>
      </c>
      <c r="R149" s="19">
        <f>IFERROR(MATCH($DQ$149,$DQ$11:$DQ$22,0),"")</f>
        <v/>
      </c>
      <c r="S149" s="19">
        <f>$F$190</f>
        <v/>
      </c>
      <c r="DQ149" s="19">
        <f>IF(ISERROR($A$149),"",IF(ISBLANK($A$149),"",$A$149))</f>
        <v/>
      </c>
      <c r="DS149" s="19">
        <f>IF(ISERROR($C$149),"",IF(ISBLANK($C$149),"",$C$149))</f>
        <v/>
      </c>
      <c r="DU149" s="19">
        <f>IF(ISERROR($E$149),"",IF(ISBLANK($E$149),"",$E$149))</f>
        <v/>
      </c>
      <c r="DW149" s="19">
        <f>IF(ISERROR($G$149),"",IF(ISBLANK($G$149),"",$G$149))</f>
        <v/>
      </c>
      <c r="DX149" s="19">
        <f>IF(ISERROR($H$149),"",IF(ISBLANK($H$149),"",$H$149))</f>
        <v/>
      </c>
      <c r="DY149" s="19">
        <f>IF(ISERROR($I$149),"",IF(ISBLANK($I$149),"",$I$149))</f>
        <v/>
      </c>
      <c r="DZ149" s="19">
        <f>IF(ISERROR($J$149),"",IF(ISBLANK($J$149),"",$J$149))</f>
        <v/>
      </c>
      <c r="EA149" s="19">
        <f>ISERROR($A$149)*1+ISERROR($C$149)*1+ISERROR($E$149)*1+ISERROR($G$149)*1+ISERROR($H$149)*1+ISERROR($I$149)*1+ISERROR($J$149)*1</f>
        <v/>
      </c>
    </row>
    <row r="150" ht="37" customHeight="1">
      <c r="A150" s="30" t="n"/>
      <c r="B150" s="16" t="n"/>
      <c r="C150" s="3" t="n"/>
      <c r="D150" s="16" t="n"/>
      <c r="E150" s="3" t="n"/>
      <c r="F150" s="16" t="n"/>
      <c r="G150" s="36" t="n"/>
      <c r="H150" s="36" t="n"/>
      <c r="I150" s="15" t="n"/>
      <c r="J150" s="15" t="n"/>
      <c r="K150" s="18">
        <f>IF(EA150&gt;0,"O Google leu como fórmula: escolha de novo ou digite com ' na frente.",IF(LEN($DQ$150)=0,"",IF(NOT(ISNUMBER($R$150)),"Inimigo fora da tabela I1",IF(AND($O$150=1,$DS$150&lt;&gt;"Reação",NOT(ISNUMBER($DY$150))),"Ação especial precisa de recarga de 2 ou 3 Ciclos (28.4)",IF(COUNTIFS($DQ$116:$DQ$153,$DQ$150,$O$116:$O$153,1)&gt;3,"Mais de 3 ações especiais neste inimigo (28.1: de 1 a 3)",IF(AND($DS$150="Especial de dano 1 alvo (até 1,5×)",INDEX($O$11:$O$22,$R$150)="Comum"),"Pico de dano: ocupa a ação do turno (28.4)",""))))))</f>
        <v/>
      </c>
      <c r="N150" s="19">
        <f>IF(AND(LEN($DQ$150)&gt;0,LEN($DS$150)&gt;0),1,0)</f>
        <v/>
      </c>
      <c r="O150" s="19">
        <f>IF(AND($N$150=1,$DS$150&lt;&gt;"Ataque normal"),1,0)</f>
        <v/>
      </c>
      <c r="P150" s="19">
        <f>IF($N$150=1,$DQ$150&amp;"|"&amp;COUNTIFS($DQ$116:$DQ$150,$DQ$150,$N$116:N150,1),"")</f>
        <v/>
      </c>
      <c r="Q150" s="19">
        <f>IF($O$150=1,$DQ$150&amp;"|"&amp;COUNTIFS($DQ$116:$DQ$150,$DQ$150,$O$116:O150,1),"")</f>
        <v/>
      </c>
      <c r="R150" s="19">
        <f>IFERROR(MATCH($DQ$150,$DQ$11:$DQ$22,0),"")</f>
        <v/>
      </c>
      <c r="S150" s="19">
        <f>$F$191</f>
        <v/>
      </c>
      <c r="DQ150" s="19">
        <f>IF(ISERROR($A$150),"",IF(ISBLANK($A$150),"",$A$150))</f>
        <v/>
      </c>
      <c r="DS150" s="19">
        <f>IF(ISERROR($C$150),"",IF(ISBLANK($C$150),"",$C$150))</f>
        <v/>
      </c>
      <c r="DU150" s="19">
        <f>IF(ISERROR($E$150),"",IF(ISBLANK($E$150),"",$E$150))</f>
        <v/>
      </c>
      <c r="DW150" s="19">
        <f>IF(ISERROR($G$150),"",IF(ISBLANK($G$150),"",$G$150))</f>
        <v/>
      </c>
      <c r="DX150" s="19">
        <f>IF(ISERROR($H$150),"",IF(ISBLANK($H$150),"",$H$150))</f>
        <v/>
      </c>
      <c r="DY150" s="19">
        <f>IF(ISERROR($I$150),"",IF(ISBLANK($I$150),"",$I$150))</f>
        <v/>
      </c>
      <c r="DZ150" s="19">
        <f>IF(ISERROR($J$150),"",IF(ISBLANK($J$150),"",$J$150))</f>
        <v/>
      </c>
      <c r="EA150" s="19">
        <f>ISERROR($A$150)*1+ISERROR($C$150)*1+ISERROR($E$150)*1+ISERROR($G$150)*1+ISERROR($H$150)*1+ISERROR($I$150)*1+ISERROR($J$150)*1</f>
        <v/>
      </c>
    </row>
    <row r="151" ht="37" customHeight="1">
      <c r="A151" s="31" t="n"/>
      <c r="B151" s="16" t="n"/>
      <c r="C151" s="28" t="n"/>
      <c r="D151" s="16" t="n"/>
      <c r="E151" s="28" t="n"/>
      <c r="F151" s="16" t="n"/>
      <c r="G151" s="42" t="n"/>
      <c r="H151" s="42" t="n"/>
      <c r="I151" s="34" t="n"/>
      <c r="J151" s="34" t="n"/>
      <c r="K151" s="26">
        <f>IF(EA151&gt;0,"O Google leu como fórmula: escolha de novo ou digite com ' na frente.",IF(LEN($DQ$151)=0,"",IF(NOT(ISNUMBER($R$151)),"Inimigo fora da tabela I1",IF(AND($O$151=1,$DS$151&lt;&gt;"Reação",NOT(ISNUMBER($DY$151))),"Ação especial precisa de recarga de 2 ou 3 Ciclos (28.4)",IF(COUNTIFS($DQ$116:$DQ$153,$DQ$151,$O$116:$O$153,1)&gt;3,"Mais de 3 ações especiais neste inimigo (28.1: de 1 a 3)",IF(AND($DS$151="Especial de dano 1 alvo (até 1,5×)",INDEX($O$11:$O$22,$R$151)="Comum"),"Pico de dano: ocupa a ação do turno (28.4)",""))))))</f>
        <v/>
      </c>
      <c r="N151" s="19">
        <f>IF(AND(LEN($DQ$151)&gt;0,LEN($DS$151)&gt;0),1,0)</f>
        <v/>
      </c>
      <c r="O151" s="19">
        <f>IF(AND($N$151=1,$DS$151&lt;&gt;"Ataque normal"),1,0)</f>
        <v/>
      </c>
      <c r="P151" s="19">
        <f>IF($N$151=1,$DQ$151&amp;"|"&amp;COUNTIFS($DQ$116:$DQ$151,$DQ$151,$N$116:N151,1),"")</f>
        <v/>
      </c>
      <c r="Q151" s="19">
        <f>IF($O$151=1,$DQ$151&amp;"|"&amp;COUNTIFS($DQ$116:$DQ$151,$DQ$151,$O$116:O151,1),"")</f>
        <v/>
      </c>
      <c r="R151" s="19">
        <f>IFERROR(MATCH($DQ$151,$DQ$11:$DQ$22,0),"")</f>
        <v/>
      </c>
      <c r="S151" s="19">
        <f>$F$192</f>
        <v/>
      </c>
      <c r="DQ151" s="19">
        <f>IF(ISERROR($A$151),"",IF(ISBLANK($A$151),"",$A$151))</f>
        <v/>
      </c>
      <c r="DS151" s="19">
        <f>IF(ISERROR($C$151),"",IF(ISBLANK($C$151),"",$C$151))</f>
        <v/>
      </c>
      <c r="DU151" s="19">
        <f>IF(ISERROR($E$151),"",IF(ISBLANK($E$151),"",$E$151))</f>
        <v/>
      </c>
      <c r="DW151" s="19">
        <f>IF(ISERROR($G$151),"",IF(ISBLANK($G$151),"",$G$151))</f>
        <v/>
      </c>
      <c r="DX151" s="19">
        <f>IF(ISERROR($H$151),"",IF(ISBLANK($H$151),"",$H$151))</f>
        <v/>
      </c>
      <c r="DY151" s="19">
        <f>IF(ISERROR($I$151),"",IF(ISBLANK($I$151),"",$I$151))</f>
        <v/>
      </c>
      <c r="DZ151" s="19">
        <f>IF(ISERROR($J$151),"",IF(ISBLANK($J$151),"",$J$151))</f>
        <v/>
      </c>
      <c r="EA151" s="19">
        <f>ISERROR($A$151)*1+ISERROR($C$151)*1+ISERROR($E$151)*1+ISERROR($G$151)*1+ISERROR($H$151)*1+ISERROR($I$151)*1+ISERROR($J$151)*1</f>
        <v/>
      </c>
    </row>
    <row r="152" ht="37" customHeight="1">
      <c r="A152" s="30" t="n"/>
      <c r="B152" s="16" t="n"/>
      <c r="C152" s="3" t="n"/>
      <c r="D152" s="16" t="n"/>
      <c r="E152" s="3" t="n"/>
      <c r="F152" s="16" t="n"/>
      <c r="G152" s="36" t="n"/>
      <c r="H152" s="36" t="n"/>
      <c r="I152" s="15" t="n"/>
      <c r="J152" s="15" t="n"/>
      <c r="K152" s="18">
        <f>IF(EA152&gt;0,"O Google leu como fórmula: escolha de novo ou digite com ' na frente.",IF(LEN($DQ$152)=0,"",IF(NOT(ISNUMBER($R$152)),"Inimigo fora da tabela I1",IF(AND($O$152=1,$DS$152&lt;&gt;"Reação",NOT(ISNUMBER($DY$152))),"Ação especial precisa de recarga de 2 ou 3 Ciclos (28.4)",IF(COUNTIFS($DQ$116:$DQ$153,$DQ$152,$O$116:$O$153,1)&gt;3,"Mais de 3 ações especiais neste inimigo (28.1: de 1 a 3)",IF(AND($DS$152="Especial de dano 1 alvo (até 1,5×)",INDEX($O$11:$O$22,$R$152)="Comum"),"Pico de dano: ocupa a ação do turno (28.4)",""))))))</f>
        <v/>
      </c>
      <c r="N152" s="19">
        <f>IF(AND(LEN($DQ$152)&gt;0,LEN($DS$152)&gt;0),1,0)</f>
        <v/>
      </c>
      <c r="O152" s="19">
        <f>IF(AND($N$152=1,$DS$152&lt;&gt;"Ataque normal"),1,0)</f>
        <v/>
      </c>
      <c r="P152" s="19">
        <f>IF($N$152=1,$DQ$152&amp;"|"&amp;COUNTIFS($DQ$116:$DQ$152,$DQ$152,$N$116:N152,1),"")</f>
        <v/>
      </c>
      <c r="Q152" s="19">
        <f>IF($O$152=1,$DQ$152&amp;"|"&amp;COUNTIFS($DQ$116:$DQ$152,$DQ$152,$O$116:O152,1),"")</f>
        <v/>
      </c>
      <c r="R152" s="19">
        <f>IFERROR(MATCH($DQ$152,$DQ$11:$DQ$22,0),"")</f>
        <v/>
      </c>
      <c r="S152" s="19">
        <f>$F$193</f>
        <v/>
      </c>
      <c r="DQ152" s="19">
        <f>IF(ISERROR($A$152),"",IF(ISBLANK($A$152),"",$A$152))</f>
        <v/>
      </c>
      <c r="DS152" s="19">
        <f>IF(ISERROR($C$152),"",IF(ISBLANK($C$152),"",$C$152))</f>
        <v/>
      </c>
      <c r="DU152" s="19">
        <f>IF(ISERROR($E$152),"",IF(ISBLANK($E$152),"",$E$152))</f>
        <v/>
      </c>
      <c r="DW152" s="19">
        <f>IF(ISERROR($G$152),"",IF(ISBLANK($G$152),"",$G$152))</f>
        <v/>
      </c>
      <c r="DX152" s="19">
        <f>IF(ISERROR($H$152),"",IF(ISBLANK($H$152),"",$H$152))</f>
        <v/>
      </c>
      <c r="DY152" s="19">
        <f>IF(ISERROR($I$152),"",IF(ISBLANK($I$152),"",$I$152))</f>
        <v/>
      </c>
      <c r="DZ152" s="19">
        <f>IF(ISERROR($J$152),"",IF(ISBLANK($J$152),"",$J$152))</f>
        <v/>
      </c>
      <c r="EA152" s="19">
        <f>ISERROR($A$152)*1+ISERROR($C$152)*1+ISERROR($E$152)*1+ISERROR($G$152)*1+ISERROR($H$152)*1+ISERROR($I$152)*1+ISERROR($J$152)*1</f>
        <v/>
      </c>
    </row>
    <row r="153" ht="37" customHeight="1">
      <c r="A153" s="31" t="n"/>
      <c r="B153" s="16" t="n"/>
      <c r="C153" s="28" t="n"/>
      <c r="D153" s="16" t="n"/>
      <c r="E153" s="28" t="n"/>
      <c r="F153" s="16" t="n"/>
      <c r="G153" s="42" t="n"/>
      <c r="H153" s="42" t="n"/>
      <c r="I153" s="34" t="n"/>
      <c r="J153" s="34" t="n"/>
      <c r="K153" s="26">
        <f>IF(EA153&gt;0,"O Google leu como fórmula: escolha de novo ou digite com ' na frente.",IF(LEN($DQ$153)=0,"",IF(NOT(ISNUMBER($R$153)),"Inimigo fora da tabela I1",IF(AND($O$153=1,$DS$153&lt;&gt;"Reação",NOT(ISNUMBER($DY$153))),"Ação especial precisa de recarga de 2 ou 3 Ciclos (28.4)",IF(COUNTIFS($DQ$116:$DQ$153,$DQ$153,$O$116:$O$153,1)&gt;3,"Mais de 3 ações especiais neste inimigo (28.1: de 1 a 3)",IF(AND($DS$153="Especial de dano 1 alvo (até 1,5×)",INDEX($O$11:$O$22,$R$153)="Comum"),"Pico de dano: ocupa a ação do turno (28.4)",""))))))</f>
        <v/>
      </c>
      <c r="N153" s="19">
        <f>IF(AND(LEN($DQ$153)&gt;0,LEN($DS$153)&gt;0),1,0)</f>
        <v/>
      </c>
      <c r="O153" s="19">
        <f>IF(AND($N$153=1,$DS$153&lt;&gt;"Ataque normal"),1,0)</f>
        <v/>
      </c>
      <c r="P153" s="19">
        <f>IF($N$153=1,$DQ$153&amp;"|"&amp;COUNTIFS($DQ$116:$DQ$153,$DQ$153,$N$116:N153,1),"")</f>
        <v/>
      </c>
      <c r="Q153" s="19">
        <f>IF($O$153=1,$DQ$153&amp;"|"&amp;COUNTIFS($DQ$116:$DQ$153,$DQ$153,$O$116:O153,1),"")</f>
        <v/>
      </c>
      <c r="R153" s="19">
        <f>IFERROR(MATCH($DQ$153,$DQ$11:$DQ$22,0),"")</f>
        <v/>
      </c>
      <c r="S153" s="19">
        <f>$F$194</f>
        <v/>
      </c>
      <c r="DQ153" s="19">
        <f>IF(ISERROR($A$153),"",IF(ISBLANK($A$153),"",$A$153))</f>
        <v/>
      </c>
      <c r="DS153" s="19">
        <f>IF(ISERROR($C$153),"",IF(ISBLANK($C$153),"",$C$153))</f>
        <v/>
      </c>
      <c r="DU153" s="19">
        <f>IF(ISERROR($E$153),"",IF(ISBLANK($E$153),"",$E$153))</f>
        <v/>
      </c>
      <c r="DW153" s="19">
        <f>IF(ISERROR($G$153),"",IF(ISBLANK($G$153),"",$G$153))</f>
        <v/>
      </c>
      <c r="DX153" s="19">
        <f>IF(ISERROR($H$153),"",IF(ISBLANK($H$153),"",$H$153))</f>
        <v/>
      </c>
      <c r="DY153" s="19">
        <f>IF(ISERROR($I$153),"",IF(ISBLANK($I$153),"",$I$153))</f>
        <v/>
      </c>
      <c r="DZ153" s="19">
        <f>IF(ISERROR($J$153),"",IF(ISBLANK($J$153),"",$J$153))</f>
        <v/>
      </c>
      <c r="EA153" s="19">
        <f>ISERROR($A$153)*1+ISERROR($C$153)*1+ISERROR($E$153)*1+ISERROR($G$153)*1+ISERROR($H$153)*1+ISERROR($I$153)*1+ISERROR($J$153)*1</f>
        <v/>
      </c>
    </row>
    <row r="154"/>
    <row r="155" ht="20" customHeight="1">
      <c r="A155" s="12" t="inlineStr">
        <is>
          <t>Ações — texto pronto (automático, com o dano e a DT da ficha do inimigo)</t>
        </is>
      </c>
    </row>
    <row r="156" ht="26" customHeight="1">
      <c r="A156" s="7" t="inlineStr">
        <is>
          <t>Ação</t>
        </is>
      </c>
      <c r="B156" s="7" t="inlineStr">
        <is>
          <t>Condição (capítulo 21)</t>
        </is>
      </c>
      <c r="C156" s="20" t="n"/>
      <c r="D156" s="7" t="inlineStr">
        <is>
          <t>Teste de Resistência do alvo</t>
        </is>
      </c>
      <c r="E156" s="20" t="n"/>
      <c r="F156" s="7" t="inlineStr">
        <is>
          <t>Texto pronto</t>
        </is>
      </c>
      <c r="G156" s="20" t="n"/>
      <c r="H156" s="20" t="n"/>
      <c r="I156" s="20" t="n"/>
      <c r="J156" s="20" t="n"/>
      <c r="K156" s="7" t="inlineStr">
        <is>
          <t>Aviso</t>
        </is>
      </c>
      <c r="L156" s="20" t="n"/>
    </row>
    <row r="157" ht="48" customHeight="1">
      <c r="A157" s="32">
        <f>IF(LEN($DQ$116)&gt;0,"1 · "&amp;$DQ$116,"1 · (vazia)")</f>
        <v/>
      </c>
      <c r="B157" s="3" t="n"/>
      <c r="C157" s="16" t="n"/>
      <c r="D157" s="3" t="n"/>
      <c r="E157" s="16" t="n"/>
      <c r="F157" s="4">
        <f>IF(OR(LEN($DQ$116)=0,NOT(ISNUMBER($R$116))),"",IF($DS$116="Ataque normal",IF(LEN($DU$116)&gt;0,$DU$116,"Ação")&amp;" ("&amp;IF(LEN($DW$116)&gt;0,$DW$116,"Pessoal")&amp;", "&amp;IF(LEN($DX$116)&gt;0,$DX$116,"Físico")&amp;"): "&amp;INDEX($W$11:$W$22,$R$116)&amp;" · média "&amp;INDEX($X$11:$X$22,$R$116)&amp;IF(LEN($DR$157)&gt;0,", e o alvo recebe "&amp;$DR$157&amp;" por "&amp;IF(ISNUMBER($DZ$116),$DZ$116,1)&amp;IF(AND(ISNUMBER($DZ$116),$DZ$116&gt;1)," turnos"," turno"),""),IF($DS$116="Especial de dano 1 alvo (até 1,5×)",IF(LEN($DU$116)&gt;0,$DU$116,"Ação")&amp;IF(ISNUMBER($DY$116)," (recarga "&amp;$DY$116&amp;" Ciclos)","")&amp;": um alvo a até Distância "&amp;IF(LEN($DW$116)&gt;0,$DW$116,"Pessoal")&amp;IF(LEN($DT$157)&gt;0," faz "&amp;"Teste de "&amp;$DT$157&amp;" contra DT "&amp;INDEX($Y$11:$Y$22,$R$116)&amp;"; se falhar, recebe "," recebe ")&amp;INDEX($CJ$11:$CJ$22,$R$116)&amp;" · média "&amp;INDEX($CK$11:$CK$22,$R$116)&amp;" de dano "&amp;IF(LEN($DX$116)&gt;0,$DX$116,"Físico")&amp;IF(LEN($DR$157)&gt;0," e "&amp;$DR$157&amp;" por "&amp;IF(ISNUMBER($DZ$116),$DZ$116,1)&amp;IF(AND(ISNUMBER($DZ$116),$DZ$116&gt;1)," turnos"," turno"),"")&amp;".",IF($DS$116="Especial de dano 2–3 alvos (dano cheio por alvo)",IF(LEN($DU$116)&gt;0,$DU$116,"Ação")&amp;IF(ISNUMBER($DY$116)," (recarga "&amp;$DY$116&amp;" Ciclos)","")&amp;": até 3 alvos a até uma Distância um do outro "&amp;IF(LEN($DT$157)&gt;0,"fazem "&amp;"Teste de "&amp;$DT$157&amp;" contra DT "&amp;INDEX($Y$11:$Y$22,$R$116)&amp;". Quem falha recebe "&amp;INDEX($W$11:$W$22,$R$116)&amp;" · média "&amp;INDEX($X$11:$X$22,$R$116)&amp;" de dano "&amp;IF(LEN($DX$116)&gt;0,$DX$116,"Físico")&amp;IF(LEN($DR$157)&gt;0," e "&amp;$DR$157&amp;" por "&amp;IF(ISNUMBER($DZ$116),$DZ$116,1)&amp;IF(AND(ISNUMBER($DZ$116),$DZ$116&gt;1)," turnos"," turno"),"")&amp;"; quem passa recebe metade do dano.","recebem, cada um, "&amp;INDEX($W$11:$W$22,$R$116)&amp;" · média "&amp;INDEX($X$11:$X$22,$R$116)&amp;" de dano "&amp;IF(LEN($DX$116)&gt;0,$DX$116,"Físico")&amp;IF(LEN($DR$157)&gt;0," e "&amp;$DR$157&amp;" por "&amp;IF(ISNUMBER($DZ$116),$DZ$116,1)&amp;IF(AND(ISNUMBER($DZ$116),$DZ$116&gt;1)," turnos"," turno"),"")&amp;"."),IF($DS$116="Especial de controle",IF(LEN($DU$116)&gt;0,$DU$116,"Ação")&amp;IF(ISNUMBER($DY$116)," (recarga "&amp;$DY$116&amp;" Ciclos)","")&amp;": o alvo faz "&amp;IF(LEN($DT$157)&gt;0,"Teste de "&amp;$DT$157&amp;" contra DT "&amp;INDEX($Y$11:$Y$22,$R$116),"Teste de Resistência contra DT "&amp;INDEX($Y$11:$Y$22,$R$116))&amp;"; se falhar, recebe "&amp;IF(LEN($DR$157)&gt;0,$DR$157,"(escolha a condição)")&amp;" por "&amp;IF(ISNUMBER($DZ$116),$DZ$116,1)&amp;IF(AND(ISNUMBER($DZ$116),$DZ$116&gt;1)," turnos"," turno")&amp;".",IF($DS$116="Reação",IF(LEN($DU$116)&gt;0,$DU$116,"Ação")&amp;" (Reação"&amp;IF(ISNUMBER($DY$116),", recarga "&amp;$DY$116&amp;" Ciclos","")&amp;")"&amp;IF(LEN($DR$157)&gt;0,": o alvo faz "&amp;IF(LEN($DT$157)&gt;0,"Teste de "&amp;$DT$157&amp;" contra DT "&amp;INDEX($Y$11:$Y$22,$R$116),"Teste de Resistência contra DT "&amp;INDEX($Y$11:$Y$22,$R$116))&amp;"; se falhar, recebe "&amp;$DR$157&amp;" por "&amp;IF(ISNUMBER($DZ$116),$DZ$116,1)&amp;IF(AND(ISNUMBER($DZ$116),$DZ$116&gt;1)," turnos"," turno")&amp;".","."),""))))))</f>
        <v/>
      </c>
      <c r="K157" s="18">
        <f>IF(EA157&gt;0,"O Google leu como fórmula: escolha de novo na lista.",IF(LEN($DQ$116)=0,"",IF(AND($DS$116="Especial de controle",LEN($DR$157)=0),"Ação de controle aplica uma condição do capítulo 21 (28.4)",IF(AND($DS$116="Especial de controle",LEN($DT$157)=0),"Diga o Teste de Resistência do alvo",IF($DR$157="Congelado","Inimigo não aplica Congelamento em personagem (28.2 regra 9)",IF(AND(LEN($DR$157)&gt;0,COUNTIF('Dados'!$BH$6:$BH$18,$DR$157)=0),"Condição fora do capítulo 21: nada de condição nova (28.4)",""))))))</f>
        <v/>
      </c>
      <c r="DR157" s="19">
        <f>IF(ISERROR($B$157),"",IF(ISBLANK($B$157),"",$B$157))</f>
        <v/>
      </c>
      <c r="DT157" s="19">
        <f>IF(ISERROR($D$157),"",IF(ISBLANK($D$157),"",$D$157))</f>
        <v/>
      </c>
      <c r="EA157" s="19">
        <f>ISERROR($B$157)*1+ISERROR($D$157)*1</f>
        <v/>
      </c>
    </row>
    <row r="158" ht="48" customHeight="1">
      <c r="A158" s="33">
        <f>IF(LEN($DQ$117)&gt;0,"2 · "&amp;$DQ$117,"2 · (vazia)")</f>
        <v/>
      </c>
      <c r="B158" s="28" t="n"/>
      <c r="C158" s="16" t="n"/>
      <c r="D158" s="28" t="n"/>
      <c r="E158" s="16" t="n"/>
      <c r="F158" s="9">
        <f>IF(OR(LEN($DQ$117)=0,NOT(ISNUMBER($R$117))),"",IF($DS$117="Ataque normal",IF(LEN($DU$117)&gt;0,$DU$117,"Ação")&amp;" ("&amp;IF(LEN($DW$117)&gt;0,$DW$117,"Pessoal")&amp;", "&amp;IF(LEN($DX$117)&gt;0,$DX$117,"Físico")&amp;"): "&amp;INDEX($W$11:$W$22,$R$117)&amp;" · média "&amp;INDEX($X$11:$X$22,$R$117)&amp;IF(LEN($DR$158)&gt;0,", e o alvo recebe "&amp;$DR$158&amp;" por "&amp;IF(ISNUMBER($DZ$117),$DZ$117,1)&amp;IF(AND(ISNUMBER($DZ$117),$DZ$117&gt;1)," turnos"," turno"),""),IF($DS$117="Especial de dano 1 alvo (até 1,5×)",IF(LEN($DU$117)&gt;0,$DU$117,"Ação")&amp;IF(ISNUMBER($DY$117)," (recarga "&amp;$DY$117&amp;" Ciclos)","")&amp;": um alvo a até Distância "&amp;IF(LEN($DW$117)&gt;0,$DW$117,"Pessoal")&amp;IF(LEN($DT$158)&gt;0," faz "&amp;"Teste de "&amp;$DT$158&amp;" contra DT "&amp;INDEX($Y$11:$Y$22,$R$117)&amp;"; se falhar, recebe "," recebe ")&amp;INDEX($CJ$11:$CJ$22,$R$117)&amp;" · média "&amp;INDEX($CK$11:$CK$22,$R$117)&amp;" de dano "&amp;IF(LEN($DX$117)&gt;0,$DX$117,"Físico")&amp;IF(LEN($DR$158)&gt;0," e "&amp;$DR$158&amp;" por "&amp;IF(ISNUMBER($DZ$117),$DZ$117,1)&amp;IF(AND(ISNUMBER($DZ$117),$DZ$117&gt;1)," turnos"," turno"),"")&amp;".",IF($DS$117="Especial de dano 2–3 alvos (dano cheio por alvo)",IF(LEN($DU$117)&gt;0,$DU$117,"Ação")&amp;IF(ISNUMBER($DY$117)," (recarga "&amp;$DY$117&amp;" Ciclos)","")&amp;": até 3 alvos a até uma Distância um do outro "&amp;IF(LEN($DT$158)&gt;0,"fazem "&amp;"Teste de "&amp;$DT$158&amp;" contra DT "&amp;INDEX($Y$11:$Y$22,$R$117)&amp;". Quem falha recebe "&amp;INDEX($W$11:$W$22,$R$117)&amp;" · média "&amp;INDEX($X$11:$X$22,$R$117)&amp;" de dano "&amp;IF(LEN($DX$117)&gt;0,$DX$117,"Físico")&amp;IF(LEN($DR$158)&gt;0," e "&amp;$DR$158&amp;" por "&amp;IF(ISNUMBER($DZ$117),$DZ$117,1)&amp;IF(AND(ISNUMBER($DZ$117),$DZ$117&gt;1)," turnos"," turno"),"")&amp;"; quem passa recebe metade do dano.","recebem, cada um, "&amp;INDEX($W$11:$W$22,$R$117)&amp;" · média "&amp;INDEX($X$11:$X$22,$R$117)&amp;" de dano "&amp;IF(LEN($DX$117)&gt;0,$DX$117,"Físico")&amp;IF(LEN($DR$158)&gt;0," e "&amp;$DR$158&amp;" por "&amp;IF(ISNUMBER($DZ$117),$DZ$117,1)&amp;IF(AND(ISNUMBER($DZ$117),$DZ$117&gt;1)," turnos"," turno"),"")&amp;"."),IF($DS$117="Especial de controle",IF(LEN($DU$117)&gt;0,$DU$117,"Ação")&amp;IF(ISNUMBER($DY$117)," (recarga "&amp;$DY$117&amp;" Ciclos)","")&amp;": o alvo faz "&amp;IF(LEN($DT$158)&gt;0,"Teste de "&amp;$DT$158&amp;" contra DT "&amp;INDEX($Y$11:$Y$22,$R$117),"Teste de Resistência contra DT "&amp;INDEX($Y$11:$Y$22,$R$117))&amp;"; se falhar, recebe "&amp;IF(LEN($DR$158)&gt;0,$DR$158,"(escolha a condição)")&amp;" por "&amp;IF(ISNUMBER($DZ$117),$DZ$117,1)&amp;IF(AND(ISNUMBER($DZ$117),$DZ$117&gt;1)," turnos"," turno")&amp;".",IF($DS$117="Reação",IF(LEN($DU$117)&gt;0,$DU$117,"Ação")&amp;" (Reação"&amp;IF(ISNUMBER($DY$117),", recarga "&amp;$DY$117&amp;" Ciclos","")&amp;")"&amp;IF(LEN($DR$158)&gt;0,": o alvo faz "&amp;IF(LEN($DT$158)&gt;0,"Teste de "&amp;$DT$158&amp;" contra DT "&amp;INDEX($Y$11:$Y$22,$R$117),"Teste de Resistência contra DT "&amp;INDEX($Y$11:$Y$22,$R$117))&amp;"; se falhar, recebe "&amp;$DR$158&amp;" por "&amp;IF(ISNUMBER($DZ$117),$DZ$117,1)&amp;IF(AND(ISNUMBER($DZ$117),$DZ$117&gt;1)," turnos"," turno")&amp;".","."),""))))))</f>
        <v/>
      </c>
      <c r="K158" s="26">
        <f>IF(EA158&gt;0,"O Google leu como fórmula: escolha de novo na lista.",IF(LEN($DQ$117)=0,"",IF(AND($DS$117="Especial de controle",LEN($DR$158)=0),"Ação de controle aplica uma condição do capítulo 21 (28.4)",IF(AND($DS$117="Especial de controle",LEN($DT$158)=0),"Diga o Teste de Resistência do alvo",IF($DR$158="Congelado","Inimigo não aplica Congelamento em personagem (28.2 regra 9)",IF(AND(LEN($DR$158)&gt;0,COUNTIF('Dados'!$BH$6:$BH$18,$DR$158)=0),"Condição fora do capítulo 21: nada de condição nova (28.4)",""))))))</f>
        <v/>
      </c>
      <c r="DR158" s="19">
        <f>IF(ISERROR($B$158),"",IF(ISBLANK($B$158),"",$B$158))</f>
        <v/>
      </c>
      <c r="DT158" s="19">
        <f>IF(ISERROR($D$158),"",IF(ISBLANK($D$158),"",$D$158))</f>
        <v/>
      </c>
      <c r="EA158" s="19">
        <f>ISERROR($B$158)*1+ISERROR($D$158)*1</f>
        <v/>
      </c>
    </row>
    <row r="159" ht="48" customHeight="1">
      <c r="A159" s="32">
        <f>IF(LEN($DQ$118)&gt;0,"3 · "&amp;$DQ$118,"3 · (vazia)")</f>
        <v/>
      </c>
      <c r="B159" s="3" t="n"/>
      <c r="C159" s="16" t="n"/>
      <c r="D159" s="3" t="n"/>
      <c r="E159" s="16" t="n"/>
      <c r="F159" s="4">
        <f>IF(OR(LEN($DQ$118)=0,NOT(ISNUMBER($R$118))),"",IF($DS$118="Ataque normal",IF(LEN($DU$118)&gt;0,$DU$118,"Ação")&amp;" ("&amp;IF(LEN($DW$118)&gt;0,$DW$118,"Pessoal")&amp;", "&amp;IF(LEN($DX$118)&gt;0,$DX$118,"Físico")&amp;"): "&amp;INDEX($W$11:$W$22,$R$118)&amp;" · média "&amp;INDEX($X$11:$X$22,$R$118)&amp;IF(LEN($DR$159)&gt;0,", e o alvo recebe "&amp;$DR$159&amp;" por "&amp;IF(ISNUMBER($DZ$118),$DZ$118,1)&amp;IF(AND(ISNUMBER($DZ$118),$DZ$118&gt;1)," turnos"," turno"),""),IF($DS$118="Especial de dano 1 alvo (até 1,5×)",IF(LEN($DU$118)&gt;0,$DU$118,"Ação")&amp;IF(ISNUMBER($DY$118)," (recarga "&amp;$DY$118&amp;" Ciclos)","")&amp;": um alvo a até Distância "&amp;IF(LEN($DW$118)&gt;0,$DW$118,"Pessoal")&amp;IF(LEN($DT$159)&gt;0," faz "&amp;"Teste de "&amp;$DT$159&amp;" contra DT "&amp;INDEX($Y$11:$Y$22,$R$118)&amp;"; se falhar, recebe "," recebe ")&amp;INDEX($CJ$11:$CJ$22,$R$118)&amp;" · média "&amp;INDEX($CK$11:$CK$22,$R$118)&amp;" de dano "&amp;IF(LEN($DX$118)&gt;0,$DX$118,"Físico")&amp;IF(LEN($DR$159)&gt;0," e "&amp;$DR$159&amp;" por "&amp;IF(ISNUMBER($DZ$118),$DZ$118,1)&amp;IF(AND(ISNUMBER($DZ$118),$DZ$118&gt;1)," turnos"," turno"),"")&amp;".",IF($DS$118="Especial de dano 2–3 alvos (dano cheio por alvo)",IF(LEN($DU$118)&gt;0,$DU$118,"Ação")&amp;IF(ISNUMBER($DY$118)," (recarga "&amp;$DY$118&amp;" Ciclos)","")&amp;": até 3 alvos a até uma Distância um do outro "&amp;IF(LEN($DT$159)&gt;0,"fazem "&amp;"Teste de "&amp;$DT$159&amp;" contra DT "&amp;INDEX($Y$11:$Y$22,$R$118)&amp;". Quem falha recebe "&amp;INDEX($W$11:$W$22,$R$118)&amp;" · média "&amp;INDEX($X$11:$X$22,$R$118)&amp;" de dano "&amp;IF(LEN($DX$118)&gt;0,$DX$118,"Físico")&amp;IF(LEN($DR$159)&gt;0," e "&amp;$DR$159&amp;" por "&amp;IF(ISNUMBER($DZ$118),$DZ$118,1)&amp;IF(AND(ISNUMBER($DZ$118),$DZ$118&gt;1)," turnos"," turno"),"")&amp;"; quem passa recebe metade do dano.","recebem, cada um, "&amp;INDEX($W$11:$W$22,$R$118)&amp;" · média "&amp;INDEX($X$11:$X$22,$R$118)&amp;" de dano "&amp;IF(LEN($DX$118)&gt;0,$DX$118,"Físico")&amp;IF(LEN($DR$159)&gt;0," e "&amp;$DR$159&amp;" por "&amp;IF(ISNUMBER($DZ$118),$DZ$118,1)&amp;IF(AND(ISNUMBER($DZ$118),$DZ$118&gt;1)," turnos"," turno"),"")&amp;"."),IF($DS$118="Especial de controle",IF(LEN($DU$118)&gt;0,$DU$118,"Ação")&amp;IF(ISNUMBER($DY$118)," (recarga "&amp;$DY$118&amp;" Ciclos)","")&amp;": o alvo faz "&amp;IF(LEN($DT$159)&gt;0,"Teste de "&amp;$DT$159&amp;" contra DT "&amp;INDEX($Y$11:$Y$22,$R$118),"Teste de Resistência contra DT "&amp;INDEX($Y$11:$Y$22,$R$118))&amp;"; se falhar, recebe "&amp;IF(LEN($DR$159)&gt;0,$DR$159,"(escolha a condição)")&amp;" por "&amp;IF(ISNUMBER($DZ$118),$DZ$118,1)&amp;IF(AND(ISNUMBER($DZ$118),$DZ$118&gt;1)," turnos"," turno")&amp;".",IF($DS$118="Reação",IF(LEN($DU$118)&gt;0,$DU$118,"Ação")&amp;" (Reação"&amp;IF(ISNUMBER($DY$118),", recarga "&amp;$DY$118&amp;" Ciclos","")&amp;")"&amp;IF(LEN($DR$159)&gt;0,": o alvo faz "&amp;IF(LEN($DT$159)&gt;0,"Teste de "&amp;$DT$159&amp;" contra DT "&amp;INDEX($Y$11:$Y$22,$R$118),"Teste de Resistência contra DT "&amp;INDEX($Y$11:$Y$22,$R$118))&amp;"; se falhar, recebe "&amp;$DR$159&amp;" por "&amp;IF(ISNUMBER($DZ$118),$DZ$118,1)&amp;IF(AND(ISNUMBER($DZ$118),$DZ$118&gt;1)," turnos"," turno")&amp;".","."),""))))))</f>
        <v/>
      </c>
      <c r="K159" s="18">
        <f>IF(EA159&gt;0,"O Google leu como fórmula: escolha de novo na lista.",IF(LEN($DQ$118)=0,"",IF(AND($DS$118="Especial de controle",LEN($DR$159)=0),"Ação de controle aplica uma condição do capítulo 21 (28.4)",IF(AND($DS$118="Especial de controle",LEN($DT$159)=0),"Diga o Teste de Resistência do alvo",IF($DR$159="Congelado","Inimigo não aplica Congelamento em personagem (28.2 regra 9)",IF(AND(LEN($DR$159)&gt;0,COUNTIF('Dados'!$BH$6:$BH$18,$DR$159)=0),"Condição fora do capítulo 21: nada de condição nova (28.4)",""))))))</f>
        <v/>
      </c>
      <c r="DR159" s="19">
        <f>IF(ISERROR($B$159),"",IF(ISBLANK($B$159),"",$B$159))</f>
        <v/>
      </c>
      <c r="DT159" s="19">
        <f>IF(ISERROR($D$159),"",IF(ISBLANK($D$159),"",$D$159))</f>
        <v/>
      </c>
      <c r="EA159" s="19">
        <f>ISERROR($B$159)*1+ISERROR($D$159)*1</f>
        <v/>
      </c>
    </row>
    <row r="160" ht="48" customHeight="1">
      <c r="A160" s="33">
        <f>IF(LEN($DQ$119)&gt;0,"4 · "&amp;$DQ$119,"4 · (vazia)")</f>
        <v/>
      </c>
      <c r="B160" s="28" t="n"/>
      <c r="C160" s="16" t="n"/>
      <c r="D160" s="28" t="n"/>
      <c r="E160" s="16" t="n"/>
      <c r="F160" s="9">
        <f>IF(OR(LEN($DQ$119)=0,NOT(ISNUMBER($R$119))),"",IF($DS$119="Ataque normal",IF(LEN($DU$119)&gt;0,$DU$119,"Ação")&amp;" ("&amp;IF(LEN($DW$119)&gt;0,$DW$119,"Pessoal")&amp;", "&amp;IF(LEN($DX$119)&gt;0,$DX$119,"Físico")&amp;"): "&amp;INDEX($W$11:$W$22,$R$119)&amp;" · média "&amp;INDEX($X$11:$X$22,$R$119)&amp;IF(LEN($DR$160)&gt;0,", e o alvo recebe "&amp;$DR$160&amp;" por "&amp;IF(ISNUMBER($DZ$119),$DZ$119,1)&amp;IF(AND(ISNUMBER($DZ$119),$DZ$119&gt;1)," turnos"," turno"),""),IF($DS$119="Especial de dano 1 alvo (até 1,5×)",IF(LEN($DU$119)&gt;0,$DU$119,"Ação")&amp;IF(ISNUMBER($DY$119)," (recarga "&amp;$DY$119&amp;" Ciclos)","")&amp;": um alvo a até Distância "&amp;IF(LEN($DW$119)&gt;0,$DW$119,"Pessoal")&amp;IF(LEN($DT$160)&gt;0," faz "&amp;"Teste de "&amp;$DT$160&amp;" contra DT "&amp;INDEX($Y$11:$Y$22,$R$119)&amp;"; se falhar, recebe "," recebe ")&amp;INDEX($CJ$11:$CJ$22,$R$119)&amp;" · média "&amp;INDEX($CK$11:$CK$22,$R$119)&amp;" de dano "&amp;IF(LEN($DX$119)&gt;0,$DX$119,"Físico")&amp;IF(LEN($DR$160)&gt;0," e "&amp;$DR$160&amp;" por "&amp;IF(ISNUMBER($DZ$119),$DZ$119,1)&amp;IF(AND(ISNUMBER($DZ$119),$DZ$119&gt;1)," turnos"," turno"),"")&amp;".",IF($DS$119="Especial de dano 2–3 alvos (dano cheio por alvo)",IF(LEN($DU$119)&gt;0,$DU$119,"Ação")&amp;IF(ISNUMBER($DY$119)," (recarga "&amp;$DY$119&amp;" Ciclos)","")&amp;": até 3 alvos a até uma Distância um do outro "&amp;IF(LEN($DT$160)&gt;0,"fazem "&amp;"Teste de "&amp;$DT$160&amp;" contra DT "&amp;INDEX($Y$11:$Y$22,$R$119)&amp;". Quem falha recebe "&amp;INDEX($W$11:$W$22,$R$119)&amp;" · média "&amp;INDEX($X$11:$X$22,$R$119)&amp;" de dano "&amp;IF(LEN($DX$119)&gt;0,$DX$119,"Físico")&amp;IF(LEN($DR$160)&gt;0," e "&amp;$DR$160&amp;" por "&amp;IF(ISNUMBER($DZ$119),$DZ$119,1)&amp;IF(AND(ISNUMBER($DZ$119),$DZ$119&gt;1)," turnos"," turno"),"")&amp;"; quem passa recebe metade do dano.","recebem, cada um, "&amp;INDEX($W$11:$W$22,$R$119)&amp;" · média "&amp;INDEX($X$11:$X$22,$R$119)&amp;" de dano "&amp;IF(LEN($DX$119)&gt;0,$DX$119,"Físico")&amp;IF(LEN($DR$160)&gt;0," e "&amp;$DR$160&amp;" por "&amp;IF(ISNUMBER($DZ$119),$DZ$119,1)&amp;IF(AND(ISNUMBER($DZ$119),$DZ$119&gt;1)," turnos"," turno"),"")&amp;"."),IF($DS$119="Especial de controle",IF(LEN($DU$119)&gt;0,$DU$119,"Ação")&amp;IF(ISNUMBER($DY$119)," (recarga "&amp;$DY$119&amp;" Ciclos)","")&amp;": o alvo faz "&amp;IF(LEN($DT$160)&gt;0,"Teste de "&amp;$DT$160&amp;" contra DT "&amp;INDEX($Y$11:$Y$22,$R$119),"Teste de Resistência contra DT "&amp;INDEX($Y$11:$Y$22,$R$119))&amp;"; se falhar, recebe "&amp;IF(LEN($DR$160)&gt;0,$DR$160,"(escolha a condição)")&amp;" por "&amp;IF(ISNUMBER($DZ$119),$DZ$119,1)&amp;IF(AND(ISNUMBER($DZ$119),$DZ$119&gt;1)," turnos"," turno")&amp;".",IF($DS$119="Reação",IF(LEN($DU$119)&gt;0,$DU$119,"Ação")&amp;" (Reação"&amp;IF(ISNUMBER($DY$119),", recarga "&amp;$DY$119&amp;" Ciclos","")&amp;")"&amp;IF(LEN($DR$160)&gt;0,": o alvo faz "&amp;IF(LEN($DT$160)&gt;0,"Teste de "&amp;$DT$160&amp;" contra DT "&amp;INDEX($Y$11:$Y$22,$R$119),"Teste de Resistência contra DT "&amp;INDEX($Y$11:$Y$22,$R$119))&amp;"; se falhar, recebe "&amp;$DR$160&amp;" por "&amp;IF(ISNUMBER($DZ$119),$DZ$119,1)&amp;IF(AND(ISNUMBER($DZ$119),$DZ$119&gt;1)," turnos"," turno")&amp;".","."),""))))))</f>
        <v/>
      </c>
      <c r="K160" s="26">
        <f>IF(EA160&gt;0,"O Google leu como fórmula: escolha de novo na lista.",IF(LEN($DQ$119)=0,"",IF(AND($DS$119="Especial de controle",LEN($DR$160)=0),"Ação de controle aplica uma condição do capítulo 21 (28.4)",IF(AND($DS$119="Especial de controle",LEN($DT$160)=0),"Diga o Teste de Resistência do alvo",IF($DR$160="Congelado","Inimigo não aplica Congelamento em personagem (28.2 regra 9)",IF(AND(LEN($DR$160)&gt;0,COUNTIF('Dados'!$BH$6:$BH$18,$DR$160)=0),"Condição fora do capítulo 21: nada de condição nova (28.4)",""))))))</f>
        <v/>
      </c>
      <c r="DR160" s="19">
        <f>IF(ISERROR($B$160),"",IF(ISBLANK($B$160),"",$B$160))</f>
        <v/>
      </c>
      <c r="DT160" s="19">
        <f>IF(ISERROR($D$160),"",IF(ISBLANK($D$160),"",$D$160))</f>
        <v/>
      </c>
      <c r="EA160" s="19">
        <f>ISERROR($B$160)*1+ISERROR($D$160)*1</f>
        <v/>
      </c>
    </row>
    <row r="161" ht="48" customHeight="1">
      <c r="A161" s="32">
        <f>IF(LEN($DQ$120)&gt;0,"5 · "&amp;$DQ$120,"5 · (vazia)")</f>
        <v/>
      </c>
      <c r="B161" s="3" t="n"/>
      <c r="C161" s="16" t="n"/>
      <c r="D161" s="3" t="n"/>
      <c r="E161" s="16" t="n"/>
      <c r="F161" s="4">
        <f>IF(OR(LEN($DQ$120)=0,NOT(ISNUMBER($R$120))),"",IF($DS$120="Ataque normal",IF(LEN($DU$120)&gt;0,$DU$120,"Ação")&amp;" ("&amp;IF(LEN($DW$120)&gt;0,$DW$120,"Pessoal")&amp;", "&amp;IF(LEN($DX$120)&gt;0,$DX$120,"Físico")&amp;"): "&amp;INDEX($W$11:$W$22,$R$120)&amp;" · média "&amp;INDEX($X$11:$X$22,$R$120)&amp;IF(LEN($DR$161)&gt;0,", e o alvo recebe "&amp;$DR$161&amp;" por "&amp;IF(ISNUMBER($DZ$120),$DZ$120,1)&amp;IF(AND(ISNUMBER($DZ$120),$DZ$120&gt;1)," turnos"," turno"),""),IF($DS$120="Especial de dano 1 alvo (até 1,5×)",IF(LEN($DU$120)&gt;0,$DU$120,"Ação")&amp;IF(ISNUMBER($DY$120)," (recarga "&amp;$DY$120&amp;" Ciclos)","")&amp;": um alvo a até Distância "&amp;IF(LEN($DW$120)&gt;0,$DW$120,"Pessoal")&amp;IF(LEN($DT$161)&gt;0," faz "&amp;"Teste de "&amp;$DT$161&amp;" contra DT "&amp;INDEX($Y$11:$Y$22,$R$120)&amp;"; se falhar, recebe "," recebe ")&amp;INDEX($CJ$11:$CJ$22,$R$120)&amp;" · média "&amp;INDEX($CK$11:$CK$22,$R$120)&amp;" de dano "&amp;IF(LEN($DX$120)&gt;0,$DX$120,"Físico")&amp;IF(LEN($DR$161)&gt;0," e "&amp;$DR$161&amp;" por "&amp;IF(ISNUMBER($DZ$120),$DZ$120,1)&amp;IF(AND(ISNUMBER($DZ$120),$DZ$120&gt;1)," turnos"," turno"),"")&amp;".",IF($DS$120="Especial de dano 2–3 alvos (dano cheio por alvo)",IF(LEN($DU$120)&gt;0,$DU$120,"Ação")&amp;IF(ISNUMBER($DY$120)," (recarga "&amp;$DY$120&amp;" Ciclos)","")&amp;": até 3 alvos a até uma Distância um do outro "&amp;IF(LEN($DT$161)&gt;0,"fazem "&amp;"Teste de "&amp;$DT$161&amp;" contra DT "&amp;INDEX($Y$11:$Y$22,$R$120)&amp;". Quem falha recebe "&amp;INDEX($W$11:$W$22,$R$120)&amp;" · média "&amp;INDEX($X$11:$X$22,$R$120)&amp;" de dano "&amp;IF(LEN($DX$120)&gt;0,$DX$120,"Físico")&amp;IF(LEN($DR$161)&gt;0," e "&amp;$DR$161&amp;" por "&amp;IF(ISNUMBER($DZ$120),$DZ$120,1)&amp;IF(AND(ISNUMBER($DZ$120),$DZ$120&gt;1)," turnos"," turno"),"")&amp;"; quem passa recebe metade do dano.","recebem, cada um, "&amp;INDEX($W$11:$W$22,$R$120)&amp;" · média "&amp;INDEX($X$11:$X$22,$R$120)&amp;" de dano "&amp;IF(LEN($DX$120)&gt;0,$DX$120,"Físico")&amp;IF(LEN($DR$161)&gt;0," e "&amp;$DR$161&amp;" por "&amp;IF(ISNUMBER($DZ$120),$DZ$120,1)&amp;IF(AND(ISNUMBER($DZ$120),$DZ$120&gt;1)," turnos"," turno"),"")&amp;"."),IF($DS$120="Especial de controle",IF(LEN($DU$120)&gt;0,$DU$120,"Ação")&amp;IF(ISNUMBER($DY$120)," (recarga "&amp;$DY$120&amp;" Ciclos)","")&amp;": o alvo faz "&amp;IF(LEN($DT$161)&gt;0,"Teste de "&amp;$DT$161&amp;" contra DT "&amp;INDEX($Y$11:$Y$22,$R$120),"Teste de Resistência contra DT "&amp;INDEX($Y$11:$Y$22,$R$120))&amp;"; se falhar, recebe "&amp;IF(LEN($DR$161)&gt;0,$DR$161,"(escolha a condição)")&amp;" por "&amp;IF(ISNUMBER($DZ$120),$DZ$120,1)&amp;IF(AND(ISNUMBER($DZ$120),$DZ$120&gt;1)," turnos"," turno")&amp;".",IF($DS$120="Reação",IF(LEN($DU$120)&gt;0,$DU$120,"Ação")&amp;" (Reação"&amp;IF(ISNUMBER($DY$120),", recarga "&amp;$DY$120&amp;" Ciclos","")&amp;")"&amp;IF(LEN($DR$161)&gt;0,": o alvo faz "&amp;IF(LEN($DT$161)&gt;0,"Teste de "&amp;$DT$161&amp;" contra DT "&amp;INDEX($Y$11:$Y$22,$R$120),"Teste de Resistência contra DT "&amp;INDEX($Y$11:$Y$22,$R$120))&amp;"; se falhar, recebe "&amp;$DR$161&amp;" por "&amp;IF(ISNUMBER($DZ$120),$DZ$120,1)&amp;IF(AND(ISNUMBER($DZ$120),$DZ$120&gt;1)," turnos"," turno")&amp;".","."),""))))))</f>
        <v/>
      </c>
      <c r="K161" s="18">
        <f>IF(EA161&gt;0,"O Google leu como fórmula: escolha de novo na lista.",IF(LEN($DQ$120)=0,"",IF(AND($DS$120="Especial de controle",LEN($DR$161)=0),"Ação de controle aplica uma condição do capítulo 21 (28.4)",IF(AND($DS$120="Especial de controle",LEN($DT$161)=0),"Diga o Teste de Resistência do alvo",IF($DR$161="Congelado","Inimigo não aplica Congelamento em personagem (28.2 regra 9)",IF(AND(LEN($DR$161)&gt;0,COUNTIF('Dados'!$BH$6:$BH$18,$DR$161)=0),"Condição fora do capítulo 21: nada de condição nova (28.4)",""))))))</f>
        <v/>
      </c>
      <c r="DR161" s="19">
        <f>IF(ISERROR($B$161),"",IF(ISBLANK($B$161),"",$B$161))</f>
        <v/>
      </c>
      <c r="DT161" s="19">
        <f>IF(ISERROR($D$161),"",IF(ISBLANK($D$161),"",$D$161))</f>
        <v/>
      </c>
      <c r="EA161" s="19">
        <f>ISERROR($B$161)*1+ISERROR($D$161)*1</f>
        <v/>
      </c>
    </row>
    <row r="162" ht="48" customHeight="1">
      <c r="A162" s="33">
        <f>IF(LEN($DQ$121)&gt;0,"6 · "&amp;$DQ$121,"6 · (vazia)")</f>
        <v/>
      </c>
      <c r="B162" s="28" t="n"/>
      <c r="C162" s="16" t="n"/>
      <c r="D162" s="28" t="n"/>
      <c r="E162" s="16" t="n"/>
      <c r="F162" s="9">
        <f>IF(OR(LEN($DQ$121)=0,NOT(ISNUMBER($R$121))),"",IF($DS$121="Ataque normal",IF(LEN($DU$121)&gt;0,$DU$121,"Ação")&amp;" ("&amp;IF(LEN($DW$121)&gt;0,$DW$121,"Pessoal")&amp;", "&amp;IF(LEN($DX$121)&gt;0,$DX$121,"Físico")&amp;"): "&amp;INDEX($W$11:$W$22,$R$121)&amp;" · média "&amp;INDEX($X$11:$X$22,$R$121)&amp;IF(LEN($DR$162)&gt;0,", e o alvo recebe "&amp;$DR$162&amp;" por "&amp;IF(ISNUMBER($DZ$121),$DZ$121,1)&amp;IF(AND(ISNUMBER($DZ$121),$DZ$121&gt;1)," turnos"," turno"),""),IF($DS$121="Especial de dano 1 alvo (até 1,5×)",IF(LEN($DU$121)&gt;0,$DU$121,"Ação")&amp;IF(ISNUMBER($DY$121)," (recarga "&amp;$DY$121&amp;" Ciclos)","")&amp;": um alvo a até Distância "&amp;IF(LEN($DW$121)&gt;0,$DW$121,"Pessoal")&amp;IF(LEN($DT$162)&gt;0," faz "&amp;"Teste de "&amp;$DT$162&amp;" contra DT "&amp;INDEX($Y$11:$Y$22,$R$121)&amp;"; se falhar, recebe "," recebe ")&amp;INDEX($CJ$11:$CJ$22,$R$121)&amp;" · média "&amp;INDEX($CK$11:$CK$22,$R$121)&amp;" de dano "&amp;IF(LEN($DX$121)&gt;0,$DX$121,"Físico")&amp;IF(LEN($DR$162)&gt;0," e "&amp;$DR$162&amp;" por "&amp;IF(ISNUMBER($DZ$121),$DZ$121,1)&amp;IF(AND(ISNUMBER($DZ$121),$DZ$121&gt;1)," turnos"," turno"),"")&amp;".",IF($DS$121="Especial de dano 2–3 alvos (dano cheio por alvo)",IF(LEN($DU$121)&gt;0,$DU$121,"Ação")&amp;IF(ISNUMBER($DY$121)," (recarga "&amp;$DY$121&amp;" Ciclos)","")&amp;": até 3 alvos a até uma Distância um do outro "&amp;IF(LEN($DT$162)&gt;0,"fazem "&amp;"Teste de "&amp;$DT$162&amp;" contra DT "&amp;INDEX($Y$11:$Y$22,$R$121)&amp;". Quem falha recebe "&amp;INDEX($W$11:$W$22,$R$121)&amp;" · média "&amp;INDEX($X$11:$X$22,$R$121)&amp;" de dano "&amp;IF(LEN($DX$121)&gt;0,$DX$121,"Físico")&amp;IF(LEN($DR$162)&gt;0," e "&amp;$DR$162&amp;" por "&amp;IF(ISNUMBER($DZ$121),$DZ$121,1)&amp;IF(AND(ISNUMBER($DZ$121),$DZ$121&gt;1)," turnos"," turno"),"")&amp;"; quem passa recebe metade do dano.","recebem, cada um, "&amp;INDEX($W$11:$W$22,$R$121)&amp;" · média "&amp;INDEX($X$11:$X$22,$R$121)&amp;" de dano "&amp;IF(LEN($DX$121)&gt;0,$DX$121,"Físico")&amp;IF(LEN($DR$162)&gt;0," e "&amp;$DR$162&amp;" por "&amp;IF(ISNUMBER($DZ$121),$DZ$121,1)&amp;IF(AND(ISNUMBER($DZ$121),$DZ$121&gt;1)," turnos"," turno"),"")&amp;"."),IF($DS$121="Especial de controle",IF(LEN($DU$121)&gt;0,$DU$121,"Ação")&amp;IF(ISNUMBER($DY$121)," (recarga "&amp;$DY$121&amp;" Ciclos)","")&amp;": o alvo faz "&amp;IF(LEN($DT$162)&gt;0,"Teste de "&amp;$DT$162&amp;" contra DT "&amp;INDEX($Y$11:$Y$22,$R$121),"Teste de Resistência contra DT "&amp;INDEX($Y$11:$Y$22,$R$121))&amp;"; se falhar, recebe "&amp;IF(LEN($DR$162)&gt;0,$DR$162,"(escolha a condição)")&amp;" por "&amp;IF(ISNUMBER($DZ$121),$DZ$121,1)&amp;IF(AND(ISNUMBER($DZ$121),$DZ$121&gt;1)," turnos"," turno")&amp;".",IF($DS$121="Reação",IF(LEN($DU$121)&gt;0,$DU$121,"Ação")&amp;" (Reação"&amp;IF(ISNUMBER($DY$121),", recarga "&amp;$DY$121&amp;" Ciclos","")&amp;")"&amp;IF(LEN($DR$162)&gt;0,": o alvo faz "&amp;IF(LEN($DT$162)&gt;0,"Teste de "&amp;$DT$162&amp;" contra DT "&amp;INDEX($Y$11:$Y$22,$R$121),"Teste de Resistência contra DT "&amp;INDEX($Y$11:$Y$22,$R$121))&amp;"; se falhar, recebe "&amp;$DR$162&amp;" por "&amp;IF(ISNUMBER($DZ$121),$DZ$121,1)&amp;IF(AND(ISNUMBER($DZ$121),$DZ$121&gt;1)," turnos"," turno")&amp;".","."),""))))))</f>
        <v/>
      </c>
      <c r="K162" s="26">
        <f>IF(EA162&gt;0,"O Google leu como fórmula: escolha de novo na lista.",IF(LEN($DQ$121)=0,"",IF(AND($DS$121="Especial de controle",LEN($DR$162)=0),"Ação de controle aplica uma condição do capítulo 21 (28.4)",IF(AND($DS$121="Especial de controle",LEN($DT$162)=0),"Diga o Teste de Resistência do alvo",IF($DR$162="Congelado","Inimigo não aplica Congelamento em personagem (28.2 regra 9)",IF(AND(LEN($DR$162)&gt;0,COUNTIF('Dados'!$BH$6:$BH$18,$DR$162)=0),"Condição fora do capítulo 21: nada de condição nova (28.4)",""))))))</f>
        <v/>
      </c>
      <c r="DR162" s="19">
        <f>IF(ISERROR($B$162),"",IF(ISBLANK($B$162),"",$B$162))</f>
        <v/>
      </c>
      <c r="DT162" s="19">
        <f>IF(ISERROR($D$162),"",IF(ISBLANK($D$162),"",$D$162))</f>
        <v/>
      </c>
      <c r="EA162" s="19">
        <f>ISERROR($B$162)*1+ISERROR($D$162)*1</f>
        <v/>
      </c>
    </row>
    <row r="163" ht="48" customHeight="1">
      <c r="A163" s="32">
        <f>IF(LEN($DQ$122)&gt;0,"7 · "&amp;$DQ$122,"7 · (vazia)")</f>
        <v/>
      </c>
      <c r="B163" s="3" t="n"/>
      <c r="C163" s="16" t="n"/>
      <c r="D163" s="3" t="n"/>
      <c r="E163" s="16" t="n"/>
      <c r="F163" s="4">
        <f>IF(OR(LEN($DQ$122)=0,NOT(ISNUMBER($R$122))),"",IF($DS$122="Ataque normal",IF(LEN($DU$122)&gt;0,$DU$122,"Ação")&amp;" ("&amp;IF(LEN($DW$122)&gt;0,$DW$122,"Pessoal")&amp;", "&amp;IF(LEN($DX$122)&gt;0,$DX$122,"Físico")&amp;"): "&amp;INDEX($W$11:$W$22,$R$122)&amp;" · média "&amp;INDEX($X$11:$X$22,$R$122)&amp;IF(LEN($DR$163)&gt;0,", e o alvo recebe "&amp;$DR$163&amp;" por "&amp;IF(ISNUMBER($DZ$122),$DZ$122,1)&amp;IF(AND(ISNUMBER($DZ$122),$DZ$122&gt;1)," turnos"," turno"),""),IF($DS$122="Especial de dano 1 alvo (até 1,5×)",IF(LEN($DU$122)&gt;0,$DU$122,"Ação")&amp;IF(ISNUMBER($DY$122)," (recarga "&amp;$DY$122&amp;" Ciclos)","")&amp;": um alvo a até Distância "&amp;IF(LEN($DW$122)&gt;0,$DW$122,"Pessoal")&amp;IF(LEN($DT$163)&gt;0," faz "&amp;"Teste de "&amp;$DT$163&amp;" contra DT "&amp;INDEX($Y$11:$Y$22,$R$122)&amp;"; se falhar, recebe "," recebe ")&amp;INDEX($CJ$11:$CJ$22,$R$122)&amp;" · média "&amp;INDEX($CK$11:$CK$22,$R$122)&amp;" de dano "&amp;IF(LEN($DX$122)&gt;0,$DX$122,"Físico")&amp;IF(LEN($DR$163)&gt;0," e "&amp;$DR$163&amp;" por "&amp;IF(ISNUMBER($DZ$122),$DZ$122,1)&amp;IF(AND(ISNUMBER($DZ$122),$DZ$122&gt;1)," turnos"," turno"),"")&amp;".",IF($DS$122="Especial de dano 2–3 alvos (dano cheio por alvo)",IF(LEN($DU$122)&gt;0,$DU$122,"Ação")&amp;IF(ISNUMBER($DY$122)," (recarga "&amp;$DY$122&amp;" Ciclos)","")&amp;": até 3 alvos a até uma Distância um do outro "&amp;IF(LEN($DT$163)&gt;0,"fazem "&amp;"Teste de "&amp;$DT$163&amp;" contra DT "&amp;INDEX($Y$11:$Y$22,$R$122)&amp;". Quem falha recebe "&amp;INDEX($W$11:$W$22,$R$122)&amp;" · média "&amp;INDEX($X$11:$X$22,$R$122)&amp;" de dano "&amp;IF(LEN($DX$122)&gt;0,$DX$122,"Físico")&amp;IF(LEN($DR$163)&gt;0," e "&amp;$DR$163&amp;" por "&amp;IF(ISNUMBER($DZ$122),$DZ$122,1)&amp;IF(AND(ISNUMBER($DZ$122),$DZ$122&gt;1)," turnos"," turno"),"")&amp;"; quem passa recebe metade do dano.","recebem, cada um, "&amp;INDEX($W$11:$W$22,$R$122)&amp;" · média "&amp;INDEX($X$11:$X$22,$R$122)&amp;" de dano "&amp;IF(LEN($DX$122)&gt;0,$DX$122,"Físico")&amp;IF(LEN($DR$163)&gt;0," e "&amp;$DR$163&amp;" por "&amp;IF(ISNUMBER($DZ$122),$DZ$122,1)&amp;IF(AND(ISNUMBER($DZ$122),$DZ$122&gt;1)," turnos"," turno"),"")&amp;"."),IF($DS$122="Especial de controle",IF(LEN($DU$122)&gt;0,$DU$122,"Ação")&amp;IF(ISNUMBER($DY$122)," (recarga "&amp;$DY$122&amp;" Ciclos)","")&amp;": o alvo faz "&amp;IF(LEN($DT$163)&gt;0,"Teste de "&amp;$DT$163&amp;" contra DT "&amp;INDEX($Y$11:$Y$22,$R$122),"Teste de Resistência contra DT "&amp;INDEX($Y$11:$Y$22,$R$122))&amp;"; se falhar, recebe "&amp;IF(LEN($DR$163)&gt;0,$DR$163,"(escolha a condição)")&amp;" por "&amp;IF(ISNUMBER($DZ$122),$DZ$122,1)&amp;IF(AND(ISNUMBER($DZ$122),$DZ$122&gt;1)," turnos"," turno")&amp;".",IF($DS$122="Reação",IF(LEN($DU$122)&gt;0,$DU$122,"Ação")&amp;" (Reação"&amp;IF(ISNUMBER($DY$122),", recarga "&amp;$DY$122&amp;" Ciclos","")&amp;")"&amp;IF(LEN($DR$163)&gt;0,": o alvo faz "&amp;IF(LEN($DT$163)&gt;0,"Teste de "&amp;$DT$163&amp;" contra DT "&amp;INDEX($Y$11:$Y$22,$R$122),"Teste de Resistência contra DT "&amp;INDEX($Y$11:$Y$22,$R$122))&amp;"; se falhar, recebe "&amp;$DR$163&amp;" por "&amp;IF(ISNUMBER($DZ$122),$DZ$122,1)&amp;IF(AND(ISNUMBER($DZ$122),$DZ$122&gt;1)," turnos"," turno")&amp;".","."),""))))))</f>
        <v/>
      </c>
      <c r="K163" s="18">
        <f>IF(EA163&gt;0,"O Google leu como fórmula: escolha de novo na lista.",IF(LEN($DQ$122)=0,"",IF(AND($DS$122="Especial de controle",LEN($DR$163)=0),"Ação de controle aplica uma condição do capítulo 21 (28.4)",IF(AND($DS$122="Especial de controle",LEN($DT$163)=0),"Diga o Teste de Resistência do alvo",IF($DR$163="Congelado","Inimigo não aplica Congelamento em personagem (28.2 regra 9)",IF(AND(LEN($DR$163)&gt;0,COUNTIF('Dados'!$BH$6:$BH$18,$DR$163)=0),"Condição fora do capítulo 21: nada de condição nova (28.4)",""))))))</f>
        <v/>
      </c>
      <c r="DR163" s="19">
        <f>IF(ISERROR($B$163),"",IF(ISBLANK($B$163),"",$B$163))</f>
        <v/>
      </c>
      <c r="DT163" s="19">
        <f>IF(ISERROR($D$163),"",IF(ISBLANK($D$163),"",$D$163))</f>
        <v/>
      </c>
      <c r="EA163" s="19">
        <f>ISERROR($B$163)*1+ISERROR($D$163)*1</f>
        <v/>
      </c>
    </row>
    <row r="164" ht="48" customHeight="1">
      <c r="A164" s="33">
        <f>IF(LEN($DQ$123)&gt;0,"8 · "&amp;$DQ$123,"8 · (vazia)")</f>
        <v/>
      </c>
      <c r="B164" s="28" t="n"/>
      <c r="C164" s="16" t="n"/>
      <c r="D164" s="28" t="n"/>
      <c r="E164" s="16" t="n"/>
      <c r="F164" s="9">
        <f>IF(OR(LEN($DQ$123)=0,NOT(ISNUMBER($R$123))),"",IF($DS$123="Ataque normal",IF(LEN($DU$123)&gt;0,$DU$123,"Ação")&amp;" ("&amp;IF(LEN($DW$123)&gt;0,$DW$123,"Pessoal")&amp;", "&amp;IF(LEN($DX$123)&gt;0,$DX$123,"Físico")&amp;"): "&amp;INDEX($W$11:$W$22,$R$123)&amp;" · média "&amp;INDEX($X$11:$X$22,$R$123)&amp;IF(LEN($DR$164)&gt;0,", e o alvo recebe "&amp;$DR$164&amp;" por "&amp;IF(ISNUMBER($DZ$123),$DZ$123,1)&amp;IF(AND(ISNUMBER($DZ$123),$DZ$123&gt;1)," turnos"," turno"),""),IF($DS$123="Especial de dano 1 alvo (até 1,5×)",IF(LEN($DU$123)&gt;0,$DU$123,"Ação")&amp;IF(ISNUMBER($DY$123)," (recarga "&amp;$DY$123&amp;" Ciclos)","")&amp;": um alvo a até Distância "&amp;IF(LEN($DW$123)&gt;0,$DW$123,"Pessoal")&amp;IF(LEN($DT$164)&gt;0," faz "&amp;"Teste de "&amp;$DT$164&amp;" contra DT "&amp;INDEX($Y$11:$Y$22,$R$123)&amp;"; se falhar, recebe "," recebe ")&amp;INDEX($CJ$11:$CJ$22,$R$123)&amp;" · média "&amp;INDEX($CK$11:$CK$22,$R$123)&amp;" de dano "&amp;IF(LEN($DX$123)&gt;0,$DX$123,"Físico")&amp;IF(LEN($DR$164)&gt;0," e "&amp;$DR$164&amp;" por "&amp;IF(ISNUMBER($DZ$123),$DZ$123,1)&amp;IF(AND(ISNUMBER($DZ$123),$DZ$123&gt;1)," turnos"," turno"),"")&amp;".",IF($DS$123="Especial de dano 2–3 alvos (dano cheio por alvo)",IF(LEN($DU$123)&gt;0,$DU$123,"Ação")&amp;IF(ISNUMBER($DY$123)," (recarga "&amp;$DY$123&amp;" Ciclos)","")&amp;": até 3 alvos a até uma Distância um do outro "&amp;IF(LEN($DT$164)&gt;0,"fazem "&amp;"Teste de "&amp;$DT$164&amp;" contra DT "&amp;INDEX($Y$11:$Y$22,$R$123)&amp;". Quem falha recebe "&amp;INDEX($W$11:$W$22,$R$123)&amp;" · média "&amp;INDEX($X$11:$X$22,$R$123)&amp;" de dano "&amp;IF(LEN($DX$123)&gt;0,$DX$123,"Físico")&amp;IF(LEN($DR$164)&gt;0," e "&amp;$DR$164&amp;" por "&amp;IF(ISNUMBER($DZ$123),$DZ$123,1)&amp;IF(AND(ISNUMBER($DZ$123),$DZ$123&gt;1)," turnos"," turno"),"")&amp;"; quem passa recebe metade do dano.","recebem, cada um, "&amp;INDEX($W$11:$W$22,$R$123)&amp;" · média "&amp;INDEX($X$11:$X$22,$R$123)&amp;" de dano "&amp;IF(LEN($DX$123)&gt;0,$DX$123,"Físico")&amp;IF(LEN($DR$164)&gt;0," e "&amp;$DR$164&amp;" por "&amp;IF(ISNUMBER($DZ$123),$DZ$123,1)&amp;IF(AND(ISNUMBER($DZ$123),$DZ$123&gt;1)," turnos"," turno"),"")&amp;"."),IF($DS$123="Especial de controle",IF(LEN($DU$123)&gt;0,$DU$123,"Ação")&amp;IF(ISNUMBER($DY$123)," (recarga "&amp;$DY$123&amp;" Ciclos)","")&amp;": o alvo faz "&amp;IF(LEN($DT$164)&gt;0,"Teste de "&amp;$DT$164&amp;" contra DT "&amp;INDEX($Y$11:$Y$22,$R$123),"Teste de Resistência contra DT "&amp;INDEX($Y$11:$Y$22,$R$123))&amp;"; se falhar, recebe "&amp;IF(LEN($DR$164)&gt;0,$DR$164,"(escolha a condição)")&amp;" por "&amp;IF(ISNUMBER($DZ$123),$DZ$123,1)&amp;IF(AND(ISNUMBER($DZ$123),$DZ$123&gt;1)," turnos"," turno")&amp;".",IF($DS$123="Reação",IF(LEN($DU$123)&gt;0,$DU$123,"Ação")&amp;" (Reação"&amp;IF(ISNUMBER($DY$123),", recarga "&amp;$DY$123&amp;" Ciclos","")&amp;")"&amp;IF(LEN($DR$164)&gt;0,": o alvo faz "&amp;IF(LEN($DT$164)&gt;0,"Teste de "&amp;$DT$164&amp;" contra DT "&amp;INDEX($Y$11:$Y$22,$R$123),"Teste de Resistência contra DT "&amp;INDEX($Y$11:$Y$22,$R$123))&amp;"; se falhar, recebe "&amp;$DR$164&amp;" por "&amp;IF(ISNUMBER($DZ$123),$DZ$123,1)&amp;IF(AND(ISNUMBER($DZ$123),$DZ$123&gt;1)," turnos"," turno")&amp;".","."),""))))))</f>
        <v/>
      </c>
      <c r="K164" s="26">
        <f>IF(EA164&gt;0,"O Google leu como fórmula: escolha de novo na lista.",IF(LEN($DQ$123)=0,"",IF(AND($DS$123="Especial de controle",LEN($DR$164)=0),"Ação de controle aplica uma condição do capítulo 21 (28.4)",IF(AND($DS$123="Especial de controle",LEN($DT$164)=0),"Diga o Teste de Resistência do alvo",IF($DR$164="Congelado","Inimigo não aplica Congelamento em personagem (28.2 regra 9)",IF(AND(LEN($DR$164)&gt;0,COUNTIF('Dados'!$BH$6:$BH$18,$DR$164)=0),"Condição fora do capítulo 21: nada de condição nova (28.4)",""))))))</f>
        <v/>
      </c>
      <c r="DR164" s="19">
        <f>IF(ISERROR($B$164),"",IF(ISBLANK($B$164),"",$B$164))</f>
        <v/>
      </c>
      <c r="DT164" s="19">
        <f>IF(ISERROR($D$164),"",IF(ISBLANK($D$164),"",$D$164))</f>
        <v/>
      </c>
      <c r="EA164" s="19">
        <f>ISERROR($B$164)*1+ISERROR($D$164)*1</f>
        <v/>
      </c>
    </row>
    <row r="165" ht="48" customHeight="1">
      <c r="A165" s="32">
        <f>IF(LEN($DQ$124)&gt;0,"9 · "&amp;$DQ$124,"9 · (vazia)")</f>
        <v/>
      </c>
      <c r="B165" s="3" t="n"/>
      <c r="C165" s="16" t="n"/>
      <c r="D165" s="3" t="n"/>
      <c r="E165" s="16" t="n"/>
      <c r="F165" s="4">
        <f>IF(OR(LEN($DQ$124)=0,NOT(ISNUMBER($R$124))),"",IF($DS$124="Ataque normal",IF(LEN($DU$124)&gt;0,$DU$124,"Ação")&amp;" ("&amp;IF(LEN($DW$124)&gt;0,$DW$124,"Pessoal")&amp;", "&amp;IF(LEN($DX$124)&gt;0,$DX$124,"Físico")&amp;"): "&amp;INDEX($W$11:$W$22,$R$124)&amp;" · média "&amp;INDEX($X$11:$X$22,$R$124)&amp;IF(LEN($DR$165)&gt;0,", e o alvo recebe "&amp;$DR$165&amp;" por "&amp;IF(ISNUMBER($DZ$124),$DZ$124,1)&amp;IF(AND(ISNUMBER($DZ$124),$DZ$124&gt;1)," turnos"," turno"),""),IF($DS$124="Especial de dano 1 alvo (até 1,5×)",IF(LEN($DU$124)&gt;0,$DU$124,"Ação")&amp;IF(ISNUMBER($DY$124)," (recarga "&amp;$DY$124&amp;" Ciclos)","")&amp;": um alvo a até Distância "&amp;IF(LEN($DW$124)&gt;0,$DW$124,"Pessoal")&amp;IF(LEN($DT$165)&gt;0," faz "&amp;"Teste de "&amp;$DT$165&amp;" contra DT "&amp;INDEX($Y$11:$Y$22,$R$124)&amp;"; se falhar, recebe "," recebe ")&amp;INDEX($CJ$11:$CJ$22,$R$124)&amp;" · média "&amp;INDEX($CK$11:$CK$22,$R$124)&amp;" de dano "&amp;IF(LEN($DX$124)&gt;0,$DX$124,"Físico")&amp;IF(LEN($DR$165)&gt;0," e "&amp;$DR$165&amp;" por "&amp;IF(ISNUMBER($DZ$124),$DZ$124,1)&amp;IF(AND(ISNUMBER($DZ$124),$DZ$124&gt;1)," turnos"," turno"),"")&amp;".",IF($DS$124="Especial de dano 2–3 alvos (dano cheio por alvo)",IF(LEN($DU$124)&gt;0,$DU$124,"Ação")&amp;IF(ISNUMBER($DY$124)," (recarga "&amp;$DY$124&amp;" Ciclos)","")&amp;": até 3 alvos a até uma Distância um do outro "&amp;IF(LEN($DT$165)&gt;0,"fazem "&amp;"Teste de "&amp;$DT$165&amp;" contra DT "&amp;INDEX($Y$11:$Y$22,$R$124)&amp;". Quem falha recebe "&amp;INDEX($W$11:$W$22,$R$124)&amp;" · média "&amp;INDEX($X$11:$X$22,$R$124)&amp;" de dano "&amp;IF(LEN($DX$124)&gt;0,$DX$124,"Físico")&amp;IF(LEN($DR$165)&gt;0," e "&amp;$DR$165&amp;" por "&amp;IF(ISNUMBER($DZ$124),$DZ$124,1)&amp;IF(AND(ISNUMBER($DZ$124),$DZ$124&gt;1)," turnos"," turno"),"")&amp;"; quem passa recebe metade do dano.","recebem, cada um, "&amp;INDEX($W$11:$W$22,$R$124)&amp;" · média "&amp;INDEX($X$11:$X$22,$R$124)&amp;" de dano "&amp;IF(LEN($DX$124)&gt;0,$DX$124,"Físico")&amp;IF(LEN($DR$165)&gt;0," e "&amp;$DR$165&amp;" por "&amp;IF(ISNUMBER($DZ$124),$DZ$124,1)&amp;IF(AND(ISNUMBER($DZ$124),$DZ$124&gt;1)," turnos"," turno"),"")&amp;"."),IF($DS$124="Especial de controle",IF(LEN($DU$124)&gt;0,$DU$124,"Ação")&amp;IF(ISNUMBER($DY$124)," (recarga "&amp;$DY$124&amp;" Ciclos)","")&amp;": o alvo faz "&amp;IF(LEN($DT$165)&gt;0,"Teste de "&amp;$DT$165&amp;" contra DT "&amp;INDEX($Y$11:$Y$22,$R$124),"Teste de Resistência contra DT "&amp;INDEX($Y$11:$Y$22,$R$124))&amp;"; se falhar, recebe "&amp;IF(LEN($DR$165)&gt;0,$DR$165,"(escolha a condição)")&amp;" por "&amp;IF(ISNUMBER($DZ$124),$DZ$124,1)&amp;IF(AND(ISNUMBER($DZ$124),$DZ$124&gt;1)," turnos"," turno")&amp;".",IF($DS$124="Reação",IF(LEN($DU$124)&gt;0,$DU$124,"Ação")&amp;" (Reação"&amp;IF(ISNUMBER($DY$124),", recarga "&amp;$DY$124&amp;" Ciclos","")&amp;")"&amp;IF(LEN($DR$165)&gt;0,": o alvo faz "&amp;IF(LEN($DT$165)&gt;0,"Teste de "&amp;$DT$165&amp;" contra DT "&amp;INDEX($Y$11:$Y$22,$R$124),"Teste de Resistência contra DT "&amp;INDEX($Y$11:$Y$22,$R$124))&amp;"; se falhar, recebe "&amp;$DR$165&amp;" por "&amp;IF(ISNUMBER($DZ$124),$DZ$124,1)&amp;IF(AND(ISNUMBER($DZ$124),$DZ$124&gt;1)," turnos"," turno")&amp;".","."),""))))))</f>
        <v/>
      </c>
      <c r="K165" s="18">
        <f>IF(EA165&gt;0,"O Google leu como fórmula: escolha de novo na lista.",IF(LEN($DQ$124)=0,"",IF(AND($DS$124="Especial de controle",LEN($DR$165)=0),"Ação de controle aplica uma condição do capítulo 21 (28.4)",IF(AND($DS$124="Especial de controle",LEN($DT$165)=0),"Diga o Teste de Resistência do alvo",IF($DR$165="Congelado","Inimigo não aplica Congelamento em personagem (28.2 regra 9)",IF(AND(LEN($DR$165)&gt;0,COUNTIF('Dados'!$BH$6:$BH$18,$DR$165)=0),"Condição fora do capítulo 21: nada de condição nova (28.4)",""))))))</f>
        <v/>
      </c>
      <c r="DR165" s="19">
        <f>IF(ISERROR($B$165),"",IF(ISBLANK($B$165),"",$B$165))</f>
        <v/>
      </c>
      <c r="DT165" s="19">
        <f>IF(ISERROR($D$165),"",IF(ISBLANK($D$165),"",$D$165))</f>
        <v/>
      </c>
      <c r="EA165" s="19">
        <f>ISERROR($B$165)*1+ISERROR($D$165)*1</f>
        <v/>
      </c>
    </row>
    <row r="166" ht="48" customHeight="1">
      <c r="A166" s="33">
        <f>IF(LEN($DQ$125)&gt;0,"10 · "&amp;$DQ$125,"10 · (vazia)")</f>
        <v/>
      </c>
      <c r="B166" s="28" t="n"/>
      <c r="C166" s="16" t="n"/>
      <c r="D166" s="28" t="n"/>
      <c r="E166" s="16" t="n"/>
      <c r="F166" s="9">
        <f>IF(OR(LEN($DQ$125)=0,NOT(ISNUMBER($R$125))),"",IF($DS$125="Ataque normal",IF(LEN($DU$125)&gt;0,$DU$125,"Ação")&amp;" ("&amp;IF(LEN($DW$125)&gt;0,$DW$125,"Pessoal")&amp;", "&amp;IF(LEN($DX$125)&gt;0,$DX$125,"Físico")&amp;"): "&amp;INDEX($W$11:$W$22,$R$125)&amp;" · média "&amp;INDEX($X$11:$X$22,$R$125)&amp;IF(LEN($DR$166)&gt;0,", e o alvo recebe "&amp;$DR$166&amp;" por "&amp;IF(ISNUMBER($DZ$125),$DZ$125,1)&amp;IF(AND(ISNUMBER($DZ$125),$DZ$125&gt;1)," turnos"," turno"),""),IF($DS$125="Especial de dano 1 alvo (até 1,5×)",IF(LEN($DU$125)&gt;0,$DU$125,"Ação")&amp;IF(ISNUMBER($DY$125)," (recarga "&amp;$DY$125&amp;" Ciclos)","")&amp;": um alvo a até Distância "&amp;IF(LEN($DW$125)&gt;0,$DW$125,"Pessoal")&amp;IF(LEN($DT$166)&gt;0," faz "&amp;"Teste de "&amp;$DT$166&amp;" contra DT "&amp;INDEX($Y$11:$Y$22,$R$125)&amp;"; se falhar, recebe "," recebe ")&amp;INDEX($CJ$11:$CJ$22,$R$125)&amp;" · média "&amp;INDEX($CK$11:$CK$22,$R$125)&amp;" de dano "&amp;IF(LEN($DX$125)&gt;0,$DX$125,"Físico")&amp;IF(LEN($DR$166)&gt;0," e "&amp;$DR$166&amp;" por "&amp;IF(ISNUMBER($DZ$125),$DZ$125,1)&amp;IF(AND(ISNUMBER($DZ$125),$DZ$125&gt;1)," turnos"," turno"),"")&amp;".",IF($DS$125="Especial de dano 2–3 alvos (dano cheio por alvo)",IF(LEN($DU$125)&gt;0,$DU$125,"Ação")&amp;IF(ISNUMBER($DY$125)," (recarga "&amp;$DY$125&amp;" Ciclos)","")&amp;": até 3 alvos a até uma Distância um do outro "&amp;IF(LEN($DT$166)&gt;0,"fazem "&amp;"Teste de "&amp;$DT$166&amp;" contra DT "&amp;INDEX($Y$11:$Y$22,$R$125)&amp;". Quem falha recebe "&amp;INDEX($W$11:$W$22,$R$125)&amp;" · média "&amp;INDEX($X$11:$X$22,$R$125)&amp;" de dano "&amp;IF(LEN($DX$125)&gt;0,$DX$125,"Físico")&amp;IF(LEN($DR$166)&gt;0," e "&amp;$DR$166&amp;" por "&amp;IF(ISNUMBER($DZ$125),$DZ$125,1)&amp;IF(AND(ISNUMBER($DZ$125),$DZ$125&gt;1)," turnos"," turno"),"")&amp;"; quem passa recebe metade do dano.","recebem, cada um, "&amp;INDEX($W$11:$W$22,$R$125)&amp;" · média "&amp;INDEX($X$11:$X$22,$R$125)&amp;" de dano "&amp;IF(LEN($DX$125)&gt;0,$DX$125,"Físico")&amp;IF(LEN($DR$166)&gt;0," e "&amp;$DR$166&amp;" por "&amp;IF(ISNUMBER($DZ$125),$DZ$125,1)&amp;IF(AND(ISNUMBER($DZ$125),$DZ$125&gt;1)," turnos"," turno"),"")&amp;"."),IF($DS$125="Especial de controle",IF(LEN($DU$125)&gt;0,$DU$125,"Ação")&amp;IF(ISNUMBER($DY$125)," (recarga "&amp;$DY$125&amp;" Ciclos)","")&amp;": o alvo faz "&amp;IF(LEN($DT$166)&gt;0,"Teste de "&amp;$DT$166&amp;" contra DT "&amp;INDEX($Y$11:$Y$22,$R$125),"Teste de Resistência contra DT "&amp;INDEX($Y$11:$Y$22,$R$125))&amp;"; se falhar, recebe "&amp;IF(LEN($DR$166)&gt;0,$DR$166,"(escolha a condição)")&amp;" por "&amp;IF(ISNUMBER($DZ$125),$DZ$125,1)&amp;IF(AND(ISNUMBER($DZ$125),$DZ$125&gt;1)," turnos"," turno")&amp;".",IF($DS$125="Reação",IF(LEN($DU$125)&gt;0,$DU$125,"Ação")&amp;" (Reação"&amp;IF(ISNUMBER($DY$125),", recarga "&amp;$DY$125&amp;" Ciclos","")&amp;")"&amp;IF(LEN($DR$166)&gt;0,": o alvo faz "&amp;IF(LEN($DT$166)&gt;0,"Teste de "&amp;$DT$166&amp;" contra DT "&amp;INDEX($Y$11:$Y$22,$R$125),"Teste de Resistência contra DT "&amp;INDEX($Y$11:$Y$22,$R$125))&amp;"; se falhar, recebe "&amp;$DR$166&amp;" por "&amp;IF(ISNUMBER($DZ$125),$DZ$125,1)&amp;IF(AND(ISNUMBER($DZ$125),$DZ$125&gt;1)," turnos"," turno")&amp;".","."),""))))))</f>
        <v/>
      </c>
      <c r="K166" s="26">
        <f>IF(EA166&gt;0,"O Google leu como fórmula: escolha de novo na lista.",IF(LEN($DQ$125)=0,"",IF(AND($DS$125="Especial de controle",LEN($DR$166)=0),"Ação de controle aplica uma condição do capítulo 21 (28.4)",IF(AND($DS$125="Especial de controle",LEN($DT$166)=0),"Diga o Teste de Resistência do alvo",IF($DR$166="Congelado","Inimigo não aplica Congelamento em personagem (28.2 regra 9)",IF(AND(LEN($DR$166)&gt;0,COUNTIF('Dados'!$BH$6:$BH$18,$DR$166)=0),"Condição fora do capítulo 21: nada de condição nova (28.4)",""))))))</f>
        <v/>
      </c>
      <c r="DR166" s="19">
        <f>IF(ISERROR($B$166),"",IF(ISBLANK($B$166),"",$B$166))</f>
        <v/>
      </c>
      <c r="DT166" s="19">
        <f>IF(ISERROR($D$166),"",IF(ISBLANK($D$166),"",$D$166))</f>
        <v/>
      </c>
      <c r="EA166" s="19">
        <f>ISERROR($B$166)*1+ISERROR($D$166)*1</f>
        <v/>
      </c>
    </row>
    <row r="167" ht="48" customHeight="1">
      <c r="A167" s="32">
        <f>IF(LEN($DQ$126)&gt;0,"11 · "&amp;$DQ$126,"11 · (vazia)")</f>
        <v/>
      </c>
      <c r="B167" s="3" t="n"/>
      <c r="C167" s="16" t="n"/>
      <c r="D167" s="3" t="n"/>
      <c r="E167" s="16" t="n"/>
      <c r="F167" s="4">
        <f>IF(OR(LEN($DQ$126)=0,NOT(ISNUMBER($R$126))),"",IF($DS$126="Ataque normal",IF(LEN($DU$126)&gt;0,$DU$126,"Ação")&amp;" ("&amp;IF(LEN($DW$126)&gt;0,$DW$126,"Pessoal")&amp;", "&amp;IF(LEN($DX$126)&gt;0,$DX$126,"Físico")&amp;"): "&amp;INDEX($W$11:$W$22,$R$126)&amp;" · média "&amp;INDEX($X$11:$X$22,$R$126)&amp;IF(LEN($DR$167)&gt;0,", e o alvo recebe "&amp;$DR$167&amp;" por "&amp;IF(ISNUMBER($DZ$126),$DZ$126,1)&amp;IF(AND(ISNUMBER($DZ$126),$DZ$126&gt;1)," turnos"," turno"),""),IF($DS$126="Especial de dano 1 alvo (até 1,5×)",IF(LEN($DU$126)&gt;0,$DU$126,"Ação")&amp;IF(ISNUMBER($DY$126)," (recarga "&amp;$DY$126&amp;" Ciclos)","")&amp;": um alvo a até Distância "&amp;IF(LEN($DW$126)&gt;0,$DW$126,"Pessoal")&amp;IF(LEN($DT$167)&gt;0," faz "&amp;"Teste de "&amp;$DT$167&amp;" contra DT "&amp;INDEX($Y$11:$Y$22,$R$126)&amp;"; se falhar, recebe "," recebe ")&amp;INDEX($CJ$11:$CJ$22,$R$126)&amp;" · média "&amp;INDEX($CK$11:$CK$22,$R$126)&amp;" de dano "&amp;IF(LEN($DX$126)&gt;0,$DX$126,"Físico")&amp;IF(LEN($DR$167)&gt;0," e "&amp;$DR$167&amp;" por "&amp;IF(ISNUMBER($DZ$126),$DZ$126,1)&amp;IF(AND(ISNUMBER($DZ$126),$DZ$126&gt;1)," turnos"," turno"),"")&amp;".",IF($DS$126="Especial de dano 2–3 alvos (dano cheio por alvo)",IF(LEN($DU$126)&gt;0,$DU$126,"Ação")&amp;IF(ISNUMBER($DY$126)," (recarga "&amp;$DY$126&amp;" Ciclos)","")&amp;": até 3 alvos a até uma Distância um do outro "&amp;IF(LEN($DT$167)&gt;0,"fazem "&amp;"Teste de "&amp;$DT$167&amp;" contra DT "&amp;INDEX($Y$11:$Y$22,$R$126)&amp;". Quem falha recebe "&amp;INDEX($W$11:$W$22,$R$126)&amp;" · média "&amp;INDEX($X$11:$X$22,$R$126)&amp;" de dano "&amp;IF(LEN($DX$126)&gt;0,$DX$126,"Físico")&amp;IF(LEN($DR$167)&gt;0," e "&amp;$DR$167&amp;" por "&amp;IF(ISNUMBER($DZ$126),$DZ$126,1)&amp;IF(AND(ISNUMBER($DZ$126),$DZ$126&gt;1)," turnos"," turno"),"")&amp;"; quem passa recebe metade do dano.","recebem, cada um, "&amp;INDEX($W$11:$W$22,$R$126)&amp;" · média "&amp;INDEX($X$11:$X$22,$R$126)&amp;" de dano "&amp;IF(LEN($DX$126)&gt;0,$DX$126,"Físico")&amp;IF(LEN($DR$167)&gt;0," e "&amp;$DR$167&amp;" por "&amp;IF(ISNUMBER($DZ$126),$DZ$126,1)&amp;IF(AND(ISNUMBER($DZ$126),$DZ$126&gt;1)," turnos"," turno"),"")&amp;"."),IF($DS$126="Especial de controle",IF(LEN($DU$126)&gt;0,$DU$126,"Ação")&amp;IF(ISNUMBER($DY$126)," (recarga "&amp;$DY$126&amp;" Ciclos)","")&amp;": o alvo faz "&amp;IF(LEN($DT$167)&gt;0,"Teste de "&amp;$DT$167&amp;" contra DT "&amp;INDEX($Y$11:$Y$22,$R$126),"Teste de Resistência contra DT "&amp;INDEX($Y$11:$Y$22,$R$126))&amp;"; se falhar, recebe "&amp;IF(LEN($DR$167)&gt;0,$DR$167,"(escolha a condição)")&amp;" por "&amp;IF(ISNUMBER($DZ$126),$DZ$126,1)&amp;IF(AND(ISNUMBER($DZ$126),$DZ$126&gt;1)," turnos"," turno")&amp;".",IF($DS$126="Reação",IF(LEN($DU$126)&gt;0,$DU$126,"Ação")&amp;" (Reação"&amp;IF(ISNUMBER($DY$126),", recarga "&amp;$DY$126&amp;" Ciclos","")&amp;")"&amp;IF(LEN($DR$167)&gt;0,": o alvo faz "&amp;IF(LEN($DT$167)&gt;0,"Teste de "&amp;$DT$167&amp;" contra DT "&amp;INDEX($Y$11:$Y$22,$R$126),"Teste de Resistência contra DT "&amp;INDEX($Y$11:$Y$22,$R$126))&amp;"; se falhar, recebe "&amp;$DR$167&amp;" por "&amp;IF(ISNUMBER($DZ$126),$DZ$126,1)&amp;IF(AND(ISNUMBER($DZ$126),$DZ$126&gt;1)," turnos"," turno")&amp;".","."),""))))))</f>
        <v/>
      </c>
      <c r="K167" s="18">
        <f>IF(EA167&gt;0,"O Google leu como fórmula: escolha de novo na lista.",IF(LEN($DQ$126)=0,"",IF(AND($DS$126="Especial de controle",LEN($DR$167)=0),"Ação de controle aplica uma condição do capítulo 21 (28.4)",IF(AND($DS$126="Especial de controle",LEN($DT$167)=0),"Diga o Teste de Resistência do alvo",IF($DR$167="Congelado","Inimigo não aplica Congelamento em personagem (28.2 regra 9)",IF(AND(LEN($DR$167)&gt;0,COUNTIF('Dados'!$BH$6:$BH$18,$DR$167)=0),"Condição fora do capítulo 21: nada de condição nova (28.4)",""))))))</f>
        <v/>
      </c>
      <c r="DR167" s="19">
        <f>IF(ISERROR($B$167),"",IF(ISBLANK($B$167),"",$B$167))</f>
        <v/>
      </c>
      <c r="DT167" s="19">
        <f>IF(ISERROR($D$167),"",IF(ISBLANK($D$167),"",$D$167))</f>
        <v/>
      </c>
      <c r="EA167" s="19">
        <f>ISERROR($B$167)*1+ISERROR($D$167)*1</f>
        <v/>
      </c>
    </row>
    <row r="168" ht="48" customHeight="1">
      <c r="A168" s="33">
        <f>IF(LEN($DQ$127)&gt;0,"12 · "&amp;$DQ$127,"12 · (vazia)")</f>
        <v/>
      </c>
      <c r="B168" s="28" t="n"/>
      <c r="C168" s="16" t="n"/>
      <c r="D168" s="28" t="n"/>
      <c r="E168" s="16" t="n"/>
      <c r="F168" s="9">
        <f>IF(OR(LEN($DQ$127)=0,NOT(ISNUMBER($R$127))),"",IF($DS$127="Ataque normal",IF(LEN($DU$127)&gt;0,$DU$127,"Ação")&amp;" ("&amp;IF(LEN($DW$127)&gt;0,$DW$127,"Pessoal")&amp;", "&amp;IF(LEN($DX$127)&gt;0,$DX$127,"Físico")&amp;"): "&amp;INDEX($W$11:$W$22,$R$127)&amp;" · média "&amp;INDEX($X$11:$X$22,$R$127)&amp;IF(LEN($DR$168)&gt;0,", e o alvo recebe "&amp;$DR$168&amp;" por "&amp;IF(ISNUMBER($DZ$127),$DZ$127,1)&amp;IF(AND(ISNUMBER($DZ$127),$DZ$127&gt;1)," turnos"," turno"),""),IF($DS$127="Especial de dano 1 alvo (até 1,5×)",IF(LEN($DU$127)&gt;0,$DU$127,"Ação")&amp;IF(ISNUMBER($DY$127)," (recarga "&amp;$DY$127&amp;" Ciclos)","")&amp;": um alvo a até Distância "&amp;IF(LEN($DW$127)&gt;0,$DW$127,"Pessoal")&amp;IF(LEN($DT$168)&gt;0," faz "&amp;"Teste de "&amp;$DT$168&amp;" contra DT "&amp;INDEX($Y$11:$Y$22,$R$127)&amp;"; se falhar, recebe "," recebe ")&amp;INDEX($CJ$11:$CJ$22,$R$127)&amp;" · média "&amp;INDEX($CK$11:$CK$22,$R$127)&amp;" de dano "&amp;IF(LEN($DX$127)&gt;0,$DX$127,"Físico")&amp;IF(LEN($DR$168)&gt;0," e "&amp;$DR$168&amp;" por "&amp;IF(ISNUMBER($DZ$127),$DZ$127,1)&amp;IF(AND(ISNUMBER($DZ$127),$DZ$127&gt;1)," turnos"," turno"),"")&amp;".",IF($DS$127="Especial de dano 2–3 alvos (dano cheio por alvo)",IF(LEN($DU$127)&gt;0,$DU$127,"Ação")&amp;IF(ISNUMBER($DY$127)," (recarga "&amp;$DY$127&amp;" Ciclos)","")&amp;": até 3 alvos a até uma Distância um do outro "&amp;IF(LEN($DT$168)&gt;0,"fazem "&amp;"Teste de "&amp;$DT$168&amp;" contra DT "&amp;INDEX($Y$11:$Y$22,$R$127)&amp;". Quem falha recebe "&amp;INDEX($W$11:$W$22,$R$127)&amp;" · média "&amp;INDEX($X$11:$X$22,$R$127)&amp;" de dano "&amp;IF(LEN($DX$127)&gt;0,$DX$127,"Físico")&amp;IF(LEN($DR$168)&gt;0," e "&amp;$DR$168&amp;" por "&amp;IF(ISNUMBER($DZ$127),$DZ$127,1)&amp;IF(AND(ISNUMBER($DZ$127),$DZ$127&gt;1)," turnos"," turno"),"")&amp;"; quem passa recebe metade do dano.","recebem, cada um, "&amp;INDEX($W$11:$W$22,$R$127)&amp;" · média "&amp;INDEX($X$11:$X$22,$R$127)&amp;" de dano "&amp;IF(LEN($DX$127)&gt;0,$DX$127,"Físico")&amp;IF(LEN($DR$168)&gt;0," e "&amp;$DR$168&amp;" por "&amp;IF(ISNUMBER($DZ$127),$DZ$127,1)&amp;IF(AND(ISNUMBER($DZ$127),$DZ$127&gt;1)," turnos"," turno"),"")&amp;"."),IF($DS$127="Especial de controle",IF(LEN($DU$127)&gt;0,$DU$127,"Ação")&amp;IF(ISNUMBER($DY$127)," (recarga "&amp;$DY$127&amp;" Ciclos)","")&amp;": o alvo faz "&amp;IF(LEN($DT$168)&gt;0,"Teste de "&amp;$DT$168&amp;" contra DT "&amp;INDEX($Y$11:$Y$22,$R$127),"Teste de Resistência contra DT "&amp;INDEX($Y$11:$Y$22,$R$127))&amp;"; se falhar, recebe "&amp;IF(LEN($DR$168)&gt;0,$DR$168,"(escolha a condição)")&amp;" por "&amp;IF(ISNUMBER($DZ$127),$DZ$127,1)&amp;IF(AND(ISNUMBER($DZ$127),$DZ$127&gt;1)," turnos"," turno")&amp;".",IF($DS$127="Reação",IF(LEN($DU$127)&gt;0,$DU$127,"Ação")&amp;" (Reação"&amp;IF(ISNUMBER($DY$127),", recarga "&amp;$DY$127&amp;" Ciclos","")&amp;")"&amp;IF(LEN($DR$168)&gt;0,": o alvo faz "&amp;IF(LEN($DT$168)&gt;0,"Teste de "&amp;$DT$168&amp;" contra DT "&amp;INDEX($Y$11:$Y$22,$R$127),"Teste de Resistência contra DT "&amp;INDEX($Y$11:$Y$22,$R$127))&amp;"; se falhar, recebe "&amp;$DR$168&amp;" por "&amp;IF(ISNUMBER($DZ$127),$DZ$127,1)&amp;IF(AND(ISNUMBER($DZ$127),$DZ$127&gt;1)," turnos"," turno")&amp;".","."),""))))))</f>
        <v/>
      </c>
      <c r="K168" s="26">
        <f>IF(EA168&gt;0,"O Google leu como fórmula: escolha de novo na lista.",IF(LEN($DQ$127)=0,"",IF(AND($DS$127="Especial de controle",LEN($DR$168)=0),"Ação de controle aplica uma condição do capítulo 21 (28.4)",IF(AND($DS$127="Especial de controle",LEN($DT$168)=0),"Diga o Teste de Resistência do alvo",IF($DR$168="Congelado","Inimigo não aplica Congelamento em personagem (28.2 regra 9)",IF(AND(LEN($DR$168)&gt;0,COUNTIF('Dados'!$BH$6:$BH$18,$DR$168)=0),"Condição fora do capítulo 21: nada de condição nova (28.4)",""))))))</f>
        <v/>
      </c>
      <c r="DR168" s="19">
        <f>IF(ISERROR($B$168),"",IF(ISBLANK($B$168),"",$B$168))</f>
        <v/>
      </c>
      <c r="DT168" s="19">
        <f>IF(ISERROR($D$168),"",IF(ISBLANK($D$168),"",$D$168))</f>
        <v/>
      </c>
      <c r="EA168" s="19">
        <f>ISERROR($B$168)*1+ISERROR($D$168)*1</f>
        <v/>
      </c>
    </row>
    <row r="169" ht="26" customHeight="1">
      <c r="A169" s="7" t="inlineStr">
        <is>
          <t>Ação</t>
        </is>
      </c>
      <c r="B169" s="7" t="inlineStr">
        <is>
          <t>Condição (capítulo 21)</t>
        </is>
      </c>
      <c r="C169" s="20" t="n"/>
      <c r="D169" s="7" t="inlineStr">
        <is>
          <t>Teste de Resistência do alvo</t>
        </is>
      </c>
      <c r="E169" s="20" t="n"/>
      <c r="F169" s="7" t="inlineStr">
        <is>
          <t>Texto pronto</t>
        </is>
      </c>
      <c r="G169" s="20" t="n"/>
      <c r="H169" s="20" t="n"/>
      <c r="I169" s="20" t="n"/>
      <c r="J169" s="20" t="n"/>
      <c r="K169" s="7" t="inlineStr">
        <is>
          <t>Aviso</t>
        </is>
      </c>
      <c r="L169" s="20" t="n"/>
    </row>
    <row r="170" ht="48" customHeight="1">
      <c r="A170" s="32">
        <f>IF(LEN($DQ$129)&gt;0,"13 · "&amp;$DQ$129,"13 · (vazia)")</f>
        <v/>
      </c>
      <c r="B170" s="3" t="n"/>
      <c r="C170" s="16" t="n"/>
      <c r="D170" s="3" t="n"/>
      <c r="E170" s="16" t="n"/>
      <c r="F170" s="4">
        <f>IF(OR(LEN($DQ$129)=0,NOT(ISNUMBER($R$129))),"",IF($DS$129="Ataque normal",IF(LEN($DU$129)&gt;0,$DU$129,"Ação")&amp;" ("&amp;IF(LEN($DW$129)&gt;0,$DW$129,"Pessoal")&amp;", "&amp;IF(LEN($DX$129)&gt;0,$DX$129,"Físico")&amp;"): "&amp;INDEX($W$11:$W$22,$R$129)&amp;" · média "&amp;INDEX($X$11:$X$22,$R$129)&amp;IF(LEN($DR$170)&gt;0,", e o alvo recebe "&amp;$DR$170&amp;" por "&amp;IF(ISNUMBER($DZ$129),$DZ$129,1)&amp;IF(AND(ISNUMBER($DZ$129),$DZ$129&gt;1)," turnos"," turno"),""),IF($DS$129="Especial de dano 1 alvo (até 1,5×)",IF(LEN($DU$129)&gt;0,$DU$129,"Ação")&amp;IF(ISNUMBER($DY$129)," (recarga "&amp;$DY$129&amp;" Ciclos)","")&amp;": um alvo a até Distância "&amp;IF(LEN($DW$129)&gt;0,$DW$129,"Pessoal")&amp;IF(LEN($DT$170)&gt;0," faz "&amp;"Teste de "&amp;$DT$170&amp;" contra DT "&amp;INDEX($Y$11:$Y$22,$R$129)&amp;"; se falhar, recebe "," recebe ")&amp;INDEX($CJ$11:$CJ$22,$R$129)&amp;" · média "&amp;INDEX($CK$11:$CK$22,$R$129)&amp;" de dano "&amp;IF(LEN($DX$129)&gt;0,$DX$129,"Físico")&amp;IF(LEN($DR$170)&gt;0," e "&amp;$DR$170&amp;" por "&amp;IF(ISNUMBER($DZ$129),$DZ$129,1)&amp;IF(AND(ISNUMBER($DZ$129),$DZ$129&gt;1)," turnos"," turno"),"")&amp;".",IF($DS$129="Especial de dano 2–3 alvos (dano cheio por alvo)",IF(LEN($DU$129)&gt;0,$DU$129,"Ação")&amp;IF(ISNUMBER($DY$129)," (recarga "&amp;$DY$129&amp;" Ciclos)","")&amp;": até 3 alvos a até uma Distância um do outro "&amp;IF(LEN($DT$170)&gt;0,"fazem "&amp;"Teste de "&amp;$DT$170&amp;" contra DT "&amp;INDEX($Y$11:$Y$22,$R$129)&amp;". Quem falha recebe "&amp;INDEX($W$11:$W$22,$R$129)&amp;" · média "&amp;INDEX($X$11:$X$22,$R$129)&amp;" de dano "&amp;IF(LEN($DX$129)&gt;0,$DX$129,"Físico")&amp;IF(LEN($DR$170)&gt;0," e "&amp;$DR$170&amp;" por "&amp;IF(ISNUMBER($DZ$129),$DZ$129,1)&amp;IF(AND(ISNUMBER($DZ$129),$DZ$129&gt;1)," turnos"," turno"),"")&amp;"; quem passa recebe metade do dano.","recebem, cada um, "&amp;INDEX($W$11:$W$22,$R$129)&amp;" · média "&amp;INDEX($X$11:$X$22,$R$129)&amp;" de dano "&amp;IF(LEN($DX$129)&gt;0,$DX$129,"Físico")&amp;IF(LEN($DR$170)&gt;0," e "&amp;$DR$170&amp;" por "&amp;IF(ISNUMBER($DZ$129),$DZ$129,1)&amp;IF(AND(ISNUMBER($DZ$129),$DZ$129&gt;1)," turnos"," turno"),"")&amp;"."),IF($DS$129="Especial de controle",IF(LEN($DU$129)&gt;0,$DU$129,"Ação")&amp;IF(ISNUMBER($DY$129)," (recarga "&amp;$DY$129&amp;" Ciclos)","")&amp;": o alvo faz "&amp;IF(LEN($DT$170)&gt;0,"Teste de "&amp;$DT$170&amp;" contra DT "&amp;INDEX($Y$11:$Y$22,$R$129),"Teste de Resistência contra DT "&amp;INDEX($Y$11:$Y$22,$R$129))&amp;"; se falhar, recebe "&amp;IF(LEN($DR$170)&gt;0,$DR$170,"(escolha a condição)")&amp;" por "&amp;IF(ISNUMBER($DZ$129),$DZ$129,1)&amp;IF(AND(ISNUMBER($DZ$129),$DZ$129&gt;1)," turnos"," turno")&amp;".",IF($DS$129="Reação",IF(LEN($DU$129)&gt;0,$DU$129,"Ação")&amp;" (Reação"&amp;IF(ISNUMBER($DY$129),", recarga "&amp;$DY$129&amp;" Ciclos","")&amp;")"&amp;IF(LEN($DR$170)&gt;0,": o alvo faz "&amp;IF(LEN($DT$170)&gt;0,"Teste de "&amp;$DT$170&amp;" contra DT "&amp;INDEX($Y$11:$Y$22,$R$129),"Teste de Resistência contra DT "&amp;INDEX($Y$11:$Y$22,$R$129))&amp;"; se falhar, recebe "&amp;$DR$170&amp;" por "&amp;IF(ISNUMBER($DZ$129),$DZ$129,1)&amp;IF(AND(ISNUMBER($DZ$129),$DZ$129&gt;1)," turnos"," turno")&amp;".","."),""))))))</f>
        <v/>
      </c>
      <c r="K170" s="18">
        <f>IF(EA170&gt;0,"O Google leu como fórmula: escolha de novo na lista.",IF(LEN($DQ$129)=0,"",IF(AND($DS$129="Especial de controle",LEN($DR$170)=0),"Ação de controle aplica uma condição do capítulo 21 (28.4)",IF(AND($DS$129="Especial de controle",LEN($DT$170)=0),"Diga o Teste de Resistência do alvo",IF($DR$170="Congelado","Inimigo não aplica Congelamento em personagem (28.2 regra 9)",IF(AND(LEN($DR$170)&gt;0,COUNTIF('Dados'!$BH$6:$BH$18,$DR$170)=0),"Condição fora do capítulo 21: nada de condição nova (28.4)",""))))))</f>
        <v/>
      </c>
      <c r="DR170" s="19">
        <f>IF(ISERROR($B$170),"",IF(ISBLANK($B$170),"",$B$170))</f>
        <v/>
      </c>
      <c r="DT170" s="19">
        <f>IF(ISERROR($D$170),"",IF(ISBLANK($D$170),"",$D$170))</f>
        <v/>
      </c>
      <c r="EA170" s="19">
        <f>ISERROR($B$170)*1+ISERROR($D$170)*1</f>
        <v/>
      </c>
    </row>
    <row r="171" ht="48" customHeight="1">
      <c r="A171" s="33">
        <f>IF(LEN($DQ$130)&gt;0,"14 · "&amp;$DQ$130,"14 · (vazia)")</f>
        <v/>
      </c>
      <c r="B171" s="28" t="n"/>
      <c r="C171" s="16" t="n"/>
      <c r="D171" s="28" t="n"/>
      <c r="E171" s="16" t="n"/>
      <c r="F171" s="9">
        <f>IF(OR(LEN($DQ$130)=0,NOT(ISNUMBER($R$130))),"",IF($DS$130="Ataque normal",IF(LEN($DU$130)&gt;0,$DU$130,"Ação")&amp;" ("&amp;IF(LEN($DW$130)&gt;0,$DW$130,"Pessoal")&amp;", "&amp;IF(LEN($DX$130)&gt;0,$DX$130,"Físico")&amp;"): "&amp;INDEX($W$11:$W$22,$R$130)&amp;" · média "&amp;INDEX($X$11:$X$22,$R$130)&amp;IF(LEN($DR$171)&gt;0,", e o alvo recebe "&amp;$DR$171&amp;" por "&amp;IF(ISNUMBER($DZ$130),$DZ$130,1)&amp;IF(AND(ISNUMBER($DZ$130),$DZ$130&gt;1)," turnos"," turno"),""),IF($DS$130="Especial de dano 1 alvo (até 1,5×)",IF(LEN($DU$130)&gt;0,$DU$130,"Ação")&amp;IF(ISNUMBER($DY$130)," (recarga "&amp;$DY$130&amp;" Ciclos)","")&amp;": um alvo a até Distância "&amp;IF(LEN($DW$130)&gt;0,$DW$130,"Pessoal")&amp;IF(LEN($DT$171)&gt;0," faz "&amp;"Teste de "&amp;$DT$171&amp;" contra DT "&amp;INDEX($Y$11:$Y$22,$R$130)&amp;"; se falhar, recebe "," recebe ")&amp;INDEX($CJ$11:$CJ$22,$R$130)&amp;" · média "&amp;INDEX($CK$11:$CK$22,$R$130)&amp;" de dano "&amp;IF(LEN($DX$130)&gt;0,$DX$130,"Físico")&amp;IF(LEN($DR$171)&gt;0," e "&amp;$DR$171&amp;" por "&amp;IF(ISNUMBER($DZ$130),$DZ$130,1)&amp;IF(AND(ISNUMBER($DZ$130),$DZ$130&gt;1)," turnos"," turno"),"")&amp;".",IF($DS$130="Especial de dano 2–3 alvos (dano cheio por alvo)",IF(LEN($DU$130)&gt;0,$DU$130,"Ação")&amp;IF(ISNUMBER($DY$130)," (recarga "&amp;$DY$130&amp;" Ciclos)","")&amp;": até 3 alvos a até uma Distância um do outro "&amp;IF(LEN($DT$171)&gt;0,"fazem "&amp;"Teste de "&amp;$DT$171&amp;" contra DT "&amp;INDEX($Y$11:$Y$22,$R$130)&amp;". Quem falha recebe "&amp;INDEX($W$11:$W$22,$R$130)&amp;" · média "&amp;INDEX($X$11:$X$22,$R$130)&amp;" de dano "&amp;IF(LEN($DX$130)&gt;0,$DX$130,"Físico")&amp;IF(LEN($DR$171)&gt;0," e "&amp;$DR$171&amp;" por "&amp;IF(ISNUMBER($DZ$130),$DZ$130,1)&amp;IF(AND(ISNUMBER($DZ$130),$DZ$130&gt;1)," turnos"," turno"),"")&amp;"; quem passa recebe metade do dano.","recebem, cada um, "&amp;INDEX($W$11:$W$22,$R$130)&amp;" · média "&amp;INDEX($X$11:$X$22,$R$130)&amp;" de dano "&amp;IF(LEN($DX$130)&gt;0,$DX$130,"Físico")&amp;IF(LEN($DR$171)&gt;0," e "&amp;$DR$171&amp;" por "&amp;IF(ISNUMBER($DZ$130),$DZ$130,1)&amp;IF(AND(ISNUMBER($DZ$130),$DZ$130&gt;1)," turnos"," turno"),"")&amp;"."),IF($DS$130="Especial de controle",IF(LEN($DU$130)&gt;0,$DU$130,"Ação")&amp;IF(ISNUMBER($DY$130)," (recarga "&amp;$DY$130&amp;" Ciclos)","")&amp;": o alvo faz "&amp;IF(LEN($DT$171)&gt;0,"Teste de "&amp;$DT$171&amp;" contra DT "&amp;INDEX($Y$11:$Y$22,$R$130),"Teste de Resistência contra DT "&amp;INDEX($Y$11:$Y$22,$R$130))&amp;"; se falhar, recebe "&amp;IF(LEN($DR$171)&gt;0,$DR$171,"(escolha a condição)")&amp;" por "&amp;IF(ISNUMBER($DZ$130),$DZ$130,1)&amp;IF(AND(ISNUMBER($DZ$130),$DZ$130&gt;1)," turnos"," turno")&amp;".",IF($DS$130="Reação",IF(LEN($DU$130)&gt;0,$DU$130,"Ação")&amp;" (Reação"&amp;IF(ISNUMBER($DY$130),", recarga "&amp;$DY$130&amp;" Ciclos","")&amp;")"&amp;IF(LEN($DR$171)&gt;0,": o alvo faz "&amp;IF(LEN($DT$171)&gt;0,"Teste de "&amp;$DT$171&amp;" contra DT "&amp;INDEX($Y$11:$Y$22,$R$130),"Teste de Resistência contra DT "&amp;INDEX($Y$11:$Y$22,$R$130))&amp;"; se falhar, recebe "&amp;$DR$171&amp;" por "&amp;IF(ISNUMBER($DZ$130),$DZ$130,1)&amp;IF(AND(ISNUMBER($DZ$130),$DZ$130&gt;1)," turnos"," turno")&amp;".","."),""))))))</f>
        <v/>
      </c>
      <c r="K171" s="26">
        <f>IF(EA171&gt;0,"O Google leu como fórmula: escolha de novo na lista.",IF(LEN($DQ$130)=0,"",IF(AND($DS$130="Especial de controle",LEN($DR$171)=0),"Ação de controle aplica uma condição do capítulo 21 (28.4)",IF(AND($DS$130="Especial de controle",LEN($DT$171)=0),"Diga o Teste de Resistência do alvo",IF($DR$171="Congelado","Inimigo não aplica Congelamento em personagem (28.2 regra 9)",IF(AND(LEN($DR$171)&gt;0,COUNTIF('Dados'!$BH$6:$BH$18,$DR$171)=0),"Condição fora do capítulo 21: nada de condição nova (28.4)",""))))))</f>
        <v/>
      </c>
      <c r="DR171" s="19">
        <f>IF(ISERROR($B$171),"",IF(ISBLANK($B$171),"",$B$171))</f>
        <v/>
      </c>
      <c r="DT171" s="19">
        <f>IF(ISERROR($D$171),"",IF(ISBLANK($D$171),"",$D$171))</f>
        <v/>
      </c>
      <c r="EA171" s="19">
        <f>ISERROR($B$171)*1+ISERROR($D$171)*1</f>
        <v/>
      </c>
    </row>
    <row r="172" ht="48" customHeight="1">
      <c r="A172" s="32">
        <f>IF(LEN($DQ$131)&gt;0,"15 · "&amp;$DQ$131,"15 · (vazia)")</f>
        <v/>
      </c>
      <c r="B172" s="3" t="n"/>
      <c r="C172" s="16" t="n"/>
      <c r="D172" s="3" t="n"/>
      <c r="E172" s="16" t="n"/>
      <c r="F172" s="4">
        <f>IF(OR(LEN($DQ$131)=0,NOT(ISNUMBER($R$131))),"",IF($DS$131="Ataque normal",IF(LEN($DU$131)&gt;0,$DU$131,"Ação")&amp;" ("&amp;IF(LEN($DW$131)&gt;0,$DW$131,"Pessoal")&amp;", "&amp;IF(LEN($DX$131)&gt;0,$DX$131,"Físico")&amp;"): "&amp;INDEX($W$11:$W$22,$R$131)&amp;" · média "&amp;INDEX($X$11:$X$22,$R$131)&amp;IF(LEN($DR$172)&gt;0,", e o alvo recebe "&amp;$DR$172&amp;" por "&amp;IF(ISNUMBER($DZ$131),$DZ$131,1)&amp;IF(AND(ISNUMBER($DZ$131),$DZ$131&gt;1)," turnos"," turno"),""),IF($DS$131="Especial de dano 1 alvo (até 1,5×)",IF(LEN($DU$131)&gt;0,$DU$131,"Ação")&amp;IF(ISNUMBER($DY$131)," (recarga "&amp;$DY$131&amp;" Ciclos)","")&amp;": um alvo a até Distância "&amp;IF(LEN($DW$131)&gt;0,$DW$131,"Pessoal")&amp;IF(LEN($DT$172)&gt;0," faz "&amp;"Teste de "&amp;$DT$172&amp;" contra DT "&amp;INDEX($Y$11:$Y$22,$R$131)&amp;"; se falhar, recebe "," recebe ")&amp;INDEX($CJ$11:$CJ$22,$R$131)&amp;" · média "&amp;INDEX($CK$11:$CK$22,$R$131)&amp;" de dano "&amp;IF(LEN($DX$131)&gt;0,$DX$131,"Físico")&amp;IF(LEN($DR$172)&gt;0," e "&amp;$DR$172&amp;" por "&amp;IF(ISNUMBER($DZ$131),$DZ$131,1)&amp;IF(AND(ISNUMBER($DZ$131),$DZ$131&gt;1)," turnos"," turno"),"")&amp;".",IF($DS$131="Especial de dano 2–3 alvos (dano cheio por alvo)",IF(LEN($DU$131)&gt;0,$DU$131,"Ação")&amp;IF(ISNUMBER($DY$131)," (recarga "&amp;$DY$131&amp;" Ciclos)","")&amp;": até 3 alvos a até uma Distância um do outro "&amp;IF(LEN($DT$172)&gt;0,"fazem "&amp;"Teste de "&amp;$DT$172&amp;" contra DT "&amp;INDEX($Y$11:$Y$22,$R$131)&amp;". Quem falha recebe "&amp;INDEX($W$11:$W$22,$R$131)&amp;" · média "&amp;INDEX($X$11:$X$22,$R$131)&amp;" de dano "&amp;IF(LEN($DX$131)&gt;0,$DX$131,"Físico")&amp;IF(LEN($DR$172)&gt;0," e "&amp;$DR$172&amp;" por "&amp;IF(ISNUMBER($DZ$131),$DZ$131,1)&amp;IF(AND(ISNUMBER($DZ$131),$DZ$131&gt;1)," turnos"," turno"),"")&amp;"; quem passa recebe metade do dano.","recebem, cada um, "&amp;INDEX($W$11:$W$22,$R$131)&amp;" · média "&amp;INDEX($X$11:$X$22,$R$131)&amp;" de dano "&amp;IF(LEN($DX$131)&gt;0,$DX$131,"Físico")&amp;IF(LEN($DR$172)&gt;0," e "&amp;$DR$172&amp;" por "&amp;IF(ISNUMBER($DZ$131),$DZ$131,1)&amp;IF(AND(ISNUMBER($DZ$131),$DZ$131&gt;1)," turnos"," turno"),"")&amp;"."),IF($DS$131="Especial de controle",IF(LEN($DU$131)&gt;0,$DU$131,"Ação")&amp;IF(ISNUMBER($DY$131)," (recarga "&amp;$DY$131&amp;" Ciclos)","")&amp;": o alvo faz "&amp;IF(LEN($DT$172)&gt;0,"Teste de "&amp;$DT$172&amp;" contra DT "&amp;INDEX($Y$11:$Y$22,$R$131),"Teste de Resistência contra DT "&amp;INDEX($Y$11:$Y$22,$R$131))&amp;"; se falhar, recebe "&amp;IF(LEN($DR$172)&gt;0,$DR$172,"(escolha a condição)")&amp;" por "&amp;IF(ISNUMBER($DZ$131),$DZ$131,1)&amp;IF(AND(ISNUMBER($DZ$131),$DZ$131&gt;1)," turnos"," turno")&amp;".",IF($DS$131="Reação",IF(LEN($DU$131)&gt;0,$DU$131,"Ação")&amp;" (Reação"&amp;IF(ISNUMBER($DY$131),", recarga "&amp;$DY$131&amp;" Ciclos","")&amp;")"&amp;IF(LEN($DR$172)&gt;0,": o alvo faz "&amp;IF(LEN($DT$172)&gt;0,"Teste de "&amp;$DT$172&amp;" contra DT "&amp;INDEX($Y$11:$Y$22,$R$131),"Teste de Resistência contra DT "&amp;INDEX($Y$11:$Y$22,$R$131))&amp;"; se falhar, recebe "&amp;$DR$172&amp;" por "&amp;IF(ISNUMBER($DZ$131),$DZ$131,1)&amp;IF(AND(ISNUMBER($DZ$131),$DZ$131&gt;1)," turnos"," turno")&amp;".","."),""))))))</f>
        <v/>
      </c>
      <c r="K172" s="18">
        <f>IF(EA172&gt;0,"O Google leu como fórmula: escolha de novo na lista.",IF(LEN($DQ$131)=0,"",IF(AND($DS$131="Especial de controle",LEN($DR$172)=0),"Ação de controle aplica uma condição do capítulo 21 (28.4)",IF(AND($DS$131="Especial de controle",LEN($DT$172)=0),"Diga o Teste de Resistência do alvo",IF($DR$172="Congelado","Inimigo não aplica Congelamento em personagem (28.2 regra 9)",IF(AND(LEN($DR$172)&gt;0,COUNTIF('Dados'!$BH$6:$BH$18,$DR$172)=0),"Condição fora do capítulo 21: nada de condição nova (28.4)",""))))))</f>
        <v/>
      </c>
      <c r="DR172" s="19">
        <f>IF(ISERROR($B$172),"",IF(ISBLANK($B$172),"",$B$172))</f>
        <v/>
      </c>
      <c r="DT172" s="19">
        <f>IF(ISERROR($D$172),"",IF(ISBLANK($D$172),"",$D$172))</f>
        <v/>
      </c>
      <c r="EA172" s="19">
        <f>ISERROR($B$172)*1+ISERROR($D$172)*1</f>
        <v/>
      </c>
    </row>
    <row r="173" ht="48" customHeight="1">
      <c r="A173" s="33">
        <f>IF(LEN($DQ$132)&gt;0,"16 · "&amp;$DQ$132,"16 · (vazia)")</f>
        <v/>
      </c>
      <c r="B173" s="28" t="n"/>
      <c r="C173" s="16" t="n"/>
      <c r="D173" s="28" t="n"/>
      <c r="E173" s="16" t="n"/>
      <c r="F173" s="9">
        <f>IF(OR(LEN($DQ$132)=0,NOT(ISNUMBER($R$132))),"",IF($DS$132="Ataque normal",IF(LEN($DU$132)&gt;0,$DU$132,"Ação")&amp;" ("&amp;IF(LEN($DW$132)&gt;0,$DW$132,"Pessoal")&amp;", "&amp;IF(LEN($DX$132)&gt;0,$DX$132,"Físico")&amp;"): "&amp;INDEX($W$11:$W$22,$R$132)&amp;" · média "&amp;INDEX($X$11:$X$22,$R$132)&amp;IF(LEN($DR$173)&gt;0,", e o alvo recebe "&amp;$DR$173&amp;" por "&amp;IF(ISNUMBER($DZ$132),$DZ$132,1)&amp;IF(AND(ISNUMBER($DZ$132),$DZ$132&gt;1)," turnos"," turno"),""),IF($DS$132="Especial de dano 1 alvo (até 1,5×)",IF(LEN($DU$132)&gt;0,$DU$132,"Ação")&amp;IF(ISNUMBER($DY$132)," (recarga "&amp;$DY$132&amp;" Ciclos)","")&amp;": um alvo a até Distância "&amp;IF(LEN($DW$132)&gt;0,$DW$132,"Pessoal")&amp;IF(LEN($DT$173)&gt;0," faz "&amp;"Teste de "&amp;$DT$173&amp;" contra DT "&amp;INDEX($Y$11:$Y$22,$R$132)&amp;"; se falhar, recebe "," recebe ")&amp;INDEX($CJ$11:$CJ$22,$R$132)&amp;" · média "&amp;INDEX($CK$11:$CK$22,$R$132)&amp;" de dano "&amp;IF(LEN($DX$132)&gt;0,$DX$132,"Físico")&amp;IF(LEN($DR$173)&gt;0," e "&amp;$DR$173&amp;" por "&amp;IF(ISNUMBER($DZ$132),$DZ$132,1)&amp;IF(AND(ISNUMBER($DZ$132),$DZ$132&gt;1)," turnos"," turno"),"")&amp;".",IF($DS$132="Especial de dano 2–3 alvos (dano cheio por alvo)",IF(LEN($DU$132)&gt;0,$DU$132,"Ação")&amp;IF(ISNUMBER($DY$132)," (recarga "&amp;$DY$132&amp;" Ciclos)","")&amp;": até 3 alvos a até uma Distância um do outro "&amp;IF(LEN($DT$173)&gt;0,"fazem "&amp;"Teste de "&amp;$DT$173&amp;" contra DT "&amp;INDEX($Y$11:$Y$22,$R$132)&amp;". Quem falha recebe "&amp;INDEX($W$11:$W$22,$R$132)&amp;" · média "&amp;INDEX($X$11:$X$22,$R$132)&amp;" de dano "&amp;IF(LEN($DX$132)&gt;0,$DX$132,"Físico")&amp;IF(LEN($DR$173)&gt;0," e "&amp;$DR$173&amp;" por "&amp;IF(ISNUMBER($DZ$132),$DZ$132,1)&amp;IF(AND(ISNUMBER($DZ$132),$DZ$132&gt;1)," turnos"," turno"),"")&amp;"; quem passa recebe metade do dano.","recebem, cada um, "&amp;INDEX($W$11:$W$22,$R$132)&amp;" · média "&amp;INDEX($X$11:$X$22,$R$132)&amp;" de dano "&amp;IF(LEN($DX$132)&gt;0,$DX$132,"Físico")&amp;IF(LEN($DR$173)&gt;0," e "&amp;$DR$173&amp;" por "&amp;IF(ISNUMBER($DZ$132),$DZ$132,1)&amp;IF(AND(ISNUMBER($DZ$132),$DZ$132&gt;1)," turnos"," turno"),"")&amp;"."),IF($DS$132="Especial de controle",IF(LEN($DU$132)&gt;0,$DU$132,"Ação")&amp;IF(ISNUMBER($DY$132)," (recarga "&amp;$DY$132&amp;" Ciclos)","")&amp;": o alvo faz "&amp;IF(LEN($DT$173)&gt;0,"Teste de "&amp;$DT$173&amp;" contra DT "&amp;INDEX($Y$11:$Y$22,$R$132),"Teste de Resistência contra DT "&amp;INDEX($Y$11:$Y$22,$R$132))&amp;"; se falhar, recebe "&amp;IF(LEN($DR$173)&gt;0,$DR$173,"(escolha a condição)")&amp;" por "&amp;IF(ISNUMBER($DZ$132),$DZ$132,1)&amp;IF(AND(ISNUMBER($DZ$132),$DZ$132&gt;1)," turnos"," turno")&amp;".",IF($DS$132="Reação",IF(LEN($DU$132)&gt;0,$DU$132,"Ação")&amp;" (Reação"&amp;IF(ISNUMBER($DY$132),", recarga "&amp;$DY$132&amp;" Ciclos","")&amp;")"&amp;IF(LEN($DR$173)&gt;0,": o alvo faz "&amp;IF(LEN($DT$173)&gt;0,"Teste de "&amp;$DT$173&amp;" contra DT "&amp;INDEX($Y$11:$Y$22,$R$132),"Teste de Resistência contra DT "&amp;INDEX($Y$11:$Y$22,$R$132))&amp;"; se falhar, recebe "&amp;$DR$173&amp;" por "&amp;IF(ISNUMBER($DZ$132),$DZ$132,1)&amp;IF(AND(ISNUMBER($DZ$132),$DZ$132&gt;1)," turnos"," turno")&amp;".","."),""))))))</f>
        <v/>
      </c>
      <c r="K173" s="26">
        <f>IF(EA173&gt;0,"O Google leu como fórmula: escolha de novo na lista.",IF(LEN($DQ$132)=0,"",IF(AND($DS$132="Especial de controle",LEN($DR$173)=0),"Ação de controle aplica uma condição do capítulo 21 (28.4)",IF(AND($DS$132="Especial de controle",LEN($DT$173)=0),"Diga o Teste de Resistência do alvo",IF($DR$173="Congelado","Inimigo não aplica Congelamento em personagem (28.2 regra 9)",IF(AND(LEN($DR$173)&gt;0,COUNTIF('Dados'!$BH$6:$BH$18,$DR$173)=0),"Condição fora do capítulo 21: nada de condição nova (28.4)",""))))))</f>
        <v/>
      </c>
      <c r="DR173" s="19">
        <f>IF(ISERROR($B$173),"",IF(ISBLANK($B$173),"",$B$173))</f>
        <v/>
      </c>
      <c r="DT173" s="19">
        <f>IF(ISERROR($D$173),"",IF(ISBLANK($D$173),"",$D$173))</f>
        <v/>
      </c>
      <c r="EA173" s="19">
        <f>ISERROR($B$173)*1+ISERROR($D$173)*1</f>
        <v/>
      </c>
    </row>
    <row r="174" ht="48" customHeight="1">
      <c r="A174" s="32">
        <f>IF(LEN($DQ$133)&gt;0,"17 · "&amp;$DQ$133,"17 · (vazia)")</f>
        <v/>
      </c>
      <c r="B174" s="3" t="n"/>
      <c r="C174" s="16" t="n"/>
      <c r="D174" s="3" t="n"/>
      <c r="E174" s="16" t="n"/>
      <c r="F174" s="4">
        <f>IF(OR(LEN($DQ$133)=0,NOT(ISNUMBER($R$133))),"",IF($DS$133="Ataque normal",IF(LEN($DU$133)&gt;0,$DU$133,"Ação")&amp;" ("&amp;IF(LEN($DW$133)&gt;0,$DW$133,"Pessoal")&amp;", "&amp;IF(LEN($DX$133)&gt;0,$DX$133,"Físico")&amp;"): "&amp;INDEX($W$11:$W$22,$R$133)&amp;" · média "&amp;INDEX($X$11:$X$22,$R$133)&amp;IF(LEN($DR$174)&gt;0,", e o alvo recebe "&amp;$DR$174&amp;" por "&amp;IF(ISNUMBER($DZ$133),$DZ$133,1)&amp;IF(AND(ISNUMBER($DZ$133),$DZ$133&gt;1)," turnos"," turno"),""),IF($DS$133="Especial de dano 1 alvo (até 1,5×)",IF(LEN($DU$133)&gt;0,$DU$133,"Ação")&amp;IF(ISNUMBER($DY$133)," (recarga "&amp;$DY$133&amp;" Ciclos)","")&amp;": um alvo a até Distância "&amp;IF(LEN($DW$133)&gt;0,$DW$133,"Pessoal")&amp;IF(LEN($DT$174)&gt;0," faz "&amp;"Teste de "&amp;$DT$174&amp;" contra DT "&amp;INDEX($Y$11:$Y$22,$R$133)&amp;"; se falhar, recebe "," recebe ")&amp;INDEX($CJ$11:$CJ$22,$R$133)&amp;" · média "&amp;INDEX($CK$11:$CK$22,$R$133)&amp;" de dano "&amp;IF(LEN($DX$133)&gt;0,$DX$133,"Físico")&amp;IF(LEN($DR$174)&gt;0," e "&amp;$DR$174&amp;" por "&amp;IF(ISNUMBER($DZ$133),$DZ$133,1)&amp;IF(AND(ISNUMBER($DZ$133),$DZ$133&gt;1)," turnos"," turno"),"")&amp;".",IF($DS$133="Especial de dano 2–3 alvos (dano cheio por alvo)",IF(LEN($DU$133)&gt;0,$DU$133,"Ação")&amp;IF(ISNUMBER($DY$133)," (recarga "&amp;$DY$133&amp;" Ciclos)","")&amp;": até 3 alvos a até uma Distância um do outro "&amp;IF(LEN($DT$174)&gt;0,"fazem "&amp;"Teste de "&amp;$DT$174&amp;" contra DT "&amp;INDEX($Y$11:$Y$22,$R$133)&amp;". Quem falha recebe "&amp;INDEX($W$11:$W$22,$R$133)&amp;" · média "&amp;INDEX($X$11:$X$22,$R$133)&amp;" de dano "&amp;IF(LEN($DX$133)&gt;0,$DX$133,"Físico")&amp;IF(LEN($DR$174)&gt;0," e "&amp;$DR$174&amp;" por "&amp;IF(ISNUMBER($DZ$133),$DZ$133,1)&amp;IF(AND(ISNUMBER($DZ$133),$DZ$133&gt;1)," turnos"," turno"),"")&amp;"; quem passa recebe metade do dano.","recebem, cada um, "&amp;INDEX($W$11:$W$22,$R$133)&amp;" · média "&amp;INDEX($X$11:$X$22,$R$133)&amp;" de dano "&amp;IF(LEN($DX$133)&gt;0,$DX$133,"Físico")&amp;IF(LEN($DR$174)&gt;0," e "&amp;$DR$174&amp;" por "&amp;IF(ISNUMBER($DZ$133),$DZ$133,1)&amp;IF(AND(ISNUMBER($DZ$133),$DZ$133&gt;1)," turnos"," turno"),"")&amp;"."),IF($DS$133="Especial de controle",IF(LEN($DU$133)&gt;0,$DU$133,"Ação")&amp;IF(ISNUMBER($DY$133)," (recarga "&amp;$DY$133&amp;" Ciclos)","")&amp;": o alvo faz "&amp;IF(LEN($DT$174)&gt;0,"Teste de "&amp;$DT$174&amp;" contra DT "&amp;INDEX($Y$11:$Y$22,$R$133),"Teste de Resistência contra DT "&amp;INDEX($Y$11:$Y$22,$R$133))&amp;"; se falhar, recebe "&amp;IF(LEN($DR$174)&gt;0,$DR$174,"(escolha a condição)")&amp;" por "&amp;IF(ISNUMBER($DZ$133),$DZ$133,1)&amp;IF(AND(ISNUMBER($DZ$133),$DZ$133&gt;1)," turnos"," turno")&amp;".",IF($DS$133="Reação",IF(LEN($DU$133)&gt;0,$DU$133,"Ação")&amp;" (Reação"&amp;IF(ISNUMBER($DY$133),", recarga "&amp;$DY$133&amp;" Ciclos","")&amp;")"&amp;IF(LEN($DR$174)&gt;0,": o alvo faz "&amp;IF(LEN($DT$174)&gt;0,"Teste de "&amp;$DT$174&amp;" contra DT "&amp;INDEX($Y$11:$Y$22,$R$133),"Teste de Resistência contra DT "&amp;INDEX($Y$11:$Y$22,$R$133))&amp;"; se falhar, recebe "&amp;$DR$174&amp;" por "&amp;IF(ISNUMBER($DZ$133),$DZ$133,1)&amp;IF(AND(ISNUMBER($DZ$133),$DZ$133&gt;1)," turnos"," turno")&amp;".","."),""))))))</f>
        <v/>
      </c>
      <c r="K174" s="18">
        <f>IF(EA174&gt;0,"O Google leu como fórmula: escolha de novo na lista.",IF(LEN($DQ$133)=0,"",IF(AND($DS$133="Especial de controle",LEN($DR$174)=0),"Ação de controle aplica uma condição do capítulo 21 (28.4)",IF(AND($DS$133="Especial de controle",LEN($DT$174)=0),"Diga o Teste de Resistência do alvo",IF($DR$174="Congelado","Inimigo não aplica Congelamento em personagem (28.2 regra 9)",IF(AND(LEN($DR$174)&gt;0,COUNTIF('Dados'!$BH$6:$BH$18,$DR$174)=0),"Condição fora do capítulo 21: nada de condição nova (28.4)",""))))))</f>
        <v/>
      </c>
      <c r="DR174" s="19">
        <f>IF(ISERROR($B$174),"",IF(ISBLANK($B$174),"",$B$174))</f>
        <v/>
      </c>
      <c r="DT174" s="19">
        <f>IF(ISERROR($D$174),"",IF(ISBLANK($D$174),"",$D$174))</f>
        <v/>
      </c>
      <c r="EA174" s="19">
        <f>ISERROR($B$174)*1+ISERROR($D$174)*1</f>
        <v/>
      </c>
    </row>
    <row r="175" ht="48" customHeight="1">
      <c r="A175" s="33">
        <f>IF(LEN($DQ$134)&gt;0,"18 · "&amp;$DQ$134,"18 · (vazia)")</f>
        <v/>
      </c>
      <c r="B175" s="28" t="n"/>
      <c r="C175" s="16" t="n"/>
      <c r="D175" s="28" t="n"/>
      <c r="E175" s="16" t="n"/>
      <c r="F175" s="9">
        <f>IF(OR(LEN($DQ$134)=0,NOT(ISNUMBER($R$134))),"",IF($DS$134="Ataque normal",IF(LEN($DU$134)&gt;0,$DU$134,"Ação")&amp;" ("&amp;IF(LEN($DW$134)&gt;0,$DW$134,"Pessoal")&amp;", "&amp;IF(LEN($DX$134)&gt;0,$DX$134,"Físico")&amp;"): "&amp;INDEX($W$11:$W$22,$R$134)&amp;" · média "&amp;INDEX($X$11:$X$22,$R$134)&amp;IF(LEN($DR$175)&gt;0,", e o alvo recebe "&amp;$DR$175&amp;" por "&amp;IF(ISNUMBER($DZ$134),$DZ$134,1)&amp;IF(AND(ISNUMBER($DZ$134),$DZ$134&gt;1)," turnos"," turno"),""),IF($DS$134="Especial de dano 1 alvo (até 1,5×)",IF(LEN($DU$134)&gt;0,$DU$134,"Ação")&amp;IF(ISNUMBER($DY$134)," (recarga "&amp;$DY$134&amp;" Ciclos)","")&amp;": um alvo a até Distância "&amp;IF(LEN($DW$134)&gt;0,$DW$134,"Pessoal")&amp;IF(LEN($DT$175)&gt;0," faz "&amp;"Teste de "&amp;$DT$175&amp;" contra DT "&amp;INDEX($Y$11:$Y$22,$R$134)&amp;"; se falhar, recebe "," recebe ")&amp;INDEX($CJ$11:$CJ$22,$R$134)&amp;" · média "&amp;INDEX($CK$11:$CK$22,$R$134)&amp;" de dano "&amp;IF(LEN($DX$134)&gt;0,$DX$134,"Físico")&amp;IF(LEN($DR$175)&gt;0," e "&amp;$DR$175&amp;" por "&amp;IF(ISNUMBER($DZ$134),$DZ$134,1)&amp;IF(AND(ISNUMBER($DZ$134),$DZ$134&gt;1)," turnos"," turno"),"")&amp;".",IF($DS$134="Especial de dano 2–3 alvos (dano cheio por alvo)",IF(LEN($DU$134)&gt;0,$DU$134,"Ação")&amp;IF(ISNUMBER($DY$134)," (recarga "&amp;$DY$134&amp;" Ciclos)","")&amp;": até 3 alvos a até uma Distância um do outro "&amp;IF(LEN($DT$175)&gt;0,"fazem "&amp;"Teste de "&amp;$DT$175&amp;" contra DT "&amp;INDEX($Y$11:$Y$22,$R$134)&amp;". Quem falha recebe "&amp;INDEX($W$11:$W$22,$R$134)&amp;" · média "&amp;INDEX($X$11:$X$22,$R$134)&amp;" de dano "&amp;IF(LEN($DX$134)&gt;0,$DX$134,"Físico")&amp;IF(LEN($DR$175)&gt;0," e "&amp;$DR$175&amp;" por "&amp;IF(ISNUMBER($DZ$134),$DZ$134,1)&amp;IF(AND(ISNUMBER($DZ$134),$DZ$134&gt;1)," turnos"," turno"),"")&amp;"; quem passa recebe metade do dano.","recebem, cada um, "&amp;INDEX($W$11:$W$22,$R$134)&amp;" · média "&amp;INDEX($X$11:$X$22,$R$134)&amp;" de dano "&amp;IF(LEN($DX$134)&gt;0,$DX$134,"Físico")&amp;IF(LEN($DR$175)&gt;0," e "&amp;$DR$175&amp;" por "&amp;IF(ISNUMBER($DZ$134),$DZ$134,1)&amp;IF(AND(ISNUMBER($DZ$134),$DZ$134&gt;1)," turnos"," turno"),"")&amp;"."),IF($DS$134="Especial de controle",IF(LEN($DU$134)&gt;0,$DU$134,"Ação")&amp;IF(ISNUMBER($DY$134)," (recarga "&amp;$DY$134&amp;" Ciclos)","")&amp;": o alvo faz "&amp;IF(LEN($DT$175)&gt;0,"Teste de "&amp;$DT$175&amp;" contra DT "&amp;INDEX($Y$11:$Y$22,$R$134),"Teste de Resistência contra DT "&amp;INDEX($Y$11:$Y$22,$R$134))&amp;"; se falhar, recebe "&amp;IF(LEN($DR$175)&gt;0,$DR$175,"(escolha a condição)")&amp;" por "&amp;IF(ISNUMBER($DZ$134),$DZ$134,1)&amp;IF(AND(ISNUMBER($DZ$134),$DZ$134&gt;1)," turnos"," turno")&amp;".",IF($DS$134="Reação",IF(LEN($DU$134)&gt;0,$DU$134,"Ação")&amp;" (Reação"&amp;IF(ISNUMBER($DY$134),", recarga "&amp;$DY$134&amp;" Ciclos","")&amp;")"&amp;IF(LEN($DR$175)&gt;0,": o alvo faz "&amp;IF(LEN($DT$175)&gt;0,"Teste de "&amp;$DT$175&amp;" contra DT "&amp;INDEX($Y$11:$Y$22,$R$134),"Teste de Resistência contra DT "&amp;INDEX($Y$11:$Y$22,$R$134))&amp;"; se falhar, recebe "&amp;$DR$175&amp;" por "&amp;IF(ISNUMBER($DZ$134),$DZ$134,1)&amp;IF(AND(ISNUMBER($DZ$134),$DZ$134&gt;1)," turnos"," turno")&amp;".","."),""))))))</f>
        <v/>
      </c>
      <c r="K175" s="26">
        <f>IF(EA175&gt;0,"O Google leu como fórmula: escolha de novo na lista.",IF(LEN($DQ$134)=0,"",IF(AND($DS$134="Especial de controle",LEN($DR$175)=0),"Ação de controle aplica uma condição do capítulo 21 (28.4)",IF(AND($DS$134="Especial de controle",LEN($DT$175)=0),"Diga o Teste de Resistência do alvo",IF($DR$175="Congelado","Inimigo não aplica Congelamento em personagem (28.2 regra 9)",IF(AND(LEN($DR$175)&gt;0,COUNTIF('Dados'!$BH$6:$BH$18,$DR$175)=0),"Condição fora do capítulo 21: nada de condição nova (28.4)",""))))))</f>
        <v/>
      </c>
      <c r="DR175" s="19">
        <f>IF(ISERROR($B$175),"",IF(ISBLANK($B$175),"",$B$175))</f>
        <v/>
      </c>
      <c r="DT175" s="19">
        <f>IF(ISERROR($D$175),"",IF(ISBLANK($D$175),"",$D$175))</f>
        <v/>
      </c>
      <c r="EA175" s="19">
        <f>ISERROR($B$175)*1+ISERROR($D$175)*1</f>
        <v/>
      </c>
    </row>
    <row r="176" ht="48" customHeight="1">
      <c r="A176" s="32">
        <f>IF(LEN($DQ$135)&gt;0,"19 · "&amp;$DQ$135,"19 · (vazia)")</f>
        <v/>
      </c>
      <c r="B176" s="3" t="n"/>
      <c r="C176" s="16" t="n"/>
      <c r="D176" s="3" t="n"/>
      <c r="E176" s="16" t="n"/>
      <c r="F176" s="4">
        <f>IF(OR(LEN($DQ$135)=0,NOT(ISNUMBER($R$135))),"",IF($DS$135="Ataque normal",IF(LEN($DU$135)&gt;0,$DU$135,"Ação")&amp;" ("&amp;IF(LEN($DW$135)&gt;0,$DW$135,"Pessoal")&amp;", "&amp;IF(LEN($DX$135)&gt;0,$DX$135,"Físico")&amp;"): "&amp;INDEX($W$11:$W$22,$R$135)&amp;" · média "&amp;INDEX($X$11:$X$22,$R$135)&amp;IF(LEN($DR$176)&gt;0,", e o alvo recebe "&amp;$DR$176&amp;" por "&amp;IF(ISNUMBER($DZ$135),$DZ$135,1)&amp;IF(AND(ISNUMBER($DZ$135),$DZ$135&gt;1)," turnos"," turno"),""),IF($DS$135="Especial de dano 1 alvo (até 1,5×)",IF(LEN($DU$135)&gt;0,$DU$135,"Ação")&amp;IF(ISNUMBER($DY$135)," (recarga "&amp;$DY$135&amp;" Ciclos)","")&amp;": um alvo a até Distância "&amp;IF(LEN($DW$135)&gt;0,$DW$135,"Pessoal")&amp;IF(LEN($DT$176)&gt;0," faz "&amp;"Teste de "&amp;$DT$176&amp;" contra DT "&amp;INDEX($Y$11:$Y$22,$R$135)&amp;"; se falhar, recebe "," recebe ")&amp;INDEX($CJ$11:$CJ$22,$R$135)&amp;" · média "&amp;INDEX($CK$11:$CK$22,$R$135)&amp;" de dano "&amp;IF(LEN($DX$135)&gt;0,$DX$135,"Físico")&amp;IF(LEN($DR$176)&gt;0," e "&amp;$DR$176&amp;" por "&amp;IF(ISNUMBER($DZ$135),$DZ$135,1)&amp;IF(AND(ISNUMBER($DZ$135),$DZ$135&gt;1)," turnos"," turno"),"")&amp;".",IF($DS$135="Especial de dano 2–3 alvos (dano cheio por alvo)",IF(LEN($DU$135)&gt;0,$DU$135,"Ação")&amp;IF(ISNUMBER($DY$135)," (recarga "&amp;$DY$135&amp;" Ciclos)","")&amp;": até 3 alvos a até uma Distância um do outro "&amp;IF(LEN($DT$176)&gt;0,"fazem "&amp;"Teste de "&amp;$DT$176&amp;" contra DT "&amp;INDEX($Y$11:$Y$22,$R$135)&amp;". Quem falha recebe "&amp;INDEX($W$11:$W$22,$R$135)&amp;" · média "&amp;INDEX($X$11:$X$22,$R$135)&amp;" de dano "&amp;IF(LEN($DX$135)&gt;0,$DX$135,"Físico")&amp;IF(LEN($DR$176)&gt;0," e "&amp;$DR$176&amp;" por "&amp;IF(ISNUMBER($DZ$135),$DZ$135,1)&amp;IF(AND(ISNUMBER($DZ$135),$DZ$135&gt;1)," turnos"," turno"),"")&amp;"; quem passa recebe metade do dano.","recebem, cada um, "&amp;INDEX($W$11:$W$22,$R$135)&amp;" · média "&amp;INDEX($X$11:$X$22,$R$135)&amp;" de dano "&amp;IF(LEN($DX$135)&gt;0,$DX$135,"Físico")&amp;IF(LEN($DR$176)&gt;0," e "&amp;$DR$176&amp;" por "&amp;IF(ISNUMBER($DZ$135),$DZ$135,1)&amp;IF(AND(ISNUMBER($DZ$135),$DZ$135&gt;1)," turnos"," turno"),"")&amp;"."),IF($DS$135="Especial de controle",IF(LEN($DU$135)&gt;0,$DU$135,"Ação")&amp;IF(ISNUMBER($DY$135)," (recarga "&amp;$DY$135&amp;" Ciclos)","")&amp;": o alvo faz "&amp;IF(LEN($DT$176)&gt;0,"Teste de "&amp;$DT$176&amp;" contra DT "&amp;INDEX($Y$11:$Y$22,$R$135),"Teste de Resistência contra DT "&amp;INDEX($Y$11:$Y$22,$R$135))&amp;"; se falhar, recebe "&amp;IF(LEN($DR$176)&gt;0,$DR$176,"(escolha a condição)")&amp;" por "&amp;IF(ISNUMBER($DZ$135),$DZ$135,1)&amp;IF(AND(ISNUMBER($DZ$135),$DZ$135&gt;1)," turnos"," turno")&amp;".",IF($DS$135="Reação",IF(LEN($DU$135)&gt;0,$DU$135,"Ação")&amp;" (Reação"&amp;IF(ISNUMBER($DY$135),", recarga "&amp;$DY$135&amp;" Ciclos","")&amp;")"&amp;IF(LEN($DR$176)&gt;0,": o alvo faz "&amp;IF(LEN($DT$176)&gt;0,"Teste de "&amp;$DT$176&amp;" contra DT "&amp;INDEX($Y$11:$Y$22,$R$135),"Teste de Resistência contra DT "&amp;INDEX($Y$11:$Y$22,$R$135))&amp;"; se falhar, recebe "&amp;$DR$176&amp;" por "&amp;IF(ISNUMBER($DZ$135),$DZ$135,1)&amp;IF(AND(ISNUMBER($DZ$135),$DZ$135&gt;1)," turnos"," turno")&amp;".","."),""))))))</f>
        <v/>
      </c>
      <c r="K176" s="18">
        <f>IF(EA176&gt;0,"O Google leu como fórmula: escolha de novo na lista.",IF(LEN($DQ$135)=0,"",IF(AND($DS$135="Especial de controle",LEN($DR$176)=0),"Ação de controle aplica uma condição do capítulo 21 (28.4)",IF(AND($DS$135="Especial de controle",LEN($DT$176)=0),"Diga o Teste de Resistência do alvo",IF($DR$176="Congelado","Inimigo não aplica Congelamento em personagem (28.2 regra 9)",IF(AND(LEN($DR$176)&gt;0,COUNTIF('Dados'!$BH$6:$BH$18,$DR$176)=0),"Condição fora do capítulo 21: nada de condição nova (28.4)",""))))))</f>
        <v/>
      </c>
      <c r="DR176" s="19">
        <f>IF(ISERROR($B$176),"",IF(ISBLANK($B$176),"",$B$176))</f>
        <v/>
      </c>
      <c r="DT176" s="19">
        <f>IF(ISERROR($D$176),"",IF(ISBLANK($D$176),"",$D$176))</f>
        <v/>
      </c>
      <c r="EA176" s="19">
        <f>ISERROR($B$176)*1+ISERROR($D$176)*1</f>
        <v/>
      </c>
    </row>
    <row r="177" ht="48" customHeight="1">
      <c r="A177" s="33">
        <f>IF(LEN($DQ$136)&gt;0,"20 · "&amp;$DQ$136,"20 · (vazia)")</f>
        <v/>
      </c>
      <c r="B177" s="28" t="n"/>
      <c r="C177" s="16" t="n"/>
      <c r="D177" s="28" t="n"/>
      <c r="E177" s="16" t="n"/>
      <c r="F177" s="9">
        <f>IF(OR(LEN($DQ$136)=0,NOT(ISNUMBER($R$136))),"",IF($DS$136="Ataque normal",IF(LEN($DU$136)&gt;0,$DU$136,"Ação")&amp;" ("&amp;IF(LEN($DW$136)&gt;0,$DW$136,"Pessoal")&amp;", "&amp;IF(LEN($DX$136)&gt;0,$DX$136,"Físico")&amp;"): "&amp;INDEX($W$11:$W$22,$R$136)&amp;" · média "&amp;INDEX($X$11:$X$22,$R$136)&amp;IF(LEN($DR$177)&gt;0,", e o alvo recebe "&amp;$DR$177&amp;" por "&amp;IF(ISNUMBER($DZ$136),$DZ$136,1)&amp;IF(AND(ISNUMBER($DZ$136),$DZ$136&gt;1)," turnos"," turno"),""),IF($DS$136="Especial de dano 1 alvo (até 1,5×)",IF(LEN($DU$136)&gt;0,$DU$136,"Ação")&amp;IF(ISNUMBER($DY$136)," (recarga "&amp;$DY$136&amp;" Ciclos)","")&amp;": um alvo a até Distância "&amp;IF(LEN($DW$136)&gt;0,$DW$136,"Pessoal")&amp;IF(LEN($DT$177)&gt;0," faz "&amp;"Teste de "&amp;$DT$177&amp;" contra DT "&amp;INDEX($Y$11:$Y$22,$R$136)&amp;"; se falhar, recebe "," recebe ")&amp;INDEX($CJ$11:$CJ$22,$R$136)&amp;" · média "&amp;INDEX($CK$11:$CK$22,$R$136)&amp;" de dano "&amp;IF(LEN($DX$136)&gt;0,$DX$136,"Físico")&amp;IF(LEN($DR$177)&gt;0," e "&amp;$DR$177&amp;" por "&amp;IF(ISNUMBER($DZ$136),$DZ$136,1)&amp;IF(AND(ISNUMBER($DZ$136),$DZ$136&gt;1)," turnos"," turno"),"")&amp;".",IF($DS$136="Especial de dano 2–3 alvos (dano cheio por alvo)",IF(LEN($DU$136)&gt;0,$DU$136,"Ação")&amp;IF(ISNUMBER($DY$136)," (recarga "&amp;$DY$136&amp;" Ciclos)","")&amp;": até 3 alvos a até uma Distância um do outro "&amp;IF(LEN($DT$177)&gt;0,"fazem "&amp;"Teste de "&amp;$DT$177&amp;" contra DT "&amp;INDEX($Y$11:$Y$22,$R$136)&amp;". Quem falha recebe "&amp;INDEX($W$11:$W$22,$R$136)&amp;" · média "&amp;INDEX($X$11:$X$22,$R$136)&amp;" de dano "&amp;IF(LEN($DX$136)&gt;0,$DX$136,"Físico")&amp;IF(LEN($DR$177)&gt;0," e "&amp;$DR$177&amp;" por "&amp;IF(ISNUMBER($DZ$136),$DZ$136,1)&amp;IF(AND(ISNUMBER($DZ$136),$DZ$136&gt;1)," turnos"," turno"),"")&amp;"; quem passa recebe metade do dano.","recebem, cada um, "&amp;INDEX($W$11:$W$22,$R$136)&amp;" · média "&amp;INDEX($X$11:$X$22,$R$136)&amp;" de dano "&amp;IF(LEN($DX$136)&gt;0,$DX$136,"Físico")&amp;IF(LEN($DR$177)&gt;0," e "&amp;$DR$177&amp;" por "&amp;IF(ISNUMBER($DZ$136),$DZ$136,1)&amp;IF(AND(ISNUMBER($DZ$136),$DZ$136&gt;1)," turnos"," turno"),"")&amp;"."),IF($DS$136="Especial de controle",IF(LEN($DU$136)&gt;0,$DU$136,"Ação")&amp;IF(ISNUMBER($DY$136)," (recarga "&amp;$DY$136&amp;" Ciclos)","")&amp;": o alvo faz "&amp;IF(LEN($DT$177)&gt;0,"Teste de "&amp;$DT$177&amp;" contra DT "&amp;INDEX($Y$11:$Y$22,$R$136),"Teste de Resistência contra DT "&amp;INDEX($Y$11:$Y$22,$R$136))&amp;"; se falhar, recebe "&amp;IF(LEN($DR$177)&gt;0,$DR$177,"(escolha a condição)")&amp;" por "&amp;IF(ISNUMBER($DZ$136),$DZ$136,1)&amp;IF(AND(ISNUMBER($DZ$136),$DZ$136&gt;1)," turnos"," turno")&amp;".",IF($DS$136="Reação",IF(LEN($DU$136)&gt;0,$DU$136,"Ação")&amp;" (Reação"&amp;IF(ISNUMBER($DY$136),", recarga "&amp;$DY$136&amp;" Ciclos","")&amp;")"&amp;IF(LEN($DR$177)&gt;0,": o alvo faz "&amp;IF(LEN($DT$177)&gt;0,"Teste de "&amp;$DT$177&amp;" contra DT "&amp;INDEX($Y$11:$Y$22,$R$136),"Teste de Resistência contra DT "&amp;INDEX($Y$11:$Y$22,$R$136))&amp;"; se falhar, recebe "&amp;$DR$177&amp;" por "&amp;IF(ISNUMBER($DZ$136),$DZ$136,1)&amp;IF(AND(ISNUMBER($DZ$136),$DZ$136&gt;1)," turnos"," turno")&amp;".","."),""))))))</f>
        <v/>
      </c>
      <c r="K177" s="26">
        <f>IF(EA177&gt;0,"O Google leu como fórmula: escolha de novo na lista.",IF(LEN($DQ$136)=0,"",IF(AND($DS$136="Especial de controle",LEN($DR$177)=0),"Ação de controle aplica uma condição do capítulo 21 (28.4)",IF(AND($DS$136="Especial de controle",LEN($DT$177)=0),"Diga o Teste de Resistência do alvo",IF($DR$177="Congelado","Inimigo não aplica Congelamento em personagem (28.2 regra 9)",IF(AND(LEN($DR$177)&gt;0,COUNTIF('Dados'!$BH$6:$BH$18,$DR$177)=0),"Condição fora do capítulo 21: nada de condição nova (28.4)",""))))))</f>
        <v/>
      </c>
      <c r="DR177" s="19">
        <f>IF(ISERROR($B$177),"",IF(ISBLANK($B$177),"",$B$177))</f>
        <v/>
      </c>
      <c r="DT177" s="19">
        <f>IF(ISERROR($D$177),"",IF(ISBLANK($D$177),"",$D$177))</f>
        <v/>
      </c>
      <c r="EA177" s="19">
        <f>ISERROR($B$177)*1+ISERROR($D$177)*1</f>
        <v/>
      </c>
    </row>
    <row r="178" ht="48" customHeight="1">
      <c r="A178" s="32">
        <f>IF(LEN($DQ$137)&gt;0,"21 · "&amp;$DQ$137,"21 · (vazia)")</f>
        <v/>
      </c>
      <c r="B178" s="3" t="n"/>
      <c r="C178" s="16" t="n"/>
      <c r="D178" s="3" t="n"/>
      <c r="E178" s="16" t="n"/>
      <c r="F178" s="4">
        <f>IF(OR(LEN($DQ$137)=0,NOT(ISNUMBER($R$137))),"",IF($DS$137="Ataque normal",IF(LEN($DU$137)&gt;0,$DU$137,"Ação")&amp;" ("&amp;IF(LEN($DW$137)&gt;0,$DW$137,"Pessoal")&amp;", "&amp;IF(LEN($DX$137)&gt;0,$DX$137,"Físico")&amp;"): "&amp;INDEX($W$11:$W$22,$R$137)&amp;" · média "&amp;INDEX($X$11:$X$22,$R$137)&amp;IF(LEN($DR$178)&gt;0,", e o alvo recebe "&amp;$DR$178&amp;" por "&amp;IF(ISNUMBER($DZ$137),$DZ$137,1)&amp;IF(AND(ISNUMBER($DZ$137),$DZ$137&gt;1)," turnos"," turno"),""),IF($DS$137="Especial de dano 1 alvo (até 1,5×)",IF(LEN($DU$137)&gt;0,$DU$137,"Ação")&amp;IF(ISNUMBER($DY$137)," (recarga "&amp;$DY$137&amp;" Ciclos)","")&amp;": um alvo a até Distância "&amp;IF(LEN($DW$137)&gt;0,$DW$137,"Pessoal")&amp;IF(LEN($DT$178)&gt;0," faz "&amp;"Teste de "&amp;$DT$178&amp;" contra DT "&amp;INDEX($Y$11:$Y$22,$R$137)&amp;"; se falhar, recebe "," recebe ")&amp;INDEX($CJ$11:$CJ$22,$R$137)&amp;" · média "&amp;INDEX($CK$11:$CK$22,$R$137)&amp;" de dano "&amp;IF(LEN($DX$137)&gt;0,$DX$137,"Físico")&amp;IF(LEN($DR$178)&gt;0," e "&amp;$DR$178&amp;" por "&amp;IF(ISNUMBER($DZ$137),$DZ$137,1)&amp;IF(AND(ISNUMBER($DZ$137),$DZ$137&gt;1)," turnos"," turno"),"")&amp;".",IF($DS$137="Especial de dano 2–3 alvos (dano cheio por alvo)",IF(LEN($DU$137)&gt;0,$DU$137,"Ação")&amp;IF(ISNUMBER($DY$137)," (recarga "&amp;$DY$137&amp;" Ciclos)","")&amp;": até 3 alvos a até uma Distância um do outro "&amp;IF(LEN($DT$178)&gt;0,"fazem "&amp;"Teste de "&amp;$DT$178&amp;" contra DT "&amp;INDEX($Y$11:$Y$22,$R$137)&amp;". Quem falha recebe "&amp;INDEX($W$11:$W$22,$R$137)&amp;" · média "&amp;INDEX($X$11:$X$22,$R$137)&amp;" de dano "&amp;IF(LEN($DX$137)&gt;0,$DX$137,"Físico")&amp;IF(LEN($DR$178)&gt;0," e "&amp;$DR$178&amp;" por "&amp;IF(ISNUMBER($DZ$137),$DZ$137,1)&amp;IF(AND(ISNUMBER($DZ$137),$DZ$137&gt;1)," turnos"," turno"),"")&amp;"; quem passa recebe metade do dano.","recebem, cada um, "&amp;INDEX($W$11:$W$22,$R$137)&amp;" · média "&amp;INDEX($X$11:$X$22,$R$137)&amp;" de dano "&amp;IF(LEN($DX$137)&gt;0,$DX$137,"Físico")&amp;IF(LEN($DR$178)&gt;0," e "&amp;$DR$178&amp;" por "&amp;IF(ISNUMBER($DZ$137),$DZ$137,1)&amp;IF(AND(ISNUMBER($DZ$137),$DZ$137&gt;1)," turnos"," turno"),"")&amp;"."),IF($DS$137="Especial de controle",IF(LEN($DU$137)&gt;0,$DU$137,"Ação")&amp;IF(ISNUMBER($DY$137)," (recarga "&amp;$DY$137&amp;" Ciclos)","")&amp;": o alvo faz "&amp;IF(LEN($DT$178)&gt;0,"Teste de "&amp;$DT$178&amp;" contra DT "&amp;INDEX($Y$11:$Y$22,$R$137),"Teste de Resistência contra DT "&amp;INDEX($Y$11:$Y$22,$R$137))&amp;"; se falhar, recebe "&amp;IF(LEN($DR$178)&gt;0,$DR$178,"(escolha a condição)")&amp;" por "&amp;IF(ISNUMBER($DZ$137),$DZ$137,1)&amp;IF(AND(ISNUMBER($DZ$137),$DZ$137&gt;1)," turnos"," turno")&amp;".",IF($DS$137="Reação",IF(LEN($DU$137)&gt;0,$DU$137,"Ação")&amp;" (Reação"&amp;IF(ISNUMBER($DY$137),", recarga "&amp;$DY$137&amp;" Ciclos","")&amp;")"&amp;IF(LEN($DR$178)&gt;0,": o alvo faz "&amp;IF(LEN($DT$178)&gt;0,"Teste de "&amp;$DT$178&amp;" contra DT "&amp;INDEX($Y$11:$Y$22,$R$137),"Teste de Resistência contra DT "&amp;INDEX($Y$11:$Y$22,$R$137))&amp;"; se falhar, recebe "&amp;$DR$178&amp;" por "&amp;IF(ISNUMBER($DZ$137),$DZ$137,1)&amp;IF(AND(ISNUMBER($DZ$137),$DZ$137&gt;1)," turnos"," turno")&amp;".","."),""))))))</f>
        <v/>
      </c>
      <c r="K178" s="18">
        <f>IF(EA178&gt;0,"O Google leu como fórmula: escolha de novo na lista.",IF(LEN($DQ$137)=0,"",IF(AND($DS$137="Especial de controle",LEN($DR$178)=0),"Ação de controle aplica uma condição do capítulo 21 (28.4)",IF(AND($DS$137="Especial de controle",LEN($DT$178)=0),"Diga o Teste de Resistência do alvo",IF($DR$178="Congelado","Inimigo não aplica Congelamento em personagem (28.2 regra 9)",IF(AND(LEN($DR$178)&gt;0,COUNTIF('Dados'!$BH$6:$BH$18,$DR$178)=0),"Condição fora do capítulo 21: nada de condição nova (28.4)",""))))))</f>
        <v/>
      </c>
      <c r="DR178" s="19">
        <f>IF(ISERROR($B$178),"",IF(ISBLANK($B$178),"",$B$178))</f>
        <v/>
      </c>
      <c r="DT178" s="19">
        <f>IF(ISERROR($D$178),"",IF(ISBLANK($D$178),"",$D$178))</f>
        <v/>
      </c>
      <c r="EA178" s="19">
        <f>ISERROR($B$178)*1+ISERROR($D$178)*1</f>
        <v/>
      </c>
    </row>
    <row r="179" ht="48" customHeight="1">
      <c r="A179" s="33">
        <f>IF(LEN($DQ$138)&gt;0,"22 · "&amp;$DQ$138,"22 · (vazia)")</f>
        <v/>
      </c>
      <c r="B179" s="28" t="n"/>
      <c r="C179" s="16" t="n"/>
      <c r="D179" s="28" t="n"/>
      <c r="E179" s="16" t="n"/>
      <c r="F179" s="9">
        <f>IF(OR(LEN($DQ$138)=0,NOT(ISNUMBER($R$138))),"",IF($DS$138="Ataque normal",IF(LEN($DU$138)&gt;0,$DU$138,"Ação")&amp;" ("&amp;IF(LEN($DW$138)&gt;0,$DW$138,"Pessoal")&amp;", "&amp;IF(LEN($DX$138)&gt;0,$DX$138,"Físico")&amp;"): "&amp;INDEX($W$11:$W$22,$R$138)&amp;" · média "&amp;INDEX($X$11:$X$22,$R$138)&amp;IF(LEN($DR$179)&gt;0,", e o alvo recebe "&amp;$DR$179&amp;" por "&amp;IF(ISNUMBER($DZ$138),$DZ$138,1)&amp;IF(AND(ISNUMBER($DZ$138),$DZ$138&gt;1)," turnos"," turno"),""),IF($DS$138="Especial de dano 1 alvo (até 1,5×)",IF(LEN($DU$138)&gt;0,$DU$138,"Ação")&amp;IF(ISNUMBER($DY$138)," (recarga "&amp;$DY$138&amp;" Ciclos)","")&amp;": um alvo a até Distância "&amp;IF(LEN($DW$138)&gt;0,$DW$138,"Pessoal")&amp;IF(LEN($DT$179)&gt;0," faz "&amp;"Teste de "&amp;$DT$179&amp;" contra DT "&amp;INDEX($Y$11:$Y$22,$R$138)&amp;"; se falhar, recebe "," recebe ")&amp;INDEX($CJ$11:$CJ$22,$R$138)&amp;" · média "&amp;INDEX($CK$11:$CK$22,$R$138)&amp;" de dano "&amp;IF(LEN($DX$138)&gt;0,$DX$138,"Físico")&amp;IF(LEN($DR$179)&gt;0," e "&amp;$DR$179&amp;" por "&amp;IF(ISNUMBER($DZ$138),$DZ$138,1)&amp;IF(AND(ISNUMBER($DZ$138),$DZ$138&gt;1)," turnos"," turno"),"")&amp;".",IF($DS$138="Especial de dano 2–3 alvos (dano cheio por alvo)",IF(LEN($DU$138)&gt;0,$DU$138,"Ação")&amp;IF(ISNUMBER($DY$138)," (recarga "&amp;$DY$138&amp;" Ciclos)","")&amp;": até 3 alvos a até uma Distância um do outro "&amp;IF(LEN($DT$179)&gt;0,"fazem "&amp;"Teste de "&amp;$DT$179&amp;" contra DT "&amp;INDEX($Y$11:$Y$22,$R$138)&amp;". Quem falha recebe "&amp;INDEX($W$11:$W$22,$R$138)&amp;" · média "&amp;INDEX($X$11:$X$22,$R$138)&amp;" de dano "&amp;IF(LEN($DX$138)&gt;0,$DX$138,"Físico")&amp;IF(LEN($DR$179)&gt;0," e "&amp;$DR$179&amp;" por "&amp;IF(ISNUMBER($DZ$138),$DZ$138,1)&amp;IF(AND(ISNUMBER($DZ$138),$DZ$138&gt;1)," turnos"," turno"),"")&amp;"; quem passa recebe metade do dano.","recebem, cada um, "&amp;INDEX($W$11:$W$22,$R$138)&amp;" · média "&amp;INDEX($X$11:$X$22,$R$138)&amp;" de dano "&amp;IF(LEN($DX$138)&gt;0,$DX$138,"Físico")&amp;IF(LEN($DR$179)&gt;0," e "&amp;$DR$179&amp;" por "&amp;IF(ISNUMBER($DZ$138),$DZ$138,1)&amp;IF(AND(ISNUMBER($DZ$138),$DZ$138&gt;1)," turnos"," turno"),"")&amp;"."),IF($DS$138="Especial de controle",IF(LEN($DU$138)&gt;0,$DU$138,"Ação")&amp;IF(ISNUMBER($DY$138)," (recarga "&amp;$DY$138&amp;" Ciclos)","")&amp;": o alvo faz "&amp;IF(LEN($DT$179)&gt;0,"Teste de "&amp;$DT$179&amp;" contra DT "&amp;INDEX($Y$11:$Y$22,$R$138),"Teste de Resistência contra DT "&amp;INDEX($Y$11:$Y$22,$R$138))&amp;"; se falhar, recebe "&amp;IF(LEN($DR$179)&gt;0,$DR$179,"(escolha a condição)")&amp;" por "&amp;IF(ISNUMBER($DZ$138),$DZ$138,1)&amp;IF(AND(ISNUMBER($DZ$138),$DZ$138&gt;1)," turnos"," turno")&amp;".",IF($DS$138="Reação",IF(LEN($DU$138)&gt;0,$DU$138,"Ação")&amp;" (Reação"&amp;IF(ISNUMBER($DY$138),", recarga "&amp;$DY$138&amp;" Ciclos","")&amp;")"&amp;IF(LEN($DR$179)&gt;0,": o alvo faz "&amp;IF(LEN($DT$179)&gt;0,"Teste de "&amp;$DT$179&amp;" contra DT "&amp;INDEX($Y$11:$Y$22,$R$138),"Teste de Resistência contra DT "&amp;INDEX($Y$11:$Y$22,$R$138))&amp;"; se falhar, recebe "&amp;$DR$179&amp;" por "&amp;IF(ISNUMBER($DZ$138),$DZ$138,1)&amp;IF(AND(ISNUMBER($DZ$138),$DZ$138&gt;1)," turnos"," turno")&amp;".","."),""))))))</f>
        <v/>
      </c>
      <c r="K179" s="26">
        <f>IF(EA179&gt;0,"O Google leu como fórmula: escolha de novo na lista.",IF(LEN($DQ$138)=0,"",IF(AND($DS$138="Especial de controle",LEN($DR$179)=0),"Ação de controle aplica uma condição do capítulo 21 (28.4)",IF(AND($DS$138="Especial de controle",LEN($DT$179)=0),"Diga o Teste de Resistência do alvo",IF($DR$179="Congelado","Inimigo não aplica Congelamento em personagem (28.2 regra 9)",IF(AND(LEN($DR$179)&gt;0,COUNTIF('Dados'!$BH$6:$BH$18,$DR$179)=0),"Condição fora do capítulo 21: nada de condição nova (28.4)",""))))))</f>
        <v/>
      </c>
      <c r="DR179" s="19">
        <f>IF(ISERROR($B$179),"",IF(ISBLANK($B$179),"",$B$179))</f>
        <v/>
      </c>
      <c r="DT179" s="19">
        <f>IF(ISERROR($D$179),"",IF(ISBLANK($D$179),"",$D$179))</f>
        <v/>
      </c>
      <c r="EA179" s="19">
        <f>ISERROR($B$179)*1+ISERROR($D$179)*1</f>
        <v/>
      </c>
    </row>
    <row r="180" ht="48" customHeight="1">
      <c r="A180" s="32">
        <f>IF(LEN($DQ$139)&gt;0,"23 · "&amp;$DQ$139,"23 · (vazia)")</f>
        <v/>
      </c>
      <c r="B180" s="3" t="n"/>
      <c r="C180" s="16" t="n"/>
      <c r="D180" s="3" t="n"/>
      <c r="E180" s="16" t="n"/>
      <c r="F180" s="4">
        <f>IF(OR(LEN($DQ$139)=0,NOT(ISNUMBER($R$139))),"",IF($DS$139="Ataque normal",IF(LEN($DU$139)&gt;0,$DU$139,"Ação")&amp;" ("&amp;IF(LEN($DW$139)&gt;0,$DW$139,"Pessoal")&amp;", "&amp;IF(LEN($DX$139)&gt;0,$DX$139,"Físico")&amp;"): "&amp;INDEX($W$11:$W$22,$R$139)&amp;" · média "&amp;INDEX($X$11:$X$22,$R$139)&amp;IF(LEN($DR$180)&gt;0,", e o alvo recebe "&amp;$DR$180&amp;" por "&amp;IF(ISNUMBER($DZ$139),$DZ$139,1)&amp;IF(AND(ISNUMBER($DZ$139),$DZ$139&gt;1)," turnos"," turno"),""),IF($DS$139="Especial de dano 1 alvo (até 1,5×)",IF(LEN($DU$139)&gt;0,$DU$139,"Ação")&amp;IF(ISNUMBER($DY$139)," (recarga "&amp;$DY$139&amp;" Ciclos)","")&amp;": um alvo a até Distância "&amp;IF(LEN($DW$139)&gt;0,$DW$139,"Pessoal")&amp;IF(LEN($DT$180)&gt;0," faz "&amp;"Teste de "&amp;$DT$180&amp;" contra DT "&amp;INDEX($Y$11:$Y$22,$R$139)&amp;"; se falhar, recebe "," recebe ")&amp;INDEX($CJ$11:$CJ$22,$R$139)&amp;" · média "&amp;INDEX($CK$11:$CK$22,$R$139)&amp;" de dano "&amp;IF(LEN($DX$139)&gt;0,$DX$139,"Físico")&amp;IF(LEN($DR$180)&gt;0," e "&amp;$DR$180&amp;" por "&amp;IF(ISNUMBER($DZ$139),$DZ$139,1)&amp;IF(AND(ISNUMBER($DZ$139),$DZ$139&gt;1)," turnos"," turno"),"")&amp;".",IF($DS$139="Especial de dano 2–3 alvos (dano cheio por alvo)",IF(LEN($DU$139)&gt;0,$DU$139,"Ação")&amp;IF(ISNUMBER($DY$139)," (recarga "&amp;$DY$139&amp;" Ciclos)","")&amp;": até 3 alvos a até uma Distância um do outro "&amp;IF(LEN($DT$180)&gt;0,"fazem "&amp;"Teste de "&amp;$DT$180&amp;" contra DT "&amp;INDEX($Y$11:$Y$22,$R$139)&amp;". Quem falha recebe "&amp;INDEX($W$11:$W$22,$R$139)&amp;" · média "&amp;INDEX($X$11:$X$22,$R$139)&amp;" de dano "&amp;IF(LEN($DX$139)&gt;0,$DX$139,"Físico")&amp;IF(LEN($DR$180)&gt;0," e "&amp;$DR$180&amp;" por "&amp;IF(ISNUMBER($DZ$139),$DZ$139,1)&amp;IF(AND(ISNUMBER($DZ$139),$DZ$139&gt;1)," turnos"," turno"),"")&amp;"; quem passa recebe metade do dano.","recebem, cada um, "&amp;INDEX($W$11:$W$22,$R$139)&amp;" · média "&amp;INDEX($X$11:$X$22,$R$139)&amp;" de dano "&amp;IF(LEN($DX$139)&gt;0,$DX$139,"Físico")&amp;IF(LEN($DR$180)&gt;0," e "&amp;$DR$180&amp;" por "&amp;IF(ISNUMBER($DZ$139),$DZ$139,1)&amp;IF(AND(ISNUMBER($DZ$139),$DZ$139&gt;1)," turnos"," turno"),"")&amp;"."),IF($DS$139="Especial de controle",IF(LEN($DU$139)&gt;0,$DU$139,"Ação")&amp;IF(ISNUMBER($DY$139)," (recarga "&amp;$DY$139&amp;" Ciclos)","")&amp;": o alvo faz "&amp;IF(LEN($DT$180)&gt;0,"Teste de "&amp;$DT$180&amp;" contra DT "&amp;INDEX($Y$11:$Y$22,$R$139),"Teste de Resistência contra DT "&amp;INDEX($Y$11:$Y$22,$R$139))&amp;"; se falhar, recebe "&amp;IF(LEN($DR$180)&gt;0,$DR$180,"(escolha a condição)")&amp;" por "&amp;IF(ISNUMBER($DZ$139),$DZ$139,1)&amp;IF(AND(ISNUMBER($DZ$139),$DZ$139&gt;1)," turnos"," turno")&amp;".",IF($DS$139="Reação",IF(LEN($DU$139)&gt;0,$DU$139,"Ação")&amp;" (Reação"&amp;IF(ISNUMBER($DY$139),", recarga "&amp;$DY$139&amp;" Ciclos","")&amp;")"&amp;IF(LEN($DR$180)&gt;0,": o alvo faz "&amp;IF(LEN($DT$180)&gt;0,"Teste de "&amp;$DT$180&amp;" contra DT "&amp;INDEX($Y$11:$Y$22,$R$139),"Teste de Resistência contra DT "&amp;INDEX($Y$11:$Y$22,$R$139))&amp;"; se falhar, recebe "&amp;$DR$180&amp;" por "&amp;IF(ISNUMBER($DZ$139),$DZ$139,1)&amp;IF(AND(ISNUMBER($DZ$139),$DZ$139&gt;1)," turnos"," turno")&amp;".","."),""))))))</f>
        <v/>
      </c>
      <c r="K180" s="18">
        <f>IF(EA180&gt;0,"O Google leu como fórmula: escolha de novo na lista.",IF(LEN($DQ$139)=0,"",IF(AND($DS$139="Especial de controle",LEN($DR$180)=0),"Ação de controle aplica uma condição do capítulo 21 (28.4)",IF(AND($DS$139="Especial de controle",LEN($DT$180)=0),"Diga o Teste de Resistência do alvo",IF($DR$180="Congelado","Inimigo não aplica Congelamento em personagem (28.2 regra 9)",IF(AND(LEN($DR$180)&gt;0,COUNTIF('Dados'!$BH$6:$BH$18,$DR$180)=0),"Condição fora do capítulo 21: nada de condição nova (28.4)",""))))))</f>
        <v/>
      </c>
      <c r="DR180" s="19">
        <f>IF(ISERROR($B$180),"",IF(ISBLANK($B$180),"",$B$180))</f>
        <v/>
      </c>
      <c r="DT180" s="19">
        <f>IF(ISERROR($D$180),"",IF(ISBLANK($D$180),"",$D$180))</f>
        <v/>
      </c>
      <c r="EA180" s="19">
        <f>ISERROR($B$180)*1+ISERROR($D$180)*1</f>
        <v/>
      </c>
    </row>
    <row r="181" ht="48" customHeight="1">
      <c r="A181" s="33">
        <f>IF(LEN($DQ$140)&gt;0,"24 · "&amp;$DQ$140,"24 · (vazia)")</f>
        <v/>
      </c>
      <c r="B181" s="28" t="n"/>
      <c r="C181" s="16" t="n"/>
      <c r="D181" s="28" t="n"/>
      <c r="E181" s="16" t="n"/>
      <c r="F181" s="9">
        <f>IF(OR(LEN($DQ$140)=0,NOT(ISNUMBER($R$140))),"",IF($DS$140="Ataque normal",IF(LEN($DU$140)&gt;0,$DU$140,"Ação")&amp;" ("&amp;IF(LEN($DW$140)&gt;0,$DW$140,"Pessoal")&amp;", "&amp;IF(LEN($DX$140)&gt;0,$DX$140,"Físico")&amp;"): "&amp;INDEX($W$11:$W$22,$R$140)&amp;" · média "&amp;INDEX($X$11:$X$22,$R$140)&amp;IF(LEN($DR$181)&gt;0,", e o alvo recebe "&amp;$DR$181&amp;" por "&amp;IF(ISNUMBER($DZ$140),$DZ$140,1)&amp;IF(AND(ISNUMBER($DZ$140),$DZ$140&gt;1)," turnos"," turno"),""),IF($DS$140="Especial de dano 1 alvo (até 1,5×)",IF(LEN($DU$140)&gt;0,$DU$140,"Ação")&amp;IF(ISNUMBER($DY$140)," (recarga "&amp;$DY$140&amp;" Ciclos)","")&amp;": um alvo a até Distância "&amp;IF(LEN($DW$140)&gt;0,$DW$140,"Pessoal")&amp;IF(LEN($DT$181)&gt;0," faz "&amp;"Teste de "&amp;$DT$181&amp;" contra DT "&amp;INDEX($Y$11:$Y$22,$R$140)&amp;"; se falhar, recebe "," recebe ")&amp;INDEX($CJ$11:$CJ$22,$R$140)&amp;" · média "&amp;INDEX($CK$11:$CK$22,$R$140)&amp;" de dano "&amp;IF(LEN($DX$140)&gt;0,$DX$140,"Físico")&amp;IF(LEN($DR$181)&gt;0," e "&amp;$DR$181&amp;" por "&amp;IF(ISNUMBER($DZ$140),$DZ$140,1)&amp;IF(AND(ISNUMBER($DZ$140),$DZ$140&gt;1)," turnos"," turno"),"")&amp;".",IF($DS$140="Especial de dano 2–3 alvos (dano cheio por alvo)",IF(LEN($DU$140)&gt;0,$DU$140,"Ação")&amp;IF(ISNUMBER($DY$140)," (recarga "&amp;$DY$140&amp;" Ciclos)","")&amp;": até 3 alvos a até uma Distância um do outro "&amp;IF(LEN($DT$181)&gt;0,"fazem "&amp;"Teste de "&amp;$DT$181&amp;" contra DT "&amp;INDEX($Y$11:$Y$22,$R$140)&amp;". Quem falha recebe "&amp;INDEX($W$11:$W$22,$R$140)&amp;" · média "&amp;INDEX($X$11:$X$22,$R$140)&amp;" de dano "&amp;IF(LEN($DX$140)&gt;0,$DX$140,"Físico")&amp;IF(LEN($DR$181)&gt;0," e "&amp;$DR$181&amp;" por "&amp;IF(ISNUMBER($DZ$140),$DZ$140,1)&amp;IF(AND(ISNUMBER($DZ$140),$DZ$140&gt;1)," turnos"," turno"),"")&amp;"; quem passa recebe metade do dano.","recebem, cada um, "&amp;INDEX($W$11:$W$22,$R$140)&amp;" · média "&amp;INDEX($X$11:$X$22,$R$140)&amp;" de dano "&amp;IF(LEN($DX$140)&gt;0,$DX$140,"Físico")&amp;IF(LEN($DR$181)&gt;0," e "&amp;$DR$181&amp;" por "&amp;IF(ISNUMBER($DZ$140),$DZ$140,1)&amp;IF(AND(ISNUMBER($DZ$140),$DZ$140&gt;1)," turnos"," turno"),"")&amp;"."),IF($DS$140="Especial de controle",IF(LEN($DU$140)&gt;0,$DU$140,"Ação")&amp;IF(ISNUMBER($DY$140)," (recarga "&amp;$DY$140&amp;" Ciclos)","")&amp;": o alvo faz "&amp;IF(LEN($DT$181)&gt;0,"Teste de "&amp;$DT$181&amp;" contra DT "&amp;INDEX($Y$11:$Y$22,$R$140),"Teste de Resistência contra DT "&amp;INDEX($Y$11:$Y$22,$R$140))&amp;"; se falhar, recebe "&amp;IF(LEN($DR$181)&gt;0,$DR$181,"(escolha a condição)")&amp;" por "&amp;IF(ISNUMBER($DZ$140),$DZ$140,1)&amp;IF(AND(ISNUMBER($DZ$140),$DZ$140&gt;1)," turnos"," turno")&amp;".",IF($DS$140="Reação",IF(LEN($DU$140)&gt;0,$DU$140,"Ação")&amp;" (Reação"&amp;IF(ISNUMBER($DY$140),", recarga "&amp;$DY$140&amp;" Ciclos","")&amp;")"&amp;IF(LEN($DR$181)&gt;0,": o alvo faz "&amp;IF(LEN($DT$181)&gt;0,"Teste de "&amp;$DT$181&amp;" contra DT "&amp;INDEX($Y$11:$Y$22,$R$140),"Teste de Resistência contra DT "&amp;INDEX($Y$11:$Y$22,$R$140))&amp;"; se falhar, recebe "&amp;$DR$181&amp;" por "&amp;IF(ISNUMBER($DZ$140),$DZ$140,1)&amp;IF(AND(ISNUMBER($DZ$140),$DZ$140&gt;1)," turnos"," turno")&amp;".","."),""))))))</f>
        <v/>
      </c>
      <c r="K181" s="26">
        <f>IF(EA181&gt;0,"O Google leu como fórmula: escolha de novo na lista.",IF(LEN($DQ$140)=0,"",IF(AND($DS$140="Especial de controle",LEN($DR$181)=0),"Ação de controle aplica uma condição do capítulo 21 (28.4)",IF(AND($DS$140="Especial de controle",LEN($DT$181)=0),"Diga o Teste de Resistência do alvo",IF($DR$181="Congelado","Inimigo não aplica Congelamento em personagem (28.2 regra 9)",IF(AND(LEN($DR$181)&gt;0,COUNTIF('Dados'!$BH$6:$BH$18,$DR$181)=0),"Condição fora do capítulo 21: nada de condição nova (28.4)",""))))))</f>
        <v/>
      </c>
      <c r="DR181" s="19">
        <f>IF(ISERROR($B$181),"",IF(ISBLANK($B$181),"",$B$181))</f>
        <v/>
      </c>
      <c r="DT181" s="19">
        <f>IF(ISERROR($D$181),"",IF(ISBLANK($D$181),"",$D$181))</f>
        <v/>
      </c>
      <c r="EA181" s="19">
        <f>ISERROR($B$181)*1+ISERROR($D$181)*1</f>
        <v/>
      </c>
    </row>
    <row r="182" ht="26" customHeight="1">
      <c r="A182" s="7" t="inlineStr">
        <is>
          <t>Ação</t>
        </is>
      </c>
      <c r="B182" s="7" t="inlineStr">
        <is>
          <t>Condição (capítulo 21)</t>
        </is>
      </c>
      <c r="C182" s="20" t="n"/>
      <c r="D182" s="7" t="inlineStr">
        <is>
          <t>Teste de Resistência do alvo</t>
        </is>
      </c>
      <c r="E182" s="20" t="n"/>
      <c r="F182" s="7" t="inlineStr">
        <is>
          <t>Texto pronto</t>
        </is>
      </c>
      <c r="G182" s="20" t="n"/>
      <c r="H182" s="20" t="n"/>
      <c r="I182" s="20" t="n"/>
      <c r="J182" s="20" t="n"/>
      <c r="K182" s="7" t="inlineStr">
        <is>
          <t>Aviso</t>
        </is>
      </c>
      <c r="L182" s="20" t="n"/>
    </row>
    <row r="183" ht="48" customHeight="1">
      <c r="A183" s="32">
        <f>IF(LEN($DQ$142)&gt;0,"25 · "&amp;$DQ$142,"25 · (vazia)")</f>
        <v/>
      </c>
      <c r="B183" s="3" t="n"/>
      <c r="C183" s="16" t="n"/>
      <c r="D183" s="3" t="n"/>
      <c r="E183" s="16" t="n"/>
      <c r="F183" s="4">
        <f>IF(OR(LEN($DQ$142)=0,NOT(ISNUMBER($R$142))),"",IF($DS$142="Ataque normal",IF(LEN($DU$142)&gt;0,$DU$142,"Ação")&amp;" ("&amp;IF(LEN($DW$142)&gt;0,$DW$142,"Pessoal")&amp;", "&amp;IF(LEN($DX$142)&gt;0,$DX$142,"Físico")&amp;"): "&amp;INDEX($W$11:$W$22,$R$142)&amp;" · média "&amp;INDEX($X$11:$X$22,$R$142)&amp;IF(LEN($DR$183)&gt;0,", e o alvo recebe "&amp;$DR$183&amp;" por "&amp;IF(ISNUMBER($DZ$142),$DZ$142,1)&amp;IF(AND(ISNUMBER($DZ$142),$DZ$142&gt;1)," turnos"," turno"),""),IF($DS$142="Especial de dano 1 alvo (até 1,5×)",IF(LEN($DU$142)&gt;0,$DU$142,"Ação")&amp;IF(ISNUMBER($DY$142)," (recarga "&amp;$DY$142&amp;" Ciclos)","")&amp;": um alvo a até Distância "&amp;IF(LEN($DW$142)&gt;0,$DW$142,"Pessoal")&amp;IF(LEN($DT$183)&gt;0," faz "&amp;"Teste de "&amp;$DT$183&amp;" contra DT "&amp;INDEX($Y$11:$Y$22,$R$142)&amp;"; se falhar, recebe "," recebe ")&amp;INDEX($CJ$11:$CJ$22,$R$142)&amp;" · média "&amp;INDEX($CK$11:$CK$22,$R$142)&amp;" de dano "&amp;IF(LEN($DX$142)&gt;0,$DX$142,"Físico")&amp;IF(LEN($DR$183)&gt;0," e "&amp;$DR$183&amp;" por "&amp;IF(ISNUMBER($DZ$142),$DZ$142,1)&amp;IF(AND(ISNUMBER($DZ$142),$DZ$142&gt;1)," turnos"," turno"),"")&amp;".",IF($DS$142="Especial de dano 2–3 alvos (dano cheio por alvo)",IF(LEN($DU$142)&gt;0,$DU$142,"Ação")&amp;IF(ISNUMBER($DY$142)," (recarga "&amp;$DY$142&amp;" Ciclos)","")&amp;": até 3 alvos a até uma Distância um do outro "&amp;IF(LEN($DT$183)&gt;0,"fazem "&amp;"Teste de "&amp;$DT$183&amp;" contra DT "&amp;INDEX($Y$11:$Y$22,$R$142)&amp;". Quem falha recebe "&amp;INDEX($W$11:$W$22,$R$142)&amp;" · média "&amp;INDEX($X$11:$X$22,$R$142)&amp;" de dano "&amp;IF(LEN($DX$142)&gt;0,$DX$142,"Físico")&amp;IF(LEN($DR$183)&gt;0," e "&amp;$DR$183&amp;" por "&amp;IF(ISNUMBER($DZ$142),$DZ$142,1)&amp;IF(AND(ISNUMBER($DZ$142),$DZ$142&gt;1)," turnos"," turno"),"")&amp;"; quem passa recebe metade do dano.","recebem, cada um, "&amp;INDEX($W$11:$W$22,$R$142)&amp;" · média "&amp;INDEX($X$11:$X$22,$R$142)&amp;" de dano "&amp;IF(LEN($DX$142)&gt;0,$DX$142,"Físico")&amp;IF(LEN($DR$183)&gt;0," e "&amp;$DR$183&amp;" por "&amp;IF(ISNUMBER($DZ$142),$DZ$142,1)&amp;IF(AND(ISNUMBER($DZ$142),$DZ$142&gt;1)," turnos"," turno"),"")&amp;"."),IF($DS$142="Especial de controle",IF(LEN($DU$142)&gt;0,$DU$142,"Ação")&amp;IF(ISNUMBER($DY$142)," (recarga "&amp;$DY$142&amp;" Ciclos)","")&amp;": o alvo faz "&amp;IF(LEN($DT$183)&gt;0,"Teste de "&amp;$DT$183&amp;" contra DT "&amp;INDEX($Y$11:$Y$22,$R$142),"Teste de Resistência contra DT "&amp;INDEX($Y$11:$Y$22,$R$142))&amp;"; se falhar, recebe "&amp;IF(LEN($DR$183)&gt;0,$DR$183,"(escolha a condição)")&amp;" por "&amp;IF(ISNUMBER($DZ$142),$DZ$142,1)&amp;IF(AND(ISNUMBER($DZ$142),$DZ$142&gt;1)," turnos"," turno")&amp;".",IF($DS$142="Reação",IF(LEN($DU$142)&gt;0,$DU$142,"Ação")&amp;" (Reação"&amp;IF(ISNUMBER($DY$142),", recarga "&amp;$DY$142&amp;" Ciclos","")&amp;")"&amp;IF(LEN($DR$183)&gt;0,": o alvo faz "&amp;IF(LEN($DT$183)&gt;0,"Teste de "&amp;$DT$183&amp;" contra DT "&amp;INDEX($Y$11:$Y$22,$R$142),"Teste de Resistência contra DT "&amp;INDEX($Y$11:$Y$22,$R$142))&amp;"; se falhar, recebe "&amp;$DR$183&amp;" por "&amp;IF(ISNUMBER($DZ$142),$DZ$142,1)&amp;IF(AND(ISNUMBER($DZ$142),$DZ$142&gt;1)," turnos"," turno")&amp;".","."),""))))))</f>
        <v/>
      </c>
      <c r="K183" s="18">
        <f>IF(EA183&gt;0,"O Google leu como fórmula: escolha de novo na lista.",IF(LEN($DQ$142)=0,"",IF(AND($DS$142="Especial de controle",LEN($DR$183)=0),"Ação de controle aplica uma condição do capítulo 21 (28.4)",IF(AND($DS$142="Especial de controle",LEN($DT$183)=0),"Diga o Teste de Resistência do alvo",IF($DR$183="Congelado","Inimigo não aplica Congelamento em personagem (28.2 regra 9)",IF(AND(LEN($DR$183)&gt;0,COUNTIF('Dados'!$BH$6:$BH$18,$DR$183)=0),"Condição fora do capítulo 21: nada de condição nova (28.4)",""))))))</f>
        <v/>
      </c>
      <c r="DR183" s="19">
        <f>IF(ISERROR($B$183),"",IF(ISBLANK($B$183),"",$B$183))</f>
        <v/>
      </c>
      <c r="DT183" s="19">
        <f>IF(ISERROR($D$183),"",IF(ISBLANK($D$183),"",$D$183))</f>
        <v/>
      </c>
      <c r="EA183" s="19">
        <f>ISERROR($B$183)*1+ISERROR($D$183)*1</f>
        <v/>
      </c>
    </row>
    <row r="184" ht="48" customHeight="1">
      <c r="A184" s="33">
        <f>IF(LEN($DQ$143)&gt;0,"26 · "&amp;$DQ$143,"26 · (vazia)")</f>
        <v/>
      </c>
      <c r="B184" s="28" t="n"/>
      <c r="C184" s="16" t="n"/>
      <c r="D184" s="28" t="n"/>
      <c r="E184" s="16" t="n"/>
      <c r="F184" s="9">
        <f>IF(OR(LEN($DQ$143)=0,NOT(ISNUMBER($R$143))),"",IF($DS$143="Ataque normal",IF(LEN($DU$143)&gt;0,$DU$143,"Ação")&amp;" ("&amp;IF(LEN($DW$143)&gt;0,$DW$143,"Pessoal")&amp;", "&amp;IF(LEN($DX$143)&gt;0,$DX$143,"Físico")&amp;"): "&amp;INDEX($W$11:$W$22,$R$143)&amp;" · média "&amp;INDEX($X$11:$X$22,$R$143)&amp;IF(LEN($DR$184)&gt;0,", e o alvo recebe "&amp;$DR$184&amp;" por "&amp;IF(ISNUMBER($DZ$143),$DZ$143,1)&amp;IF(AND(ISNUMBER($DZ$143),$DZ$143&gt;1)," turnos"," turno"),""),IF($DS$143="Especial de dano 1 alvo (até 1,5×)",IF(LEN($DU$143)&gt;0,$DU$143,"Ação")&amp;IF(ISNUMBER($DY$143)," (recarga "&amp;$DY$143&amp;" Ciclos)","")&amp;": um alvo a até Distância "&amp;IF(LEN($DW$143)&gt;0,$DW$143,"Pessoal")&amp;IF(LEN($DT$184)&gt;0," faz "&amp;"Teste de "&amp;$DT$184&amp;" contra DT "&amp;INDEX($Y$11:$Y$22,$R$143)&amp;"; se falhar, recebe "," recebe ")&amp;INDEX($CJ$11:$CJ$22,$R$143)&amp;" · média "&amp;INDEX($CK$11:$CK$22,$R$143)&amp;" de dano "&amp;IF(LEN($DX$143)&gt;0,$DX$143,"Físico")&amp;IF(LEN($DR$184)&gt;0," e "&amp;$DR$184&amp;" por "&amp;IF(ISNUMBER($DZ$143),$DZ$143,1)&amp;IF(AND(ISNUMBER($DZ$143),$DZ$143&gt;1)," turnos"," turno"),"")&amp;".",IF($DS$143="Especial de dano 2–3 alvos (dano cheio por alvo)",IF(LEN($DU$143)&gt;0,$DU$143,"Ação")&amp;IF(ISNUMBER($DY$143)," (recarga "&amp;$DY$143&amp;" Ciclos)","")&amp;": até 3 alvos a até uma Distância um do outro "&amp;IF(LEN($DT$184)&gt;0,"fazem "&amp;"Teste de "&amp;$DT$184&amp;" contra DT "&amp;INDEX($Y$11:$Y$22,$R$143)&amp;". Quem falha recebe "&amp;INDEX($W$11:$W$22,$R$143)&amp;" · média "&amp;INDEX($X$11:$X$22,$R$143)&amp;" de dano "&amp;IF(LEN($DX$143)&gt;0,$DX$143,"Físico")&amp;IF(LEN($DR$184)&gt;0," e "&amp;$DR$184&amp;" por "&amp;IF(ISNUMBER($DZ$143),$DZ$143,1)&amp;IF(AND(ISNUMBER($DZ$143),$DZ$143&gt;1)," turnos"," turno"),"")&amp;"; quem passa recebe metade do dano.","recebem, cada um, "&amp;INDEX($W$11:$W$22,$R$143)&amp;" · média "&amp;INDEX($X$11:$X$22,$R$143)&amp;" de dano "&amp;IF(LEN($DX$143)&gt;0,$DX$143,"Físico")&amp;IF(LEN($DR$184)&gt;0," e "&amp;$DR$184&amp;" por "&amp;IF(ISNUMBER($DZ$143),$DZ$143,1)&amp;IF(AND(ISNUMBER($DZ$143),$DZ$143&gt;1)," turnos"," turno"),"")&amp;"."),IF($DS$143="Especial de controle",IF(LEN($DU$143)&gt;0,$DU$143,"Ação")&amp;IF(ISNUMBER($DY$143)," (recarga "&amp;$DY$143&amp;" Ciclos)","")&amp;": o alvo faz "&amp;IF(LEN($DT$184)&gt;0,"Teste de "&amp;$DT$184&amp;" contra DT "&amp;INDEX($Y$11:$Y$22,$R$143),"Teste de Resistência contra DT "&amp;INDEX($Y$11:$Y$22,$R$143))&amp;"; se falhar, recebe "&amp;IF(LEN($DR$184)&gt;0,$DR$184,"(escolha a condição)")&amp;" por "&amp;IF(ISNUMBER($DZ$143),$DZ$143,1)&amp;IF(AND(ISNUMBER($DZ$143),$DZ$143&gt;1)," turnos"," turno")&amp;".",IF($DS$143="Reação",IF(LEN($DU$143)&gt;0,$DU$143,"Ação")&amp;" (Reação"&amp;IF(ISNUMBER($DY$143),", recarga "&amp;$DY$143&amp;" Ciclos","")&amp;")"&amp;IF(LEN($DR$184)&gt;0,": o alvo faz "&amp;IF(LEN($DT$184)&gt;0,"Teste de "&amp;$DT$184&amp;" contra DT "&amp;INDEX($Y$11:$Y$22,$R$143),"Teste de Resistência contra DT "&amp;INDEX($Y$11:$Y$22,$R$143))&amp;"; se falhar, recebe "&amp;$DR$184&amp;" por "&amp;IF(ISNUMBER($DZ$143),$DZ$143,1)&amp;IF(AND(ISNUMBER($DZ$143),$DZ$143&gt;1)," turnos"," turno")&amp;".","."),""))))))</f>
        <v/>
      </c>
      <c r="K184" s="26">
        <f>IF(EA184&gt;0,"O Google leu como fórmula: escolha de novo na lista.",IF(LEN($DQ$143)=0,"",IF(AND($DS$143="Especial de controle",LEN($DR$184)=0),"Ação de controle aplica uma condição do capítulo 21 (28.4)",IF(AND($DS$143="Especial de controle",LEN($DT$184)=0),"Diga o Teste de Resistência do alvo",IF($DR$184="Congelado","Inimigo não aplica Congelamento em personagem (28.2 regra 9)",IF(AND(LEN($DR$184)&gt;0,COUNTIF('Dados'!$BH$6:$BH$18,$DR$184)=0),"Condição fora do capítulo 21: nada de condição nova (28.4)",""))))))</f>
        <v/>
      </c>
      <c r="DR184" s="19">
        <f>IF(ISERROR($B$184),"",IF(ISBLANK($B$184),"",$B$184))</f>
        <v/>
      </c>
      <c r="DT184" s="19">
        <f>IF(ISERROR($D$184),"",IF(ISBLANK($D$184),"",$D$184))</f>
        <v/>
      </c>
      <c r="EA184" s="19">
        <f>ISERROR($B$184)*1+ISERROR($D$184)*1</f>
        <v/>
      </c>
    </row>
    <row r="185" ht="48" customHeight="1">
      <c r="A185" s="32">
        <f>IF(LEN($DQ$144)&gt;0,"27 · "&amp;$DQ$144,"27 · (vazia)")</f>
        <v/>
      </c>
      <c r="B185" s="3" t="n"/>
      <c r="C185" s="16" t="n"/>
      <c r="D185" s="3" t="n"/>
      <c r="E185" s="16" t="n"/>
      <c r="F185" s="4">
        <f>IF(OR(LEN($DQ$144)=0,NOT(ISNUMBER($R$144))),"",IF($DS$144="Ataque normal",IF(LEN($DU$144)&gt;0,$DU$144,"Ação")&amp;" ("&amp;IF(LEN($DW$144)&gt;0,$DW$144,"Pessoal")&amp;", "&amp;IF(LEN($DX$144)&gt;0,$DX$144,"Físico")&amp;"): "&amp;INDEX($W$11:$W$22,$R$144)&amp;" · média "&amp;INDEX($X$11:$X$22,$R$144)&amp;IF(LEN($DR$185)&gt;0,", e o alvo recebe "&amp;$DR$185&amp;" por "&amp;IF(ISNUMBER($DZ$144),$DZ$144,1)&amp;IF(AND(ISNUMBER($DZ$144),$DZ$144&gt;1)," turnos"," turno"),""),IF($DS$144="Especial de dano 1 alvo (até 1,5×)",IF(LEN($DU$144)&gt;0,$DU$144,"Ação")&amp;IF(ISNUMBER($DY$144)," (recarga "&amp;$DY$144&amp;" Ciclos)","")&amp;": um alvo a até Distância "&amp;IF(LEN($DW$144)&gt;0,$DW$144,"Pessoal")&amp;IF(LEN($DT$185)&gt;0," faz "&amp;"Teste de "&amp;$DT$185&amp;" contra DT "&amp;INDEX($Y$11:$Y$22,$R$144)&amp;"; se falhar, recebe "," recebe ")&amp;INDEX($CJ$11:$CJ$22,$R$144)&amp;" · média "&amp;INDEX($CK$11:$CK$22,$R$144)&amp;" de dano "&amp;IF(LEN($DX$144)&gt;0,$DX$144,"Físico")&amp;IF(LEN($DR$185)&gt;0," e "&amp;$DR$185&amp;" por "&amp;IF(ISNUMBER($DZ$144),$DZ$144,1)&amp;IF(AND(ISNUMBER($DZ$144),$DZ$144&gt;1)," turnos"," turno"),"")&amp;".",IF($DS$144="Especial de dano 2–3 alvos (dano cheio por alvo)",IF(LEN($DU$144)&gt;0,$DU$144,"Ação")&amp;IF(ISNUMBER($DY$144)," (recarga "&amp;$DY$144&amp;" Ciclos)","")&amp;": até 3 alvos a até uma Distância um do outro "&amp;IF(LEN($DT$185)&gt;0,"fazem "&amp;"Teste de "&amp;$DT$185&amp;" contra DT "&amp;INDEX($Y$11:$Y$22,$R$144)&amp;". Quem falha recebe "&amp;INDEX($W$11:$W$22,$R$144)&amp;" · média "&amp;INDEX($X$11:$X$22,$R$144)&amp;" de dano "&amp;IF(LEN($DX$144)&gt;0,$DX$144,"Físico")&amp;IF(LEN($DR$185)&gt;0," e "&amp;$DR$185&amp;" por "&amp;IF(ISNUMBER($DZ$144),$DZ$144,1)&amp;IF(AND(ISNUMBER($DZ$144),$DZ$144&gt;1)," turnos"," turno"),"")&amp;"; quem passa recebe metade do dano.","recebem, cada um, "&amp;INDEX($W$11:$W$22,$R$144)&amp;" · média "&amp;INDEX($X$11:$X$22,$R$144)&amp;" de dano "&amp;IF(LEN($DX$144)&gt;0,$DX$144,"Físico")&amp;IF(LEN($DR$185)&gt;0," e "&amp;$DR$185&amp;" por "&amp;IF(ISNUMBER($DZ$144),$DZ$144,1)&amp;IF(AND(ISNUMBER($DZ$144),$DZ$144&gt;1)," turnos"," turno"),"")&amp;"."),IF($DS$144="Especial de controle",IF(LEN($DU$144)&gt;0,$DU$144,"Ação")&amp;IF(ISNUMBER($DY$144)," (recarga "&amp;$DY$144&amp;" Ciclos)","")&amp;": o alvo faz "&amp;IF(LEN($DT$185)&gt;0,"Teste de "&amp;$DT$185&amp;" contra DT "&amp;INDEX($Y$11:$Y$22,$R$144),"Teste de Resistência contra DT "&amp;INDEX($Y$11:$Y$22,$R$144))&amp;"; se falhar, recebe "&amp;IF(LEN($DR$185)&gt;0,$DR$185,"(escolha a condição)")&amp;" por "&amp;IF(ISNUMBER($DZ$144),$DZ$144,1)&amp;IF(AND(ISNUMBER($DZ$144),$DZ$144&gt;1)," turnos"," turno")&amp;".",IF($DS$144="Reação",IF(LEN($DU$144)&gt;0,$DU$144,"Ação")&amp;" (Reação"&amp;IF(ISNUMBER($DY$144),", recarga "&amp;$DY$144&amp;" Ciclos","")&amp;")"&amp;IF(LEN($DR$185)&gt;0,": o alvo faz "&amp;IF(LEN($DT$185)&gt;0,"Teste de "&amp;$DT$185&amp;" contra DT "&amp;INDEX($Y$11:$Y$22,$R$144),"Teste de Resistência contra DT "&amp;INDEX($Y$11:$Y$22,$R$144))&amp;"; se falhar, recebe "&amp;$DR$185&amp;" por "&amp;IF(ISNUMBER($DZ$144),$DZ$144,1)&amp;IF(AND(ISNUMBER($DZ$144),$DZ$144&gt;1)," turnos"," turno")&amp;".","."),""))))))</f>
        <v/>
      </c>
      <c r="K185" s="18">
        <f>IF(EA185&gt;0,"O Google leu como fórmula: escolha de novo na lista.",IF(LEN($DQ$144)=0,"",IF(AND($DS$144="Especial de controle",LEN($DR$185)=0),"Ação de controle aplica uma condição do capítulo 21 (28.4)",IF(AND($DS$144="Especial de controle",LEN($DT$185)=0),"Diga o Teste de Resistência do alvo",IF($DR$185="Congelado","Inimigo não aplica Congelamento em personagem (28.2 regra 9)",IF(AND(LEN($DR$185)&gt;0,COUNTIF('Dados'!$BH$6:$BH$18,$DR$185)=0),"Condição fora do capítulo 21: nada de condição nova (28.4)",""))))))</f>
        <v/>
      </c>
      <c r="DR185" s="19">
        <f>IF(ISERROR($B$185),"",IF(ISBLANK($B$185),"",$B$185))</f>
        <v/>
      </c>
      <c r="DT185" s="19">
        <f>IF(ISERROR($D$185),"",IF(ISBLANK($D$185),"",$D$185))</f>
        <v/>
      </c>
      <c r="EA185" s="19">
        <f>ISERROR($B$185)*1+ISERROR($D$185)*1</f>
        <v/>
      </c>
    </row>
    <row r="186" ht="48" customHeight="1">
      <c r="A186" s="33">
        <f>IF(LEN($DQ$145)&gt;0,"28 · "&amp;$DQ$145,"28 · (vazia)")</f>
        <v/>
      </c>
      <c r="B186" s="28" t="n"/>
      <c r="C186" s="16" t="n"/>
      <c r="D186" s="28" t="n"/>
      <c r="E186" s="16" t="n"/>
      <c r="F186" s="9">
        <f>IF(OR(LEN($DQ$145)=0,NOT(ISNUMBER($R$145))),"",IF($DS$145="Ataque normal",IF(LEN($DU$145)&gt;0,$DU$145,"Ação")&amp;" ("&amp;IF(LEN($DW$145)&gt;0,$DW$145,"Pessoal")&amp;", "&amp;IF(LEN($DX$145)&gt;0,$DX$145,"Físico")&amp;"): "&amp;INDEX($W$11:$W$22,$R$145)&amp;" · média "&amp;INDEX($X$11:$X$22,$R$145)&amp;IF(LEN($DR$186)&gt;0,", e o alvo recebe "&amp;$DR$186&amp;" por "&amp;IF(ISNUMBER($DZ$145),$DZ$145,1)&amp;IF(AND(ISNUMBER($DZ$145),$DZ$145&gt;1)," turnos"," turno"),""),IF($DS$145="Especial de dano 1 alvo (até 1,5×)",IF(LEN($DU$145)&gt;0,$DU$145,"Ação")&amp;IF(ISNUMBER($DY$145)," (recarga "&amp;$DY$145&amp;" Ciclos)","")&amp;": um alvo a até Distância "&amp;IF(LEN($DW$145)&gt;0,$DW$145,"Pessoal")&amp;IF(LEN($DT$186)&gt;0," faz "&amp;"Teste de "&amp;$DT$186&amp;" contra DT "&amp;INDEX($Y$11:$Y$22,$R$145)&amp;"; se falhar, recebe "," recebe ")&amp;INDEX($CJ$11:$CJ$22,$R$145)&amp;" · média "&amp;INDEX($CK$11:$CK$22,$R$145)&amp;" de dano "&amp;IF(LEN($DX$145)&gt;0,$DX$145,"Físico")&amp;IF(LEN($DR$186)&gt;0," e "&amp;$DR$186&amp;" por "&amp;IF(ISNUMBER($DZ$145),$DZ$145,1)&amp;IF(AND(ISNUMBER($DZ$145),$DZ$145&gt;1)," turnos"," turno"),"")&amp;".",IF($DS$145="Especial de dano 2–3 alvos (dano cheio por alvo)",IF(LEN($DU$145)&gt;0,$DU$145,"Ação")&amp;IF(ISNUMBER($DY$145)," (recarga "&amp;$DY$145&amp;" Ciclos)","")&amp;": até 3 alvos a até uma Distância um do outro "&amp;IF(LEN($DT$186)&gt;0,"fazem "&amp;"Teste de "&amp;$DT$186&amp;" contra DT "&amp;INDEX($Y$11:$Y$22,$R$145)&amp;". Quem falha recebe "&amp;INDEX($W$11:$W$22,$R$145)&amp;" · média "&amp;INDEX($X$11:$X$22,$R$145)&amp;" de dano "&amp;IF(LEN($DX$145)&gt;0,$DX$145,"Físico")&amp;IF(LEN($DR$186)&gt;0," e "&amp;$DR$186&amp;" por "&amp;IF(ISNUMBER($DZ$145),$DZ$145,1)&amp;IF(AND(ISNUMBER($DZ$145),$DZ$145&gt;1)," turnos"," turno"),"")&amp;"; quem passa recebe metade do dano.","recebem, cada um, "&amp;INDEX($W$11:$W$22,$R$145)&amp;" · média "&amp;INDEX($X$11:$X$22,$R$145)&amp;" de dano "&amp;IF(LEN($DX$145)&gt;0,$DX$145,"Físico")&amp;IF(LEN($DR$186)&gt;0," e "&amp;$DR$186&amp;" por "&amp;IF(ISNUMBER($DZ$145),$DZ$145,1)&amp;IF(AND(ISNUMBER($DZ$145),$DZ$145&gt;1)," turnos"," turno"),"")&amp;"."),IF($DS$145="Especial de controle",IF(LEN($DU$145)&gt;0,$DU$145,"Ação")&amp;IF(ISNUMBER($DY$145)," (recarga "&amp;$DY$145&amp;" Ciclos)","")&amp;": o alvo faz "&amp;IF(LEN($DT$186)&gt;0,"Teste de "&amp;$DT$186&amp;" contra DT "&amp;INDEX($Y$11:$Y$22,$R$145),"Teste de Resistência contra DT "&amp;INDEX($Y$11:$Y$22,$R$145))&amp;"; se falhar, recebe "&amp;IF(LEN($DR$186)&gt;0,$DR$186,"(escolha a condição)")&amp;" por "&amp;IF(ISNUMBER($DZ$145),$DZ$145,1)&amp;IF(AND(ISNUMBER($DZ$145),$DZ$145&gt;1)," turnos"," turno")&amp;".",IF($DS$145="Reação",IF(LEN($DU$145)&gt;0,$DU$145,"Ação")&amp;" (Reação"&amp;IF(ISNUMBER($DY$145),", recarga "&amp;$DY$145&amp;" Ciclos","")&amp;")"&amp;IF(LEN($DR$186)&gt;0,": o alvo faz "&amp;IF(LEN($DT$186)&gt;0,"Teste de "&amp;$DT$186&amp;" contra DT "&amp;INDEX($Y$11:$Y$22,$R$145),"Teste de Resistência contra DT "&amp;INDEX($Y$11:$Y$22,$R$145))&amp;"; se falhar, recebe "&amp;$DR$186&amp;" por "&amp;IF(ISNUMBER($DZ$145),$DZ$145,1)&amp;IF(AND(ISNUMBER($DZ$145),$DZ$145&gt;1)," turnos"," turno")&amp;".","."),""))))))</f>
        <v/>
      </c>
      <c r="K186" s="26">
        <f>IF(EA186&gt;0,"O Google leu como fórmula: escolha de novo na lista.",IF(LEN($DQ$145)=0,"",IF(AND($DS$145="Especial de controle",LEN($DR$186)=0),"Ação de controle aplica uma condição do capítulo 21 (28.4)",IF(AND($DS$145="Especial de controle",LEN($DT$186)=0),"Diga o Teste de Resistência do alvo",IF($DR$186="Congelado","Inimigo não aplica Congelamento em personagem (28.2 regra 9)",IF(AND(LEN($DR$186)&gt;0,COUNTIF('Dados'!$BH$6:$BH$18,$DR$186)=0),"Condição fora do capítulo 21: nada de condição nova (28.4)",""))))))</f>
        <v/>
      </c>
      <c r="DR186" s="19">
        <f>IF(ISERROR($B$186),"",IF(ISBLANK($B$186),"",$B$186))</f>
        <v/>
      </c>
      <c r="DT186" s="19">
        <f>IF(ISERROR($D$186),"",IF(ISBLANK($D$186),"",$D$186))</f>
        <v/>
      </c>
      <c r="EA186" s="19">
        <f>ISERROR($B$186)*1+ISERROR($D$186)*1</f>
        <v/>
      </c>
    </row>
    <row r="187" ht="48" customHeight="1">
      <c r="A187" s="32">
        <f>IF(LEN($DQ$146)&gt;0,"29 · "&amp;$DQ$146,"29 · (vazia)")</f>
        <v/>
      </c>
      <c r="B187" s="3" t="n"/>
      <c r="C187" s="16" t="n"/>
      <c r="D187" s="3" t="n"/>
      <c r="E187" s="16" t="n"/>
      <c r="F187" s="4">
        <f>IF(OR(LEN($DQ$146)=0,NOT(ISNUMBER($R$146))),"",IF($DS$146="Ataque normal",IF(LEN($DU$146)&gt;0,$DU$146,"Ação")&amp;" ("&amp;IF(LEN($DW$146)&gt;0,$DW$146,"Pessoal")&amp;", "&amp;IF(LEN($DX$146)&gt;0,$DX$146,"Físico")&amp;"): "&amp;INDEX($W$11:$W$22,$R$146)&amp;" · média "&amp;INDEX($X$11:$X$22,$R$146)&amp;IF(LEN($DR$187)&gt;0,", e o alvo recebe "&amp;$DR$187&amp;" por "&amp;IF(ISNUMBER($DZ$146),$DZ$146,1)&amp;IF(AND(ISNUMBER($DZ$146),$DZ$146&gt;1)," turnos"," turno"),""),IF($DS$146="Especial de dano 1 alvo (até 1,5×)",IF(LEN($DU$146)&gt;0,$DU$146,"Ação")&amp;IF(ISNUMBER($DY$146)," (recarga "&amp;$DY$146&amp;" Ciclos)","")&amp;": um alvo a até Distância "&amp;IF(LEN($DW$146)&gt;0,$DW$146,"Pessoal")&amp;IF(LEN($DT$187)&gt;0," faz "&amp;"Teste de "&amp;$DT$187&amp;" contra DT "&amp;INDEX($Y$11:$Y$22,$R$146)&amp;"; se falhar, recebe "," recebe ")&amp;INDEX($CJ$11:$CJ$22,$R$146)&amp;" · média "&amp;INDEX($CK$11:$CK$22,$R$146)&amp;" de dano "&amp;IF(LEN($DX$146)&gt;0,$DX$146,"Físico")&amp;IF(LEN($DR$187)&gt;0," e "&amp;$DR$187&amp;" por "&amp;IF(ISNUMBER($DZ$146),$DZ$146,1)&amp;IF(AND(ISNUMBER($DZ$146),$DZ$146&gt;1)," turnos"," turno"),"")&amp;".",IF($DS$146="Especial de dano 2–3 alvos (dano cheio por alvo)",IF(LEN($DU$146)&gt;0,$DU$146,"Ação")&amp;IF(ISNUMBER($DY$146)," (recarga "&amp;$DY$146&amp;" Ciclos)","")&amp;": até 3 alvos a até uma Distância um do outro "&amp;IF(LEN($DT$187)&gt;0,"fazem "&amp;"Teste de "&amp;$DT$187&amp;" contra DT "&amp;INDEX($Y$11:$Y$22,$R$146)&amp;". Quem falha recebe "&amp;INDEX($W$11:$W$22,$R$146)&amp;" · média "&amp;INDEX($X$11:$X$22,$R$146)&amp;" de dano "&amp;IF(LEN($DX$146)&gt;0,$DX$146,"Físico")&amp;IF(LEN($DR$187)&gt;0," e "&amp;$DR$187&amp;" por "&amp;IF(ISNUMBER($DZ$146),$DZ$146,1)&amp;IF(AND(ISNUMBER($DZ$146),$DZ$146&gt;1)," turnos"," turno"),"")&amp;"; quem passa recebe metade do dano.","recebem, cada um, "&amp;INDEX($W$11:$W$22,$R$146)&amp;" · média "&amp;INDEX($X$11:$X$22,$R$146)&amp;" de dano "&amp;IF(LEN($DX$146)&gt;0,$DX$146,"Físico")&amp;IF(LEN($DR$187)&gt;0," e "&amp;$DR$187&amp;" por "&amp;IF(ISNUMBER($DZ$146),$DZ$146,1)&amp;IF(AND(ISNUMBER($DZ$146),$DZ$146&gt;1)," turnos"," turno"),"")&amp;"."),IF($DS$146="Especial de controle",IF(LEN($DU$146)&gt;0,$DU$146,"Ação")&amp;IF(ISNUMBER($DY$146)," (recarga "&amp;$DY$146&amp;" Ciclos)","")&amp;": o alvo faz "&amp;IF(LEN($DT$187)&gt;0,"Teste de "&amp;$DT$187&amp;" contra DT "&amp;INDEX($Y$11:$Y$22,$R$146),"Teste de Resistência contra DT "&amp;INDEX($Y$11:$Y$22,$R$146))&amp;"; se falhar, recebe "&amp;IF(LEN($DR$187)&gt;0,$DR$187,"(escolha a condição)")&amp;" por "&amp;IF(ISNUMBER($DZ$146),$DZ$146,1)&amp;IF(AND(ISNUMBER($DZ$146),$DZ$146&gt;1)," turnos"," turno")&amp;".",IF($DS$146="Reação",IF(LEN($DU$146)&gt;0,$DU$146,"Ação")&amp;" (Reação"&amp;IF(ISNUMBER($DY$146),", recarga "&amp;$DY$146&amp;" Ciclos","")&amp;")"&amp;IF(LEN($DR$187)&gt;0,": o alvo faz "&amp;IF(LEN($DT$187)&gt;0,"Teste de "&amp;$DT$187&amp;" contra DT "&amp;INDEX($Y$11:$Y$22,$R$146),"Teste de Resistência contra DT "&amp;INDEX($Y$11:$Y$22,$R$146))&amp;"; se falhar, recebe "&amp;$DR$187&amp;" por "&amp;IF(ISNUMBER($DZ$146),$DZ$146,1)&amp;IF(AND(ISNUMBER($DZ$146),$DZ$146&gt;1)," turnos"," turno")&amp;".","."),""))))))</f>
        <v/>
      </c>
      <c r="K187" s="18">
        <f>IF(EA187&gt;0,"O Google leu como fórmula: escolha de novo na lista.",IF(LEN($DQ$146)=0,"",IF(AND($DS$146="Especial de controle",LEN($DR$187)=0),"Ação de controle aplica uma condição do capítulo 21 (28.4)",IF(AND($DS$146="Especial de controle",LEN($DT$187)=0),"Diga o Teste de Resistência do alvo",IF($DR$187="Congelado","Inimigo não aplica Congelamento em personagem (28.2 regra 9)",IF(AND(LEN($DR$187)&gt;0,COUNTIF('Dados'!$BH$6:$BH$18,$DR$187)=0),"Condição fora do capítulo 21: nada de condição nova (28.4)",""))))))</f>
        <v/>
      </c>
      <c r="DR187" s="19">
        <f>IF(ISERROR($B$187),"",IF(ISBLANK($B$187),"",$B$187))</f>
        <v/>
      </c>
      <c r="DT187" s="19">
        <f>IF(ISERROR($D$187),"",IF(ISBLANK($D$187),"",$D$187))</f>
        <v/>
      </c>
      <c r="EA187" s="19">
        <f>ISERROR($B$187)*1+ISERROR($D$187)*1</f>
        <v/>
      </c>
    </row>
    <row r="188" ht="48" customHeight="1">
      <c r="A188" s="33">
        <f>IF(LEN($DQ$147)&gt;0,"30 · "&amp;$DQ$147,"30 · (vazia)")</f>
        <v/>
      </c>
      <c r="B188" s="28" t="n"/>
      <c r="C188" s="16" t="n"/>
      <c r="D188" s="28" t="n"/>
      <c r="E188" s="16" t="n"/>
      <c r="F188" s="9">
        <f>IF(OR(LEN($DQ$147)=0,NOT(ISNUMBER($R$147))),"",IF($DS$147="Ataque normal",IF(LEN($DU$147)&gt;0,$DU$147,"Ação")&amp;" ("&amp;IF(LEN($DW$147)&gt;0,$DW$147,"Pessoal")&amp;", "&amp;IF(LEN($DX$147)&gt;0,$DX$147,"Físico")&amp;"): "&amp;INDEX($W$11:$W$22,$R$147)&amp;" · média "&amp;INDEX($X$11:$X$22,$R$147)&amp;IF(LEN($DR$188)&gt;0,", e o alvo recebe "&amp;$DR$188&amp;" por "&amp;IF(ISNUMBER($DZ$147),$DZ$147,1)&amp;IF(AND(ISNUMBER($DZ$147),$DZ$147&gt;1)," turnos"," turno"),""),IF($DS$147="Especial de dano 1 alvo (até 1,5×)",IF(LEN($DU$147)&gt;0,$DU$147,"Ação")&amp;IF(ISNUMBER($DY$147)," (recarga "&amp;$DY$147&amp;" Ciclos)","")&amp;": um alvo a até Distância "&amp;IF(LEN($DW$147)&gt;0,$DW$147,"Pessoal")&amp;IF(LEN($DT$188)&gt;0," faz "&amp;"Teste de "&amp;$DT$188&amp;" contra DT "&amp;INDEX($Y$11:$Y$22,$R$147)&amp;"; se falhar, recebe "," recebe ")&amp;INDEX($CJ$11:$CJ$22,$R$147)&amp;" · média "&amp;INDEX($CK$11:$CK$22,$R$147)&amp;" de dano "&amp;IF(LEN($DX$147)&gt;0,$DX$147,"Físico")&amp;IF(LEN($DR$188)&gt;0," e "&amp;$DR$188&amp;" por "&amp;IF(ISNUMBER($DZ$147),$DZ$147,1)&amp;IF(AND(ISNUMBER($DZ$147),$DZ$147&gt;1)," turnos"," turno"),"")&amp;".",IF($DS$147="Especial de dano 2–3 alvos (dano cheio por alvo)",IF(LEN($DU$147)&gt;0,$DU$147,"Ação")&amp;IF(ISNUMBER($DY$147)," (recarga "&amp;$DY$147&amp;" Ciclos)","")&amp;": até 3 alvos a até uma Distância um do outro "&amp;IF(LEN($DT$188)&gt;0,"fazem "&amp;"Teste de "&amp;$DT$188&amp;" contra DT "&amp;INDEX($Y$11:$Y$22,$R$147)&amp;". Quem falha recebe "&amp;INDEX($W$11:$W$22,$R$147)&amp;" · média "&amp;INDEX($X$11:$X$22,$R$147)&amp;" de dano "&amp;IF(LEN($DX$147)&gt;0,$DX$147,"Físico")&amp;IF(LEN($DR$188)&gt;0," e "&amp;$DR$188&amp;" por "&amp;IF(ISNUMBER($DZ$147),$DZ$147,1)&amp;IF(AND(ISNUMBER($DZ$147),$DZ$147&gt;1)," turnos"," turno"),"")&amp;"; quem passa recebe metade do dano.","recebem, cada um, "&amp;INDEX($W$11:$W$22,$R$147)&amp;" · média "&amp;INDEX($X$11:$X$22,$R$147)&amp;" de dano "&amp;IF(LEN($DX$147)&gt;0,$DX$147,"Físico")&amp;IF(LEN($DR$188)&gt;0," e "&amp;$DR$188&amp;" por "&amp;IF(ISNUMBER($DZ$147),$DZ$147,1)&amp;IF(AND(ISNUMBER($DZ$147),$DZ$147&gt;1)," turnos"," turno"),"")&amp;"."),IF($DS$147="Especial de controle",IF(LEN($DU$147)&gt;0,$DU$147,"Ação")&amp;IF(ISNUMBER($DY$147)," (recarga "&amp;$DY$147&amp;" Ciclos)","")&amp;": o alvo faz "&amp;IF(LEN($DT$188)&gt;0,"Teste de "&amp;$DT$188&amp;" contra DT "&amp;INDEX($Y$11:$Y$22,$R$147),"Teste de Resistência contra DT "&amp;INDEX($Y$11:$Y$22,$R$147))&amp;"; se falhar, recebe "&amp;IF(LEN($DR$188)&gt;0,$DR$188,"(escolha a condição)")&amp;" por "&amp;IF(ISNUMBER($DZ$147),$DZ$147,1)&amp;IF(AND(ISNUMBER($DZ$147),$DZ$147&gt;1)," turnos"," turno")&amp;".",IF($DS$147="Reação",IF(LEN($DU$147)&gt;0,$DU$147,"Ação")&amp;" (Reação"&amp;IF(ISNUMBER($DY$147),", recarga "&amp;$DY$147&amp;" Ciclos","")&amp;")"&amp;IF(LEN($DR$188)&gt;0,": o alvo faz "&amp;IF(LEN($DT$188)&gt;0,"Teste de "&amp;$DT$188&amp;" contra DT "&amp;INDEX($Y$11:$Y$22,$R$147),"Teste de Resistência contra DT "&amp;INDEX($Y$11:$Y$22,$R$147))&amp;"; se falhar, recebe "&amp;$DR$188&amp;" por "&amp;IF(ISNUMBER($DZ$147),$DZ$147,1)&amp;IF(AND(ISNUMBER($DZ$147),$DZ$147&gt;1)," turnos"," turno")&amp;".","."),""))))))</f>
        <v/>
      </c>
      <c r="K188" s="26">
        <f>IF(EA188&gt;0,"O Google leu como fórmula: escolha de novo na lista.",IF(LEN($DQ$147)=0,"",IF(AND($DS$147="Especial de controle",LEN($DR$188)=0),"Ação de controle aplica uma condição do capítulo 21 (28.4)",IF(AND($DS$147="Especial de controle",LEN($DT$188)=0),"Diga o Teste de Resistência do alvo",IF($DR$188="Congelado","Inimigo não aplica Congelamento em personagem (28.2 regra 9)",IF(AND(LEN($DR$188)&gt;0,COUNTIF('Dados'!$BH$6:$BH$18,$DR$188)=0),"Condição fora do capítulo 21: nada de condição nova (28.4)",""))))))</f>
        <v/>
      </c>
      <c r="DR188" s="19">
        <f>IF(ISERROR($B$188),"",IF(ISBLANK($B$188),"",$B$188))</f>
        <v/>
      </c>
      <c r="DT188" s="19">
        <f>IF(ISERROR($D$188),"",IF(ISBLANK($D$188),"",$D$188))</f>
        <v/>
      </c>
      <c r="EA188" s="19">
        <f>ISERROR($B$188)*1+ISERROR($D$188)*1</f>
        <v/>
      </c>
    </row>
    <row r="189" ht="48" customHeight="1">
      <c r="A189" s="32">
        <f>IF(LEN($DQ$148)&gt;0,"31 · "&amp;$DQ$148,"31 · (vazia)")</f>
        <v/>
      </c>
      <c r="B189" s="3" t="n"/>
      <c r="C189" s="16" t="n"/>
      <c r="D189" s="3" t="n"/>
      <c r="E189" s="16" t="n"/>
      <c r="F189" s="4">
        <f>IF(OR(LEN($DQ$148)=0,NOT(ISNUMBER($R$148))),"",IF($DS$148="Ataque normal",IF(LEN($DU$148)&gt;0,$DU$148,"Ação")&amp;" ("&amp;IF(LEN($DW$148)&gt;0,$DW$148,"Pessoal")&amp;", "&amp;IF(LEN($DX$148)&gt;0,$DX$148,"Físico")&amp;"): "&amp;INDEX($W$11:$W$22,$R$148)&amp;" · média "&amp;INDEX($X$11:$X$22,$R$148)&amp;IF(LEN($DR$189)&gt;0,", e o alvo recebe "&amp;$DR$189&amp;" por "&amp;IF(ISNUMBER($DZ$148),$DZ$148,1)&amp;IF(AND(ISNUMBER($DZ$148),$DZ$148&gt;1)," turnos"," turno"),""),IF($DS$148="Especial de dano 1 alvo (até 1,5×)",IF(LEN($DU$148)&gt;0,$DU$148,"Ação")&amp;IF(ISNUMBER($DY$148)," (recarga "&amp;$DY$148&amp;" Ciclos)","")&amp;": um alvo a até Distância "&amp;IF(LEN($DW$148)&gt;0,$DW$148,"Pessoal")&amp;IF(LEN($DT$189)&gt;0," faz "&amp;"Teste de "&amp;$DT$189&amp;" contra DT "&amp;INDEX($Y$11:$Y$22,$R$148)&amp;"; se falhar, recebe "," recebe ")&amp;INDEX($CJ$11:$CJ$22,$R$148)&amp;" · média "&amp;INDEX($CK$11:$CK$22,$R$148)&amp;" de dano "&amp;IF(LEN($DX$148)&gt;0,$DX$148,"Físico")&amp;IF(LEN($DR$189)&gt;0," e "&amp;$DR$189&amp;" por "&amp;IF(ISNUMBER($DZ$148),$DZ$148,1)&amp;IF(AND(ISNUMBER($DZ$148),$DZ$148&gt;1)," turnos"," turno"),"")&amp;".",IF($DS$148="Especial de dano 2–3 alvos (dano cheio por alvo)",IF(LEN($DU$148)&gt;0,$DU$148,"Ação")&amp;IF(ISNUMBER($DY$148)," (recarga "&amp;$DY$148&amp;" Ciclos)","")&amp;": até 3 alvos a até uma Distância um do outro "&amp;IF(LEN($DT$189)&gt;0,"fazem "&amp;"Teste de "&amp;$DT$189&amp;" contra DT "&amp;INDEX($Y$11:$Y$22,$R$148)&amp;". Quem falha recebe "&amp;INDEX($W$11:$W$22,$R$148)&amp;" · média "&amp;INDEX($X$11:$X$22,$R$148)&amp;" de dano "&amp;IF(LEN($DX$148)&gt;0,$DX$148,"Físico")&amp;IF(LEN($DR$189)&gt;0," e "&amp;$DR$189&amp;" por "&amp;IF(ISNUMBER($DZ$148),$DZ$148,1)&amp;IF(AND(ISNUMBER($DZ$148),$DZ$148&gt;1)," turnos"," turno"),"")&amp;"; quem passa recebe metade do dano.","recebem, cada um, "&amp;INDEX($W$11:$W$22,$R$148)&amp;" · média "&amp;INDEX($X$11:$X$22,$R$148)&amp;" de dano "&amp;IF(LEN($DX$148)&gt;0,$DX$148,"Físico")&amp;IF(LEN($DR$189)&gt;0," e "&amp;$DR$189&amp;" por "&amp;IF(ISNUMBER($DZ$148),$DZ$148,1)&amp;IF(AND(ISNUMBER($DZ$148),$DZ$148&gt;1)," turnos"," turno"),"")&amp;"."),IF($DS$148="Especial de controle",IF(LEN($DU$148)&gt;0,$DU$148,"Ação")&amp;IF(ISNUMBER($DY$148)," (recarga "&amp;$DY$148&amp;" Ciclos)","")&amp;": o alvo faz "&amp;IF(LEN($DT$189)&gt;0,"Teste de "&amp;$DT$189&amp;" contra DT "&amp;INDEX($Y$11:$Y$22,$R$148),"Teste de Resistência contra DT "&amp;INDEX($Y$11:$Y$22,$R$148))&amp;"; se falhar, recebe "&amp;IF(LEN($DR$189)&gt;0,$DR$189,"(escolha a condição)")&amp;" por "&amp;IF(ISNUMBER($DZ$148),$DZ$148,1)&amp;IF(AND(ISNUMBER($DZ$148),$DZ$148&gt;1)," turnos"," turno")&amp;".",IF($DS$148="Reação",IF(LEN($DU$148)&gt;0,$DU$148,"Ação")&amp;" (Reação"&amp;IF(ISNUMBER($DY$148),", recarga "&amp;$DY$148&amp;" Ciclos","")&amp;")"&amp;IF(LEN($DR$189)&gt;0,": o alvo faz "&amp;IF(LEN($DT$189)&gt;0,"Teste de "&amp;$DT$189&amp;" contra DT "&amp;INDEX($Y$11:$Y$22,$R$148),"Teste de Resistência contra DT "&amp;INDEX($Y$11:$Y$22,$R$148))&amp;"; se falhar, recebe "&amp;$DR$189&amp;" por "&amp;IF(ISNUMBER($DZ$148),$DZ$148,1)&amp;IF(AND(ISNUMBER($DZ$148),$DZ$148&gt;1)," turnos"," turno")&amp;".","."),""))))))</f>
        <v/>
      </c>
      <c r="K189" s="18">
        <f>IF(EA189&gt;0,"O Google leu como fórmula: escolha de novo na lista.",IF(LEN($DQ$148)=0,"",IF(AND($DS$148="Especial de controle",LEN($DR$189)=0),"Ação de controle aplica uma condição do capítulo 21 (28.4)",IF(AND($DS$148="Especial de controle",LEN($DT$189)=0),"Diga o Teste de Resistência do alvo",IF($DR$189="Congelado","Inimigo não aplica Congelamento em personagem (28.2 regra 9)",IF(AND(LEN($DR$189)&gt;0,COUNTIF('Dados'!$BH$6:$BH$18,$DR$189)=0),"Condição fora do capítulo 21: nada de condição nova (28.4)",""))))))</f>
        <v/>
      </c>
      <c r="DR189" s="19">
        <f>IF(ISERROR($B$189),"",IF(ISBLANK($B$189),"",$B$189))</f>
        <v/>
      </c>
      <c r="DT189" s="19">
        <f>IF(ISERROR($D$189),"",IF(ISBLANK($D$189),"",$D$189))</f>
        <v/>
      </c>
      <c r="EA189" s="19">
        <f>ISERROR($B$189)*1+ISERROR($D$189)*1</f>
        <v/>
      </c>
    </row>
    <row r="190" ht="48" customHeight="1">
      <c r="A190" s="33">
        <f>IF(LEN($DQ$149)&gt;0,"32 · "&amp;$DQ$149,"32 · (vazia)")</f>
        <v/>
      </c>
      <c r="B190" s="28" t="n"/>
      <c r="C190" s="16" t="n"/>
      <c r="D190" s="28" t="n"/>
      <c r="E190" s="16" t="n"/>
      <c r="F190" s="9">
        <f>IF(OR(LEN($DQ$149)=0,NOT(ISNUMBER($R$149))),"",IF($DS$149="Ataque normal",IF(LEN($DU$149)&gt;0,$DU$149,"Ação")&amp;" ("&amp;IF(LEN($DW$149)&gt;0,$DW$149,"Pessoal")&amp;", "&amp;IF(LEN($DX$149)&gt;0,$DX$149,"Físico")&amp;"): "&amp;INDEX($W$11:$W$22,$R$149)&amp;" · média "&amp;INDEX($X$11:$X$22,$R$149)&amp;IF(LEN($DR$190)&gt;0,", e o alvo recebe "&amp;$DR$190&amp;" por "&amp;IF(ISNUMBER($DZ$149),$DZ$149,1)&amp;IF(AND(ISNUMBER($DZ$149),$DZ$149&gt;1)," turnos"," turno"),""),IF($DS$149="Especial de dano 1 alvo (até 1,5×)",IF(LEN($DU$149)&gt;0,$DU$149,"Ação")&amp;IF(ISNUMBER($DY$149)," (recarga "&amp;$DY$149&amp;" Ciclos)","")&amp;": um alvo a até Distância "&amp;IF(LEN($DW$149)&gt;0,$DW$149,"Pessoal")&amp;IF(LEN($DT$190)&gt;0," faz "&amp;"Teste de "&amp;$DT$190&amp;" contra DT "&amp;INDEX($Y$11:$Y$22,$R$149)&amp;"; se falhar, recebe "," recebe ")&amp;INDEX($CJ$11:$CJ$22,$R$149)&amp;" · média "&amp;INDEX($CK$11:$CK$22,$R$149)&amp;" de dano "&amp;IF(LEN($DX$149)&gt;0,$DX$149,"Físico")&amp;IF(LEN($DR$190)&gt;0," e "&amp;$DR$190&amp;" por "&amp;IF(ISNUMBER($DZ$149),$DZ$149,1)&amp;IF(AND(ISNUMBER($DZ$149),$DZ$149&gt;1)," turnos"," turno"),"")&amp;".",IF($DS$149="Especial de dano 2–3 alvos (dano cheio por alvo)",IF(LEN($DU$149)&gt;0,$DU$149,"Ação")&amp;IF(ISNUMBER($DY$149)," (recarga "&amp;$DY$149&amp;" Ciclos)","")&amp;": até 3 alvos a até uma Distância um do outro "&amp;IF(LEN($DT$190)&gt;0,"fazem "&amp;"Teste de "&amp;$DT$190&amp;" contra DT "&amp;INDEX($Y$11:$Y$22,$R$149)&amp;". Quem falha recebe "&amp;INDEX($W$11:$W$22,$R$149)&amp;" · média "&amp;INDEX($X$11:$X$22,$R$149)&amp;" de dano "&amp;IF(LEN($DX$149)&gt;0,$DX$149,"Físico")&amp;IF(LEN($DR$190)&gt;0," e "&amp;$DR$190&amp;" por "&amp;IF(ISNUMBER($DZ$149),$DZ$149,1)&amp;IF(AND(ISNUMBER($DZ$149),$DZ$149&gt;1)," turnos"," turno"),"")&amp;"; quem passa recebe metade do dano.","recebem, cada um, "&amp;INDEX($W$11:$W$22,$R$149)&amp;" · média "&amp;INDEX($X$11:$X$22,$R$149)&amp;" de dano "&amp;IF(LEN($DX$149)&gt;0,$DX$149,"Físico")&amp;IF(LEN($DR$190)&gt;0," e "&amp;$DR$190&amp;" por "&amp;IF(ISNUMBER($DZ$149),$DZ$149,1)&amp;IF(AND(ISNUMBER($DZ$149),$DZ$149&gt;1)," turnos"," turno"),"")&amp;"."),IF($DS$149="Especial de controle",IF(LEN($DU$149)&gt;0,$DU$149,"Ação")&amp;IF(ISNUMBER($DY$149)," (recarga "&amp;$DY$149&amp;" Ciclos)","")&amp;": o alvo faz "&amp;IF(LEN($DT$190)&gt;0,"Teste de "&amp;$DT$190&amp;" contra DT "&amp;INDEX($Y$11:$Y$22,$R$149),"Teste de Resistência contra DT "&amp;INDEX($Y$11:$Y$22,$R$149))&amp;"; se falhar, recebe "&amp;IF(LEN($DR$190)&gt;0,$DR$190,"(escolha a condição)")&amp;" por "&amp;IF(ISNUMBER($DZ$149),$DZ$149,1)&amp;IF(AND(ISNUMBER($DZ$149),$DZ$149&gt;1)," turnos"," turno")&amp;".",IF($DS$149="Reação",IF(LEN($DU$149)&gt;0,$DU$149,"Ação")&amp;" (Reação"&amp;IF(ISNUMBER($DY$149),", recarga "&amp;$DY$149&amp;" Ciclos","")&amp;")"&amp;IF(LEN($DR$190)&gt;0,": o alvo faz "&amp;IF(LEN($DT$190)&gt;0,"Teste de "&amp;$DT$190&amp;" contra DT "&amp;INDEX($Y$11:$Y$22,$R$149),"Teste de Resistência contra DT "&amp;INDEX($Y$11:$Y$22,$R$149))&amp;"; se falhar, recebe "&amp;$DR$190&amp;" por "&amp;IF(ISNUMBER($DZ$149),$DZ$149,1)&amp;IF(AND(ISNUMBER($DZ$149),$DZ$149&gt;1)," turnos"," turno")&amp;".","."),""))))))</f>
        <v/>
      </c>
      <c r="K190" s="26">
        <f>IF(EA190&gt;0,"O Google leu como fórmula: escolha de novo na lista.",IF(LEN($DQ$149)=0,"",IF(AND($DS$149="Especial de controle",LEN($DR$190)=0),"Ação de controle aplica uma condição do capítulo 21 (28.4)",IF(AND($DS$149="Especial de controle",LEN($DT$190)=0),"Diga o Teste de Resistência do alvo",IF($DR$190="Congelado","Inimigo não aplica Congelamento em personagem (28.2 regra 9)",IF(AND(LEN($DR$190)&gt;0,COUNTIF('Dados'!$BH$6:$BH$18,$DR$190)=0),"Condição fora do capítulo 21: nada de condição nova (28.4)",""))))))</f>
        <v/>
      </c>
      <c r="DR190" s="19">
        <f>IF(ISERROR($B$190),"",IF(ISBLANK($B$190),"",$B$190))</f>
        <v/>
      </c>
      <c r="DT190" s="19">
        <f>IF(ISERROR($D$190),"",IF(ISBLANK($D$190),"",$D$190))</f>
        <v/>
      </c>
      <c r="EA190" s="19">
        <f>ISERROR($B$190)*1+ISERROR($D$190)*1</f>
        <v/>
      </c>
    </row>
    <row r="191" ht="48" customHeight="1">
      <c r="A191" s="32">
        <f>IF(LEN($DQ$150)&gt;0,"33 · "&amp;$DQ$150,"33 · (vazia)")</f>
        <v/>
      </c>
      <c r="B191" s="3" t="n"/>
      <c r="C191" s="16" t="n"/>
      <c r="D191" s="3" t="n"/>
      <c r="E191" s="16" t="n"/>
      <c r="F191" s="4">
        <f>IF(OR(LEN($DQ$150)=0,NOT(ISNUMBER($R$150))),"",IF($DS$150="Ataque normal",IF(LEN($DU$150)&gt;0,$DU$150,"Ação")&amp;" ("&amp;IF(LEN($DW$150)&gt;0,$DW$150,"Pessoal")&amp;", "&amp;IF(LEN($DX$150)&gt;0,$DX$150,"Físico")&amp;"): "&amp;INDEX($W$11:$W$22,$R$150)&amp;" · média "&amp;INDEX($X$11:$X$22,$R$150)&amp;IF(LEN($DR$191)&gt;0,", e o alvo recebe "&amp;$DR$191&amp;" por "&amp;IF(ISNUMBER($DZ$150),$DZ$150,1)&amp;IF(AND(ISNUMBER($DZ$150),$DZ$150&gt;1)," turnos"," turno"),""),IF($DS$150="Especial de dano 1 alvo (até 1,5×)",IF(LEN($DU$150)&gt;0,$DU$150,"Ação")&amp;IF(ISNUMBER($DY$150)," (recarga "&amp;$DY$150&amp;" Ciclos)","")&amp;": um alvo a até Distância "&amp;IF(LEN($DW$150)&gt;0,$DW$150,"Pessoal")&amp;IF(LEN($DT$191)&gt;0," faz "&amp;"Teste de "&amp;$DT$191&amp;" contra DT "&amp;INDEX($Y$11:$Y$22,$R$150)&amp;"; se falhar, recebe "," recebe ")&amp;INDEX($CJ$11:$CJ$22,$R$150)&amp;" · média "&amp;INDEX($CK$11:$CK$22,$R$150)&amp;" de dano "&amp;IF(LEN($DX$150)&gt;0,$DX$150,"Físico")&amp;IF(LEN($DR$191)&gt;0," e "&amp;$DR$191&amp;" por "&amp;IF(ISNUMBER($DZ$150),$DZ$150,1)&amp;IF(AND(ISNUMBER($DZ$150),$DZ$150&gt;1)," turnos"," turno"),"")&amp;".",IF($DS$150="Especial de dano 2–3 alvos (dano cheio por alvo)",IF(LEN($DU$150)&gt;0,$DU$150,"Ação")&amp;IF(ISNUMBER($DY$150)," (recarga "&amp;$DY$150&amp;" Ciclos)","")&amp;": até 3 alvos a até uma Distância um do outro "&amp;IF(LEN($DT$191)&gt;0,"fazem "&amp;"Teste de "&amp;$DT$191&amp;" contra DT "&amp;INDEX($Y$11:$Y$22,$R$150)&amp;". Quem falha recebe "&amp;INDEX($W$11:$W$22,$R$150)&amp;" · média "&amp;INDEX($X$11:$X$22,$R$150)&amp;" de dano "&amp;IF(LEN($DX$150)&gt;0,$DX$150,"Físico")&amp;IF(LEN($DR$191)&gt;0," e "&amp;$DR$191&amp;" por "&amp;IF(ISNUMBER($DZ$150),$DZ$150,1)&amp;IF(AND(ISNUMBER($DZ$150),$DZ$150&gt;1)," turnos"," turno"),"")&amp;"; quem passa recebe metade do dano.","recebem, cada um, "&amp;INDEX($W$11:$W$22,$R$150)&amp;" · média "&amp;INDEX($X$11:$X$22,$R$150)&amp;" de dano "&amp;IF(LEN($DX$150)&gt;0,$DX$150,"Físico")&amp;IF(LEN($DR$191)&gt;0," e "&amp;$DR$191&amp;" por "&amp;IF(ISNUMBER($DZ$150),$DZ$150,1)&amp;IF(AND(ISNUMBER($DZ$150),$DZ$150&gt;1)," turnos"," turno"),"")&amp;"."),IF($DS$150="Especial de controle",IF(LEN($DU$150)&gt;0,$DU$150,"Ação")&amp;IF(ISNUMBER($DY$150)," (recarga "&amp;$DY$150&amp;" Ciclos)","")&amp;": o alvo faz "&amp;IF(LEN($DT$191)&gt;0,"Teste de "&amp;$DT$191&amp;" contra DT "&amp;INDEX($Y$11:$Y$22,$R$150),"Teste de Resistência contra DT "&amp;INDEX($Y$11:$Y$22,$R$150))&amp;"; se falhar, recebe "&amp;IF(LEN($DR$191)&gt;0,$DR$191,"(escolha a condição)")&amp;" por "&amp;IF(ISNUMBER($DZ$150),$DZ$150,1)&amp;IF(AND(ISNUMBER($DZ$150),$DZ$150&gt;1)," turnos"," turno")&amp;".",IF($DS$150="Reação",IF(LEN($DU$150)&gt;0,$DU$150,"Ação")&amp;" (Reação"&amp;IF(ISNUMBER($DY$150),", recarga "&amp;$DY$150&amp;" Ciclos","")&amp;")"&amp;IF(LEN($DR$191)&gt;0,": o alvo faz "&amp;IF(LEN($DT$191)&gt;0,"Teste de "&amp;$DT$191&amp;" contra DT "&amp;INDEX($Y$11:$Y$22,$R$150),"Teste de Resistência contra DT "&amp;INDEX($Y$11:$Y$22,$R$150))&amp;"; se falhar, recebe "&amp;$DR$191&amp;" por "&amp;IF(ISNUMBER($DZ$150),$DZ$150,1)&amp;IF(AND(ISNUMBER($DZ$150),$DZ$150&gt;1)," turnos"," turno")&amp;".","."),""))))))</f>
        <v/>
      </c>
      <c r="K191" s="18">
        <f>IF(EA191&gt;0,"O Google leu como fórmula: escolha de novo na lista.",IF(LEN($DQ$150)=0,"",IF(AND($DS$150="Especial de controle",LEN($DR$191)=0),"Ação de controle aplica uma condição do capítulo 21 (28.4)",IF(AND($DS$150="Especial de controle",LEN($DT$191)=0),"Diga o Teste de Resistência do alvo",IF($DR$191="Congelado","Inimigo não aplica Congelamento em personagem (28.2 regra 9)",IF(AND(LEN($DR$191)&gt;0,COUNTIF('Dados'!$BH$6:$BH$18,$DR$191)=0),"Condição fora do capítulo 21: nada de condição nova (28.4)",""))))))</f>
        <v/>
      </c>
      <c r="DR191" s="19">
        <f>IF(ISERROR($B$191),"",IF(ISBLANK($B$191),"",$B$191))</f>
        <v/>
      </c>
      <c r="DT191" s="19">
        <f>IF(ISERROR($D$191),"",IF(ISBLANK($D$191),"",$D$191))</f>
        <v/>
      </c>
      <c r="EA191" s="19">
        <f>ISERROR($B$191)*1+ISERROR($D$191)*1</f>
        <v/>
      </c>
    </row>
    <row r="192" ht="48" customHeight="1">
      <c r="A192" s="33">
        <f>IF(LEN($DQ$151)&gt;0,"34 · "&amp;$DQ$151,"34 · (vazia)")</f>
        <v/>
      </c>
      <c r="B192" s="28" t="n"/>
      <c r="C192" s="16" t="n"/>
      <c r="D192" s="28" t="n"/>
      <c r="E192" s="16" t="n"/>
      <c r="F192" s="9">
        <f>IF(OR(LEN($DQ$151)=0,NOT(ISNUMBER($R$151))),"",IF($DS$151="Ataque normal",IF(LEN($DU$151)&gt;0,$DU$151,"Ação")&amp;" ("&amp;IF(LEN($DW$151)&gt;0,$DW$151,"Pessoal")&amp;", "&amp;IF(LEN($DX$151)&gt;0,$DX$151,"Físico")&amp;"): "&amp;INDEX($W$11:$W$22,$R$151)&amp;" · média "&amp;INDEX($X$11:$X$22,$R$151)&amp;IF(LEN($DR$192)&gt;0,", e o alvo recebe "&amp;$DR$192&amp;" por "&amp;IF(ISNUMBER($DZ$151),$DZ$151,1)&amp;IF(AND(ISNUMBER($DZ$151),$DZ$151&gt;1)," turnos"," turno"),""),IF($DS$151="Especial de dano 1 alvo (até 1,5×)",IF(LEN($DU$151)&gt;0,$DU$151,"Ação")&amp;IF(ISNUMBER($DY$151)," (recarga "&amp;$DY$151&amp;" Ciclos)","")&amp;": um alvo a até Distância "&amp;IF(LEN($DW$151)&gt;0,$DW$151,"Pessoal")&amp;IF(LEN($DT$192)&gt;0," faz "&amp;"Teste de "&amp;$DT$192&amp;" contra DT "&amp;INDEX($Y$11:$Y$22,$R$151)&amp;"; se falhar, recebe "," recebe ")&amp;INDEX($CJ$11:$CJ$22,$R$151)&amp;" · média "&amp;INDEX($CK$11:$CK$22,$R$151)&amp;" de dano "&amp;IF(LEN($DX$151)&gt;0,$DX$151,"Físico")&amp;IF(LEN($DR$192)&gt;0," e "&amp;$DR$192&amp;" por "&amp;IF(ISNUMBER($DZ$151),$DZ$151,1)&amp;IF(AND(ISNUMBER($DZ$151),$DZ$151&gt;1)," turnos"," turno"),"")&amp;".",IF($DS$151="Especial de dano 2–3 alvos (dano cheio por alvo)",IF(LEN($DU$151)&gt;0,$DU$151,"Ação")&amp;IF(ISNUMBER($DY$151)," (recarga "&amp;$DY$151&amp;" Ciclos)","")&amp;": até 3 alvos a até uma Distância um do outro "&amp;IF(LEN($DT$192)&gt;0,"fazem "&amp;"Teste de "&amp;$DT$192&amp;" contra DT "&amp;INDEX($Y$11:$Y$22,$R$151)&amp;". Quem falha recebe "&amp;INDEX($W$11:$W$22,$R$151)&amp;" · média "&amp;INDEX($X$11:$X$22,$R$151)&amp;" de dano "&amp;IF(LEN($DX$151)&gt;0,$DX$151,"Físico")&amp;IF(LEN($DR$192)&gt;0," e "&amp;$DR$192&amp;" por "&amp;IF(ISNUMBER($DZ$151),$DZ$151,1)&amp;IF(AND(ISNUMBER($DZ$151),$DZ$151&gt;1)," turnos"," turno"),"")&amp;"; quem passa recebe metade do dano.","recebem, cada um, "&amp;INDEX($W$11:$W$22,$R$151)&amp;" · média "&amp;INDEX($X$11:$X$22,$R$151)&amp;" de dano "&amp;IF(LEN($DX$151)&gt;0,$DX$151,"Físico")&amp;IF(LEN($DR$192)&gt;0," e "&amp;$DR$192&amp;" por "&amp;IF(ISNUMBER($DZ$151),$DZ$151,1)&amp;IF(AND(ISNUMBER($DZ$151),$DZ$151&gt;1)," turnos"," turno"),"")&amp;"."),IF($DS$151="Especial de controle",IF(LEN($DU$151)&gt;0,$DU$151,"Ação")&amp;IF(ISNUMBER($DY$151)," (recarga "&amp;$DY$151&amp;" Ciclos)","")&amp;": o alvo faz "&amp;IF(LEN($DT$192)&gt;0,"Teste de "&amp;$DT$192&amp;" contra DT "&amp;INDEX($Y$11:$Y$22,$R$151),"Teste de Resistência contra DT "&amp;INDEX($Y$11:$Y$22,$R$151))&amp;"; se falhar, recebe "&amp;IF(LEN($DR$192)&gt;0,$DR$192,"(escolha a condição)")&amp;" por "&amp;IF(ISNUMBER($DZ$151),$DZ$151,1)&amp;IF(AND(ISNUMBER($DZ$151),$DZ$151&gt;1)," turnos"," turno")&amp;".",IF($DS$151="Reação",IF(LEN($DU$151)&gt;0,$DU$151,"Ação")&amp;" (Reação"&amp;IF(ISNUMBER($DY$151),", recarga "&amp;$DY$151&amp;" Ciclos","")&amp;")"&amp;IF(LEN($DR$192)&gt;0,": o alvo faz "&amp;IF(LEN($DT$192)&gt;0,"Teste de "&amp;$DT$192&amp;" contra DT "&amp;INDEX($Y$11:$Y$22,$R$151),"Teste de Resistência contra DT "&amp;INDEX($Y$11:$Y$22,$R$151))&amp;"; se falhar, recebe "&amp;$DR$192&amp;" por "&amp;IF(ISNUMBER($DZ$151),$DZ$151,1)&amp;IF(AND(ISNUMBER($DZ$151),$DZ$151&gt;1)," turnos"," turno")&amp;".","."),""))))))</f>
        <v/>
      </c>
      <c r="K192" s="26">
        <f>IF(EA192&gt;0,"O Google leu como fórmula: escolha de novo na lista.",IF(LEN($DQ$151)=0,"",IF(AND($DS$151="Especial de controle",LEN($DR$192)=0),"Ação de controle aplica uma condição do capítulo 21 (28.4)",IF(AND($DS$151="Especial de controle",LEN($DT$192)=0),"Diga o Teste de Resistência do alvo",IF($DR$192="Congelado","Inimigo não aplica Congelamento em personagem (28.2 regra 9)",IF(AND(LEN($DR$192)&gt;0,COUNTIF('Dados'!$BH$6:$BH$18,$DR$192)=0),"Condição fora do capítulo 21: nada de condição nova (28.4)",""))))))</f>
        <v/>
      </c>
      <c r="DR192" s="19">
        <f>IF(ISERROR($B$192),"",IF(ISBLANK($B$192),"",$B$192))</f>
        <v/>
      </c>
      <c r="DT192" s="19">
        <f>IF(ISERROR($D$192),"",IF(ISBLANK($D$192),"",$D$192))</f>
        <v/>
      </c>
      <c r="EA192" s="19">
        <f>ISERROR($B$192)*1+ISERROR($D$192)*1</f>
        <v/>
      </c>
    </row>
    <row r="193" ht="48" customHeight="1">
      <c r="A193" s="32">
        <f>IF(LEN($DQ$152)&gt;0,"35 · "&amp;$DQ$152,"35 · (vazia)")</f>
        <v/>
      </c>
      <c r="B193" s="3" t="n"/>
      <c r="C193" s="16" t="n"/>
      <c r="D193" s="3" t="n"/>
      <c r="E193" s="16" t="n"/>
      <c r="F193" s="4">
        <f>IF(OR(LEN($DQ$152)=0,NOT(ISNUMBER($R$152))),"",IF($DS$152="Ataque normal",IF(LEN($DU$152)&gt;0,$DU$152,"Ação")&amp;" ("&amp;IF(LEN($DW$152)&gt;0,$DW$152,"Pessoal")&amp;", "&amp;IF(LEN($DX$152)&gt;0,$DX$152,"Físico")&amp;"): "&amp;INDEX($W$11:$W$22,$R$152)&amp;" · média "&amp;INDEX($X$11:$X$22,$R$152)&amp;IF(LEN($DR$193)&gt;0,", e o alvo recebe "&amp;$DR$193&amp;" por "&amp;IF(ISNUMBER($DZ$152),$DZ$152,1)&amp;IF(AND(ISNUMBER($DZ$152),$DZ$152&gt;1)," turnos"," turno"),""),IF($DS$152="Especial de dano 1 alvo (até 1,5×)",IF(LEN($DU$152)&gt;0,$DU$152,"Ação")&amp;IF(ISNUMBER($DY$152)," (recarga "&amp;$DY$152&amp;" Ciclos)","")&amp;": um alvo a até Distância "&amp;IF(LEN($DW$152)&gt;0,$DW$152,"Pessoal")&amp;IF(LEN($DT$193)&gt;0," faz "&amp;"Teste de "&amp;$DT$193&amp;" contra DT "&amp;INDEX($Y$11:$Y$22,$R$152)&amp;"; se falhar, recebe "," recebe ")&amp;INDEX($CJ$11:$CJ$22,$R$152)&amp;" · média "&amp;INDEX($CK$11:$CK$22,$R$152)&amp;" de dano "&amp;IF(LEN($DX$152)&gt;0,$DX$152,"Físico")&amp;IF(LEN($DR$193)&gt;0," e "&amp;$DR$193&amp;" por "&amp;IF(ISNUMBER($DZ$152),$DZ$152,1)&amp;IF(AND(ISNUMBER($DZ$152),$DZ$152&gt;1)," turnos"," turno"),"")&amp;".",IF($DS$152="Especial de dano 2–3 alvos (dano cheio por alvo)",IF(LEN($DU$152)&gt;0,$DU$152,"Ação")&amp;IF(ISNUMBER($DY$152)," (recarga "&amp;$DY$152&amp;" Ciclos)","")&amp;": até 3 alvos a até uma Distância um do outro "&amp;IF(LEN($DT$193)&gt;0,"fazem "&amp;"Teste de "&amp;$DT$193&amp;" contra DT "&amp;INDEX($Y$11:$Y$22,$R$152)&amp;". Quem falha recebe "&amp;INDEX($W$11:$W$22,$R$152)&amp;" · média "&amp;INDEX($X$11:$X$22,$R$152)&amp;" de dano "&amp;IF(LEN($DX$152)&gt;0,$DX$152,"Físico")&amp;IF(LEN($DR$193)&gt;0," e "&amp;$DR$193&amp;" por "&amp;IF(ISNUMBER($DZ$152),$DZ$152,1)&amp;IF(AND(ISNUMBER($DZ$152),$DZ$152&gt;1)," turnos"," turno"),"")&amp;"; quem passa recebe metade do dano.","recebem, cada um, "&amp;INDEX($W$11:$W$22,$R$152)&amp;" · média "&amp;INDEX($X$11:$X$22,$R$152)&amp;" de dano "&amp;IF(LEN($DX$152)&gt;0,$DX$152,"Físico")&amp;IF(LEN($DR$193)&gt;0," e "&amp;$DR$193&amp;" por "&amp;IF(ISNUMBER($DZ$152),$DZ$152,1)&amp;IF(AND(ISNUMBER($DZ$152),$DZ$152&gt;1)," turnos"," turno"),"")&amp;"."),IF($DS$152="Especial de controle",IF(LEN($DU$152)&gt;0,$DU$152,"Ação")&amp;IF(ISNUMBER($DY$152)," (recarga "&amp;$DY$152&amp;" Ciclos)","")&amp;": o alvo faz "&amp;IF(LEN($DT$193)&gt;0,"Teste de "&amp;$DT$193&amp;" contra DT "&amp;INDEX($Y$11:$Y$22,$R$152),"Teste de Resistência contra DT "&amp;INDEX($Y$11:$Y$22,$R$152))&amp;"; se falhar, recebe "&amp;IF(LEN($DR$193)&gt;0,$DR$193,"(escolha a condição)")&amp;" por "&amp;IF(ISNUMBER($DZ$152),$DZ$152,1)&amp;IF(AND(ISNUMBER($DZ$152),$DZ$152&gt;1)," turnos"," turno")&amp;".",IF($DS$152="Reação",IF(LEN($DU$152)&gt;0,$DU$152,"Ação")&amp;" (Reação"&amp;IF(ISNUMBER($DY$152),", recarga "&amp;$DY$152&amp;" Ciclos","")&amp;")"&amp;IF(LEN($DR$193)&gt;0,": o alvo faz "&amp;IF(LEN($DT$193)&gt;0,"Teste de "&amp;$DT$193&amp;" contra DT "&amp;INDEX($Y$11:$Y$22,$R$152),"Teste de Resistência contra DT "&amp;INDEX($Y$11:$Y$22,$R$152))&amp;"; se falhar, recebe "&amp;$DR$193&amp;" por "&amp;IF(ISNUMBER($DZ$152),$DZ$152,1)&amp;IF(AND(ISNUMBER($DZ$152),$DZ$152&gt;1)," turnos"," turno")&amp;".","."),""))))))</f>
        <v/>
      </c>
      <c r="K193" s="18">
        <f>IF(EA193&gt;0,"O Google leu como fórmula: escolha de novo na lista.",IF(LEN($DQ$152)=0,"",IF(AND($DS$152="Especial de controle",LEN($DR$193)=0),"Ação de controle aplica uma condição do capítulo 21 (28.4)",IF(AND($DS$152="Especial de controle",LEN($DT$193)=0),"Diga o Teste de Resistência do alvo",IF($DR$193="Congelado","Inimigo não aplica Congelamento em personagem (28.2 regra 9)",IF(AND(LEN($DR$193)&gt;0,COUNTIF('Dados'!$BH$6:$BH$18,$DR$193)=0),"Condição fora do capítulo 21: nada de condição nova (28.4)",""))))))</f>
        <v/>
      </c>
      <c r="DR193" s="19">
        <f>IF(ISERROR($B$193),"",IF(ISBLANK($B$193),"",$B$193))</f>
        <v/>
      </c>
      <c r="DT193" s="19">
        <f>IF(ISERROR($D$193),"",IF(ISBLANK($D$193),"",$D$193))</f>
        <v/>
      </c>
      <c r="EA193" s="19">
        <f>ISERROR($B$193)*1+ISERROR($D$193)*1</f>
        <v/>
      </c>
    </row>
    <row r="194" ht="48" customHeight="1">
      <c r="A194" s="33">
        <f>IF(LEN($DQ$153)&gt;0,"36 · "&amp;$DQ$153,"36 · (vazia)")</f>
        <v/>
      </c>
      <c r="B194" s="28" t="n"/>
      <c r="C194" s="16" t="n"/>
      <c r="D194" s="28" t="n"/>
      <c r="E194" s="16" t="n"/>
      <c r="F194" s="9">
        <f>IF(OR(LEN($DQ$153)=0,NOT(ISNUMBER($R$153))),"",IF($DS$153="Ataque normal",IF(LEN($DU$153)&gt;0,$DU$153,"Ação")&amp;" ("&amp;IF(LEN($DW$153)&gt;0,$DW$153,"Pessoal")&amp;", "&amp;IF(LEN($DX$153)&gt;0,$DX$153,"Físico")&amp;"): "&amp;INDEX($W$11:$W$22,$R$153)&amp;" · média "&amp;INDEX($X$11:$X$22,$R$153)&amp;IF(LEN($DR$194)&gt;0,", e o alvo recebe "&amp;$DR$194&amp;" por "&amp;IF(ISNUMBER($DZ$153),$DZ$153,1)&amp;IF(AND(ISNUMBER($DZ$153),$DZ$153&gt;1)," turnos"," turno"),""),IF($DS$153="Especial de dano 1 alvo (até 1,5×)",IF(LEN($DU$153)&gt;0,$DU$153,"Ação")&amp;IF(ISNUMBER($DY$153)," (recarga "&amp;$DY$153&amp;" Ciclos)","")&amp;": um alvo a até Distância "&amp;IF(LEN($DW$153)&gt;0,$DW$153,"Pessoal")&amp;IF(LEN($DT$194)&gt;0," faz "&amp;"Teste de "&amp;$DT$194&amp;" contra DT "&amp;INDEX($Y$11:$Y$22,$R$153)&amp;"; se falhar, recebe "," recebe ")&amp;INDEX($CJ$11:$CJ$22,$R$153)&amp;" · média "&amp;INDEX($CK$11:$CK$22,$R$153)&amp;" de dano "&amp;IF(LEN($DX$153)&gt;0,$DX$153,"Físico")&amp;IF(LEN($DR$194)&gt;0," e "&amp;$DR$194&amp;" por "&amp;IF(ISNUMBER($DZ$153),$DZ$153,1)&amp;IF(AND(ISNUMBER($DZ$153),$DZ$153&gt;1)," turnos"," turno"),"")&amp;".",IF($DS$153="Especial de dano 2–3 alvos (dano cheio por alvo)",IF(LEN($DU$153)&gt;0,$DU$153,"Ação")&amp;IF(ISNUMBER($DY$153)," (recarga "&amp;$DY$153&amp;" Ciclos)","")&amp;": até 3 alvos a até uma Distância um do outro "&amp;IF(LEN($DT$194)&gt;0,"fazem "&amp;"Teste de "&amp;$DT$194&amp;" contra DT "&amp;INDEX($Y$11:$Y$22,$R$153)&amp;". Quem falha recebe "&amp;INDEX($W$11:$W$22,$R$153)&amp;" · média "&amp;INDEX($X$11:$X$22,$R$153)&amp;" de dano "&amp;IF(LEN($DX$153)&gt;0,$DX$153,"Físico")&amp;IF(LEN($DR$194)&gt;0," e "&amp;$DR$194&amp;" por "&amp;IF(ISNUMBER($DZ$153),$DZ$153,1)&amp;IF(AND(ISNUMBER($DZ$153),$DZ$153&gt;1)," turnos"," turno"),"")&amp;"; quem passa recebe metade do dano.","recebem, cada um, "&amp;INDEX($W$11:$W$22,$R$153)&amp;" · média "&amp;INDEX($X$11:$X$22,$R$153)&amp;" de dano "&amp;IF(LEN($DX$153)&gt;0,$DX$153,"Físico")&amp;IF(LEN($DR$194)&gt;0," e "&amp;$DR$194&amp;" por "&amp;IF(ISNUMBER($DZ$153),$DZ$153,1)&amp;IF(AND(ISNUMBER($DZ$153),$DZ$153&gt;1)," turnos"," turno"),"")&amp;"."),IF($DS$153="Especial de controle",IF(LEN($DU$153)&gt;0,$DU$153,"Ação")&amp;IF(ISNUMBER($DY$153)," (recarga "&amp;$DY$153&amp;" Ciclos)","")&amp;": o alvo faz "&amp;IF(LEN($DT$194)&gt;0,"Teste de "&amp;$DT$194&amp;" contra DT "&amp;INDEX($Y$11:$Y$22,$R$153),"Teste de Resistência contra DT "&amp;INDEX($Y$11:$Y$22,$R$153))&amp;"; se falhar, recebe "&amp;IF(LEN($DR$194)&gt;0,$DR$194,"(escolha a condição)")&amp;" por "&amp;IF(ISNUMBER($DZ$153),$DZ$153,1)&amp;IF(AND(ISNUMBER($DZ$153),$DZ$153&gt;1)," turnos"," turno")&amp;".",IF($DS$153="Reação",IF(LEN($DU$153)&gt;0,$DU$153,"Ação")&amp;" (Reação"&amp;IF(ISNUMBER($DY$153),", recarga "&amp;$DY$153&amp;" Ciclos","")&amp;")"&amp;IF(LEN($DR$194)&gt;0,": o alvo faz "&amp;IF(LEN($DT$194)&gt;0,"Teste de "&amp;$DT$194&amp;" contra DT "&amp;INDEX($Y$11:$Y$22,$R$153),"Teste de Resistência contra DT "&amp;INDEX($Y$11:$Y$22,$R$153))&amp;"; se falhar, recebe "&amp;$DR$194&amp;" por "&amp;IF(ISNUMBER($DZ$153),$DZ$153,1)&amp;IF(AND(ISNUMBER($DZ$153),$DZ$153&gt;1)," turnos"," turno")&amp;".","."),""))))))</f>
        <v/>
      </c>
      <c r="K194" s="26">
        <f>IF(EA194&gt;0,"O Google leu como fórmula: escolha de novo na lista.",IF(EA197&gt;0,"Linha 197: O Google leu como fórmula: escolha de novo na lista.",IF(LEN($DQ$153)=0,"",IF(AND($DS$153="Especial de controle",LEN($DR$194)=0),"Ação de controle aplica uma condição do capítulo 21 (28.4)",IF(AND($DS$153="Especial de controle",LEN($DT$194)=0),"Diga o Teste de Resistência do alvo",IF($DR$194="Congelado","Inimigo não aplica Congelamento em personagem (28.2 regra 9)",IF(AND(LEN($DR$194)&gt;0,COUNTIF('Dados'!$BH$6:$BH$18,$DR$194)=0),"Condição fora do capítulo 21: nada de condição nova (28.4)","")))))))</f>
        <v/>
      </c>
      <c r="DR194" s="19">
        <f>IF(ISERROR($B$194),"",IF(ISBLANK($B$194),"",$B$194))</f>
        <v/>
      </c>
      <c r="DT194" s="19">
        <f>IF(ISERROR($D$194),"",IF(ISBLANK($D$194),"",$D$194))</f>
        <v/>
      </c>
      <c r="EA194" s="19">
        <f>ISERROR($B$194)*1+ISERROR($D$194)*1</f>
        <v/>
      </c>
    </row>
    <row r="195"/>
    <row r="196" ht="20" customHeight="1">
      <c r="A196" s="12" t="inlineStr">
        <is>
          <t>Ficha detalhada (formato do cartão de 28.1)</t>
        </is>
      </c>
    </row>
    <row r="197">
      <c r="A197" s="8" t="inlineStr">
        <is>
          <t>Ver ficha de</t>
        </is>
      </c>
      <c r="B197" s="3" t="n"/>
      <c r="C197" s="24" t="n"/>
      <c r="D197" s="16" t="n"/>
      <c r="E197" s="11" t="inlineStr">
        <is>
          <t>Números sem marcador são os do livro, na faixa original. Limiares de PV reescritos: Sugestão da planilha — não é regra do livro (H3).</t>
        </is>
      </c>
      <c r="N197" s="19">
        <f>IF(LEN($DR$197)=0,"",IFERROR(MATCH($DR$197,$DQ$11:$DQ$22,0),""))</f>
        <v/>
      </c>
      <c r="DR197" s="19">
        <f>IF(ISERROR($B$197),"",IF(ISBLANK($B$197),"",$B$197))</f>
        <v/>
      </c>
      <c r="EA197" s="19">
        <f>ISERROR($B$197)*1</f>
        <v/>
      </c>
    </row>
    <row r="198">
      <c r="A198" s="4">
        <f>IF(ISNUMBER($N$197),INDEX($N$11:$N$54,$N$197)&amp;"  ·  "&amp;INDEX($O$11:$O$54,$N$197)&amp;" · "&amp;IF(LEN(INDEX($BC$11:$BC$54,$N$197))&gt;0,INDEX($BC$11:$BC$54,$N$197)&amp;" · ","")&amp;"faixa "&amp;INDEX($P$11:$P$54,$N$197)&amp;IF(INDEX($AG$11:$AG$54,$N$197)&gt;1," · "&amp;INDEX($AG$11:$AG$54,$N$197)&amp;" fases",""),"")</f>
        <v/>
      </c>
    </row>
    <row r="199">
      <c r="A199" s="4">
        <f>IF(ISNUMBER($N$197),"PV "&amp;INDEX($Q$11:$Q$54,$N$197)&amp;"   Defesa "&amp;INDEX($R$11:$R$54,$N$197)&amp;"   RD "&amp;INDEX($S$11:$S$54,$N$197)&amp;"   Tenacidade "&amp;INDEX($T$11:$T$54,$N$197)&amp;"   VEL "&amp;INDEX($U$11:$U$54,$N$197),"")</f>
        <v/>
      </c>
    </row>
    <row r="200">
      <c r="A200" s="4">
        <f>IF(ISNUMBER($N$197),"Ataque +"&amp;INDEX($V$11:$V$54,$N$197)&amp;"    DT dos efeitos "&amp;INDEX($Y$11:$Y$54,$N$197)&amp;"    Teste de Resistência +"&amp;INDEX($Z$11:$Z$54,$N$197)&amp;"    Dano por acerto "&amp;INDEX($W$11:$W$54,$N$197)&amp;" · média "&amp;INDEX($X$11:$X$54,$N$197),"")</f>
        <v/>
      </c>
    </row>
    <row r="201">
      <c r="A201" s="4">
        <f>IF(ISNUMBER($N$197),"Fraquezas: "&amp;INDEX($BG$11:$BG$54,$N$197)&amp;"    Resistências: "&amp;IF(LEN(INDEX($AE$11:$AE$54,$N$197))&gt;0,INDEX($AE$11:$AE$54,$N$197),"—"),"")</f>
        <v/>
      </c>
    </row>
    <row r="202">
      <c r="A202" s="7" t="inlineStr">
        <is>
          <t>Ataques e ações</t>
        </is>
      </c>
      <c r="B202" s="7" t="inlineStr">
        <is>
          <t>Texto (modo Ajustar: ações da base reescritas para a faixa nova)</t>
        </is>
      </c>
      <c r="C202" s="20" t="n"/>
      <c r="D202" s="20" t="n"/>
      <c r="E202" s="20" t="n"/>
      <c r="F202" s="20" t="n"/>
      <c r="G202" s="20" t="n"/>
      <c r="H202" s="20" t="n"/>
      <c r="I202" s="20" t="n"/>
      <c r="J202" s="20" t="n"/>
      <c r="K202" s="20" t="n"/>
      <c r="L202" s="20" t="n"/>
    </row>
    <row r="203" ht="37" customHeight="1">
      <c r="A203" s="32">
        <f>IF(NOT(ISNUMBER($N$197)),"",IF(INDEX($BL$11:$BL$22,$N$197)=1,IF(ISNUMBER($O$203),IF(INDEX('Dados'!$C$142:$C$257,$O$203)=0,INDEX('Dados'!$E$142:$E$257,$O$203),"Fase "&amp;INDEX('Dados'!$C$142:$C$257,$O$203)&amp;" · "&amp;INDEX('Dados'!$E$142:$E$257,$O$203)),""),IF(LEN(IFERROR(INDEX($S$116:$S$153,MATCH(INDEX($N$11:$N$54,$N$197)&amp;"|1",$P$116:$P$153,0)),""))&gt;0,"Ação 1","")))</f>
        <v/>
      </c>
      <c r="B203" s="4">
        <f>IF(NOT(ISNUMBER($N$197)),"",IF(INDEX($BL$11:$BL$22,$N$197)=1,IF(ISNUMBER($O$203),INDEX('Dados'!$I$142:$I$257,$O$203)&amp;IF(INDEX('Dados'!$J$142:$J$257,$O$203)="","",IF(INDEX('Dados'!$J$142:$J$257,$O$203)="DANO.e",INDEX($W$11:$W$54,$N$197),IF(INDEX('Dados'!$J$142:$J$257,$O$203)="DANO.m",INDEX($X$11:$X$54,$N$197),IF(INDEX('Dados'!$J$142:$J$257,$O$203)="DANO15.e",INDEX($CJ$11:$CJ$22,$N$197),IF(INDEX('Dados'!$J$142:$J$257,$O$203)="DANO15.m",INDEX($CK$11:$CK$22,$N$197),IF(INDEX('Dados'!$J$142:$J$257,$O$203)="COMUM.e",INDEX($CL$11:$CL$22,$N$197),IF(INDEX('Dados'!$J$142:$J$257,$O$203)="COMUM.m",INDEX($CM$11:$CM$22,$N$197),IF(INDEX('Dados'!$J$142:$J$257,$O$203)="DT",INDEX($Y$11:$Y$54,$N$197),IF(INDEX('Dados'!$J$142:$J$257,$O$203)="PV",INT(INDEX('Dados'!$K$142:$K$257,$O$203)*INDEX($Q$11:$Q$54,$N$197)/INDEX($CI$11:$CI$22,$N$197)),"")))))))))&amp;INDEX('Dados'!$L$142:$L$257,$O$203)&amp;IF(INDEX('Dados'!$M$142:$M$257,$O$203)="","",IF(INDEX('Dados'!$M$142:$M$257,$O$203)="DANO.e",INDEX($W$11:$W$54,$N$197),IF(INDEX('Dados'!$M$142:$M$257,$O$203)="DANO.m",INDEX($X$11:$X$54,$N$197),IF(INDEX('Dados'!$M$142:$M$257,$O$203)="DANO15.e",INDEX($CJ$11:$CJ$22,$N$197),IF(INDEX('Dados'!$M$142:$M$257,$O$203)="DANO15.m",INDEX($CK$11:$CK$22,$N$197),IF(INDEX('Dados'!$M$142:$M$257,$O$203)="COMUM.e",INDEX($CL$11:$CL$22,$N$197),IF(INDEX('Dados'!$M$142:$M$257,$O$203)="COMUM.m",INDEX($CM$11:$CM$22,$N$197),IF(INDEX('Dados'!$M$142:$M$257,$O$203)="DT",INDEX($Y$11:$Y$54,$N$197),IF(INDEX('Dados'!$M$142:$M$257,$O$203)="PV",INT(INDEX('Dados'!$N$142:$N$257,$O$203)*INDEX($Q$11:$Q$54,$N$197)/INDEX($CI$11:$CI$22,$N$197)),"")))))))))&amp;INDEX('Dados'!$O$142:$O$257,$O$203)&amp;IF(INDEX('Dados'!$P$142:$P$257,$O$203)="","",IF(INDEX('Dados'!$P$142:$P$257,$O$203)="DANO.e",INDEX($W$11:$W$54,$N$197),IF(INDEX('Dados'!$P$142:$P$257,$O$203)="DANO.m",INDEX($X$11:$X$54,$N$197),IF(INDEX('Dados'!$P$142:$P$257,$O$203)="DANO15.e",INDEX($CJ$11:$CJ$22,$N$197),IF(INDEX('Dados'!$P$142:$P$257,$O$203)="DANO15.m",INDEX($CK$11:$CK$22,$N$197),IF(INDEX('Dados'!$P$142:$P$257,$O$203)="COMUM.e",INDEX($CL$11:$CL$22,$N$197),IF(INDEX('Dados'!$P$142:$P$257,$O$203)="COMUM.m",INDEX($CM$11:$CM$22,$N$197),IF(INDEX('Dados'!$P$142:$P$257,$O$203)="DT",INDEX($Y$11:$Y$54,$N$197),IF(INDEX('Dados'!$P$142:$P$257,$O$203)="PV",INT(INDEX('Dados'!$Q$142:$Q$257,$O$203)*INDEX($Q$11:$Q$54,$N$197)/INDEX($CI$11:$CI$22,$N$197)),"")))))))))&amp;INDEX('Dados'!$R$142:$R$257,$O$203)&amp;IF(INDEX('Dados'!$S$142:$S$257,$O$203)="","",IF(INDEX('Dados'!$S$142:$S$257,$O$203)="DANO.e",INDEX($W$11:$W$54,$N$197),IF(INDEX('Dados'!$S$142:$S$257,$O$203)="DANO.m",INDEX($X$11:$X$54,$N$197),IF(INDEX('Dados'!$S$142:$S$257,$O$203)="DANO15.e",INDEX($CJ$11:$CJ$22,$N$197),IF(INDEX('Dados'!$S$142:$S$257,$O$203)="DANO15.m",INDEX($CK$11:$CK$22,$N$197),IF(INDEX('Dados'!$S$142:$S$257,$O$203)="COMUM.e",INDEX($CL$11:$CL$22,$N$197),IF(INDEX('Dados'!$S$142:$S$257,$O$203)="COMUM.m",INDEX($CM$11:$CM$22,$N$197),IF(INDEX('Dados'!$S$142:$S$257,$O$203)="DT",INDEX($Y$11:$Y$54,$N$197),IF(INDEX('Dados'!$S$142:$S$257,$O$203)="PV",INT(INDEX('Dados'!$T$142:$T$257,$O$203)*INDEX($Q$11:$Q$54,$N$197)/INDEX($CI$11:$CI$22,$N$197)),"")))))))))&amp;INDEX('Dados'!$U$142:$U$257,$O$203),""),IFERROR(INDEX($S$116:$S$153,MATCH(INDEX($N$11:$N$54,$N$197)&amp;"|1",$P$116:$P$153,0)),"")))</f>
        <v/>
      </c>
      <c r="O203" s="19">
        <f>IF(ISNUMBER($N$197),IFERROR(IF(INDEX($BL$11:$BL$22,$N$197)=1,MATCH(INDEX($DT$11:$DT$22,$N$197)&amp;"|1",'Dados'!$A$142:$A$257,0),""),""),"")</f>
        <v/>
      </c>
    </row>
    <row r="204" ht="37" customHeight="1">
      <c r="A204" s="33">
        <f>IF(NOT(ISNUMBER($N$197)),"",IF(INDEX($BL$11:$BL$22,$N$197)=1,IF(ISNUMBER($O$204),IF(INDEX('Dados'!$C$142:$C$257,$O$204)=0,INDEX('Dados'!$E$142:$E$257,$O$204),"Fase "&amp;INDEX('Dados'!$C$142:$C$257,$O$204)&amp;" · "&amp;INDEX('Dados'!$E$142:$E$257,$O$204)),""),IF(LEN(IFERROR(INDEX($S$116:$S$153,MATCH(INDEX($N$11:$N$54,$N$197)&amp;"|2",$P$116:$P$153,0)),""))&gt;0,"Ação 2","")))</f>
        <v/>
      </c>
      <c r="B204" s="9">
        <f>IF(NOT(ISNUMBER($N$197)),"",IF(INDEX($BL$11:$BL$22,$N$197)=1,IF(ISNUMBER($O$204),INDEX('Dados'!$I$142:$I$257,$O$204)&amp;IF(INDEX('Dados'!$J$142:$J$257,$O$204)="","",IF(INDEX('Dados'!$J$142:$J$257,$O$204)="DANO.e",INDEX($W$11:$W$54,$N$197),IF(INDEX('Dados'!$J$142:$J$257,$O$204)="DANO.m",INDEX($X$11:$X$54,$N$197),IF(INDEX('Dados'!$J$142:$J$257,$O$204)="DANO15.e",INDEX($CJ$11:$CJ$22,$N$197),IF(INDEX('Dados'!$J$142:$J$257,$O$204)="DANO15.m",INDEX($CK$11:$CK$22,$N$197),IF(INDEX('Dados'!$J$142:$J$257,$O$204)="COMUM.e",INDEX($CL$11:$CL$22,$N$197),IF(INDEX('Dados'!$J$142:$J$257,$O$204)="COMUM.m",INDEX($CM$11:$CM$22,$N$197),IF(INDEX('Dados'!$J$142:$J$257,$O$204)="DT",INDEX($Y$11:$Y$54,$N$197),IF(INDEX('Dados'!$J$142:$J$257,$O$204)="PV",INT(INDEX('Dados'!$K$142:$K$257,$O$204)*INDEX($Q$11:$Q$54,$N$197)/INDEX($CI$11:$CI$22,$N$197)),"")))))))))&amp;INDEX('Dados'!$L$142:$L$257,$O$204)&amp;IF(INDEX('Dados'!$M$142:$M$257,$O$204)="","",IF(INDEX('Dados'!$M$142:$M$257,$O$204)="DANO.e",INDEX($W$11:$W$54,$N$197),IF(INDEX('Dados'!$M$142:$M$257,$O$204)="DANO.m",INDEX($X$11:$X$54,$N$197),IF(INDEX('Dados'!$M$142:$M$257,$O$204)="DANO15.e",INDEX($CJ$11:$CJ$22,$N$197),IF(INDEX('Dados'!$M$142:$M$257,$O$204)="DANO15.m",INDEX($CK$11:$CK$22,$N$197),IF(INDEX('Dados'!$M$142:$M$257,$O$204)="COMUM.e",INDEX($CL$11:$CL$22,$N$197),IF(INDEX('Dados'!$M$142:$M$257,$O$204)="COMUM.m",INDEX($CM$11:$CM$22,$N$197),IF(INDEX('Dados'!$M$142:$M$257,$O$204)="DT",INDEX($Y$11:$Y$54,$N$197),IF(INDEX('Dados'!$M$142:$M$257,$O$204)="PV",INT(INDEX('Dados'!$N$142:$N$257,$O$204)*INDEX($Q$11:$Q$54,$N$197)/INDEX($CI$11:$CI$22,$N$197)),"")))))))))&amp;INDEX('Dados'!$O$142:$O$257,$O$204)&amp;IF(INDEX('Dados'!$P$142:$P$257,$O$204)="","",IF(INDEX('Dados'!$P$142:$P$257,$O$204)="DANO.e",INDEX($W$11:$W$54,$N$197),IF(INDEX('Dados'!$P$142:$P$257,$O$204)="DANO.m",INDEX($X$11:$X$54,$N$197),IF(INDEX('Dados'!$P$142:$P$257,$O$204)="DANO15.e",INDEX($CJ$11:$CJ$22,$N$197),IF(INDEX('Dados'!$P$142:$P$257,$O$204)="DANO15.m",INDEX($CK$11:$CK$22,$N$197),IF(INDEX('Dados'!$P$142:$P$257,$O$204)="COMUM.e",INDEX($CL$11:$CL$22,$N$197),IF(INDEX('Dados'!$P$142:$P$257,$O$204)="COMUM.m",INDEX($CM$11:$CM$22,$N$197),IF(INDEX('Dados'!$P$142:$P$257,$O$204)="DT",INDEX($Y$11:$Y$54,$N$197),IF(INDEX('Dados'!$P$142:$P$257,$O$204)="PV",INT(INDEX('Dados'!$Q$142:$Q$257,$O$204)*INDEX($Q$11:$Q$54,$N$197)/INDEX($CI$11:$CI$22,$N$197)),"")))))))))&amp;INDEX('Dados'!$R$142:$R$257,$O$204)&amp;IF(INDEX('Dados'!$S$142:$S$257,$O$204)="","",IF(INDEX('Dados'!$S$142:$S$257,$O$204)="DANO.e",INDEX($W$11:$W$54,$N$197),IF(INDEX('Dados'!$S$142:$S$257,$O$204)="DANO.m",INDEX($X$11:$X$54,$N$197),IF(INDEX('Dados'!$S$142:$S$257,$O$204)="DANO15.e",INDEX($CJ$11:$CJ$22,$N$197),IF(INDEX('Dados'!$S$142:$S$257,$O$204)="DANO15.m",INDEX($CK$11:$CK$22,$N$197),IF(INDEX('Dados'!$S$142:$S$257,$O$204)="COMUM.e",INDEX($CL$11:$CL$22,$N$197),IF(INDEX('Dados'!$S$142:$S$257,$O$204)="COMUM.m",INDEX($CM$11:$CM$22,$N$197),IF(INDEX('Dados'!$S$142:$S$257,$O$204)="DT",INDEX($Y$11:$Y$54,$N$197),IF(INDEX('Dados'!$S$142:$S$257,$O$204)="PV",INT(INDEX('Dados'!$T$142:$T$257,$O$204)*INDEX($Q$11:$Q$54,$N$197)/INDEX($CI$11:$CI$22,$N$197)),"")))))))))&amp;INDEX('Dados'!$U$142:$U$257,$O$204),""),IFERROR(INDEX($S$116:$S$153,MATCH(INDEX($N$11:$N$54,$N$197)&amp;"|2",$P$116:$P$153,0)),"")))</f>
        <v/>
      </c>
      <c r="O204" s="19">
        <f>IF(ISNUMBER($N$197),IFERROR(IF(INDEX($BL$11:$BL$22,$N$197)=1,MATCH(INDEX($DT$11:$DT$22,$N$197)&amp;"|2",'Dados'!$A$142:$A$257,0),""),""),"")</f>
        <v/>
      </c>
    </row>
    <row r="205" ht="37" customHeight="1">
      <c r="A205" s="32">
        <f>IF(NOT(ISNUMBER($N$197)),"",IF(INDEX($BL$11:$BL$22,$N$197)=1,IF(ISNUMBER($O$205),IF(INDEX('Dados'!$C$142:$C$257,$O$205)=0,INDEX('Dados'!$E$142:$E$257,$O$205),"Fase "&amp;INDEX('Dados'!$C$142:$C$257,$O$205)&amp;" · "&amp;INDEX('Dados'!$E$142:$E$257,$O$205)),""),IF(LEN(IFERROR(INDEX($S$116:$S$153,MATCH(INDEX($N$11:$N$54,$N$197)&amp;"|3",$P$116:$P$153,0)),""))&gt;0,"Ação 3","")))</f>
        <v/>
      </c>
      <c r="B205" s="4">
        <f>IF(NOT(ISNUMBER($N$197)),"",IF(INDEX($BL$11:$BL$22,$N$197)=1,IF(ISNUMBER($O$205),INDEX('Dados'!$I$142:$I$257,$O$205)&amp;IF(INDEX('Dados'!$J$142:$J$257,$O$205)="","",IF(INDEX('Dados'!$J$142:$J$257,$O$205)="DANO.e",INDEX($W$11:$W$54,$N$197),IF(INDEX('Dados'!$J$142:$J$257,$O$205)="DANO.m",INDEX($X$11:$X$54,$N$197),IF(INDEX('Dados'!$J$142:$J$257,$O$205)="DANO15.e",INDEX($CJ$11:$CJ$22,$N$197),IF(INDEX('Dados'!$J$142:$J$257,$O$205)="DANO15.m",INDEX($CK$11:$CK$22,$N$197),IF(INDEX('Dados'!$J$142:$J$257,$O$205)="COMUM.e",INDEX($CL$11:$CL$22,$N$197),IF(INDEX('Dados'!$J$142:$J$257,$O$205)="COMUM.m",INDEX($CM$11:$CM$22,$N$197),IF(INDEX('Dados'!$J$142:$J$257,$O$205)="DT",INDEX($Y$11:$Y$54,$N$197),IF(INDEX('Dados'!$J$142:$J$257,$O$205)="PV",INT(INDEX('Dados'!$K$142:$K$257,$O$205)*INDEX($Q$11:$Q$54,$N$197)/INDEX($CI$11:$CI$22,$N$197)),"")))))))))&amp;INDEX('Dados'!$L$142:$L$257,$O$205)&amp;IF(INDEX('Dados'!$M$142:$M$257,$O$205)="","",IF(INDEX('Dados'!$M$142:$M$257,$O$205)="DANO.e",INDEX($W$11:$W$54,$N$197),IF(INDEX('Dados'!$M$142:$M$257,$O$205)="DANO.m",INDEX($X$11:$X$54,$N$197),IF(INDEX('Dados'!$M$142:$M$257,$O$205)="DANO15.e",INDEX($CJ$11:$CJ$22,$N$197),IF(INDEX('Dados'!$M$142:$M$257,$O$205)="DANO15.m",INDEX($CK$11:$CK$22,$N$197),IF(INDEX('Dados'!$M$142:$M$257,$O$205)="COMUM.e",INDEX($CL$11:$CL$22,$N$197),IF(INDEX('Dados'!$M$142:$M$257,$O$205)="COMUM.m",INDEX($CM$11:$CM$22,$N$197),IF(INDEX('Dados'!$M$142:$M$257,$O$205)="DT",INDEX($Y$11:$Y$54,$N$197),IF(INDEX('Dados'!$M$142:$M$257,$O$205)="PV",INT(INDEX('Dados'!$N$142:$N$257,$O$205)*INDEX($Q$11:$Q$54,$N$197)/INDEX($CI$11:$CI$22,$N$197)),"")))))))))&amp;INDEX('Dados'!$O$142:$O$257,$O$205)&amp;IF(INDEX('Dados'!$P$142:$P$257,$O$205)="","",IF(INDEX('Dados'!$P$142:$P$257,$O$205)="DANO.e",INDEX($W$11:$W$54,$N$197),IF(INDEX('Dados'!$P$142:$P$257,$O$205)="DANO.m",INDEX($X$11:$X$54,$N$197),IF(INDEX('Dados'!$P$142:$P$257,$O$205)="DANO15.e",INDEX($CJ$11:$CJ$22,$N$197),IF(INDEX('Dados'!$P$142:$P$257,$O$205)="DANO15.m",INDEX($CK$11:$CK$22,$N$197),IF(INDEX('Dados'!$P$142:$P$257,$O$205)="COMUM.e",INDEX($CL$11:$CL$22,$N$197),IF(INDEX('Dados'!$P$142:$P$257,$O$205)="COMUM.m",INDEX($CM$11:$CM$22,$N$197),IF(INDEX('Dados'!$P$142:$P$257,$O$205)="DT",INDEX($Y$11:$Y$54,$N$197),IF(INDEX('Dados'!$P$142:$P$257,$O$205)="PV",INT(INDEX('Dados'!$Q$142:$Q$257,$O$205)*INDEX($Q$11:$Q$54,$N$197)/INDEX($CI$11:$CI$22,$N$197)),"")))))))))&amp;INDEX('Dados'!$R$142:$R$257,$O$205)&amp;IF(INDEX('Dados'!$S$142:$S$257,$O$205)="","",IF(INDEX('Dados'!$S$142:$S$257,$O$205)="DANO.e",INDEX($W$11:$W$54,$N$197),IF(INDEX('Dados'!$S$142:$S$257,$O$205)="DANO.m",INDEX($X$11:$X$54,$N$197),IF(INDEX('Dados'!$S$142:$S$257,$O$205)="DANO15.e",INDEX($CJ$11:$CJ$22,$N$197),IF(INDEX('Dados'!$S$142:$S$257,$O$205)="DANO15.m",INDEX($CK$11:$CK$22,$N$197),IF(INDEX('Dados'!$S$142:$S$257,$O$205)="COMUM.e",INDEX($CL$11:$CL$22,$N$197),IF(INDEX('Dados'!$S$142:$S$257,$O$205)="COMUM.m",INDEX($CM$11:$CM$22,$N$197),IF(INDEX('Dados'!$S$142:$S$257,$O$205)="DT",INDEX($Y$11:$Y$54,$N$197),IF(INDEX('Dados'!$S$142:$S$257,$O$205)="PV",INT(INDEX('Dados'!$T$142:$T$257,$O$205)*INDEX($Q$11:$Q$54,$N$197)/INDEX($CI$11:$CI$22,$N$197)),"")))))))))&amp;INDEX('Dados'!$U$142:$U$257,$O$205),""),IFERROR(INDEX($S$116:$S$153,MATCH(INDEX($N$11:$N$54,$N$197)&amp;"|3",$P$116:$P$153,0)),"")))</f>
        <v/>
      </c>
      <c r="O205" s="19">
        <f>IF(ISNUMBER($N$197),IFERROR(IF(INDEX($BL$11:$BL$22,$N$197)=1,MATCH(INDEX($DT$11:$DT$22,$N$197)&amp;"|3",'Dados'!$A$142:$A$257,0),""),""),"")</f>
        <v/>
      </c>
    </row>
    <row r="206" ht="37" customHeight="1">
      <c r="A206" s="33">
        <f>IF(NOT(ISNUMBER($N$197)),"",IF(INDEX($BL$11:$BL$22,$N$197)=1,IF(ISNUMBER($O$206),IF(INDEX('Dados'!$C$142:$C$257,$O$206)=0,INDEX('Dados'!$E$142:$E$257,$O$206),"Fase "&amp;INDEX('Dados'!$C$142:$C$257,$O$206)&amp;" · "&amp;INDEX('Dados'!$E$142:$E$257,$O$206)),""),IF(LEN(IFERROR(INDEX($S$116:$S$153,MATCH(INDEX($N$11:$N$54,$N$197)&amp;"|4",$P$116:$P$153,0)),""))&gt;0,"Ação 4","")))</f>
        <v/>
      </c>
      <c r="B206" s="9">
        <f>IF(NOT(ISNUMBER($N$197)),"",IF(INDEX($BL$11:$BL$22,$N$197)=1,IF(ISNUMBER($O$206),INDEX('Dados'!$I$142:$I$257,$O$206)&amp;IF(INDEX('Dados'!$J$142:$J$257,$O$206)="","",IF(INDEX('Dados'!$J$142:$J$257,$O$206)="DANO.e",INDEX($W$11:$W$54,$N$197),IF(INDEX('Dados'!$J$142:$J$257,$O$206)="DANO.m",INDEX($X$11:$X$54,$N$197),IF(INDEX('Dados'!$J$142:$J$257,$O$206)="DANO15.e",INDEX($CJ$11:$CJ$22,$N$197),IF(INDEX('Dados'!$J$142:$J$257,$O$206)="DANO15.m",INDEX($CK$11:$CK$22,$N$197),IF(INDEX('Dados'!$J$142:$J$257,$O$206)="COMUM.e",INDEX($CL$11:$CL$22,$N$197),IF(INDEX('Dados'!$J$142:$J$257,$O$206)="COMUM.m",INDEX($CM$11:$CM$22,$N$197),IF(INDEX('Dados'!$J$142:$J$257,$O$206)="DT",INDEX($Y$11:$Y$54,$N$197),IF(INDEX('Dados'!$J$142:$J$257,$O$206)="PV",INT(INDEX('Dados'!$K$142:$K$257,$O$206)*INDEX($Q$11:$Q$54,$N$197)/INDEX($CI$11:$CI$22,$N$197)),"")))))))))&amp;INDEX('Dados'!$L$142:$L$257,$O$206)&amp;IF(INDEX('Dados'!$M$142:$M$257,$O$206)="","",IF(INDEX('Dados'!$M$142:$M$257,$O$206)="DANO.e",INDEX($W$11:$W$54,$N$197),IF(INDEX('Dados'!$M$142:$M$257,$O$206)="DANO.m",INDEX($X$11:$X$54,$N$197),IF(INDEX('Dados'!$M$142:$M$257,$O$206)="DANO15.e",INDEX($CJ$11:$CJ$22,$N$197),IF(INDEX('Dados'!$M$142:$M$257,$O$206)="DANO15.m",INDEX($CK$11:$CK$22,$N$197),IF(INDEX('Dados'!$M$142:$M$257,$O$206)="COMUM.e",INDEX($CL$11:$CL$22,$N$197),IF(INDEX('Dados'!$M$142:$M$257,$O$206)="COMUM.m",INDEX($CM$11:$CM$22,$N$197),IF(INDEX('Dados'!$M$142:$M$257,$O$206)="DT",INDEX($Y$11:$Y$54,$N$197),IF(INDEX('Dados'!$M$142:$M$257,$O$206)="PV",INT(INDEX('Dados'!$N$142:$N$257,$O$206)*INDEX($Q$11:$Q$54,$N$197)/INDEX($CI$11:$CI$22,$N$197)),"")))))))))&amp;INDEX('Dados'!$O$142:$O$257,$O$206)&amp;IF(INDEX('Dados'!$P$142:$P$257,$O$206)="","",IF(INDEX('Dados'!$P$142:$P$257,$O$206)="DANO.e",INDEX($W$11:$W$54,$N$197),IF(INDEX('Dados'!$P$142:$P$257,$O$206)="DANO.m",INDEX($X$11:$X$54,$N$197),IF(INDEX('Dados'!$P$142:$P$257,$O$206)="DANO15.e",INDEX($CJ$11:$CJ$22,$N$197),IF(INDEX('Dados'!$P$142:$P$257,$O$206)="DANO15.m",INDEX($CK$11:$CK$22,$N$197),IF(INDEX('Dados'!$P$142:$P$257,$O$206)="COMUM.e",INDEX($CL$11:$CL$22,$N$197),IF(INDEX('Dados'!$P$142:$P$257,$O$206)="COMUM.m",INDEX($CM$11:$CM$22,$N$197),IF(INDEX('Dados'!$P$142:$P$257,$O$206)="DT",INDEX($Y$11:$Y$54,$N$197),IF(INDEX('Dados'!$P$142:$P$257,$O$206)="PV",INT(INDEX('Dados'!$Q$142:$Q$257,$O$206)*INDEX($Q$11:$Q$54,$N$197)/INDEX($CI$11:$CI$22,$N$197)),"")))))))))&amp;INDEX('Dados'!$R$142:$R$257,$O$206)&amp;IF(INDEX('Dados'!$S$142:$S$257,$O$206)="","",IF(INDEX('Dados'!$S$142:$S$257,$O$206)="DANO.e",INDEX($W$11:$W$54,$N$197),IF(INDEX('Dados'!$S$142:$S$257,$O$206)="DANO.m",INDEX($X$11:$X$54,$N$197),IF(INDEX('Dados'!$S$142:$S$257,$O$206)="DANO15.e",INDEX($CJ$11:$CJ$22,$N$197),IF(INDEX('Dados'!$S$142:$S$257,$O$206)="DANO15.m",INDEX($CK$11:$CK$22,$N$197),IF(INDEX('Dados'!$S$142:$S$257,$O$206)="COMUM.e",INDEX($CL$11:$CL$22,$N$197),IF(INDEX('Dados'!$S$142:$S$257,$O$206)="COMUM.m",INDEX($CM$11:$CM$22,$N$197),IF(INDEX('Dados'!$S$142:$S$257,$O$206)="DT",INDEX($Y$11:$Y$54,$N$197),IF(INDEX('Dados'!$S$142:$S$257,$O$206)="PV",INT(INDEX('Dados'!$T$142:$T$257,$O$206)*INDEX($Q$11:$Q$54,$N$197)/INDEX($CI$11:$CI$22,$N$197)),"")))))))))&amp;INDEX('Dados'!$U$142:$U$257,$O$206),""),IFERROR(INDEX($S$116:$S$153,MATCH(INDEX($N$11:$N$54,$N$197)&amp;"|4",$P$116:$P$153,0)),"")))</f>
        <v/>
      </c>
      <c r="O206" s="19">
        <f>IF(ISNUMBER($N$197),IFERROR(IF(INDEX($BL$11:$BL$22,$N$197)=1,MATCH(INDEX($DT$11:$DT$22,$N$197)&amp;"|4",'Dados'!$A$142:$A$257,0),""),""),"")</f>
        <v/>
      </c>
    </row>
    <row r="207" ht="37" customHeight="1">
      <c r="A207" s="32">
        <f>IF(NOT(ISNUMBER($N$197)),"",IF(INDEX($BL$11:$BL$22,$N$197)=1,IF(ISNUMBER($O$207),IF(INDEX('Dados'!$C$142:$C$257,$O$207)=0,INDEX('Dados'!$E$142:$E$257,$O$207),"Fase "&amp;INDEX('Dados'!$C$142:$C$257,$O$207)&amp;" · "&amp;INDEX('Dados'!$E$142:$E$257,$O$207)),""),IF(LEN(IFERROR(INDEX($S$116:$S$153,MATCH(INDEX($N$11:$N$54,$N$197)&amp;"|5",$P$116:$P$153,0)),""))&gt;0,"Ação 5","")))</f>
        <v/>
      </c>
      <c r="B207" s="4">
        <f>IF(NOT(ISNUMBER($N$197)),"",IF(INDEX($BL$11:$BL$22,$N$197)=1,IF(ISNUMBER($O$207),INDEX('Dados'!$I$142:$I$257,$O$207)&amp;IF(INDEX('Dados'!$J$142:$J$257,$O$207)="","",IF(INDEX('Dados'!$J$142:$J$257,$O$207)="DANO.e",INDEX($W$11:$W$54,$N$197),IF(INDEX('Dados'!$J$142:$J$257,$O$207)="DANO.m",INDEX($X$11:$X$54,$N$197),IF(INDEX('Dados'!$J$142:$J$257,$O$207)="DANO15.e",INDEX($CJ$11:$CJ$22,$N$197),IF(INDEX('Dados'!$J$142:$J$257,$O$207)="DANO15.m",INDEX($CK$11:$CK$22,$N$197),IF(INDEX('Dados'!$J$142:$J$257,$O$207)="COMUM.e",INDEX($CL$11:$CL$22,$N$197),IF(INDEX('Dados'!$J$142:$J$257,$O$207)="COMUM.m",INDEX($CM$11:$CM$22,$N$197),IF(INDEX('Dados'!$J$142:$J$257,$O$207)="DT",INDEX($Y$11:$Y$54,$N$197),IF(INDEX('Dados'!$J$142:$J$257,$O$207)="PV",INT(INDEX('Dados'!$K$142:$K$257,$O$207)*INDEX($Q$11:$Q$54,$N$197)/INDEX($CI$11:$CI$22,$N$197)),"")))))))))&amp;INDEX('Dados'!$L$142:$L$257,$O$207)&amp;IF(INDEX('Dados'!$M$142:$M$257,$O$207)="","",IF(INDEX('Dados'!$M$142:$M$257,$O$207)="DANO.e",INDEX($W$11:$W$54,$N$197),IF(INDEX('Dados'!$M$142:$M$257,$O$207)="DANO.m",INDEX($X$11:$X$54,$N$197),IF(INDEX('Dados'!$M$142:$M$257,$O$207)="DANO15.e",INDEX($CJ$11:$CJ$22,$N$197),IF(INDEX('Dados'!$M$142:$M$257,$O$207)="DANO15.m",INDEX($CK$11:$CK$22,$N$197),IF(INDEX('Dados'!$M$142:$M$257,$O$207)="COMUM.e",INDEX($CL$11:$CL$22,$N$197),IF(INDEX('Dados'!$M$142:$M$257,$O$207)="COMUM.m",INDEX($CM$11:$CM$22,$N$197),IF(INDEX('Dados'!$M$142:$M$257,$O$207)="DT",INDEX($Y$11:$Y$54,$N$197),IF(INDEX('Dados'!$M$142:$M$257,$O$207)="PV",INT(INDEX('Dados'!$N$142:$N$257,$O$207)*INDEX($Q$11:$Q$54,$N$197)/INDEX($CI$11:$CI$22,$N$197)),"")))))))))&amp;INDEX('Dados'!$O$142:$O$257,$O$207)&amp;IF(INDEX('Dados'!$P$142:$P$257,$O$207)="","",IF(INDEX('Dados'!$P$142:$P$257,$O$207)="DANO.e",INDEX($W$11:$W$54,$N$197),IF(INDEX('Dados'!$P$142:$P$257,$O$207)="DANO.m",INDEX($X$11:$X$54,$N$197),IF(INDEX('Dados'!$P$142:$P$257,$O$207)="DANO15.e",INDEX($CJ$11:$CJ$22,$N$197),IF(INDEX('Dados'!$P$142:$P$257,$O$207)="DANO15.m",INDEX($CK$11:$CK$22,$N$197),IF(INDEX('Dados'!$P$142:$P$257,$O$207)="COMUM.e",INDEX($CL$11:$CL$22,$N$197),IF(INDEX('Dados'!$P$142:$P$257,$O$207)="COMUM.m",INDEX($CM$11:$CM$22,$N$197),IF(INDEX('Dados'!$P$142:$P$257,$O$207)="DT",INDEX($Y$11:$Y$54,$N$197),IF(INDEX('Dados'!$P$142:$P$257,$O$207)="PV",INT(INDEX('Dados'!$Q$142:$Q$257,$O$207)*INDEX($Q$11:$Q$54,$N$197)/INDEX($CI$11:$CI$22,$N$197)),"")))))))))&amp;INDEX('Dados'!$R$142:$R$257,$O$207)&amp;IF(INDEX('Dados'!$S$142:$S$257,$O$207)="","",IF(INDEX('Dados'!$S$142:$S$257,$O$207)="DANO.e",INDEX($W$11:$W$54,$N$197),IF(INDEX('Dados'!$S$142:$S$257,$O$207)="DANO.m",INDEX($X$11:$X$54,$N$197),IF(INDEX('Dados'!$S$142:$S$257,$O$207)="DANO15.e",INDEX($CJ$11:$CJ$22,$N$197),IF(INDEX('Dados'!$S$142:$S$257,$O$207)="DANO15.m",INDEX($CK$11:$CK$22,$N$197),IF(INDEX('Dados'!$S$142:$S$257,$O$207)="COMUM.e",INDEX($CL$11:$CL$22,$N$197),IF(INDEX('Dados'!$S$142:$S$257,$O$207)="COMUM.m",INDEX($CM$11:$CM$22,$N$197),IF(INDEX('Dados'!$S$142:$S$257,$O$207)="DT",INDEX($Y$11:$Y$54,$N$197),IF(INDEX('Dados'!$S$142:$S$257,$O$207)="PV",INT(INDEX('Dados'!$T$142:$T$257,$O$207)*INDEX($Q$11:$Q$54,$N$197)/INDEX($CI$11:$CI$22,$N$197)),"")))))))))&amp;INDEX('Dados'!$U$142:$U$257,$O$207),""),IFERROR(INDEX($S$116:$S$153,MATCH(INDEX($N$11:$N$54,$N$197)&amp;"|5",$P$116:$P$153,0)),"")))</f>
        <v/>
      </c>
      <c r="O207" s="19">
        <f>IF(ISNUMBER($N$197),IFERROR(IF(INDEX($BL$11:$BL$22,$N$197)=1,MATCH(INDEX($DT$11:$DT$22,$N$197)&amp;"|5",'Dados'!$A$142:$A$257,0),""),""),"")</f>
        <v/>
      </c>
    </row>
    <row r="208" ht="37" customHeight="1">
      <c r="A208" s="33">
        <f>IF(NOT(ISNUMBER($N$197)),"",IF(INDEX($BL$11:$BL$22,$N$197)=1,IF(ISNUMBER($O$208),IF(INDEX('Dados'!$C$142:$C$257,$O$208)=0,INDEX('Dados'!$E$142:$E$257,$O$208),"Fase "&amp;INDEX('Dados'!$C$142:$C$257,$O$208)&amp;" · "&amp;INDEX('Dados'!$E$142:$E$257,$O$208)),""),IF(LEN(IFERROR(INDEX($S$116:$S$153,MATCH(INDEX($N$11:$N$54,$N$197)&amp;"|6",$P$116:$P$153,0)),""))&gt;0,"Ação 6","")))</f>
        <v/>
      </c>
      <c r="B208" s="9">
        <f>IF(NOT(ISNUMBER($N$197)),"",IF(INDEX($BL$11:$BL$22,$N$197)=1,IF(ISNUMBER($O$208),INDEX('Dados'!$I$142:$I$257,$O$208)&amp;IF(INDEX('Dados'!$J$142:$J$257,$O$208)="","",IF(INDEX('Dados'!$J$142:$J$257,$O$208)="DANO.e",INDEX($W$11:$W$54,$N$197),IF(INDEX('Dados'!$J$142:$J$257,$O$208)="DANO.m",INDEX($X$11:$X$54,$N$197),IF(INDEX('Dados'!$J$142:$J$257,$O$208)="DANO15.e",INDEX($CJ$11:$CJ$22,$N$197),IF(INDEX('Dados'!$J$142:$J$257,$O$208)="DANO15.m",INDEX($CK$11:$CK$22,$N$197),IF(INDEX('Dados'!$J$142:$J$257,$O$208)="COMUM.e",INDEX($CL$11:$CL$22,$N$197),IF(INDEX('Dados'!$J$142:$J$257,$O$208)="COMUM.m",INDEX($CM$11:$CM$22,$N$197),IF(INDEX('Dados'!$J$142:$J$257,$O$208)="DT",INDEX($Y$11:$Y$54,$N$197),IF(INDEX('Dados'!$J$142:$J$257,$O$208)="PV",INT(INDEX('Dados'!$K$142:$K$257,$O$208)*INDEX($Q$11:$Q$54,$N$197)/INDEX($CI$11:$CI$22,$N$197)),"")))))))))&amp;INDEX('Dados'!$L$142:$L$257,$O$208)&amp;IF(INDEX('Dados'!$M$142:$M$257,$O$208)="","",IF(INDEX('Dados'!$M$142:$M$257,$O$208)="DANO.e",INDEX($W$11:$W$54,$N$197),IF(INDEX('Dados'!$M$142:$M$257,$O$208)="DANO.m",INDEX($X$11:$X$54,$N$197),IF(INDEX('Dados'!$M$142:$M$257,$O$208)="DANO15.e",INDEX($CJ$11:$CJ$22,$N$197),IF(INDEX('Dados'!$M$142:$M$257,$O$208)="DANO15.m",INDEX($CK$11:$CK$22,$N$197),IF(INDEX('Dados'!$M$142:$M$257,$O$208)="COMUM.e",INDEX($CL$11:$CL$22,$N$197),IF(INDEX('Dados'!$M$142:$M$257,$O$208)="COMUM.m",INDEX($CM$11:$CM$22,$N$197),IF(INDEX('Dados'!$M$142:$M$257,$O$208)="DT",INDEX($Y$11:$Y$54,$N$197),IF(INDEX('Dados'!$M$142:$M$257,$O$208)="PV",INT(INDEX('Dados'!$N$142:$N$257,$O$208)*INDEX($Q$11:$Q$54,$N$197)/INDEX($CI$11:$CI$22,$N$197)),"")))))))))&amp;INDEX('Dados'!$O$142:$O$257,$O$208)&amp;IF(INDEX('Dados'!$P$142:$P$257,$O$208)="","",IF(INDEX('Dados'!$P$142:$P$257,$O$208)="DANO.e",INDEX($W$11:$W$54,$N$197),IF(INDEX('Dados'!$P$142:$P$257,$O$208)="DANO.m",INDEX($X$11:$X$54,$N$197),IF(INDEX('Dados'!$P$142:$P$257,$O$208)="DANO15.e",INDEX($CJ$11:$CJ$22,$N$197),IF(INDEX('Dados'!$P$142:$P$257,$O$208)="DANO15.m",INDEX($CK$11:$CK$22,$N$197),IF(INDEX('Dados'!$P$142:$P$257,$O$208)="COMUM.e",INDEX($CL$11:$CL$22,$N$197),IF(INDEX('Dados'!$P$142:$P$257,$O$208)="COMUM.m",INDEX($CM$11:$CM$22,$N$197),IF(INDEX('Dados'!$P$142:$P$257,$O$208)="DT",INDEX($Y$11:$Y$54,$N$197),IF(INDEX('Dados'!$P$142:$P$257,$O$208)="PV",INT(INDEX('Dados'!$Q$142:$Q$257,$O$208)*INDEX($Q$11:$Q$54,$N$197)/INDEX($CI$11:$CI$22,$N$197)),"")))))))))&amp;INDEX('Dados'!$R$142:$R$257,$O$208)&amp;IF(INDEX('Dados'!$S$142:$S$257,$O$208)="","",IF(INDEX('Dados'!$S$142:$S$257,$O$208)="DANO.e",INDEX($W$11:$W$54,$N$197),IF(INDEX('Dados'!$S$142:$S$257,$O$208)="DANO.m",INDEX($X$11:$X$54,$N$197),IF(INDEX('Dados'!$S$142:$S$257,$O$208)="DANO15.e",INDEX($CJ$11:$CJ$22,$N$197),IF(INDEX('Dados'!$S$142:$S$257,$O$208)="DANO15.m",INDEX($CK$11:$CK$22,$N$197),IF(INDEX('Dados'!$S$142:$S$257,$O$208)="COMUM.e",INDEX($CL$11:$CL$22,$N$197),IF(INDEX('Dados'!$S$142:$S$257,$O$208)="COMUM.m",INDEX($CM$11:$CM$22,$N$197),IF(INDEX('Dados'!$S$142:$S$257,$O$208)="DT",INDEX($Y$11:$Y$54,$N$197),IF(INDEX('Dados'!$S$142:$S$257,$O$208)="PV",INT(INDEX('Dados'!$T$142:$T$257,$O$208)*INDEX($Q$11:$Q$54,$N$197)/INDEX($CI$11:$CI$22,$N$197)),"")))))))))&amp;INDEX('Dados'!$U$142:$U$257,$O$208),""),IFERROR(INDEX($S$116:$S$153,MATCH(INDEX($N$11:$N$54,$N$197)&amp;"|6",$P$116:$P$153,0)),"")))</f>
        <v/>
      </c>
      <c r="O208" s="19">
        <f>IF(ISNUMBER($N$197),IFERROR(IF(INDEX($BL$11:$BL$22,$N$197)=1,MATCH(INDEX($DT$11:$DT$22,$N$197)&amp;"|6",'Dados'!$A$142:$A$257,0),""),""),"")</f>
        <v/>
      </c>
    </row>
    <row r="209" ht="37" customHeight="1">
      <c r="A209" s="32">
        <f>IF(NOT(ISNUMBER($N$197)),"",IF(INDEX($BL$11:$BL$22,$N$197)=1,IF(ISNUMBER($O$209),IF(INDEX('Dados'!$C$142:$C$257,$O$209)=0,INDEX('Dados'!$E$142:$E$257,$O$209),"Fase "&amp;INDEX('Dados'!$C$142:$C$257,$O$209)&amp;" · "&amp;INDEX('Dados'!$E$142:$E$257,$O$209)),""),IF(LEN(IFERROR(INDEX($S$116:$S$153,MATCH(INDEX($N$11:$N$54,$N$197)&amp;"|7",$P$116:$P$153,0)),""))&gt;0,"Ação 7","")))</f>
        <v/>
      </c>
      <c r="B209" s="4">
        <f>IF(NOT(ISNUMBER($N$197)),"",IF(INDEX($BL$11:$BL$22,$N$197)=1,IF(ISNUMBER($O$209),INDEX('Dados'!$I$142:$I$257,$O$209)&amp;IF(INDEX('Dados'!$J$142:$J$257,$O$209)="","",IF(INDEX('Dados'!$J$142:$J$257,$O$209)="DANO.e",INDEX($W$11:$W$54,$N$197),IF(INDEX('Dados'!$J$142:$J$257,$O$209)="DANO.m",INDEX($X$11:$X$54,$N$197),IF(INDEX('Dados'!$J$142:$J$257,$O$209)="DANO15.e",INDEX($CJ$11:$CJ$22,$N$197),IF(INDEX('Dados'!$J$142:$J$257,$O$209)="DANO15.m",INDEX($CK$11:$CK$22,$N$197),IF(INDEX('Dados'!$J$142:$J$257,$O$209)="COMUM.e",INDEX($CL$11:$CL$22,$N$197),IF(INDEX('Dados'!$J$142:$J$257,$O$209)="COMUM.m",INDEX($CM$11:$CM$22,$N$197),IF(INDEX('Dados'!$J$142:$J$257,$O$209)="DT",INDEX($Y$11:$Y$54,$N$197),IF(INDEX('Dados'!$J$142:$J$257,$O$209)="PV",INT(INDEX('Dados'!$K$142:$K$257,$O$209)*INDEX($Q$11:$Q$54,$N$197)/INDEX($CI$11:$CI$22,$N$197)),"")))))))))&amp;INDEX('Dados'!$L$142:$L$257,$O$209)&amp;IF(INDEX('Dados'!$M$142:$M$257,$O$209)="","",IF(INDEX('Dados'!$M$142:$M$257,$O$209)="DANO.e",INDEX($W$11:$W$54,$N$197),IF(INDEX('Dados'!$M$142:$M$257,$O$209)="DANO.m",INDEX($X$11:$X$54,$N$197),IF(INDEX('Dados'!$M$142:$M$257,$O$209)="DANO15.e",INDEX($CJ$11:$CJ$22,$N$197),IF(INDEX('Dados'!$M$142:$M$257,$O$209)="DANO15.m",INDEX($CK$11:$CK$22,$N$197),IF(INDEX('Dados'!$M$142:$M$257,$O$209)="COMUM.e",INDEX($CL$11:$CL$22,$N$197),IF(INDEX('Dados'!$M$142:$M$257,$O$209)="COMUM.m",INDEX($CM$11:$CM$22,$N$197),IF(INDEX('Dados'!$M$142:$M$257,$O$209)="DT",INDEX($Y$11:$Y$54,$N$197),IF(INDEX('Dados'!$M$142:$M$257,$O$209)="PV",INT(INDEX('Dados'!$N$142:$N$257,$O$209)*INDEX($Q$11:$Q$54,$N$197)/INDEX($CI$11:$CI$22,$N$197)),"")))))))))&amp;INDEX('Dados'!$O$142:$O$257,$O$209)&amp;IF(INDEX('Dados'!$P$142:$P$257,$O$209)="","",IF(INDEX('Dados'!$P$142:$P$257,$O$209)="DANO.e",INDEX($W$11:$W$54,$N$197),IF(INDEX('Dados'!$P$142:$P$257,$O$209)="DANO.m",INDEX($X$11:$X$54,$N$197),IF(INDEX('Dados'!$P$142:$P$257,$O$209)="DANO15.e",INDEX($CJ$11:$CJ$22,$N$197),IF(INDEX('Dados'!$P$142:$P$257,$O$209)="DANO15.m",INDEX($CK$11:$CK$22,$N$197),IF(INDEX('Dados'!$P$142:$P$257,$O$209)="COMUM.e",INDEX($CL$11:$CL$22,$N$197),IF(INDEX('Dados'!$P$142:$P$257,$O$209)="COMUM.m",INDEX($CM$11:$CM$22,$N$197),IF(INDEX('Dados'!$P$142:$P$257,$O$209)="DT",INDEX($Y$11:$Y$54,$N$197),IF(INDEX('Dados'!$P$142:$P$257,$O$209)="PV",INT(INDEX('Dados'!$Q$142:$Q$257,$O$209)*INDEX($Q$11:$Q$54,$N$197)/INDEX($CI$11:$CI$22,$N$197)),"")))))))))&amp;INDEX('Dados'!$R$142:$R$257,$O$209)&amp;IF(INDEX('Dados'!$S$142:$S$257,$O$209)="","",IF(INDEX('Dados'!$S$142:$S$257,$O$209)="DANO.e",INDEX($W$11:$W$54,$N$197),IF(INDEX('Dados'!$S$142:$S$257,$O$209)="DANO.m",INDEX($X$11:$X$54,$N$197),IF(INDEX('Dados'!$S$142:$S$257,$O$209)="DANO15.e",INDEX($CJ$11:$CJ$22,$N$197),IF(INDEX('Dados'!$S$142:$S$257,$O$209)="DANO15.m",INDEX($CK$11:$CK$22,$N$197),IF(INDEX('Dados'!$S$142:$S$257,$O$209)="COMUM.e",INDEX($CL$11:$CL$22,$N$197),IF(INDEX('Dados'!$S$142:$S$257,$O$209)="COMUM.m",INDEX($CM$11:$CM$22,$N$197),IF(INDEX('Dados'!$S$142:$S$257,$O$209)="DT",INDEX($Y$11:$Y$54,$N$197),IF(INDEX('Dados'!$S$142:$S$257,$O$209)="PV",INT(INDEX('Dados'!$T$142:$T$257,$O$209)*INDEX($Q$11:$Q$54,$N$197)/INDEX($CI$11:$CI$22,$N$197)),"")))))))))&amp;INDEX('Dados'!$U$142:$U$257,$O$209),""),IFERROR(INDEX($S$116:$S$153,MATCH(INDEX($N$11:$N$54,$N$197)&amp;"|7",$P$116:$P$153,0)),"")))</f>
        <v/>
      </c>
      <c r="O209" s="19">
        <f>IF(ISNUMBER($N$197),IFERROR(IF(INDEX($BL$11:$BL$22,$N$197)=1,MATCH(INDEX($DT$11:$DT$22,$N$197)&amp;"|7",'Dados'!$A$142:$A$257,0),""),""),"")</f>
        <v/>
      </c>
    </row>
    <row r="210" ht="37" customHeight="1">
      <c r="A210" s="33">
        <f>IF(NOT(ISNUMBER($N$197)),"",IF(INDEX($BL$11:$BL$22,$N$197)=1,IF(ISNUMBER($O$210),IF(INDEX('Dados'!$C$142:$C$257,$O$210)=0,INDEX('Dados'!$E$142:$E$257,$O$210),"Fase "&amp;INDEX('Dados'!$C$142:$C$257,$O$210)&amp;" · "&amp;INDEX('Dados'!$E$142:$E$257,$O$210)),""),IF(LEN(IFERROR(INDEX($S$116:$S$153,MATCH(INDEX($N$11:$N$54,$N$197)&amp;"|8",$P$116:$P$153,0)),""))&gt;0,"Ação 8","")))</f>
        <v/>
      </c>
      <c r="B210" s="9">
        <f>IF(NOT(ISNUMBER($N$197)),"",IF(INDEX($BL$11:$BL$22,$N$197)=1,IF(ISNUMBER($O$210),INDEX('Dados'!$I$142:$I$257,$O$210)&amp;IF(INDEX('Dados'!$J$142:$J$257,$O$210)="","",IF(INDEX('Dados'!$J$142:$J$257,$O$210)="DANO.e",INDEX($W$11:$W$54,$N$197),IF(INDEX('Dados'!$J$142:$J$257,$O$210)="DANO.m",INDEX($X$11:$X$54,$N$197),IF(INDEX('Dados'!$J$142:$J$257,$O$210)="DANO15.e",INDEX($CJ$11:$CJ$22,$N$197),IF(INDEX('Dados'!$J$142:$J$257,$O$210)="DANO15.m",INDEX($CK$11:$CK$22,$N$197),IF(INDEX('Dados'!$J$142:$J$257,$O$210)="COMUM.e",INDEX($CL$11:$CL$22,$N$197),IF(INDEX('Dados'!$J$142:$J$257,$O$210)="COMUM.m",INDEX($CM$11:$CM$22,$N$197),IF(INDEX('Dados'!$J$142:$J$257,$O$210)="DT",INDEX($Y$11:$Y$54,$N$197),IF(INDEX('Dados'!$J$142:$J$257,$O$210)="PV",INT(INDEX('Dados'!$K$142:$K$257,$O$210)*INDEX($Q$11:$Q$54,$N$197)/INDEX($CI$11:$CI$22,$N$197)),"")))))))))&amp;INDEX('Dados'!$L$142:$L$257,$O$210)&amp;IF(INDEX('Dados'!$M$142:$M$257,$O$210)="","",IF(INDEX('Dados'!$M$142:$M$257,$O$210)="DANO.e",INDEX($W$11:$W$54,$N$197),IF(INDEX('Dados'!$M$142:$M$257,$O$210)="DANO.m",INDEX($X$11:$X$54,$N$197),IF(INDEX('Dados'!$M$142:$M$257,$O$210)="DANO15.e",INDEX($CJ$11:$CJ$22,$N$197),IF(INDEX('Dados'!$M$142:$M$257,$O$210)="DANO15.m",INDEX($CK$11:$CK$22,$N$197),IF(INDEX('Dados'!$M$142:$M$257,$O$210)="COMUM.e",INDEX($CL$11:$CL$22,$N$197),IF(INDEX('Dados'!$M$142:$M$257,$O$210)="COMUM.m",INDEX($CM$11:$CM$22,$N$197),IF(INDEX('Dados'!$M$142:$M$257,$O$210)="DT",INDEX($Y$11:$Y$54,$N$197),IF(INDEX('Dados'!$M$142:$M$257,$O$210)="PV",INT(INDEX('Dados'!$N$142:$N$257,$O$210)*INDEX($Q$11:$Q$54,$N$197)/INDEX($CI$11:$CI$22,$N$197)),"")))))))))&amp;INDEX('Dados'!$O$142:$O$257,$O$210)&amp;IF(INDEX('Dados'!$P$142:$P$257,$O$210)="","",IF(INDEX('Dados'!$P$142:$P$257,$O$210)="DANO.e",INDEX($W$11:$W$54,$N$197),IF(INDEX('Dados'!$P$142:$P$257,$O$210)="DANO.m",INDEX($X$11:$X$54,$N$197),IF(INDEX('Dados'!$P$142:$P$257,$O$210)="DANO15.e",INDEX($CJ$11:$CJ$22,$N$197),IF(INDEX('Dados'!$P$142:$P$257,$O$210)="DANO15.m",INDEX($CK$11:$CK$22,$N$197),IF(INDEX('Dados'!$P$142:$P$257,$O$210)="COMUM.e",INDEX($CL$11:$CL$22,$N$197),IF(INDEX('Dados'!$P$142:$P$257,$O$210)="COMUM.m",INDEX($CM$11:$CM$22,$N$197),IF(INDEX('Dados'!$P$142:$P$257,$O$210)="DT",INDEX($Y$11:$Y$54,$N$197),IF(INDEX('Dados'!$P$142:$P$257,$O$210)="PV",INT(INDEX('Dados'!$Q$142:$Q$257,$O$210)*INDEX($Q$11:$Q$54,$N$197)/INDEX($CI$11:$CI$22,$N$197)),"")))))))))&amp;INDEX('Dados'!$R$142:$R$257,$O$210)&amp;IF(INDEX('Dados'!$S$142:$S$257,$O$210)="","",IF(INDEX('Dados'!$S$142:$S$257,$O$210)="DANO.e",INDEX($W$11:$W$54,$N$197),IF(INDEX('Dados'!$S$142:$S$257,$O$210)="DANO.m",INDEX($X$11:$X$54,$N$197),IF(INDEX('Dados'!$S$142:$S$257,$O$210)="DANO15.e",INDEX($CJ$11:$CJ$22,$N$197),IF(INDEX('Dados'!$S$142:$S$257,$O$210)="DANO15.m",INDEX($CK$11:$CK$22,$N$197),IF(INDEX('Dados'!$S$142:$S$257,$O$210)="COMUM.e",INDEX($CL$11:$CL$22,$N$197),IF(INDEX('Dados'!$S$142:$S$257,$O$210)="COMUM.m",INDEX($CM$11:$CM$22,$N$197),IF(INDEX('Dados'!$S$142:$S$257,$O$210)="DT",INDEX($Y$11:$Y$54,$N$197),IF(INDEX('Dados'!$S$142:$S$257,$O$210)="PV",INT(INDEX('Dados'!$T$142:$T$257,$O$210)*INDEX($Q$11:$Q$54,$N$197)/INDEX($CI$11:$CI$22,$N$197)),"")))))))))&amp;INDEX('Dados'!$U$142:$U$257,$O$210),""),IFERROR(INDEX($S$116:$S$153,MATCH(INDEX($N$11:$N$54,$N$197)&amp;"|8",$P$116:$P$153,0)),"")))</f>
        <v/>
      </c>
      <c r="O210" s="19">
        <f>IF(ISNUMBER($N$197),IFERROR(IF(INDEX($BL$11:$BL$22,$N$197)=1,MATCH(INDEX($DT$11:$DT$22,$N$197)&amp;"|8",'Dados'!$A$142:$A$257,0),""),""),"")</f>
        <v/>
      </c>
    </row>
    <row r="211" ht="37" customHeight="1">
      <c r="A211" s="32">
        <f>IF(NOT(ISNUMBER($N$197)),"",IF(INDEX($BL$11:$BL$22,$N$197)=1,IF(ISNUMBER($O$211),IF(INDEX('Dados'!$C$142:$C$257,$O$211)=0,INDEX('Dados'!$E$142:$E$257,$O$211),"Fase "&amp;INDEX('Dados'!$C$142:$C$257,$O$211)&amp;" · "&amp;INDEX('Dados'!$E$142:$E$257,$O$211)),""),IF(LEN(IFERROR(INDEX($S$116:$S$153,MATCH(INDEX($N$11:$N$54,$N$197)&amp;"|9",$P$116:$P$153,0)),""))&gt;0,"Ação 9","")))</f>
        <v/>
      </c>
      <c r="B211" s="4">
        <f>IF(NOT(ISNUMBER($N$197)),"",IF(INDEX($BL$11:$BL$22,$N$197)=1,IF(ISNUMBER($O$211),INDEX('Dados'!$I$142:$I$257,$O$211)&amp;IF(INDEX('Dados'!$J$142:$J$257,$O$211)="","",IF(INDEX('Dados'!$J$142:$J$257,$O$211)="DANO.e",INDEX($W$11:$W$54,$N$197),IF(INDEX('Dados'!$J$142:$J$257,$O$211)="DANO.m",INDEX($X$11:$X$54,$N$197),IF(INDEX('Dados'!$J$142:$J$257,$O$211)="DANO15.e",INDEX($CJ$11:$CJ$22,$N$197),IF(INDEX('Dados'!$J$142:$J$257,$O$211)="DANO15.m",INDEX($CK$11:$CK$22,$N$197),IF(INDEX('Dados'!$J$142:$J$257,$O$211)="COMUM.e",INDEX($CL$11:$CL$22,$N$197),IF(INDEX('Dados'!$J$142:$J$257,$O$211)="COMUM.m",INDEX($CM$11:$CM$22,$N$197),IF(INDEX('Dados'!$J$142:$J$257,$O$211)="DT",INDEX($Y$11:$Y$54,$N$197),IF(INDEX('Dados'!$J$142:$J$257,$O$211)="PV",INT(INDEX('Dados'!$K$142:$K$257,$O$211)*INDEX($Q$11:$Q$54,$N$197)/INDEX($CI$11:$CI$22,$N$197)),"")))))))))&amp;INDEX('Dados'!$L$142:$L$257,$O$211)&amp;IF(INDEX('Dados'!$M$142:$M$257,$O$211)="","",IF(INDEX('Dados'!$M$142:$M$257,$O$211)="DANO.e",INDEX($W$11:$W$54,$N$197),IF(INDEX('Dados'!$M$142:$M$257,$O$211)="DANO.m",INDEX($X$11:$X$54,$N$197),IF(INDEX('Dados'!$M$142:$M$257,$O$211)="DANO15.e",INDEX($CJ$11:$CJ$22,$N$197),IF(INDEX('Dados'!$M$142:$M$257,$O$211)="DANO15.m",INDEX($CK$11:$CK$22,$N$197),IF(INDEX('Dados'!$M$142:$M$257,$O$211)="COMUM.e",INDEX($CL$11:$CL$22,$N$197),IF(INDEX('Dados'!$M$142:$M$257,$O$211)="COMUM.m",INDEX($CM$11:$CM$22,$N$197),IF(INDEX('Dados'!$M$142:$M$257,$O$211)="DT",INDEX($Y$11:$Y$54,$N$197),IF(INDEX('Dados'!$M$142:$M$257,$O$211)="PV",INT(INDEX('Dados'!$N$142:$N$257,$O$211)*INDEX($Q$11:$Q$54,$N$197)/INDEX($CI$11:$CI$22,$N$197)),"")))))))))&amp;INDEX('Dados'!$O$142:$O$257,$O$211)&amp;IF(INDEX('Dados'!$P$142:$P$257,$O$211)="","",IF(INDEX('Dados'!$P$142:$P$257,$O$211)="DANO.e",INDEX($W$11:$W$54,$N$197),IF(INDEX('Dados'!$P$142:$P$257,$O$211)="DANO.m",INDEX($X$11:$X$54,$N$197),IF(INDEX('Dados'!$P$142:$P$257,$O$211)="DANO15.e",INDEX($CJ$11:$CJ$22,$N$197),IF(INDEX('Dados'!$P$142:$P$257,$O$211)="DANO15.m",INDEX($CK$11:$CK$22,$N$197),IF(INDEX('Dados'!$P$142:$P$257,$O$211)="COMUM.e",INDEX($CL$11:$CL$22,$N$197),IF(INDEX('Dados'!$P$142:$P$257,$O$211)="COMUM.m",INDEX($CM$11:$CM$22,$N$197),IF(INDEX('Dados'!$P$142:$P$257,$O$211)="DT",INDEX($Y$11:$Y$54,$N$197),IF(INDEX('Dados'!$P$142:$P$257,$O$211)="PV",INT(INDEX('Dados'!$Q$142:$Q$257,$O$211)*INDEX($Q$11:$Q$54,$N$197)/INDEX($CI$11:$CI$22,$N$197)),"")))))))))&amp;INDEX('Dados'!$R$142:$R$257,$O$211)&amp;IF(INDEX('Dados'!$S$142:$S$257,$O$211)="","",IF(INDEX('Dados'!$S$142:$S$257,$O$211)="DANO.e",INDEX($W$11:$W$54,$N$197),IF(INDEX('Dados'!$S$142:$S$257,$O$211)="DANO.m",INDEX($X$11:$X$54,$N$197),IF(INDEX('Dados'!$S$142:$S$257,$O$211)="DANO15.e",INDEX($CJ$11:$CJ$22,$N$197),IF(INDEX('Dados'!$S$142:$S$257,$O$211)="DANO15.m",INDEX($CK$11:$CK$22,$N$197),IF(INDEX('Dados'!$S$142:$S$257,$O$211)="COMUM.e",INDEX($CL$11:$CL$22,$N$197),IF(INDEX('Dados'!$S$142:$S$257,$O$211)="COMUM.m",INDEX($CM$11:$CM$22,$N$197),IF(INDEX('Dados'!$S$142:$S$257,$O$211)="DT",INDEX($Y$11:$Y$54,$N$197),IF(INDEX('Dados'!$S$142:$S$257,$O$211)="PV",INT(INDEX('Dados'!$T$142:$T$257,$O$211)*INDEX($Q$11:$Q$54,$N$197)/INDEX($CI$11:$CI$22,$N$197)),"")))))))))&amp;INDEX('Dados'!$U$142:$U$257,$O$211),""),IFERROR(INDEX($S$116:$S$153,MATCH(INDEX($N$11:$N$54,$N$197)&amp;"|9",$P$116:$P$153,0)),"")))</f>
        <v/>
      </c>
      <c r="O211" s="19">
        <f>IF(ISNUMBER($N$197),IFERROR(IF(INDEX($BL$11:$BL$22,$N$197)=1,MATCH(INDEX($DT$11:$DT$22,$N$197)&amp;"|9",'Dados'!$A$142:$A$257,0),""),""),"")</f>
        <v/>
      </c>
    </row>
    <row r="212" ht="37" customHeight="1">
      <c r="A212" s="33">
        <f>IF(NOT(ISNUMBER($N$197)),"",IF(INDEX($BL$11:$BL$22,$N$197)=1,IF(ISNUMBER($O$212),IF(INDEX('Dados'!$C$142:$C$257,$O$212)=0,INDEX('Dados'!$E$142:$E$257,$O$212),"Fase "&amp;INDEX('Dados'!$C$142:$C$257,$O$212)&amp;" · "&amp;INDEX('Dados'!$E$142:$E$257,$O$212)),""),IF(LEN(IFERROR(INDEX($S$116:$S$153,MATCH(INDEX($N$11:$N$54,$N$197)&amp;"|10",$P$116:$P$153,0)),""))&gt;0,"Ação 10","")))</f>
        <v/>
      </c>
      <c r="B212" s="9">
        <f>IF(NOT(ISNUMBER($N$197)),"",IF(INDEX($BL$11:$BL$22,$N$197)=1,IF(ISNUMBER($O$212),INDEX('Dados'!$I$142:$I$257,$O$212)&amp;IF(INDEX('Dados'!$J$142:$J$257,$O$212)="","",IF(INDEX('Dados'!$J$142:$J$257,$O$212)="DANO.e",INDEX($W$11:$W$54,$N$197),IF(INDEX('Dados'!$J$142:$J$257,$O$212)="DANO.m",INDEX($X$11:$X$54,$N$197),IF(INDEX('Dados'!$J$142:$J$257,$O$212)="DANO15.e",INDEX($CJ$11:$CJ$22,$N$197),IF(INDEX('Dados'!$J$142:$J$257,$O$212)="DANO15.m",INDEX($CK$11:$CK$22,$N$197),IF(INDEX('Dados'!$J$142:$J$257,$O$212)="COMUM.e",INDEX($CL$11:$CL$22,$N$197),IF(INDEX('Dados'!$J$142:$J$257,$O$212)="COMUM.m",INDEX($CM$11:$CM$22,$N$197),IF(INDEX('Dados'!$J$142:$J$257,$O$212)="DT",INDEX($Y$11:$Y$54,$N$197),IF(INDEX('Dados'!$J$142:$J$257,$O$212)="PV",INT(INDEX('Dados'!$K$142:$K$257,$O$212)*INDEX($Q$11:$Q$54,$N$197)/INDEX($CI$11:$CI$22,$N$197)),"")))))))))&amp;INDEX('Dados'!$L$142:$L$257,$O$212)&amp;IF(INDEX('Dados'!$M$142:$M$257,$O$212)="","",IF(INDEX('Dados'!$M$142:$M$257,$O$212)="DANO.e",INDEX($W$11:$W$54,$N$197),IF(INDEX('Dados'!$M$142:$M$257,$O$212)="DANO.m",INDEX($X$11:$X$54,$N$197),IF(INDEX('Dados'!$M$142:$M$257,$O$212)="DANO15.e",INDEX($CJ$11:$CJ$22,$N$197),IF(INDEX('Dados'!$M$142:$M$257,$O$212)="DANO15.m",INDEX($CK$11:$CK$22,$N$197),IF(INDEX('Dados'!$M$142:$M$257,$O$212)="COMUM.e",INDEX($CL$11:$CL$22,$N$197),IF(INDEX('Dados'!$M$142:$M$257,$O$212)="COMUM.m",INDEX($CM$11:$CM$22,$N$197),IF(INDEX('Dados'!$M$142:$M$257,$O$212)="DT",INDEX($Y$11:$Y$54,$N$197),IF(INDEX('Dados'!$M$142:$M$257,$O$212)="PV",INT(INDEX('Dados'!$N$142:$N$257,$O$212)*INDEX($Q$11:$Q$54,$N$197)/INDEX($CI$11:$CI$22,$N$197)),"")))))))))&amp;INDEX('Dados'!$O$142:$O$257,$O$212)&amp;IF(INDEX('Dados'!$P$142:$P$257,$O$212)="","",IF(INDEX('Dados'!$P$142:$P$257,$O$212)="DANO.e",INDEX($W$11:$W$54,$N$197),IF(INDEX('Dados'!$P$142:$P$257,$O$212)="DANO.m",INDEX($X$11:$X$54,$N$197),IF(INDEX('Dados'!$P$142:$P$257,$O$212)="DANO15.e",INDEX($CJ$11:$CJ$22,$N$197),IF(INDEX('Dados'!$P$142:$P$257,$O$212)="DANO15.m",INDEX($CK$11:$CK$22,$N$197),IF(INDEX('Dados'!$P$142:$P$257,$O$212)="COMUM.e",INDEX($CL$11:$CL$22,$N$197),IF(INDEX('Dados'!$P$142:$P$257,$O$212)="COMUM.m",INDEX($CM$11:$CM$22,$N$197),IF(INDEX('Dados'!$P$142:$P$257,$O$212)="DT",INDEX($Y$11:$Y$54,$N$197),IF(INDEX('Dados'!$P$142:$P$257,$O$212)="PV",INT(INDEX('Dados'!$Q$142:$Q$257,$O$212)*INDEX($Q$11:$Q$54,$N$197)/INDEX($CI$11:$CI$22,$N$197)),"")))))))))&amp;INDEX('Dados'!$R$142:$R$257,$O$212)&amp;IF(INDEX('Dados'!$S$142:$S$257,$O$212)="","",IF(INDEX('Dados'!$S$142:$S$257,$O$212)="DANO.e",INDEX($W$11:$W$54,$N$197),IF(INDEX('Dados'!$S$142:$S$257,$O$212)="DANO.m",INDEX($X$11:$X$54,$N$197),IF(INDEX('Dados'!$S$142:$S$257,$O$212)="DANO15.e",INDEX($CJ$11:$CJ$22,$N$197),IF(INDEX('Dados'!$S$142:$S$257,$O$212)="DANO15.m",INDEX($CK$11:$CK$22,$N$197),IF(INDEX('Dados'!$S$142:$S$257,$O$212)="COMUM.e",INDEX($CL$11:$CL$22,$N$197),IF(INDEX('Dados'!$S$142:$S$257,$O$212)="COMUM.m",INDEX($CM$11:$CM$22,$N$197),IF(INDEX('Dados'!$S$142:$S$257,$O$212)="DT",INDEX($Y$11:$Y$54,$N$197),IF(INDEX('Dados'!$S$142:$S$257,$O$212)="PV",INT(INDEX('Dados'!$T$142:$T$257,$O$212)*INDEX($Q$11:$Q$54,$N$197)/INDEX($CI$11:$CI$22,$N$197)),"")))))))))&amp;INDEX('Dados'!$U$142:$U$257,$O$212),""),IFERROR(INDEX($S$116:$S$153,MATCH(INDEX($N$11:$N$54,$N$197)&amp;"|10",$P$116:$P$153,0)),"")))</f>
        <v/>
      </c>
      <c r="O212" s="19">
        <f>IF(ISNUMBER($N$197),IFERROR(IF(INDEX($BL$11:$BL$22,$N$197)=1,MATCH(INDEX($DT$11:$DT$22,$N$197)&amp;"|10",'Dados'!$A$142:$A$257,0),""),""),"")</f>
        <v/>
      </c>
    </row>
    <row r="213" ht="37" customHeight="1">
      <c r="A213" s="32">
        <f>IF(NOT(ISNUMBER($N$197)),"",IF(INDEX($BL$11:$BL$22,$N$197)=1,IF(ISNUMBER($O$213),IF(INDEX('Dados'!$C$142:$C$257,$O$213)=0,INDEX('Dados'!$E$142:$E$257,$O$213),"Fase "&amp;INDEX('Dados'!$C$142:$C$257,$O$213)&amp;" · "&amp;INDEX('Dados'!$E$142:$E$257,$O$213)),""),IF(LEN(IFERROR(INDEX($S$116:$S$153,MATCH(INDEX($N$11:$N$54,$N$197)&amp;"|11",$P$116:$P$153,0)),""))&gt;0,"Ação 11","")))</f>
        <v/>
      </c>
      <c r="B213" s="4">
        <f>IF(NOT(ISNUMBER($N$197)),"",IF(INDEX($BL$11:$BL$22,$N$197)=1,IF(ISNUMBER($O$213),INDEX('Dados'!$I$142:$I$257,$O$213)&amp;IF(INDEX('Dados'!$J$142:$J$257,$O$213)="","",IF(INDEX('Dados'!$J$142:$J$257,$O$213)="DANO.e",INDEX($W$11:$W$54,$N$197),IF(INDEX('Dados'!$J$142:$J$257,$O$213)="DANO.m",INDEX($X$11:$X$54,$N$197),IF(INDEX('Dados'!$J$142:$J$257,$O$213)="DANO15.e",INDEX($CJ$11:$CJ$22,$N$197),IF(INDEX('Dados'!$J$142:$J$257,$O$213)="DANO15.m",INDEX($CK$11:$CK$22,$N$197),IF(INDEX('Dados'!$J$142:$J$257,$O$213)="COMUM.e",INDEX($CL$11:$CL$22,$N$197),IF(INDEX('Dados'!$J$142:$J$257,$O$213)="COMUM.m",INDEX($CM$11:$CM$22,$N$197),IF(INDEX('Dados'!$J$142:$J$257,$O$213)="DT",INDEX($Y$11:$Y$54,$N$197),IF(INDEX('Dados'!$J$142:$J$257,$O$213)="PV",INT(INDEX('Dados'!$K$142:$K$257,$O$213)*INDEX($Q$11:$Q$54,$N$197)/INDEX($CI$11:$CI$22,$N$197)),"")))))))))&amp;INDEX('Dados'!$L$142:$L$257,$O$213)&amp;IF(INDEX('Dados'!$M$142:$M$257,$O$213)="","",IF(INDEX('Dados'!$M$142:$M$257,$O$213)="DANO.e",INDEX($W$11:$W$54,$N$197),IF(INDEX('Dados'!$M$142:$M$257,$O$213)="DANO.m",INDEX($X$11:$X$54,$N$197),IF(INDEX('Dados'!$M$142:$M$257,$O$213)="DANO15.e",INDEX($CJ$11:$CJ$22,$N$197),IF(INDEX('Dados'!$M$142:$M$257,$O$213)="DANO15.m",INDEX($CK$11:$CK$22,$N$197),IF(INDEX('Dados'!$M$142:$M$257,$O$213)="COMUM.e",INDEX($CL$11:$CL$22,$N$197),IF(INDEX('Dados'!$M$142:$M$257,$O$213)="COMUM.m",INDEX($CM$11:$CM$22,$N$197),IF(INDEX('Dados'!$M$142:$M$257,$O$213)="DT",INDEX($Y$11:$Y$54,$N$197),IF(INDEX('Dados'!$M$142:$M$257,$O$213)="PV",INT(INDEX('Dados'!$N$142:$N$257,$O$213)*INDEX($Q$11:$Q$54,$N$197)/INDEX($CI$11:$CI$22,$N$197)),"")))))))))&amp;INDEX('Dados'!$O$142:$O$257,$O$213)&amp;IF(INDEX('Dados'!$P$142:$P$257,$O$213)="","",IF(INDEX('Dados'!$P$142:$P$257,$O$213)="DANO.e",INDEX($W$11:$W$54,$N$197),IF(INDEX('Dados'!$P$142:$P$257,$O$213)="DANO.m",INDEX($X$11:$X$54,$N$197),IF(INDEX('Dados'!$P$142:$P$257,$O$213)="DANO15.e",INDEX($CJ$11:$CJ$22,$N$197),IF(INDEX('Dados'!$P$142:$P$257,$O$213)="DANO15.m",INDEX($CK$11:$CK$22,$N$197),IF(INDEX('Dados'!$P$142:$P$257,$O$213)="COMUM.e",INDEX($CL$11:$CL$22,$N$197),IF(INDEX('Dados'!$P$142:$P$257,$O$213)="COMUM.m",INDEX($CM$11:$CM$22,$N$197),IF(INDEX('Dados'!$P$142:$P$257,$O$213)="DT",INDEX($Y$11:$Y$54,$N$197),IF(INDEX('Dados'!$P$142:$P$257,$O$213)="PV",INT(INDEX('Dados'!$Q$142:$Q$257,$O$213)*INDEX($Q$11:$Q$54,$N$197)/INDEX($CI$11:$CI$22,$N$197)),"")))))))))&amp;INDEX('Dados'!$R$142:$R$257,$O$213)&amp;IF(INDEX('Dados'!$S$142:$S$257,$O$213)="","",IF(INDEX('Dados'!$S$142:$S$257,$O$213)="DANO.e",INDEX($W$11:$W$54,$N$197),IF(INDEX('Dados'!$S$142:$S$257,$O$213)="DANO.m",INDEX($X$11:$X$54,$N$197),IF(INDEX('Dados'!$S$142:$S$257,$O$213)="DANO15.e",INDEX($CJ$11:$CJ$22,$N$197),IF(INDEX('Dados'!$S$142:$S$257,$O$213)="DANO15.m",INDEX($CK$11:$CK$22,$N$197),IF(INDEX('Dados'!$S$142:$S$257,$O$213)="COMUM.e",INDEX($CL$11:$CL$22,$N$197),IF(INDEX('Dados'!$S$142:$S$257,$O$213)="COMUM.m",INDEX($CM$11:$CM$22,$N$197),IF(INDEX('Dados'!$S$142:$S$257,$O$213)="DT",INDEX($Y$11:$Y$54,$N$197),IF(INDEX('Dados'!$S$142:$S$257,$O$213)="PV",INT(INDEX('Dados'!$T$142:$T$257,$O$213)*INDEX($Q$11:$Q$54,$N$197)/INDEX($CI$11:$CI$22,$N$197)),"")))))))))&amp;INDEX('Dados'!$U$142:$U$257,$O$213),""),IFERROR(INDEX($S$116:$S$153,MATCH(INDEX($N$11:$N$54,$N$197)&amp;"|11",$P$116:$P$153,0)),"")))</f>
        <v/>
      </c>
      <c r="O213" s="19">
        <f>IF(ISNUMBER($N$197),IFERROR(IF(INDEX($BL$11:$BL$22,$N$197)=1,MATCH(INDEX($DT$11:$DT$22,$N$197)&amp;"|11",'Dados'!$A$142:$A$257,0),""),""),"")</f>
        <v/>
      </c>
    </row>
    <row r="214" ht="37" customHeight="1">
      <c r="A214" s="33">
        <f>IF(NOT(ISNUMBER($N$197)),"",IF(INDEX($BL$11:$BL$22,$N$197)=1,IF(ISNUMBER($O$214),IF(INDEX('Dados'!$C$142:$C$257,$O$214)=0,INDEX('Dados'!$E$142:$E$257,$O$214),"Fase "&amp;INDEX('Dados'!$C$142:$C$257,$O$214)&amp;" · "&amp;INDEX('Dados'!$E$142:$E$257,$O$214)),""),IF(LEN(IFERROR(INDEX($S$116:$S$153,MATCH(INDEX($N$11:$N$54,$N$197)&amp;"|12",$P$116:$P$153,0)),""))&gt;0,"Ação 12","")))</f>
        <v/>
      </c>
      <c r="B214" s="9">
        <f>IF(NOT(ISNUMBER($N$197)),"",IF(INDEX($BL$11:$BL$22,$N$197)=1,IF(ISNUMBER($O$214),INDEX('Dados'!$I$142:$I$257,$O$214)&amp;IF(INDEX('Dados'!$J$142:$J$257,$O$214)="","",IF(INDEX('Dados'!$J$142:$J$257,$O$214)="DANO.e",INDEX($W$11:$W$54,$N$197),IF(INDEX('Dados'!$J$142:$J$257,$O$214)="DANO.m",INDEX($X$11:$X$54,$N$197),IF(INDEX('Dados'!$J$142:$J$257,$O$214)="DANO15.e",INDEX($CJ$11:$CJ$22,$N$197),IF(INDEX('Dados'!$J$142:$J$257,$O$214)="DANO15.m",INDEX($CK$11:$CK$22,$N$197),IF(INDEX('Dados'!$J$142:$J$257,$O$214)="COMUM.e",INDEX($CL$11:$CL$22,$N$197),IF(INDEX('Dados'!$J$142:$J$257,$O$214)="COMUM.m",INDEX($CM$11:$CM$22,$N$197),IF(INDEX('Dados'!$J$142:$J$257,$O$214)="DT",INDEX($Y$11:$Y$54,$N$197),IF(INDEX('Dados'!$J$142:$J$257,$O$214)="PV",INT(INDEX('Dados'!$K$142:$K$257,$O$214)*INDEX($Q$11:$Q$54,$N$197)/INDEX($CI$11:$CI$22,$N$197)),"")))))))))&amp;INDEX('Dados'!$L$142:$L$257,$O$214)&amp;IF(INDEX('Dados'!$M$142:$M$257,$O$214)="","",IF(INDEX('Dados'!$M$142:$M$257,$O$214)="DANO.e",INDEX($W$11:$W$54,$N$197),IF(INDEX('Dados'!$M$142:$M$257,$O$214)="DANO.m",INDEX($X$11:$X$54,$N$197),IF(INDEX('Dados'!$M$142:$M$257,$O$214)="DANO15.e",INDEX($CJ$11:$CJ$22,$N$197),IF(INDEX('Dados'!$M$142:$M$257,$O$214)="DANO15.m",INDEX($CK$11:$CK$22,$N$197),IF(INDEX('Dados'!$M$142:$M$257,$O$214)="COMUM.e",INDEX($CL$11:$CL$22,$N$197),IF(INDEX('Dados'!$M$142:$M$257,$O$214)="COMUM.m",INDEX($CM$11:$CM$22,$N$197),IF(INDEX('Dados'!$M$142:$M$257,$O$214)="DT",INDEX($Y$11:$Y$54,$N$197),IF(INDEX('Dados'!$M$142:$M$257,$O$214)="PV",INT(INDEX('Dados'!$N$142:$N$257,$O$214)*INDEX($Q$11:$Q$54,$N$197)/INDEX($CI$11:$CI$22,$N$197)),"")))))))))&amp;INDEX('Dados'!$O$142:$O$257,$O$214)&amp;IF(INDEX('Dados'!$P$142:$P$257,$O$214)="","",IF(INDEX('Dados'!$P$142:$P$257,$O$214)="DANO.e",INDEX($W$11:$W$54,$N$197),IF(INDEX('Dados'!$P$142:$P$257,$O$214)="DANO.m",INDEX($X$11:$X$54,$N$197),IF(INDEX('Dados'!$P$142:$P$257,$O$214)="DANO15.e",INDEX($CJ$11:$CJ$22,$N$197),IF(INDEX('Dados'!$P$142:$P$257,$O$214)="DANO15.m",INDEX($CK$11:$CK$22,$N$197),IF(INDEX('Dados'!$P$142:$P$257,$O$214)="COMUM.e",INDEX($CL$11:$CL$22,$N$197),IF(INDEX('Dados'!$P$142:$P$257,$O$214)="COMUM.m",INDEX($CM$11:$CM$22,$N$197),IF(INDEX('Dados'!$P$142:$P$257,$O$214)="DT",INDEX($Y$11:$Y$54,$N$197),IF(INDEX('Dados'!$P$142:$P$257,$O$214)="PV",INT(INDEX('Dados'!$Q$142:$Q$257,$O$214)*INDEX($Q$11:$Q$54,$N$197)/INDEX($CI$11:$CI$22,$N$197)),"")))))))))&amp;INDEX('Dados'!$R$142:$R$257,$O$214)&amp;IF(INDEX('Dados'!$S$142:$S$257,$O$214)="","",IF(INDEX('Dados'!$S$142:$S$257,$O$214)="DANO.e",INDEX($W$11:$W$54,$N$197),IF(INDEX('Dados'!$S$142:$S$257,$O$214)="DANO.m",INDEX($X$11:$X$54,$N$197),IF(INDEX('Dados'!$S$142:$S$257,$O$214)="DANO15.e",INDEX($CJ$11:$CJ$22,$N$197),IF(INDEX('Dados'!$S$142:$S$257,$O$214)="DANO15.m",INDEX($CK$11:$CK$22,$N$197),IF(INDEX('Dados'!$S$142:$S$257,$O$214)="COMUM.e",INDEX($CL$11:$CL$22,$N$197),IF(INDEX('Dados'!$S$142:$S$257,$O$214)="COMUM.m",INDEX($CM$11:$CM$22,$N$197),IF(INDEX('Dados'!$S$142:$S$257,$O$214)="DT",INDEX($Y$11:$Y$54,$N$197),IF(INDEX('Dados'!$S$142:$S$257,$O$214)="PV",INT(INDEX('Dados'!$T$142:$T$257,$O$214)*INDEX($Q$11:$Q$54,$N$197)/INDEX($CI$11:$CI$22,$N$197)),"")))))))))&amp;INDEX('Dados'!$U$142:$U$257,$O$214),""),IFERROR(INDEX($S$116:$S$153,MATCH(INDEX($N$11:$N$54,$N$197)&amp;"|12",$P$116:$P$153,0)),"")))</f>
        <v/>
      </c>
      <c r="O214" s="19">
        <f>IF(ISNUMBER($N$197),IFERROR(IF(INDEX($BL$11:$BL$22,$N$197)=1,MATCH(INDEX($DT$11:$DT$22,$N$197)&amp;"|12",'Dados'!$A$142:$A$257,0),""),""),"")</f>
        <v/>
      </c>
    </row>
    <row r="215"/>
    <row r="216" ht="26" customHeight="1">
      <c r="A216" s="4">
        <f>IF(ISNUMBER($N$197),"Na Fila: VEL "&amp;INDEX($U$11:$U$54,$N$197)&amp;", "&amp;INDEX($AJ$11:$AJ$54,$N$197)&amp;"."&amp;IF(LEN(INDEX($DW$26:$DW$37,$N$197))&gt;0," "&amp;INDEX($DW$26:$DW$37,$N$197),IF(INDEX($BL$11:$BL$22,$N$197)=1," "&amp;IFERROR(INDEX('Dados'!$X$92:$X$123,INDEX($BM$11:$BM$22,$N$197))&amp;"",""),""))&amp;IF(INDEX($AF$11:$AF$54,$N$197)="Pode"," Pode Executar (ser racional, 23.5).",IF(INDEX($AF$11:$AF$54,$N$197)="Não"," Não Executa (23.5).","")),"")</f>
        <v/>
      </c>
    </row>
    <row r="217">
      <c r="A217" s="4">
        <f>IF(NOT(ISNUMBER($N$197)),"",IFERROR(IF(AND(INDEX($AG$11:$AG$54,$N$197)&gt;=1,INDEX($AG$11:$AG$54,$N$197)&gt;1),"Fase 1 ("&amp;INDEX($Q$11:$Q$54,$N$197)&amp;" a "&amp;IF(INDEX($AG$11:$AG$54,$N$197)&gt;=2,INDEX($AK$11:$AK$54,$N$197)+1,0)&amp;" PV): Fraquezas "&amp;INDEX($BG$11:$BG$54,$N$197)&amp;"; Tenacidade "&amp;INDEX($T$11:$T$54,$N$197)&amp;" (volta ao máximo na virada)",""),""))</f>
        <v/>
      </c>
    </row>
    <row r="218">
      <c r="A218" s="4">
        <f>IF(NOT(ISNUMBER($N$197)),"",IFERROR(IF(AND(INDEX($AG$11:$AG$54,$N$197)&gt;=2,INDEX($AG$11:$AG$54,$N$197)&gt;1),"Fase 2 ("&amp;INDEX($AK$11:$AK$54,$N$197)&amp;" a "&amp;IF(INDEX($AG$11:$AG$54,$N$197)&gt;2,INDEX($AL$11:$AL$54,$N$197)+1,0)&amp;" PV): Fraquezas "&amp;INDEX($AM$11:$AM$54,$N$197)&amp;IF(LEN(INDEX($AN$11:$AN$54,$N$197))&gt;0,", "&amp;INDEX($AN$11:$AN$54,$N$197),"")&amp;IF(LEN(INDEX($AO$11:$AO$54,$N$197))&gt;0,", "&amp;INDEX($AO$11:$AO$54,$N$197),"")&amp;IF(LEN(INDEX($AP$11:$AP$54,$N$197))&gt;0,", "&amp;INDEX($AP$11:$AP$54,$N$197),"")&amp;"; Tenacidade "&amp;INDEX($AQ$11:$AQ$54,$N$197)&amp;" (volta ao máximo na virada)",""),""))</f>
        <v/>
      </c>
    </row>
    <row r="219">
      <c r="A219" s="4">
        <f>IF(NOT(ISNUMBER($N$197)),"",IFERROR(IF(AND(INDEX($AG$11:$AG$54,$N$197)&gt;=3,INDEX($AG$11:$AG$54,$N$197)&gt;1),"Fase 3 ("&amp;INDEX($AL$11:$AL$54,$N$197)&amp;" a "&amp;0&amp;" PV): Fraquezas "&amp;INDEX($AR$11:$AR$54,$N$197)&amp;IF(LEN(INDEX($AS$11:$AS$54,$N$197))&gt;0,", "&amp;INDEX($AS$11:$AS$54,$N$197),"")&amp;IF(LEN(INDEX($AT$11:$AT$54,$N$197))&gt;0,", "&amp;INDEX($AT$11:$AT$54,$N$197),"")&amp;IF(LEN(INDEX($AU$11:$AU$54,$N$197))&gt;0,", "&amp;INDEX($AU$11:$AU$54,$N$197),"")&amp;"; Tenacidade "&amp;INDEX($AV$11:$AV$54,$N$197)&amp;" (volta ao máximo na virada)",""),""))</f>
        <v/>
      </c>
    </row>
  </sheetData>
  <mergeCells count="586">
    <mergeCell ref="D187:E187"/>
    <mergeCell ref="F171:J171"/>
    <mergeCell ref="D174:E174"/>
    <mergeCell ref="I104:J104"/>
    <mergeCell ref="K33:L33"/>
    <mergeCell ref="A107:B107"/>
    <mergeCell ref="K104:L104"/>
    <mergeCell ref="E142:F142"/>
    <mergeCell ref="K177:L177"/>
    <mergeCell ref="B12:C12"/>
    <mergeCell ref="I106:J106"/>
    <mergeCell ref="K35:L35"/>
    <mergeCell ref="C121:D121"/>
    <mergeCell ref="K81:L81"/>
    <mergeCell ref="B14:C14"/>
    <mergeCell ref="K99:L99"/>
    <mergeCell ref="E137:F137"/>
    <mergeCell ref="C148:D148"/>
    <mergeCell ref="B13:C13"/>
    <mergeCell ref="E148:F148"/>
    <mergeCell ref="K180:L180"/>
    <mergeCell ref="B80:D80"/>
    <mergeCell ref="B205:L205"/>
    <mergeCell ref="F71:G71"/>
    <mergeCell ref="K157:L157"/>
    <mergeCell ref="F166:J166"/>
    <mergeCell ref="K101:L101"/>
    <mergeCell ref="K172:L172"/>
    <mergeCell ref="K28:L28"/>
    <mergeCell ref="K92:L92"/>
    <mergeCell ref="K30:L30"/>
    <mergeCell ref="K152:L152"/>
    <mergeCell ref="F191:J191"/>
    <mergeCell ref="E117:F117"/>
    <mergeCell ref="F178:J178"/>
    <mergeCell ref="B156:C156"/>
    <mergeCell ref="A103:B103"/>
    <mergeCell ref="B73:D73"/>
    <mergeCell ref="A55:L55"/>
    <mergeCell ref="A153:B153"/>
    <mergeCell ref="F192:J192"/>
    <mergeCell ref="A128:B128"/>
    <mergeCell ref="D189:E189"/>
    <mergeCell ref="K185:L185"/>
    <mergeCell ref="I112:J112"/>
    <mergeCell ref="K41:L41"/>
    <mergeCell ref="B74:D74"/>
    <mergeCell ref="K106:L106"/>
    <mergeCell ref="F194:J194"/>
    <mergeCell ref="A136:B136"/>
    <mergeCell ref="A200:L200"/>
    <mergeCell ref="K56:L56"/>
    <mergeCell ref="F181:J181"/>
    <mergeCell ref="K105:L105"/>
    <mergeCell ref="K43:L43"/>
    <mergeCell ref="B76:D76"/>
    <mergeCell ref="K170:L170"/>
    <mergeCell ref="A129:B129"/>
    <mergeCell ref="K120:L120"/>
    <mergeCell ref="C123:D123"/>
    <mergeCell ref="I107:J107"/>
    <mergeCell ref="K107:L107"/>
    <mergeCell ref="A131:B131"/>
    <mergeCell ref="A24:L24"/>
    <mergeCell ref="B15:C15"/>
    <mergeCell ref="D21:F21"/>
    <mergeCell ref="A143:B143"/>
    <mergeCell ref="F73:G73"/>
    <mergeCell ref="K25:L25"/>
    <mergeCell ref="K183:L183"/>
    <mergeCell ref="B208:L208"/>
    <mergeCell ref="G25:J25"/>
    <mergeCell ref="D16:F16"/>
    <mergeCell ref="C128:D128"/>
    <mergeCell ref="K173:L173"/>
    <mergeCell ref="K29:L29"/>
    <mergeCell ref="A86:L86"/>
    <mergeCell ref="B210:L210"/>
    <mergeCell ref="D18:F18"/>
    <mergeCell ref="K44:L44"/>
    <mergeCell ref="F169:J169"/>
    <mergeCell ref="K31:L31"/>
    <mergeCell ref="C142:D142"/>
    <mergeCell ref="B170:C170"/>
    <mergeCell ref="C129:D129"/>
    <mergeCell ref="I87:J87"/>
    <mergeCell ref="E133:F133"/>
    <mergeCell ref="B172:C172"/>
    <mergeCell ref="K176:L176"/>
    <mergeCell ref="K97:L97"/>
    <mergeCell ref="K191:L191"/>
    <mergeCell ref="K57:L57"/>
    <mergeCell ref="K128:L128"/>
    <mergeCell ref="C131:D131"/>
    <mergeCell ref="A70:L70"/>
    <mergeCell ref="K184:L184"/>
    <mergeCell ref="B77:D77"/>
    <mergeCell ref="K171:L171"/>
    <mergeCell ref="K121:L121"/>
    <mergeCell ref="B29:D29"/>
    <mergeCell ref="K123:L123"/>
    <mergeCell ref="C126:D126"/>
    <mergeCell ref="A124:B124"/>
    <mergeCell ref="E126:F126"/>
    <mergeCell ref="K110:L110"/>
    <mergeCell ref="C117:D117"/>
    <mergeCell ref="K174:L174"/>
    <mergeCell ref="A149:B149"/>
    <mergeCell ref="K75:L75"/>
    <mergeCell ref="B181:C181"/>
    <mergeCell ref="K12:L12"/>
    <mergeCell ref="C115:D115"/>
    <mergeCell ref="A151:B151"/>
    <mergeCell ref="B32:D32"/>
    <mergeCell ref="B26:D26"/>
    <mergeCell ref="B197:D197"/>
    <mergeCell ref="A150:B150"/>
    <mergeCell ref="K14:L14"/>
    <mergeCell ref="A144:B144"/>
    <mergeCell ref="C150:D150"/>
    <mergeCell ref="C144:D144"/>
    <mergeCell ref="G28:J28"/>
    <mergeCell ref="D19:F19"/>
    <mergeCell ref="K103:L103"/>
    <mergeCell ref="F82:G82"/>
    <mergeCell ref="A152:B152"/>
    <mergeCell ref="A216:L216"/>
    <mergeCell ref="B27:D27"/>
    <mergeCell ref="G30:J30"/>
    <mergeCell ref="B163:C163"/>
    <mergeCell ref="B207:L207"/>
    <mergeCell ref="K167:L167"/>
    <mergeCell ref="C145:D145"/>
    <mergeCell ref="E145:F145"/>
    <mergeCell ref="A218:L218"/>
    <mergeCell ref="E139:F139"/>
    <mergeCell ref="B165:C165"/>
    <mergeCell ref="K192:L192"/>
    <mergeCell ref="D158:E158"/>
    <mergeCell ref="B37:D37"/>
    <mergeCell ref="K129:L129"/>
    <mergeCell ref="K194:L194"/>
    <mergeCell ref="C134:D134"/>
    <mergeCell ref="K50:L50"/>
    <mergeCell ref="A99:B99"/>
    <mergeCell ref="D12:F12"/>
    <mergeCell ref="D160:E160"/>
    <mergeCell ref="K181:L181"/>
    <mergeCell ref="K131:L131"/>
    <mergeCell ref="K58:L58"/>
    <mergeCell ref="K52:L52"/>
    <mergeCell ref="A101:B101"/>
    <mergeCell ref="D14:F14"/>
    <mergeCell ref="B191:C191"/>
    <mergeCell ref="F72:G72"/>
    <mergeCell ref="C138:D138"/>
    <mergeCell ref="B178:C178"/>
    <mergeCell ref="C119:D119"/>
    <mergeCell ref="E119:F119"/>
    <mergeCell ref="E116:F116"/>
    <mergeCell ref="A140:B140"/>
    <mergeCell ref="K53:L53"/>
    <mergeCell ref="G34:J34"/>
    <mergeCell ref="A6:L6"/>
    <mergeCell ref="K13:L13"/>
    <mergeCell ref="K78:L78"/>
    <mergeCell ref="E122:F122"/>
    <mergeCell ref="K15:L15"/>
    <mergeCell ref="K142:L142"/>
    <mergeCell ref="G29:J29"/>
    <mergeCell ref="K80:L80"/>
    <mergeCell ref="F193:J193"/>
    <mergeCell ref="A3:L3"/>
    <mergeCell ref="K79:L79"/>
    <mergeCell ref="G44:J44"/>
    <mergeCell ref="F83:G83"/>
    <mergeCell ref="A87:B87"/>
    <mergeCell ref="K144:L144"/>
    <mergeCell ref="C147:D147"/>
    <mergeCell ref="G31:J31"/>
    <mergeCell ref="E147:F147"/>
    <mergeCell ref="K119:L119"/>
    <mergeCell ref="A5:L5"/>
    <mergeCell ref="A89:B89"/>
    <mergeCell ref="A219:L219"/>
    <mergeCell ref="B179:C179"/>
    <mergeCell ref="D179:E179"/>
    <mergeCell ref="F163:J163"/>
    <mergeCell ref="B166:C166"/>
    <mergeCell ref="A105:B105"/>
    <mergeCell ref="D166:E166"/>
    <mergeCell ref="B174:C174"/>
    <mergeCell ref="F165:J165"/>
    <mergeCell ref="B168:C168"/>
    <mergeCell ref="D168:E168"/>
    <mergeCell ref="D180:E180"/>
    <mergeCell ref="D167:E167"/>
    <mergeCell ref="A100:B100"/>
    <mergeCell ref="D161:E161"/>
    <mergeCell ref="G49:J49"/>
    <mergeCell ref="K10:L10"/>
    <mergeCell ref="K66:L66"/>
    <mergeCell ref="A115:B115"/>
    <mergeCell ref="B169:C169"/>
    <mergeCell ref="D169:E169"/>
    <mergeCell ref="I99:J99"/>
    <mergeCell ref="A102:B102"/>
    <mergeCell ref="K124:L124"/>
    <mergeCell ref="K74:L74"/>
    <mergeCell ref="K68:L68"/>
    <mergeCell ref="G26:J26"/>
    <mergeCell ref="E130:F130"/>
    <mergeCell ref="B194:C194"/>
    <mergeCell ref="C141:D141"/>
    <mergeCell ref="E141:F141"/>
    <mergeCell ref="E135:F135"/>
    <mergeCell ref="E132:F132"/>
    <mergeCell ref="C143:D143"/>
    <mergeCell ref="E143:F143"/>
    <mergeCell ref="K150:L150"/>
    <mergeCell ref="A120:B120"/>
    <mergeCell ref="F159:J159"/>
    <mergeCell ref="B162:C162"/>
    <mergeCell ref="D162:E162"/>
    <mergeCell ref="D156:E156"/>
    <mergeCell ref="B35:D35"/>
    <mergeCell ref="K145:L145"/>
    <mergeCell ref="F184:J184"/>
    <mergeCell ref="B187:C187"/>
    <mergeCell ref="E197:L197"/>
    <mergeCell ref="G37:J37"/>
    <mergeCell ref="A96:B96"/>
    <mergeCell ref="C125:D125"/>
    <mergeCell ref="D157:E157"/>
    <mergeCell ref="K160:L160"/>
    <mergeCell ref="E125:F125"/>
    <mergeCell ref="K147:L147"/>
    <mergeCell ref="B189:C189"/>
    <mergeCell ref="B213:L213"/>
    <mergeCell ref="B188:C188"/>
    <mergeCell ref="K18:L18"/>
    <mergeCell ref="F179:J179"/>
    <mergeCell ref="D182:E182"/>
    <mergeCell ref="I105:J105"/>
    <mergeCell ref="K34:L34"/>
    <mergeCell ref="F187:J187"/>
    <mergeCell ref="B190:C190"/>
    <mergeCell ref="D190:E190"/>
    <mergeCell ref="A123:B123"/>
    <mergeCell ref="F174:J174"/>
    <mergeCell ref="F168:J168"/>
    <mergeCell ref="A110:B110"/>
    <mergeCell ref="K36:L36"/>
    <mergeCell ref="I101:J101"/>
    <mergeCell ref="K163:L163"/>
    <mergeCell ref="G50:J50"/>
    <mergeCell ref="D183:E183"/>
    <mergeCell ref="I100:J100"/>
    <mergeCell ref="E138:F138"/>
    <mergeCell ref="K100:L100"/>
    <mergeCell ref="A108:B108"/>
    <mergeCell ref="K94:L94"/>
    <mergeCell ref="K165:L165"/>
    <mergeCell ref="G52:J52"/>
    <mergeCell ref="D185:E185"/>
    <mergeCell ref="A118:B118"/>
    <mergeCell ref="K140:L140"/>
    <mergeCell ref="C118:D118"/>
    <mergeCell ref="G27:J27"/>
    <mergeCell ref="I102:J102"/>
    <mergeCell ref="K102:L102"/>
    <mergeCell ref="K77:L77"/>
    <mergeCell ref="B10:C10"/>
    <mergeCell ref="F167:J167"/>
    <mergeCell ref="F161:J161"/>
    <mergeCell ref="A134:B134"/>
    <mergeCell ref="D188:E188"/>
    <mergeCell ref="A121:B121"/>
    <mergeCell ref="K87:L87"/>
    <mergeCell ref="B203:L203"/>
    <mergeCell ref="F175:J175"/>
    <mergeCell ref="G45:J45"/>
    <mergeCell ref="K49:L49"/>
    <mergeCell ref="D178:E178"/>
    <mergeCell ref="D11:F11"/>
    <mergeCell ref="F162:J162"/>
    <mergeCell ref="D172:E172"/>
    <mergeCell ref="I95:J95"/>
    <mergeCell ref="A98:B98"/>
    <mergeCell ref="I89:J89"/>
    <mergeCell ref="K95:L95"/>
    <mergeCell ref="K89:L89"/>
    <mergeCell ref="G47:J47"/>
    <mergeCell ref="C116:D116"/>
    <mergeCell ref="K88:L88"/>
    <mergeCell ref="K26:L26"/>
    <mergeCell ref="G46:J46"/>
    <mergeCell ref="K153:L153"/>
    <mergeCell ref="B21:C21"/>
    <mergeCell ref="E153:F153"/>
    <mergeCell ref="E128:F128"/>
    <mergeCell ref="K90:L90"/>
    <mergeCell ref="F189:J189"/>
    <mergeCell ref="F188:J188"/>
    <mergeCell ref="F180:J180"/>
    <mergeCell ref="K115:L115"/>
    <mergeCell ref="K42:L42"/>
    <mergeCell ref="F190:J190"/>
    <mergeCell ref="D193:E193"/>
    <mergeCell ref="A126:B126"/>
    <mergeCell ref="D176:E176"/>
    <mergeCell ref="A109:B109"/>
    <mergeCell ref="I110:J110"/>
    <mergeCell ref="K179:L179"/>
    <mergeCell ref="B72:D72"/>
    <mergeCell ref="K166:L166"/>
    <mergeCell ref="G53:J53"/>
    <mergeCell ref="K141:L141"/>
    <mergeCell ref="K116:L116"/>
    <mergeCell ref="A117:B117"/>
    <mergeCell ref="A111:B111"/>
    <mergeCell ref="K37:L37"/>
    <mergeCell ref="E146:F146"/>
    <mergeCell ref="K168:L168"/>
    <mergeCell ref="K143:L143"/>
    <mergeCell ref="K118:L118"/>
    <mergeCell ref="A196:L196"/>
    <mergeCell ref="B16:C16"/>
    <mergeCell ref="A142:B142"/>
    <mergeCell ref="B209:L209"/>
    <mergeCell ref="D17:F17"/>
    <mergeCell ref="A198:L198"/>
    <mergeCell ref="B82:D82"/>
    <mergeCell ref="B18:C18"/>
    <mergeCell ref="K21:L21"/>
    <mergeCell ref="F177:J177"/>
    <mergeCell ref="B11:C11"/>
    <mergeCell ref="F164:J164"/>
    <mergeCell ref="K32:L32"/>
    <mergeCell ref="A137:B137"/>
    <mergeCell ref="K63:L63"/>
    <mergeCell ref="K134:L134"/>
    <mergeCell ref="C137:D137"/>
    <mergeCell ref="B83:D83"/>
    <mergeCell ref="C124:D124"/>
    <mergeCell ref="I96:J96"/>
    <mergeCell ref="K96:L96"/>
    <mergeCell ref="F75:G75"/>
    <mergeCell ref="A145:B145"/>
    <mergeCell ref="A139:B139"/>
    <mergeCell ref="C139:D139"/>
    <mergeCell ref="G48:J48"/>
    <mergeCell ref="D181:E181"/>
    <mergeCell ref="I111:J111"/>
    <mergeCell ref="I98:J98"/>
    <mergeCell ref="K27:L27"/>
    <mergeCell ref="K98:L98"/>
    <mergeCell ref="A40:L40"/>
    <mergeCell ref="C132:D132"/>
    <mergeCell ref="B158:C158"/>
    <mergeCell ref="K156:L156"/>
    <mergeCell ref="B160:C160"/>
    <mergeCell ref="K93:L93"/>
    <mergeCell ref="K16:L16"/>
    <mergeCell ref="K187:L187"/>
    <mergeCell ref="A92:B92"/>
    <mergeCell ref="F183:J183"/>
    <mergeCell ref="D186:E186"/>
    <mergeCell ref="A119:B119"/>
    <mergeCell ref="K45:L45"/>
    <mergeCell ref="B78:D78"/>
    <mergeCell ref="A94:B94"/>
    <mergeCell ref="B184:C184"/>
    <mergeCell ref="K189:L189"/>
    <mergeCell ref="K188:L188"/>
    <mergeCell ref="K126:L126"/>
    <mergeCell ref="K11:L11"/>
    <mergeCell ref="K182:L182"/>
    <mergeCell ref="K109:L109"/>
    <mergeCell ref="K47:L47"/>
    <mergeCell ref="K169:L169"/>
    <mergeCell ref="A133:B133"/>
    <mergeCell ref="D194:E194"/>
    <mergeCell ref="C133:D133"/>
    <mergeCell ref="C127:D127"/>
    <mergeCell ref="B17:C17"/>
    <mergeCell ref="K46:L46"/>
    <mergeCell ref="E149:F149"/>
    <mergeCell ref="K111:L111"/>
    <mergeCell ref="A199:L199"/>
    <mergeCell ref="B19:C19"/>
    <mergeCell ref="K71:L71"/>
    <mergeCell ref="D20:F20"/>
    <mergeCell ref="B25:D25"/>
    <mergeCell ref="E144:F144"/>
    <mergeCell ref="A147:B147"/>
    <mergeCell ref="K73:L73"/>
    <mergeCell ref="F186:J186"/>
    <mergeCell ref="B20:C20"/>
    <mergeCell ref="D7:J7"/>
    <mergeCell ref="D22:F22"/>
    <mergeCell ref="K162:L162"/>
    <mergeCell ref="K137:L137"/>
    <mergeCell ref="C140:D140"/>
    <mergeCell ref="D13:F13"/>
    <mergeCell ref="A148:B148"/>
    <mergeCell ref="F78:G78"/>
    <mergeCell ref="K164:L164"/>
    <mergeCell ref="K139:L139"/>
    <mergeCell ref="G51:J51"/>
    <mergeCell ref="A217:L217"/>
    <mergeCell ref="B159:C159"/>
    <mergeCell ref="D159:E159"/>
    <mergeCell ref="A146:B146"/>
    <mergeCell ref="B167:C167"/>
    <mergeCell ref="F158:J158"/>
    <mergeCell ref="B161:C161"/>
    <mergeCell ref="A85:L85"/>
    <mergeCell ref="F160:J160"/>
    <mergeCell ref="D15:F15"/>
    <mergeCell ref="G42:J42"/>
    <mergeCell ref="B33:D33"/>
    <mergeCell ref="B175:C175"/>
    <mergeCell ref="K59:L59"/>
    <mergeCell ref="K130:L130"/>
    <mergeCell ref="K190:L190"/>
    <mergeCell ref="C130:D130"/>
    <mergeCell ref="I92:J92"/>
    <mergeCell ref="B79:D79"/>
    <mergeCell ref="A95:B95"/>
    <mergeCell ref="K117:L117"/>
    <mergeCell ref="A141:B141"/>
    <mergeCell ref="A9:L9"/>
    <mergeCell ref="K61:L61"/>
    <mergeCell ref="A135:B135"/>
    <mergeCell ref="K132:L132"/>
    <mergeCell ref="C135:D135"/>
    <mergeCell ref="A122:B122"/>
    <mergeCell ref="K48:L48"/>
    <mergeCell ref="B81:D81"/>
    <mergeCell ref="D10:F10"/>
    <mergeCell ref="A97:B97"/>
    <mergeCell ref="C122:D122"/>
    <mergeCell ref="C153:D153"/>
    <mergeCell ref="K125:L125"/>
    <mergeCell ref="A1:L1"/>
    <mergeCell ref="K112:L112"/>
    <mergeCell ref="K62:L62"/>
    <mergeCell ref="C136:D136"/>
    <mergeCell ref="K193:L193"/>
    <mergeCell ref="K127:L127"/>
    <mergeCell ref="E129:F129"/>
    <mergeCell ref="B22:C22"/>
    <mergeCell ref="B193:C193"/>
    <mergeCell ref="A88:B88"/>
    <mergeCell ref="G32:J32"/>
    <mergeCell ref="B34:D34"/>
    <mergeCell ref="B28:D28"/>
    <mergeCell ref="E131:F131"/>
    <mergeCell ref="A90:B90"/>
    <mergeCell ref="K138:L138"/>
    <mergeCell ref="K76:L76"/>
    <mergeCell ref="F80:G80"/>
    <mergeCell ref="C146:D146"/>
    <mergeCell ref="B30:D30"/>
    <mergeCell ref="K178:L178"/>
    <mergeCell ref="F79:G79"/>
    <mergeCell ref="B182:C182"/>
    <mergeCell ref="K67:L67"/>
    <mergeCell ref="K186:L186"/>
    <mergeCell ref="C120:D120"/>
    <mergeCell ref="F81:G81"/>
    <mergeCell ref="A155:L155"/>
    <mergeCell ref="B211:L211"/>
    <mergeCell ref="B183:C183"/>
    <mergeCell ref="C149:D149"/>
    <mergeCell ref="B177:C177"/>
    <mergeCell ref="D177:E177"/>
    <mergeCell ref="B164:C164"/>
    <mergeCell ref="E136:F136"/>
    <mergeCell ref="D164:E164"/>
    <mergeCell ref="I94:J94"/>
    <mergeCell ref="E115:F115"/>
    <mergeCell ref="B212:L212"/>
    <mergeCell ref="B206:L206"/>
    <mergeCell ref="K158:L158"/>
    <mergeCell ref="I108:J108"/>
    <mergeCell ref="K133:L133"/>
    <mergeCell ref="E127:F127"/>
    <mergeCell ref="F74:G74"/>
    <mergeCell ref="B180:C180"/>
    <mergeCell ref="K64:L64"/>
    <mergeCell ref="K135:L135"/>
    <mergeCell ref="K51:L51"/>
    <mergeCell ref="K122:L122"/>
    <mergeCell ref="K72:L72"/>
    <mergeCell ref="F76:G76"/>
    <mergeCell ref="B157:C157"/>
    <mergeCell ref="D175:E175"/>
    <mergeCell ref="B36:D36"/>
    <mergeCell ref="F156:J156"/>
    <mergeCell ref="B186:C186"/>
    <mergeCell ref="A116:B116"/>
    <mergeCell ref="B75:D75"/>
    <mergeCell ref="D165:E165"/>
    <mergeCell ref="I88:J88"/>
    <mergeCell ref="K17:L17"/>
    <mergeCell ref="A91:B91"/>
    <mergeCell ref="E124:F124"/>
    <mergeCell ref="E120:F120"/>
    <mergeCell ref="K82:L82"/>
    <mergeCell ref="K148:L148"/>
    <mergeCell ref="A201:L201"/>
    <mergeCell ref="B31:D31"/>
    <mergeCell ref="A93:B93"/>
    <mergeCell ref="K19:L19"/>
    <mergeCell ref="K146:L146"/>
    <mergeCell ref="G33:J33"/>
    <mergeCell ref="E121:F121"/>
    <mergeCell ref="K83:L83"/>
    <mergeCell ref="F182:J182"/>
    <mergeCell ref="B185:C185"/>
    <mergeCell ref="C151:D151"/>
    <mergeCell ref="G35:J35"/>
    <mergeCell ref="E151:F151"/>
    <mergeCell ref="E123:F123"/>
    <mergeCell ref="E150:F150"/>
    <mergeCell ref="B176:C176"/>
    <mergeCell ref="K60:L60"/>
    <mergeCell ref="B214:L214"/>
    <mergeCell ref="D170:E170"/>
    <mergeCell ref="C152:D152"/>
    <mergeCell ref="E152:F152"/>
    <mergeCell ref="I103:J103"/>
    <mergeCell ref="D163:E163"/>
    <mergeCell ref="I97:J97"/>
    <mergeCell ref="K159:L159"/>
    <mergeCell ref="E118:F118"/>
    <mergeCell ref="B171:C171"/>
    <mergeCell ref="D171:E171"/>
    <mergeCell ref="A104:B104"/>
    <mergeCell ref="K161:L161"/>
    <mergeCell ref="K136:L136"/>
    <mergeCell ref="A106:B106"/>
    <mergeCell ref="A114:L114"/>
    <mergeCell ref="F77:G77"/>
    <mergeCell ref="K7:L7"/>
    <mergeCell ref="K65:L65"/>
    <mergeCell ref="E134:F134"/>
    <mergeCell ref="B204:L204"/>
    <mergeCell ref="B173:C173"/>
    <mergeCell ref="F157:J157"/>
    <mergeCell ref="A130:B130"/>
    <mergeCell ref="I90:J90"/>
    <mergeCell ref="D191:E191"/>
    <mergeCell ref="F172:J172"/>
    <mergeCell ref="K108:L108"/>
    <mergeCell ref="A138:B138"/>
    <mergeCell ref="B202:L202"/>
    <mergeCell ref="A132:B132"/>
    <mergeCell ref="G41:J41"/>
    <mergeCell ref="E140:F140"/>
    <mergeCell ref="I91:J91"/>
    <mergeCell ref="K20:L20"/>
    <mergeCell ref="K91:L91"/>
    <mergeCell ref="F173:J173"/>
    <mergeCell ref="G43:J43"/>
    <mergeCell ref="I93:J93"/>
    <mergeCell ref="K22:L22"/>
    <mergeCell ref="K149:L149"/>
    <mergeCell ref="G36:J36"/>
    <mergeCell ref="F185:J185"/>
    <mergeCell ref="K151:L151"/>
    <mergeCell ref="D184:E184"/>
    <mergeCell ref="A39:L39"/>
    <mergeCell ref="B192:C192"/>
    <mergeCell ref="D192:E192"/>
    <mergeCell ref="A125:B125"/>
    <mergeCell ref="F176:J176"/>
    <mergeCell ref="F170:J170"/>
    <mergeCell ref="I109:J109"/>
    <mergeCell ref="A112:B112"/>
    <mergeCell ref="B71:D71"/>
    <mergeCell ref="D173:E173"/>
    <mergeCell ref="A127:B127"/>
    <mergeCell ref="K175:L175"/>
  </mergeCells>
  <conditionalFormatting sqref="K7">
    <cfRule type="expression" priority="1" dxfId="0">
      <formula>LEN(K7)&gt;0</formula>
    </cfRule>
  </conditionalFormatting>
  <conditionalFormatting sqref="K11">
    <cfRule type="expression" priority="2" dxfId="0">
      <formula>LEN(K11)&gt;0</formula>
    </cfRule>
  </conditionalFormatting>
  <conditionalFormatting sqref="K12">
    <cfRule type="expression" priority="3" dxfId="0">
      <formula>LEN(K12)&gt;0</formula>
    </cfRule>
  </conditionalFormatting>
  <conditionalFormatting sqref="K13">
    <cfRule type="expression" priority="4" dxfId="0">
      <formula>LEN(K13)&gt;0</formula>
    </cfRule>
  </conditionalFormatting>
  <conditionalFormatting sqref="K14">
    <cfRule type="expression" priority="5" dxfId="0">
      <formula>LEN(K14)&gt;0</formula>
    </cfRule>
  </conditionalFormatting>
  <conditionalFormatting sqref="K15">
    <cfRule type="expression" priority="6" dxfId="0">
      <formula>LEN(K15)&gt;0</formula>
    </cfRule>
  </conditionalFormatting>
  <conditionalFormatting sqref="K16">
    <cfRule type="expression" priority="7" dxfId="0">
      <formula>LEN(K16)&gt;0</formula>
    </cfRule>
  </conditionalFormatting>
  <conditionalFormatting sqref="K17">
    <cfRule type="expression" priority="8" dxfId="0">
      <formula>LEN(K17)&gt;0</formula>
    </cfRule>
  </conditionalFormatting>
  <conditionalFormatting sqref="K18">
    <cfRule type="expression" priority="9" dxfId="0">
      <formula>LEN(K18)&gt;0</formula>
    </cfRule>
  </conditionalFormatting>
  <conditionalFormatting sqref="K19">
    <cfRule type="expression" priority="10" dxfId="0">
      <formula>LEN(K19)&gt;0</formula>
    </cfRule>
  </conditionalFormatting>
  <conditionalFormatting sqref="K20">
    <cfRule type="expression" priority="11" dxfId="0">
      <formula>LEN(K20)&gt;0</formula>
    </cfRule>
  </conditionalFormatting>
  <conditionalFormatting sqref="K21">
    <cfRule type="expression" priority="12" dxfId="0">
      <formula>LEN(K21)&gt;0</formula>
    </cfRule>
  </conditionalFormatting>
  <conditionalFormatting sqref="K22">
    <cfRule type="expression" priority="13" dxfId="0">
      <formula>LEN(K22)&gt;0</formula>
    </cfRule>
  </conditionalFormatting>
  <conditionalFormatting sqref="K26">
    <cfRule type="expression" priority="14" dxfId="0">
      <formula>LEN(K26)&gt;0</formula>
    </cfRule>
  </conditionalFormatting>
  <conditionalFormatting sqref="K27">
    <cfRule type="expression" priority="15" dxfId="0">
      <formula>LEN(K27)&gt;0</formula>
    </cfRule>
  </conditionalFormatting>
  <conditionalFormatting sqref="K28">
    <cfRule type="expression" priority="16" dxfId="0">
      <formula>LEN(K28)&gt;0</formula>
    </cfRule>
  </conditionalFormatting>
  <conditionalFormatting sqref="K29">
    <cfRule type="expression" priority="17" dxfId="0">
      <formula>LEN(K29)&gt;0</formula>
    </cfRule>
  </conditionalFormatting>
  <conditionalFormatting sqref="K30">
    <cfRule type="expression" priority="18" dxfId="0">
      <formula>LEN(K30)&gt;0</formula>
    </cfRule>
  </conditionalFormatting>
  <conditionalFormatting sqref="K31">
    <cfRule type="expression" priority="19" dxfId="0">
      <formula>LEN(K31)&gt;0</formula>
    </cfRule>
  </conditionalFormatting>
  <conditionalFormatting sqref="K32">
    <cfRule type="expression" priority="20" dxfId="0">
      <formula>LEN(K32)&gt;0</formula>
    </cfRule>
  </conditionalFormatting>
  <conditionalFormatting sqref="K33">
    <cfRule type="expression" priority="21" dxfId="0">
      <formula>LEN(K33)&gt;0</formula>
    </cfRule>
  </conditionalFormatting>
  <conditionalFormatting sqref="K34">
    <cfRule type="expression" priority="22" dxfId="0">
      <formula>LEN(K34)&gt;0</formula>
    </cfRule>
  </conditionalFormatting>
  <conditionalFormatting sqref="K35">
    <cfRule type="expression" priority="23" dxfId="0">
      <formula>LEN(K35)&gt;0</formula>
    </cfRule>
  </conditionalFormatting>
  <conditionalFormatting sqref="K36">
    <cfRule type="expression" priority="24" dxfId="0">
      <formula>LEN(K36)&gt;0</formula>
    </cfRule>
  </conditionalFormatting>
  <conditionalFormatting sqref="K37">
    <cfRule type="expression" priority="25" dxfId="0">
      <formula>LEN(K37)&gt;0</formula>
    </cfRule>
  </conditionalFormatting>
  <conditionalFormatting sqref="K42">
    <cfRule type="expression" priority="26" dxfId="0">
      <formula>LEN(K42)&gt;0</formula>
    </cfRule>
  </conditionalFormatting>
  <conditionalFormatting sqref="K43">
    <cfRule type="expression" priority="27" dxfId="0">
      <formula>LEN(K43)&gt;0</formula>
    </cfRule>
  </conditionalFormatting>
  <conditionalFormatting sqref="K44">
    <cfRule type="expression" priority="28" dxfId="0">
      <formula>LEN(K44)&gt;0</formula>
    </cfRule>
  </conditionalFormatting>
  <conditionalFormatting sqref="K45">
    <cfRule type="expression" priority="29" dxfId="0">
      <formula>LEN(K45)&gt;0</formula>
    </cfRule>
  </conditionalFormatting>
  <conditionalFormatting sqref="K46">
    <cfRule type="expression" priority="30" dxfId="0">
      <formula>LEN(K46)&gt;0</formula>
    </cfRule>
  </conditionalFormatting>
  <conditionalFormatting sqref="K47">
    <cfRule type="expression" priority="31" dxfId="0">
      <formula>LEN(K47)&gt;0</formula>
    </cfRule>
  </conditionalFormatting>
  <conditionalFormatting sqref="K48">
    <cfRule type="expression" priority="32" dxfId="0">
      <formula>LEN(K48)&gt;0</formula>
    </cfRule>
  </conditionalFormatting>
  <conditionalFormatting sqref="K49">
    <cfRule type="expression" priority="33" dxfId="0">
      <formula>LEN(K49)&gt;0</formula>
    </cfRule>
  </conditionalFormatting>
  <conditionalFormatting sqref="K50">
    <cfRule type="expression" priority="34" dxfId="0">
      <formula>LEN(K50)&gt;0</formula>
    </cfRule>
  </conditionalFormatting>
  <conditionalFormatting sqref="K51">
    <cfRule type="expression" priority="35" dxfId="0">
      <formula>LEN(K51)&gt;0</formula>
    </cfRule>
  </conditionalFormatting>
  <conditionalFormatting sqref="K52">
    <cfRule type="expression" priority="36" dxfId="0">
      <formula>LEN(K52)&gt;0</formula>
    </cfRule>
  </conditionalFormatting>
  <conditionalFormatting sqref="K53">
    <cfRule type="expression" priority="37" dxfId="0">
      <formula>LEN(K53)&gt;0</formula>
    </cfRule>
  </conditionalFormatting>
  <conditionalFormatting sqref="K72">
    <cfRule type="expression" priority="38" dxfId="0">
      <formula>LEN(K72)&gt;0</formula>
    </cfRule>
  </conditionalFormatting>
  <conditionalFormatting sqref="K73">
    <cfRule type="expression" priority="39" dxfId="0">
      <formula>LEN(K73)&gt;0</formula>
    </cfRule>
  </conditionalFormatting>
  <conditionalFormatting sqref="K74">
    <cfRule type="expression" priority="40" dxfId="0">
      <formula>LEN(K74)&gt;0</formula>
    </cfRule>
  </conditionalFormatting>
  <conditionalFormatting sqref="K75">
    <cfRule type="expression" priority="41" dxfId="0">
      <formula>LEN(K75)&gt;0</formula>
    </cfRule>
  </conditionalFormatting>
  <conditionalFormatting sqref="K76">
    <cfRule type="expression" priority="42" dxfId="0">
      <formula>LEN(K76)&gt;0</formula>
    </cfRule>
  </conditionalFormatting>
  <conditionalFormatting sqref="K77">
    <cfRule type="expression" priority="43" dxfId="0">
      <formula>LEN(K77)&gt;0</formula>
    </cfRule>
  </conditionalFormatting>
  <conditionalFormatting sqref="K78">
    <cfRule type="expression" priority="44" dxfId="0">
      <formula>LEN(K78)&gt;0</formula>
    </cfRule>
  </conditionalFormatting>
  <conditionalFormatting sqref="K79">
    <cfRule type="expression" priority="45" dxfId="0">
      <formula>LEN(K79)&gt;0</formula>
    </cfRule>
  </conditionalFormatting>
  <conditionalFormatting sqref="K80">
    <cfRule type="expression" priority="46" dxfId="0">
      <formula>LEN(K80)&gt;0</formula>
    </cfRule>
  </conditionalFormatting>
  <conditionalFormatting sqref="K81">
    <cfRule type="expression" priority="47" dxfId="0">
      <formula>LEN(K81)&gt;0</formula>
    </cfRule>
  </conditionalFormatting>
  <conditionalFormatting sqref="K82">
    <cfRule type="expression" priority="48" dxfId="0">
      <formula>LEN(K82)&gt;0</formula>
    </cfRule>
  </conditionalFormatting>
  <conditionalFormatting sqref="K83">
    <cfRule type="expression" priority="49" dxfId="0">
      <formula>LEN(K83)&gt;0</formula>
    </cfRule>
  </conditionalFormatting>
  <conditionalFormatting sqref="K88">
    <cfRule type="expression" priority="50" dxfId="0">
      <formula>LEN(K88)&gt;0</formula>
    </cfRule>
  </conditionalFormatting>
  <conditionalFormatting sqref="K89">
    <cfRule type="expression" priority="51" dxfId="0">
      <formula>LEN(K89)&gt;0</formula>
    </cfRule>
  </conditionalFormatting>
  <conditionalFormatting sqref="K90">
    <cfRule type="expression" priority="52" dxfId="0">
      <formula>LEN(K90)&gt;0</formula>
    </cfRule>
  </conditionalFormatting>
  <conditionalFormatting sqref="K91">
    <cfRule type="expression" priority="53" dxfId="0">
      <formula>LEN(K91)&gt;0</formula>
    </cfRule>
  </conditionalFormatting>
  <conditionalFormatting sqref="K92">
    <cfRule type="expression" priority="54" dxfId="0">
      <formula>LEN(K92)&gt;0</formula>
    </cfRule>
  </conditionalFormatting>
  <conditionalFormatting sqref="K93">
    <cfRule type="expression" priority="55" dxfId="0">
      <formula>LEN(K93)&gt;0</formula>
    </cfRule>
  </conditionalFormatting>
  <conditionalFormatting sqref="K94">
    <cfRule type="expression" priority="56" dxfId="0">
      <formula>LEN(K94)&gt;0</formula>
    </cfRule>
  </conditionalFormatting>
  <conditionalFormatting sqref="K95">
    <cfRule type="expression" priority="57" dxfId="0">
      <formula>LEN(K95)&gt;0</formula>
    </cfRule>
  </conditionalFormatting>
  <conditionalFormatting sqref="K96">
    <cfRule type="expression" priority="58" dxfId="0">
      <formula>LEN(K96)&gt;0</formula>
    </cfRule>
  </conditionalFormatting>
  <conditionalFormatting sqref="K97">
    <cfRule type="expression" priority="59" dxfId="0">
      <formula>LEN(K97)&gt;0</formula>
    </cfRule>
  </conditionalFormatting>
  <conditionalFormatting sqref="K98">
    <cfRule type="expression" priority="60" dxfId="0">
      <formula>LEN(K98)&gt;0</formula>
    </cfRule>
  </conditionalFormatting>
  <conditionalFormatting sqref="K99">
    <cfRule type="expression" priority="61" dxfId="0">
      <formula>LEN(K99)&gt;0</formula>
    </cfRule>
  </conditionalFormatting>
  <conditionalFormatting sqref="K101">
    <cfRule type="expression" priority="62" dxfId="0">
      <formula>LEN(K101)&gt;0</formula>
    </cfRule>
  </conditionalFormatting>
  <conditionalFormatting sqref="K102">
    <cfRule type="expression" priority="63" dxfId="0">
      <formula>LEN(K102)&gt;0</formula>
    </cfRule>
  </conditionalFormatting>
  <conditionalFormatting sqref="K103">
    <cfRule type="expression" priority="64" dxfId="0">
      <formula>LEN(K103)&gt;0</formula>
    </cfRule>
  </conditionalFormatting>
  <conditionalFormatting sqref="K104">
    <cfRule type="expression" priority="65" dxfId="0">
      <formula>LEN(K104)&gt;0</formula>
    </cfRule>
  </conditionalFormatting>
  <conditionalFormatting sqref="K105">
    <cfRule type="expression" priority="66" dxfId="0">
      <formula>LEN(K105)&gt;0</formula>
    </cfRule>
  </conditionalFormatting>
  <conditionalFormatting sqref="K106">
    <cfRule type="expression" priority="67" dxfId="0">
      <formula>LEN(K106)&gt;0</formula>
    </cfRule>
  </conditionalFormatting>
  <conditionalFormatting sqref="K107">
    <cfRule type="expression" priority="68" dxfId="0">
      <formula>LEN(K107)&gt;0</formula>
    </cfRule>
  </conditionalFormatting>
  <conditionalFormatting sqref="K108">
    <cfRule type="expression" priority="69" dxfId="0">
      <formula>LEN(K108)&gt;0</formula>
    </cfRule>
  </conditionalFormatting>
  <conditionalFormatting sqref="K109">
    <cfRule type="expression" priority="70" dxfId="0">
      <formula>LEN(K109)&gt;0</formula>
    </cfRule>
  </conditionalFormatting>
  <conditionalFormatting sqref="K110">
    <cfRule type="expression" priority="71" dxfId="0">
      <formula>LEN(K110)&gt;0</formula>
    </cfRule>
  </conditionalFormatting>
  <conditionalFormatting sqref="K111">
    <cfRule type="expression" priority="72" dxfId="0">
      <formula>LEN(K111)&gt;0</formula>
    </cfRule>
  </conditionalFormatting>
  <conditionalFormatting sqref="K112">
    <cfRule type="expression" priority="73" dxfId="0">
      <formula>LEN(K112)&gt;0</formula>
    </cfRule>
  </conditionalFormatting>
  <conditionalFormatting sqref="K116">
    <cfRule type="expression" priority="74" dxfId="0">
      <formula>LEN(K116)&gt;0</formula>
    </cfRule>
  </conditionalFormatting>
  <conditionalFormatting sqref="K117">
    <cfRule type="expression" priority="75" dxfId="0">
      <formula>LEN(K117)&gt;0</formula>
    </cfRule>
  </conditionalFormatting>
  <conditionalFormatting sqref="K118">
    <cfRule type="expression" priority="76" dxfId="0">
      <formula>LEN(K118)&gt;0</formula>
    </cfRule>
  </conditionalFormatting>
  <conditionalFormatting sqref="K119">
    <cfRule type="expression" priority="77" dxfId="0">
      <formula>LEN(K119)&gt;0</formula>
    </cfRule>
  </conditionalFormatting>
  <conditionalFormatting sqref="K120">
    <cfRule type="expression" priority="78" dxfId="0">
      <formula>LEN(K120)&gt;0</formula>
    </cfRule>
  </conditionalFormatting>
  <conditionalFormatting sqref="K121">
    <cfRule type="expression" priority="79" dxfId="0">
      <formula>LEN(K121)&gt;0</formula>
    </cfRule>
  </conditionalFormatting>
  <conditionalFormatting sqref="K122">
    <cfRule type="expression" priority="80" dxfId="0">
      <formula>LEN(K122)&gt;0</formula>
    </cfRule>
  </conditionalFormatting>
  <conditionalFormatting sqref="K123">
    <cfRule type="expression" priority="81" dxfId="0">
      <formula>LEN(K123)&gt;0</formula>
    </cfRule>
  </conditionalFormatting>
  <conditionalFormatting sqref="K124">
    <cfRule type="expression" priority="82" dxfId="0">
      <formula>LEN(K124)&gt;0</formula>
    </cfRule>
  </conditionalFormatting>
  <conditionalFormatting sqref="K125">
    <cfRule type="expression" priority="83" dxfId="0">
      <formula>LEN(K125)&gt;0</formula>
    </cfRule>
  </conditionalFormatting>
  <conditionalFormatting sqref="K126">
    <cfRule type="expression" priority="84" dxfId="0">
      <formula>LEN(K126)&gt;0</formula>
    </cfRule>
  </conditionalFormatting>
  <conditionalFormatting sqref="K127">
    <cfRule type="expression" priority="85" dxfId="0">
      <formula>LEN(K127)&gt;0</formula>
    </cfRule>
  </conditionalFormatting>
  <conditionalFormatting sqref="K129">
    <cfRule type="expression" priority="86" dxfId="0">
      <formula>LEN(K129)&gt;0</formula>
    </cfRule>
  </conditionalFormatting>
  <conditionalFormatting sqref="K130">
    <cfRule type="expression" priority="87" dxfId="0">
      <formula>LEN(K130)&gt;0</formula>
    </cfRule>
  </conditionalFormatting>
  <conditionalFormatting sqref="K131">
    <cfRule type="expression" priority="88" dxfId="0">
      <formula>LEN(K131)&gt;0</formula>
    </cfRule>
  </conditionalFormatting>
  <conditionalFormatting sqref="K132">
    <cfRule type="expression" priority="89" dxfId="0">
      <formula>LEN(K132)&gt;0</formula>
    </cfRule>
  </conditionalFormatting>
  <conditionalFormatting sqref="K133">
    <cfRule type="expression" priority="90" dxfId="0">
      <formula>LEN(K133)&gt;0</formula>
    </cfRule>
  </conditionalFormatting>
  <conditionalFormatting sqref="K134">
    <cfRule type="expression" priority="91" dxfId="0">
      <formula>LEN(K134)&gt;0</formula>
    </cfRule>
  </conditionalFormatting>
  <conditionalFormatting sqref="K135">
    <cfRule type="expression" priority="92" dxfId="0">
      <formula>LEN(K135)&gt;0</formula>
    </cfRule>
  </conditionalFormatting>
  <conditionalFormatting sqref="K136">
    <cfRule type="expression" priority="93" dxfId="0">
      <formula>LEN(K136)&gt;0</formula>
    </cfRule>
  </conditionalFormatting>
  <conditionalFormatting sqref="K137">
    <cfRule type="expression" priority="94" dxfId="0">
      <formula>LEN(K137)&gt;0</formula>
    </cfRule>
  </conditionalFormatting>
  <conditionalFormatting sqref="K138">
    <cfRule type="expression" priority="95" dxfId="0">
      <formula>LEN(K138)&gt;0</formula>
    </cfRule>
  </conditionalFormatting>
  <conditionalFormatting sqref="K139">
    <cfRule type="expression" priority="96" dxfId="0">
      <formula>LEN(K139)&gt;0</formula>
    </cfRule>
  </conditionalFormatting>
  <conditionalFormatting sqref="K140">
    <cfRule type="expression" priority="97" dxfId="0">
      <formula>LEN(K140)&gt;0</formula>
    </cfRule>
  </conditionalFormatting>
  <conditionalFormatting sqref="K142">
    <cfRule type="expression" priority="98" dxfId="0">
      <formula>LEN(K142)&gt;0</formula>
    </cfRule>
  </conditionalFormatting>
  <conditionalFormatting sqref="K143">
    <cfRule type="expression" priority="99" dxfId="0">
      <formula>LEN(K143)&gt;0</formula>
    </cfRule>
  </conditionalFormatting>
  <conditionalFormatting sqref="K144">
    <cfRule type="expression" priority="100" dxfId="0">
      <formula>LEN(K144)&gt;0</formula>
    </cfRule>
  </conditionalFormatting>
  <conditionalFormatting sqref="K145">
    <cfRule type="expression" priority="101" dxfId="0">
      <formula>LEN(K145)&gt;0</formula>
    </cfRule>
  </conditionalFormatting>
  <conditionalFormatting sqref="K146">
    <cfRule type="expression" priority="102" dxfId="0">
      <formula>LEN(K146)&gt;0</formula>
    </cfRule>
  </conditionalFormatting>
  <conditionalFormatting sqref="K147">
    <cfRule type="expression" priority="103" dxfId="0">
      <formula>LEN(K147)&gt;0</formula>
    </cfRule>
  </conditionalFormatting>
  <conditionalFormatting sqref="K148">
    <cfRule type="expression" priority="104" dxfId="0">
      <formula>LEN(K148)&gt;0</formula>
    </cfRule>
  </conditionalFormatting>
  <conditionalFormatting sqref="K149">
    <cfRule type="expression" priority="105" dxfId="0">
      <formula>LEN(K149)&gt;0</formula>
    </cfRule>
  </conditionalFormatting>
  <conditionalFormatting sqref="K150">
    <cfRule type="expression" priority="106" dxfId="0">
      <formula>LEN(K150)&gt;0</formula>
    </cfRule>
  </conditionalFormatting>
  <conditionalFormatting sqref="K151">
    <cfRule type="expression" priority="107" dxfId="0">
      <formula>LEN(K151)&gt;0</formula>
    </cfRule>
  </conditionalFormatting>
  <conditionalFormatting sqref="K152">
    <cfRule type="expression" priority="108" dxfId="0">
      <formula>LEN(K152)&gt;0</formula>
    </cfRule>
  </conditionalFormatting>
  <conditionalFormatting sqref="K153">
    <cfRule type="expression" priority="109" dxfId="0">
      <formula>LEN(K153)&gt;0</formula>
    </cfRule>
  </conditionalFormatting>
  <conditionalFormatting sqref="K157">
    <cfRule type="expression" priority="110" dxfId="0">
      <formula>LEN(K157)&gt;0</formula>
    </cfRule>
  </conditionalFormatting>
  <conditionalFormatting sqref="K158">
    <cfRule type="expression" priority="111" dxfId="0">
      <formula>LEN(K158)&gt;0</formula>
    </cfRule>
  </conditionalFormatting>
  <conditionalFormatting sqref="K159">
    <cfRule type="expression" priority="112" dxfId="0">
      <formula>LEN(K159)&gt;0</formula>
    </cfRule>
  </conditionalFormatting>
  <conditionalFormatting sqref="K160">
    <cfRule type="expression" priority="113" dxfId="0">
      <formula>LEN(K160)&gt;0</formula>
    </cfRule>
  </conditionalFormatting>
  <conditionalFormatting sqref="K161">
    <cfRule type="expression" priority="114" dxfId="0">
      <formula>LEN(K161)&gt;0</formula>
    </cfRule>
  </conditionalFormatting>
  <conditionalFormatting sqref="K162">
    <cfRule type="expression" priority="115" dxfId="0">
      <formula>LEN(K162)&gt;0</formula>
    </cfRule>
  </conditionalFormatting>
  <conditionalFormatting sqref="K163">
    <cfRule type="expression" priority="116" dxfId="0">
      <formula>LEN(K163)&gt;0</formula>
    </cfRule>
  </conditionalFormatting>
  <conditionalFormatting sqref="K164">
    <cfRule type="expression" priority="117" dxfId="0">
      <formula>LEN(K164)&gt;0</formula>
    </cfRule>
  </conditionalFormatting>
  <conditionalFormatting sqref="K165">
    <cfRule type="expression" priority="118" dxfId="0">
      <formula>LEN(K165)&gt;0</formula>
    </cfRule>
  </conditionalFormatting>
  <conditionalFormatting sqref="K166">
    <cfRule type="expression" priority="119" dxfId="0">
      <formula>LEN(K166)&gt;0</formula>
    </cfRule>
  </conditionalFormatting>
  <conditionalFormatting sqref="K167">
    <cfRule type="expression" priority="120" dxfId="0">
      <formula>LEN(K167)&gt;0</formula>
    </cfRule>
  </conditionalFormatting>
  <conditionalFormatting sqref="K168">
    <cfRule type="expression" priority="121" dxfId="0">
      <formula>LEN(K168)&gt;0</formula>
    </cfRule>
  </conditionalFormatting>
  <conditionalFormatting sqref="K170">
    <cfRule type="expression" priority="122" dxfId="0">
      <formula>LEN(K170)&gt;0</formula>
    </cfRule>
  </conditionalFormatting>
  <conditionalFormatting sqref="K171">
    <cfRule type="expression" priority="123" dxfId="0">
      <formula>LEN(K171)&gt;0</formula>
    </cfRule>
  </conditionalFormatting>
  <conditionalFormatting sqref="K172">
    <cfRule type="expression" priority="124" dxfId="0">
      <formula>LEN(K172)&gt;0</formula>
    </cfRule>
  </conditionalFormatting>
  <conditionalFormatting sqref="K173">
    <cfRule type="expression" priority="125" dxfId="0">
      <formula>LEN(K173)&gt;0</formula>
    </cfRule>
  </conditionalFormatting>
  <conditionalFormatting sqref="K174">
    <cfRule type="expression" priority="126" dxfId="0">
      <formula>LEN(K174)&gt;0</formula>
    </cfRule>
  </conditionalFormatting>
  <conditionalFormatting sqref="K175">
    <cfRule type="expression" priority="127" dxfId="0">
      <formula>LEN(K175)&gt;0</formula>
    </cfRule>
  </conditionalFormatting>
  <conditionalFormatting sqref="K176">
    <cfRule type="expression" priority="128" dxfId="0">
      <formula>LEN(K176)&gt;0</formula>
    </cfRule>
  </conditionalFormatting>
  <conditionalFormatting sqref="K177">
    <cfRule type="expression" priority="129" dxfId="0">
      <formula>LEN(K177)&gt;0</formula>
    </cfRule>
  </conditionalFormatting>
  <conditionalFormatting sqref="K178">
    <cfRule type="expression" priority="130" dxfId="0">
      <formula>LEN(K178)&gt;0</formula>
    </cfRule>
  </conditionalFormatting>
  <conditionalFormatting sqref="K179">
    <cfRule type="expression" priority="131" dxfId="0">
      <formula>LEN(K179)&gt;0</formula>
    </cfRule>
  </conditionalFormatting>
  <conditionalFormatting sqref="K180">
    <cfRule type="expression" priority="132" dxfId="0">
      <formula>LEN(K180)&gt;0</formula>
    </cfRule>
  </conditionalFormatting>
  <conditionalFormatting sqref="K181">
    <cfRule type="expression" priority="133" dxfId="0">
      <formula>LEN(K181)&gt;0</formula>
    </cfRule>
  </conditionalFormatting>
  <conditionalFormatting sqref="K183">
    <cfRule type="expression" priority="134" dxfId="0">
      <formula>LEN(K183)&gt;0</formula>
    </cfRule>
  </conditionalFormatting>
  <conditionalFormatting sqref="K184">
    <cfRule type="expression" priority="135" dxfId="0">
      <formula>LEN(K184)&gt;0</formula>
    </cfRule>
  </conditionalFormatting>
  <conditionalFormatting sqref="K185">
    <cfRule type="expression" priority="136" dxfId="0">
      <formula>LEN(K185)&gt;0</formula>
    </cfRule>
  </conditionalFormatting>
  <conditionalFormatting sqref="K186">
    <cfRule type="expression" priority="137" dxfId="0">
      <formula>LEN(K186)&gt;0</formula>
    </cfRule>
  </conditionalFormatting>
  <conditionalFormatting sqref="K187">
    <cfRule type="expression" priority="138" dxfId="0">
      <formula>LEN(K187)&gt;0</formula>
    </cfRule>
  </conditionalFormatting>
  <conditionalFormatting sqref="K188">
    <cfRule type="expression" priority="139" dxfId="0">
      <formula>LEN(K188)&gt;0</formula>
    </cfRule>
  </conditionalFormatting>
  <conditionalFormatting sqref="K189">
    <cfRule type="expression" priority="140" dxfId="0">
      <formula>LEN(K189)&gt;0</formula>
    </cfRule>
  </conditionalFormatting>
  <conditionalFormatting sqref="K190">
    <cfRule type="expression" priority="141" dxfId="0">
      <formula>LEN(K190)&gt;0</formula>
    </cfRule>
  </conditionalFormatting>
  <conditionalFormatting sqref="K191">
    <cfRule type="expression" priority="142" dxfId="0">
      <formula>LEN(K191)&gt;0</formula>
    </cfRule>
  </conditionalFormatting>
  <conditionalFormatting sqref="K192">
    <cfRule type="expression" priority="143" dxfId="0">
      <formula>LEN(K192)&gt;0</formula>
    </cfRule>
  </conditionalFormatting>
  <conditionalFormatting sqref="K193">
    <cfRule type="expression" priority="144" dxfId="0">
      <formula>LEN(K193)&gt;0</formula>
    </cfRule>
  </conditionalFormatting>
  <conditionalFormatting sqref="K194">
    <cfRule type="expression" priority="145" dxfId="0">
      <formula>LEN(K194)&gt;0</formula>
    </cfRule>
  </conditionalFormatting>
  <dataValidations count="710">
    <dataValidation sqref="B7" showDropDown="0" showInputMessage="0" showErrorMessage="1" allowBlank="1" errorTitle="Valor fora da faixa" error="Rolagem nº: use um número inteiro de 1 a 1000000." type="whole" errorStyle="warning" operator="between">
      <formula1>1</formula1>
      <formula2>1000000</formula2>
    </dataValidation>
    <dataValidation sqref="A11" showDropDown="0" showInputMessage="0" showErrorMessage="1" allowBlank="1" errorTitle="Texto longo" error="Nome do inimigo: até 30 caracteres." type="textLength" errorStyle="warning" operator="lessThanOrEqual">
      <formula1>30</formula1>
    </dataValidation>
    <dataValidation sqref="B11" showDropDown="0" showInputMessage="0" showErrorMessage="1" allowBlank="1" errorTitle="Fora da lista" error="Modo: escolha um valor da lista. A planilha pode não reconhecer outro valor." type="list" errorStyle="warning">
      <formula1>'Dados'!$AQ$6:$AQ$8</formula1>
    </dataValidation>
    <dataValidation sqref="D11" showDropDown="0" showInputMessage="0" showErrorMessage="1" allowBlank="1" errorTitle="Fora da lista" error="Base do bestiário: escolha um valor da lista. A planilha pode não reconhecer outro valor." type="list" errorStyle="warning">
      <formula1>'Dados'!$AW$6:$AW$37</formula1>
    </dataValidation>
    <dataValidation sqref="G11" showDropDown="0" showInputMessage="0" showErrorMessage="1" allowBlank="1" errorTitle="Fora da lista" error="Faixa: escolha um valor da lista. A planilha pode não reconhecer outro valor." type="list" errorStyle="warning">
      <formula1>'Dados'!$AP$6:$AP$10</formula1>
    </dataValidation>
    <dataValidation sqref="H11" showDropDown="0" showInputMessage="0" showErrorMessage="1" allowBlank="1" errorTitle="Valor fora da faixa" error="Nível: use um número inteiro de 1 a 20." type="whole" errorStyle="warning" operator="between">
      <formula1>1</formula1>
      <formula2>20</formula2>
    </dataValidation>
    <dataValidation sqref="I11" showDropDown="0" showInputMessage="0" showErrorMessage="1" allowBlank="1" errorTitle="Fora da lista" error="Tipo: escolha um valor da lista. A planilha pode não reconhecer outro valor." type="list" errorStyle="warning">
      <formula1>'Dados'!$AO$6:$AO$8</formula1>
    </dataValidation>
    <dataValidation sqref="J11" showDropDown="0" showInputMessage="0" showErrorMessage="1" allowBlank="1" errorTitle="Valor fora da faixa" error="Fases: use um número inteiro de 1 a 3." type="whole" errorStyle="warning" operator="between">
      <formula1>1</formula1>
      <formula2>3</formula2>
    </dataValidation>
    <dataValidation sqref="A12" showDropDown="0" showInputMessage="0" showErrorMessage="1" allowBlank="1" errorTitle="Texto longo" error="Nome do inimigo: até 30 caracteres." type="textLength" errorStyle="warning" operator="lessThanOrEqual">
      <formula1>30</formula1>
    </dataValidation>
    <dataValidation sqref="B12" showDropDown="0" showInputMessage="0" showErrorMessage="1" allowBlank="1" errorTitle="Fora da lista" error="Modo: escolha um valor da lista. A planilha pode não reconhecer outro valor." type="list" errorStyle="warning">
      <formula1>'Dados'!$AQ$6:$AQ$8</formula1>
    </dataValidation>
    <dataValidation sqref="D12" showDropDown="0" showInputMessage="0" showErrorMessage="1" allowBlank="1" errorTitle="Fora da lista" error="Base do bestiário: escolha um valor da lista. A planilha pode não reconhecer outro valor." type="list" errorStyle="warning">
      <formula1>'Dados'!$AW$6:$AW$37</formula1>
    </dataValidation>
    <dataValidation sqref="G12" showDropDown="0" showInputMessage="0" showErrorMessage="1" allowBlank="1" errorTitle="Fora da lista" error="Faixa: escolha um valor da lista. A planilha pode não reconhecer outro valor." type="list" errorStyle="warning">
      <formula1>'Dados'!$AP$6:$AP$10</formula1>
    </dataValidation>
    <dataValidation sqref="H12" showDropDown="0" showInputMessage="0" showErrorMessage="1" allowBlank="1" errorTitle="Valor fora da faixa" error="Nível: use um número inteiro de 1 a 20." type="whole" errorStyle="warning" operator="between">
      <formula1>1</formula1>
      <formula2>20</formula2>
    </dataValidation>
    <dataValidation sqref="I12" showDropDown="0" showInputMessage="0" showErrorMessage="1" allowBlank="1" errorTitle="Fora da lista" error="Tipo: escolha um valor da lista. A planilha pode não reconhecer outro valor." type="list" errorStyle="warning">
      <formula1>'Dados'!$AO$6:$AO$8</formula1>
    </dataValidation>
    <dataValidation sqref="J12" showDropDown="0" showInputMessage="0" showErrorMessage="1" allowBlank="1" errorTitle="Valor fora da faixa" error="Fases: use um número inteiro de 1 a 3." type="whole" errorStyle="warning" operator="between">
      <formula1>1</formula1>
      <formula2>3</formula2>
    </dataValidation>
    <dataValidation sqref="A13" showDropDown="0" showInputMessage="0" showErrorMessage="1" allowBlank="1" errorTitle="Texto longo" error="Nome do inimigo: até 30 caracteres." type="textLength" errorStyle="warning" operator="lessThanOrEqual">
      <formula1>30</formula1>
    </dataValidation>
    <dataValidation sqref="B13" showDropDown="0" showInputMessage="0" showErrorMessage="1" allowBlank="1" errorTitle="Fora da lista" error="Modo: escolha um valor da lista. A planilha pode não reconhecer outro valor." type="list" errorStyle="warning">
      <formula1>'Dados'!$AQ$6:$AQ$8</formula1>
    </dataValidation>
    <dataValidation sqref="D13" showDropDown="0" showInputMessage="0" showErrorMessage="1" allowBlank="1" errorTitle="Fora da lista" error="Base do bestiário: escolha um valor da lista. A planilha pode não reconhecer outro valor." type="list" errorStyle="warning">
      <formula1>'Dados'!$AW$6:$AW$37</formula1>
    </dataValidation>
    <dataValidation sqref="G13" showDropDown="0" showInputMessage="0" showErrorMessage="1" allowBlank="1" errorTitle="Fora da lista" error="Faixa: escolha um valor da lista. A planilha pode não reconhecer outro valor." type="list" errorStyle="warning">
      <formula1>'Dados'!$AP$6:$AP$10</formula1>
    </dataValidation>
    <dataValidation sqref="H13" showDropDown="0" showInputMessage="0" showErrorMessage="1" allowBlank="1" errorTitle="Valor fora da faixa" error="Nível: use um número inteiro de 1 a 20." type="whole" errorStyle="warning" operator="between">
      <formula1>1</formula1>
      <formula2>20</formula2>
    </dataValidation>
    <dataValidation sqref="I13" showDropDown="0" showInputMessage="0" showErrorMessage="1" allowBlank="1" errorTitle="Fora da lista" error="Tipo: escolha um valor da lista. A planilha pode não reconhecer outro valor." type="list" errorStyle="warning">
      <formula1>'Dados'!$AO$6:$AO$8</formula1>
    </dataValidation>
    <dataValidation sqref="J13" showDropDown="0" showInputMessage="0" showErrorMessage="1" allowBlank="1" errorTitle="Valor fora da faixa" error="Fases: use um número inteiro de 1 a 3." type="whole" errorStyle="warning" operator="between">
      <formula1>1</formula1>
      <formula2>3</formula2>
    </dataValidation>
    <dataValidation sqref="A14" showDropDown="0" showInputMessage="0" showErrorMessage="1" allowBlank="1" errorTitle="Texto longo" error="Nome do inimigo: até 30 caracteres." type="textLength" errorStyle="warning" operator="lessThanOrEqual">
      <formula1>30</formula1>
    </dataValidation>
    <dataValidation sqref="B14" showDropDown="0" showInputMessage="0" showErrorMessage="1" allowBlank="1" errorTitle="Fora da lista" error="Modo: escolha um valor da lista. A planilha pode não reconhecer outro valor." type="list" errorStyle="warning">
      <formula1>'Dados'!$AQ$6:$AQ$8</formula1>
    </dataValidation>
    <dataValidation sqref="D14" showDropDown="0" showInputMessage="0" showErrorMessage="1" allowBlank="1" errorTitle="Fora da lista" error="Base do bestiário: escolha um valor da lista. A planilha pode não reconhecer outro valor." type="list" errorStyle="warning">
      <formula1>'Dados'!$AW$6:$AW$37</formula1>
    </dataValidation>
    <dataValidation sqref="G14" showDropDown="0" showInputMessage="0" showErrorMessage="1" allowBlank="1" errorTitle="Fora da lista" error="Faixa: escolha um valor da lista. A planilha pode não reconhecer outro valor." type="list" errorStyle="warning">
      <formula1>'Dados'!$AP$6:$AP$10</formula1>
    </dataValidation>
    <dataValidation sqref="H14" showDropDown="0" showInputMessage="0" showErrorMessage="1" allowBlank="1" errorTitle="Valor fora da faixa" error="Nível: use um número inteiro de 1 a 20." type="whole" errorStyle="warning" operator="between">
      <formula1>1</formula1>
      <formula2>20</formula2>
    </dataValidation>
    <dataValidation sqref="I14" showDropDown="0" showInputMessage="0" showErrorMessage="1" allowBlank="1" errorTitle="Fora da lista" error="Tipo: escolha um valor da lista. A planilha pode não reconhecer outro valor." type="list" errorStyle="warning">
      <formula1>'Dados'!$AO$6:$AO$8</formula1>
    </dataValidation>
    <dataValidation sqref="J14" showDropDown="0" showInputMessage="0" showErrorMessage="1" allowBlank="1" errorTitle="Valor fora da faixa" error="Fases: use um número inteiro de 1 a 3." type="whole" errorStyle="warning" operator="between">
      <formula1>1</formula1>
      <formula2>3</formula2>
    </dataValidation>
    <dataValidation sqref="A15" showDropDown="0" showInputMessage="0" showErrorMessage="1" allowBlank="1" errorTitle="Texto longo" error="Nome do inimigo: até 30 caracteres." type="textLength" errorStyle="warning" operator="lessThanOrEqual">
      <formula1>30</formula1>
    </dataValidation>
    <dataValidation sqref="B15" showDropDown="0" showInputMessage="0" showErrorMessage="1" allowBlank="1" errorTitle="Fora da lista" error="Modo: escolha um valor da lista. A planilha pode não reconhecer outro valor." type="list" errorStyle="warning">
      <formula1>'Dados'!$AQ$6:$AQ$8</formula1>
    </dataValidation>
    <dataValidation sqref="D15" showDropDown="0" showInputMessage="0" showErrorMessage="1" allowBlank="1" errorTitle="Fora da lista" error="Base do bestiário: escolha um valor da lista. A planilha pode não reconhecer outro valor." type="list" errorStyle="warning">
      <formula1>'Dados'!$AW$6:$AW$37</formula1>
    </dataValidation>
    <dataValidation sqref="G15" showDropDown="0" showInputMessage="0" showErrorMessage="1" allowBlank="1" errorTitle="Fora da lista" error="Faixa: escolha um valor da lista. A planilha pode não reconhecer outro valor." type="list" errorStyle="warning">
      <formula1>'Dados'!$AP$6:$AP$10</formula1>
    </dataValidation>
    <dataValidation sqref="H15" showDropDown="0" showInputMessage="0" showErrorMessage="1" allowBlank="1" errorTitle="Valor fora da faixa" error="Nível: use um número inteiro de 1 a 20." type="whole" errorStyle="warning" operator="between">
      <formula1>1</formula1>
      <formula2>20</formula2>
    </dataValidation>
    <dataValidation sqref="I15" showDropDown="0" showInputMessage="0" showErrorMessage="1" allowBlank="1" errorTitle="Fora da lista" error="Tipo: escolha um valor da lista. A planilha pode não reconhecer outro valor." type="list" errorStyle="warning">
      <formula1>'Dados'!$AO$6:$AO$8</formula1>
    </dataValidation>
    <dataValidation sqref="J15" showDropDown="0" showInputMessage="0" showErrorMessage="1" allowBlank="1" errorTitle="Valor fora da faixa" error="Fases: use um número inteiro de 1 a 3." type="whole" errorStyle="warning" operator="between">
      <formula1>1</formula1>
      <formula2>3</formula2>
    </dataValidation>
    <dataValidation sqref="A16" showDropDown="0" showInputMessage="0" showErrorMessage="1" allowBlank="1" errorTitle="Texto longo" error="Nome do inimigo: até 30 caracteres." type="textLength" errorStyle="warning" operator="lessThanOrEqual">
      <formula1>30</formula1>
    </dataValidation>
    <dataValidation sqref="B16" showDropDown="0" showInputMessage="0" showErrorMessage="1" allowBlank="1" errorTitle="Fora da lista" error="Modo: escolha um valor da lista. A planilha pode não reconhecer outro valor." type="list" errorStyle="warning">
      <formula1>'Dados'!$AQ$6:$AQ$8</formula1>
    </dataValidation>
    <dataValidation sqref="D16" showDropDown="0" showInputMessage="0" showErrorMessage="1" allowBlank="1" errorTitle="Fora da lista" error="Base do bestiário: escolha um valor da lista. A planilha pode não reconhecer outro valor." type="list" errorStyle="warning">
      <formula1>'Dados'!$AW$6:$AW$37</formula1>
    </dataValidation>
    <dataValidation sqref="G16" showDropDown="0" showInputMessage="0" showErrorMessage="1" allowBlank="1" errorTitle="Fora da lista" error="Faixa: escolha um valor da lista. A planilha pode não reconhecer outro valor." type="list" errorStyle="warning">
      <formula1>'Dados'!$AP$6:$AP$10</formula1>
    </dataValidation>
    <dataValidation sqref="H16" showDropDown="0" showInputMessage="0" showErrorMessage="1" allowBlank="1" errorTitle="Valor fora da faixa" error="Nível: use um número inteiro de 1 a 20." type="whole" errorStyle="warning" operator="between">
      <formula1>1</formula1>
      <formula2>20</formula2>
    </dataValidation>
    <dataValidation sqref="I16" showDropDown="0" showInputMessage="0" showErrorMessage="1" allowBlank="1" errorTitle="Fora da lista" error="Tipo: escolha um valor da lista. A planilha pode não reconhecer outro valor." type="list" errorStyle="warning">
      <formula1>'Dados'!$AO$6:$AO$8</formula1>
    </dataValidation>
    <dataValidation sqref="J16" showDropDown="0" showInputMessage="0" showErrorMessage="1" allowBlank="1" errorTitle="Valor fora da faixa" error="Fases: use um número inteiro de 1 a 3." type="whole" errorStyle="warning" operator="between">
      <formula1>1</formula1>
      <formula2>3</formula2>
    </dataValidation>
    <dataValidation sqref="A17" showDropDown="0" showInputMessage="0" showErrorMessage="1" allowBlank="1" errorTitle="Texto longo" error="Nome do inimigo: até 30 caracteres." type="textLength" errorStyle="warning" operator="lessThanOrEqual">
      <formula1>30</formula1>
    </dataValidation>
    <dataValidation sqref="B17" showDropDown="0" showInputMessage="0" showErrorMessage="1" allowBlank="1" errorTitle="Fora da lista" error="Modo: escolha um valor da lista. A planilha pode não reconhecer outro valor." type="list" errorStyle="warning">
      <formula1>'Dados'!$AQ$6:$AQ$8</formula1>
    </dataValidation>
    <dataValidation sqref="D17" showDropDown="0" showInputMessage="0" showErrorMessage="1" allowBlank="1" errorTitle="Fora da lista" error="Base do bestiário: escolha um valor da lista. A planilha pode não reconhecer outro valor." type="list" errorStyle="warning">
      <formula1>'Dados'!$AW$6:$AW$37</formula1>
    </dataValidation>
    <dataValidation sqref="G17" showDropDown="0" showInputMessage="0" showErrorMessage="1" allowBlank="1" errorTitle="Fora da lista" error="Faixa: escolha um valor da lista. A planilha pode não reconhecer outro valor." type="list" errorStyle="warning">
      <formula1>'Dados'!$AP$6:$AP$10</formula1>
    </dataValidation>
    <dataValidation sqref="H17" showDropDown="0" showInputMessage="0" showErrorMessage="1" allowBlank="1" errorTitle="Valor fora da faixa" error="Nível: use um número inteiro de 1 a 20." type="whole" errorStyle="warning" operator="between">
      <formula1>1</formula1>
      <formula2>20</formula2>
    </dataValidation>
    <dataValidation sqref="I17" showDropDown="0" showInputMessage="0" showErrorMessage="1" allowBlank="1" errorTitle="Fora da lista" error="Tipo: escolha um valor da lista. A planilha pode não reconhecer outro valor." type="list" errorStyle="warning">
      <formula1>'Dados'!$AO$6:$AO$8</formula1>
    </dataValidation>
    <dataValidation sqref="J17" showDropDown="0" showInputMessage="0" showErrorMessage="1" allowBlank="1" errorTitle="Valor fora da faixa" error="Fases: use um número inteiro de 1 a 3." type="whole" errorStyle="warning" operator="between">
      <formula1>1</formula1>
      <formula2>3</formula2>
    </dataValidation>
    <dataValidation sqref="A18" showDropDown="0" showInputMessage="0" showErrorMessage="1" allowBlank="1" errorTitle="Texto longo" error="Nome do inimigo: até 30 caracteres." type="textLength" errorStyle="warning" operator="lessThanOrEqual">
      <formula1>30</formula1>
    </dataValidation>
    <dataValidation sqref="B18" showDropDown="0" showInputMessage="0" showErrorMessage="1" allowBlank="1" errorTitle="Fora da lista" error="Modo: escolha um valor da lista. A planilha pode não reconhecer outro valor." type="list" errorStyle="warning">
      <formula1>'Dados'!$AQ$6:$AQ$8</formula1>
    </dataValidation>
    <dataValidation sqref="D18" showDropDown="0" showInputMessage="0" showErrorMessage="1" allowBlank="1" errorTitle="Fora da lista" error="Base do bestiário: escolha um valor da lista. A planilha pode não reconhecer outro valor." type="list" errorStyle="warning">
      <formula1>'Dados'!$AW$6:$AW$37</formula1>
    </dataValidation>
    <dataValidation sqref="G18" showDropDown="0" showInputMessage="0" showErrorMessage="1" allowBlank="1" errorTitle="Fora da lista" error="Faixa: escolha um valor da lista. A planilha pode não reconhecer outro valor." type="list" errorStyle="warning">
      <formula1>'Dados'!$AP$6:$AP$10</formula1>
    </dataValidation>
    <dataValidation sqref="H18" showDropDown="0" showInputMessage="0" showErrorMessage="1" allowBlank="1" errorTitle="Valor fora da faixa" error="Nível: use um número inteiro de 1 a 20." type="whole" errorStyle="warning" operator="between">
      <formula1>1</formula1>
      <formula2>20</formula2>
    </dataValidation>
    <dataValidation sqref="I18" showDropDown="0" showInputMessage="0" showErrorMessage="1" allowBlank="1" errorTitle="Fora da lista" error="Tipo: escolha um valor da lista. A planilha pode não reconhecer outro valor." type="list" errorStyle="warning">
      <formula1>'Dados'!$AO$6:$AO$8</formula1>
    </dataValidation>
    <dataValidation sqref="J18" showDropDown="0" showInputMessage="0" showErrorMessage="1" allowBlank="1" errorTitle="Valor fora da faixa" error="Fases: use um número inteiro de 1 a 3." type="whole" errorStyle="warning" operator="between">
      <formula1>1</formula1>
      <formula2>3</formula2>
    </dataValidation>
    <dataValidation sqref="A19" showDropDown="0" showInputMessage="0" showErrorMessage="1" allowBlank="1" errorTitle="Texto longo" error="Nome do inimigo: até 30 caracteres." type="textLength" errorStyle="warning" operator="lessThanOrEqual">
      <formula1>30</formula1>
    </dataValidation>
    <dataValidation sqref="B19" showDropDown="0" showInputMessage="0" showErrorMessage="1" allowBlank="1" errorTitle="Fora da lista" error="Modo: escolha um valor da lista. A planilha pode não reconhecer outro valor." type="list" errorStyle="warning">
      <formula1>'Dados'!$AQ$6:$AQ$8</formula1>
    </dataValidation>
    <dataValidation sqref="D19" showDropDown="0" showInputMessage="0" showErrorMessage="1" allowBlank="1" errorTitle="Fora da lista" error="Base do bestiário: escolha um valor da lista. A planilha pode não reconhecer outro valor." type="list" errorStyle="warning">
      <formula1>'Dados'!$AW$6:$AW$37</formula1>
    </dataValidation>
    <dataValidation sqref="G19" showDropDown="0" showInputMessage="0" showErrorMessage="1" allowBlank="1" errorTitle="Fora da lista" error="Faixa: escolha um valor da lista. A planilha pode não reconhecer outro valor." type="list" errorStyle="warning">
      <formula1>'Dados'!$AP$6:$AP$10</formula1>
    </dataValidation>
    <dataValidation sqref="H19" showDropDown="0" showInputMessage="0" showErrorMessage="1" allowBlank="1" errorTitle="Valor fora da faixa" error="Nível: use um número inteiro de 1 a 20." type="whole" errorStyle="warning" operator="between">
      <formula1>1</formula1>
      <formula2>20</formula2>
    </dataValidation>
    <dataValidation sqref="I19" showDropDown="0" showInputMessage="0" showErrorMessage="1" allowBlank="1" errorTitle="Fora da lista" error="Tipo: escolha um valor da lista. A planilha pode não reconhecer outro valor." type="list" errorStyle="warning">
      <formula1>'Dados'!$AO$6:$AO$8</formula1>
    </dataValidation>
    <dataValidation sqref="J19" showDropDown="0" showInputMessage="0" showErrorMessage="1" allowBlank="1" errorTitle="Valor fora da faixa" error="Fases: use um número inteiro de 1 a 3." type="whole" errorStyle="warning" operator="between">
      <formula1>1</formula1>
      <formula2>3</formula2>
    </dataValidation>
    <dataValidation sqref="A20" showDropDown="0" showInputMessage="0" showErrorMessage="1" allowBlank="1" errorTitle="Texto longo" error="Nome do inimigo: até 30 caracteres." type="textLength" errorStyle="warning" operator="lessThanOrEqual">
      <formula1>30</formula1>
    </dataValidation>
    <dataValidation sqref="B20" showDropDown="0" showInputMessage="0" showErrorMessage="1" allowBlank="1" errorTitle="Fora da lista" error="Modo: escolha um valor da lista. A planilha pode não reconhecer outro valor." type="list" errorStyle="warning">
      <formula1>'Dados'!$AQ$6:$AQ$8</formula1>
    </dataValidation>
    <dataValidation sqref="D20" showDropDown="0" showInputMessage="0" showErrorMessage="1" allowBlank="1" errorTitle="Fora da lista" error="Base do bestiário: escolha um valor da lista. A planilha pode não reconhecer outro valor." type="list" errorStyle="warning">
      <formula1>'Dados'!$AW$6:$AW$37</formula1>
    </dataValidation>
    <dataValidation sqref="G20" showDropDown="0" showInputMessage="0" showErrorMessage="1" allowBlank="1" errorTitle="Fora da lista" error="Faixa: escolha um valor da lista. A planilha pode não reconhecer outro valor." type="list" errorStyle="warning">
      <formula1>'Dados'!$AP$6:$AP$10</formula1>
    </dataValidation>
    <dataValidation sqref="H20" showDropDown="0" showInputMessage="0" showErrorMessage="1" allowBlank="1" errorTitle="Valor fora da faixa" error="Nível: use um número inteiro de 1 a 20." type="whole" errorStyle="warning" operator="between">
      <formula1>1</formula1>
      <formula2>20</formula2>
    </dataValidation>
    <dataValidation sqref="I20" showDropDown="0" showInputMessage="0" showErrorMessage="1" allowBlank="1" errorTitle="Fora da lista" error="Tipo: escolha um valor da lista. A planilha pode não reconhecer outro valor." type="list" errorStyle="warning">
      <formula1>'Dados'!$AO$6:$AO$8</formula1>
    </dataValidation>
    <dataValidation sqref="J20" showDropDown="0" showInputMessage="0" showErrorMessage="1" allowBlank="1" errorTitle="Valor fora da faixa" error="Fases: use um número inteiro de 1 a 3." type="whole" errorStyle="warning" operator="between">
      <formula1>1</formula1>
      <formula2>3</formula2>
    </dataValidation>
    <dataValidation sqref="A21" showDropDown="0" showInputMessage="0" showErrorMessage="1" allowBlank="1" errorTitle="Texto longo" error="Nome do inimigo: até 30 caracteres." type="textLength" errorStyle="warning" operator="lessThanOrEqual">
      <formula1>30</formula1>
    </dataValidation>
    <dataValidation sqref="B21" showDropDown="0" showInputMessage="0" showErrorMessage="1" allowBlank="1" errorTitle="Fora da lista" error="Modo: escolha um valor da lista. A planilha pode não reconhecer outro valor." type="list" errorStyle="warning">
      <formula1>'Dados'!$AQ$6:$AQ$8</formula1>
    </dataValidation>
    <dataValidation sqref="D21" showDropDown="0" showInputMessage="0" showErrorMessage="1" allowBlank="1" errorTitle="Fora da lista" error="Base do bestiário: escolha um valor da lista. A planilha pode não reconhecer outro valor." type="list" errorStyle="warning">
      <formula1>'Dados'!$AW$6:$AW$37</formula1>
    </dataValidation>
    <dataValidation sqref="G21" showDropDown="0" showInputMessage="0" showErrorMessage="1" allowBlank="1" errorTitle="Fora da lista" error="Faixa: escolha um valor da lista. A planilha pode não reconhecer outro valor." type="list" errorStyle="warning">
      <formula1>'Dados'!$AP$6:$AP$10</formula1>
    </dataValidation>
    <dataValidation sqref="H21" showDropDown="0" showInputMessage="0" showErrorMessage="1" allowBlank="1" errorTitle="Valor fora da faixa" error="Nível: use um número inteiro de 1 a 20." type="whole" errorStyle="warning" operator="between">
      <formula1>1</formula1>
      <formula2>20</formula2>
    </dataValidation>
    <dataValidation sqref="I21" showDropDown="0" showInputMessage="0" showErrorMessage="1" allowBlank="1" errorTitle="Fora da lista" error="Tipo: escolha um valor da lista. A planilha pode não reconhecer outro valor." type="list" errorStyle="warning">
      <formula1>'Dados'!$AO$6:$AO$8</formula1>
    </dataValidation>
    <dataValidation sqref="J21" showDropDown="0" showInputMessage="0" showErrorMessage="1" allowBlank="1" errorTitle="Valor fora da faixa" error="Fases: use um número inteiro de 1 a 3." type="whole" errorStyle="warning" operator="between">
      <formula1>1</formula1>
      <formula2>3</formula2>
    </dataValidation>
    <dataValidation sqref="A22" showDropDown="0" showInputMessage="0" showErrorMessage="1" allowBlank="1" errorTitle="Texto longo" error="Nome do inimigo: até 30 caracteres." type="textLength" errorStyle="warning" operator="lessThanOrEqual">
      <formula1>30</formula1>
    </dataValidation>
    <dataValidation sqref="B22" showDropDown="0" showInputMessage="0" showErrorMessage="1" allowBlank="1" errorTitle="Fora da lista" error="Modo: escolha um valor da lista. A planilha pode não reconhecer outro valor." type="list" errorStyle="warning">
      <formula1>'Dados'!$AQ$6:$AQ$8</formula1>
    </dataValidation>
    <dataValidation sqref="D22" showDropDown="0" showInputMessage="0" showErrorMessage="1" allowBlank="1" errorTitle="Fora da lista" error="Base do bestiário: escolha um valor da lista. A planilha pode não reconhecer outro valor." type="list" errorStyle="warning">
      <formula1>'Dados'!$AW$6:$AW$37</formula1>
    </dataValidation>
    <dataValidation sqref="G22" showDropDown="0" showInputMessage="0" showErrorMessage="1" allowBlank="1" errorTitle="Fora da lista" error="Faixa: escolha um valor da lista. A planilha pode não reconhecer outro valor." type="list" errorStyle="warning">
      <formula1>'Dados'!$AP$6:$AP$10</formula1>
    </dataValidation>
    <dataValidation sqref="H22" showDropDown="0" showInputMessage="0" showErrorMessage="1" allowBlank="1" errorTitle="Valor fora da faixa" error="Nível: use um número inteiro de 1 a 20." type="whole" errorStyle="warning" operator="between">
      <formula1>1</formula1>
      <formula2>20</formula2>
    </dataValidation>
    <dataValidation sqref="I22" showDropDown="0" showInputMessage="0" showErrorMessage="1" allowBlank="1" errorTitle="Fora da lista" error="Tipo: escolha um valor da lista. A planilha pode não reconhecer outro valor." type="list" errorStyle="warning">
      <formula1>'Dados'!$AO$6:$AO$8</formula1>
    </dataValidation>
    <dataValidation sqref="J22" showDropDown="0" showInputMessage="0" showErrorMessage="1" allowBlank="1" errorTitle="Valor fora da faixa" error="Fases: use um número inteiro de 1 a 3." type="whole" errorStyle="warning" operator="between">
      <formula1>1</formula1>
      <formula2>3</formula2>
    </dataValidation>
    <dataValidation sqref="B26" showDropDown="0" showInputMessage="0" showErrorMessage="1" allowBlank="1" errorTitle="Fora da lista" error="Facção: escolha um valor da lista. A planilha pode não reconhecer outro valor." type="list" errorStyle="warning">
      <formula1>'Dados'!$AV$6:$AV$17</formula1>
    </dataValidation>
    <dataValidation sqref="E26" showDropDown="0" showInputMessage="0" showErrorMessage="1" allowBlank="1" errorTitle="Fora da lista" error="Elemento: escolha um valor da lista. A planilha pode não reconhecer outro valor." type="list" errorStyle="warning">
      <formula1>'Dados'!$AN$6:$AN$12</formula1>
    </dataValidation>
    <dataValidation sqref="F26" showDropDown="0" showInputMessage="0" showErrorMessage="1" allowBlank="1" errorTitle="Fora da lista" error="Pode Executar?: escolha um valor da lista. A planilha pode não reconhecer outro valor." type="list" errorStyle="warning">
      <formula1>'Dados'!$AT$6:$AT$7</formula1>
    </dataValidation>
    <dataValidation sqref="G26" showDropDown="0" showInputMessage="0" showErrorMessage="1" allowBlank="1" errorTitle="Texto longo" error="Comportamento na Fila: até 120 caracteres." type="textLength" errorStyle="warning" operator="lessThanOrEqual">
      <formula1>120</formula1>
    </dataValidation>
    <dataValidation sqref="B27" showDropDown="0" showInputMessage="0" showErrorMessage="1" allowBlank="1" errorTitle="Fora da lista" error="Facção: escolha um valor da lista. A planilha pode não reconhecer outro valor." type="list" errorStyle="warning">
      <formula1>'Dados'!$AV$6:$AV$17</formula1>
    </dataValidation>
    <dataValidation sqref="E27" showDropDown="0" showInputMessage="0" showErrorMessage="1" allowBlank="1" errorTitle="Fora da lista" error="Elemento: escolha um valor da lista. A planilha pode não reconhecer outro valor." type="list" errorStyle="warning">
      <formula1>'Dados'!$AN$6:$AN$12</formula1>
    </dataValidation>
    <dataValidation sqref="F27" showDropDown="0" showInputMessage="0" showErrorMessage="1" allowBlank="1" errorTitle="Fora da lista" error="Pode Executar?: escolha um valor da lista. A planilha pode não reconhecer outro valor." type="list" errorStyle="warning">
      <formula1>'Dados'!$AT$6:$AT$7</formula1>
    </dataValidation>
    <dataValidation sqref="G27" showDropDown="0" showInputMessage="0" showErrorMessage="1" allowBlank="1" errorTitle="Texto longo" error="Comportamento na Fila: até 120 caracteres." type="textLength" errorStyle="warning" operator="lessThanOrEqual">
      <formula1>120</formula1>
    </dataValidation>
    <dataValidation sqref="B28" showDropDown="0" showInputMessage="0" showErrorMessage="1" allowBlank="1" errorTitle="Fora da lista" error="Facção: escolha um valor da lista. A planilha pode não reconhecer outro valor." type="list" errorStyle="warning">
      <formula1>'Dados'!$AV$6:$AV$17</formula1>
    </dataValidation>
    <dataValidation sqref="E28" showDropDown="0" showInputMessage="0" showErrorMessage="1" allowBlank="1" errorTitle="Fora da lista" error="Elemento: escolha um valor da lista. A planilha pode não reconhecer outro valor." type="list" errorStyle="warning">
      <formula1>'Dados'!$AN$6:$AN$12</formula1>
    </dataValidation>
    <dataValidation sqref="F28" showDropDown="0" showInputMessage="0" showErrorMessage="1" allowBlank="1" errorTitle="Fora da lista" error="Pode Executar?: escolha um valor da lista. A planilha pode não reconhecer outro valor." type="list" errorStyle="warning">
      <formula1>'Dados'!$AT$6:$AT$7</formula1>
    </dataValidation>
    <dataValidation sqref="G28" showDropDown="0" showInputMessage="0" showErrorMessage="1" allowBlank="1" errorTitle="Texto longo" error="Comportamento na Fila: até 120 caracteres." type="textLength" errorStyle="warning" operator="lessThanOrEqual">
      <formula1>120</formula1>
    </dataValidation>
    <dataValidation sqref="B29" showDropDown="0" showInputMessage="0" showErrorMessage="1" allowBlank="1" errorTitle="Fora da lista" error="Facção: escolha um valor da lista. A planilha pode não reconhecer outro valor." type="list" errorStyle="warning">
      <formula1>'Dados'!$AV$6:$AV$17</formula1>
    </dataValidation>
    <dataValidation sqref="E29" showDropDown="0" showInputMessage="0" showErrorMessage="1" allowBlank="1" errorTitle="Fora da lista" error="Elemento: escolha um valor da lista. A planilha pode não reconhecer outro valor." type="list" errorStyle="warning">
      <formula1>'Dados'!$AN$6:$AN$12</formula1>
    </dataValidation>
    <dataValidation sqref="F29" showDropDown="0" showInputMessage="0" showErrorMessage="1" allowBlank="1" errorTitle="Fora da lista" error="Pode Executar?: escolha um valor da lista. A planilha pode não reconhecer outro valor." type="list" errorStyle="warning">
      <formula1>'Dados'!$AT$6:$AT$7</formula1>
    </dataValidation>
    <dataValidation sqref="G29" showDropDown="0" showInputMessage="0" showErrorMessage="1" allowBlank="1" errorTitle="Texto longo" error="Comportamento na Fila: até 120 caracteres." type="textLength" errorStyle="warning" operator="lessThanOrEqual">
      <formula1>120</formula1>
    </dataValidation>
    <dataValidation sqref="B30" showDropDown="0" showInputMessage="0" showErrorMessage="1" allowBlank="1" errorTitle="Fora da lista" error="Facção: escolha um valor da lista. A planilha pode não reconhecer outro valor." type="list" errorStyle="warning">
      <formula1>'Dados'!$AV$6:$AV$17</formula1>
    </dataValidation>
    <dataValidation sqref="E30" showDropDown="0" showInputMessage="0" showErrorMessage="1" allowBlank="1" errorTitle="Fora da lista" error="Elemento: escolha um valor da lista. A planilha pode não reconhecer outro valor." type="list" errorStyle="warning">
      <formula1>'Dados'!$AN$6:$AN$12</formula1>
    </dataValidation>
    <dataValidation sqref="F30" showDropDown="0" showInputMessage="0" showErrorMessage="1" allowBlank="1" errorTitle="Fora da lista" error="Pode Executar?: escolha um valor da lista. A planilha pode não reconhecer outro valor." type="list" errorStyle="warning">
      <formula1>'Dados'!$AT$6:$AT$7</formula1>
    </dataValidation>
    <dataValidation sqref="G30" showDropDown="0" showInputMessage="0" showErrorMessage="1" allowBlank="1" errorTitle="Texto longo" error="Comportamento na Fila: até 120 caracteres." type="textLength" errorStyle="warning" operator="lessThanOrEqual">
      <formula1>120</formula1>
    </dataValidation>
    <dataValidation sqref="B31" showDropDown="0" showInputMessage="0" showErrorMessage="1" allowBlank="1" errorTitle="Fora da lista" error="Facção: escolha um valor da lista. A planilha pode não reconhecer outro valor." type="list" errorStyle="warning">
      <formula1>'Dados'!$AV$6:$AV$17</formula1>
    </dataValidation>
    <dataValidation sqref="E31" showDropDown="0" showInputMessage="0" showErrorMessage="1" allowBlank="1" errorTitle="Fora da lista" error="Elemento: escolha um valor da lista. A planilha pode não reconhecer outro valor." type="list" errorStyle="warning">
      <formula1>'Dados'!$AN$6:$AN$12</formula1>
    </dataValidation>
    <dataValidation sqref="F31" showDropDown="0" showInputMessage="0" showErrorMessage="1" allowBlank="1" errorTitle="Fora da lista" error="Pode Executar?: escolha um valor da lista. A planilha pode não reconhecer outro valor." type="list" errorStyle="warning">
      <formula1>'Dados'!$AT$6:$AT$7</formula1>
    </dataValidation>
    <dataValidation sqref="G31" showDropDown="0" showInputMessage="0" showErrorMessage="1" allowBlank="1" errorTitle="Texto longo" error="Comportamento na Fila: até 120 caracteres." type="textLength" errorStyle="warning" operator="lessThanOrEqual">
      <formula1>120</formula1>
    </dataValidation>
    <dataValidation sqref="B32" showDropDown="0" showInputMessage="0" showErrorMessage="1" allowBlank="1" errorTitle="Fora da lista" error="Facção: escolha um valor da lista. A planilha pode não reconhecer outro valor." type="list" errorStyle="warning">
      <formula1>'Dados'!$AV$6:$AV$17</formula1>
    </dataValidation>
    <dataValidation sqref="E32" showDropDown="0" showInputMessage="0" showErrorMessage="1" allowBlank="1" errorTitle="Fora da lista" error="Elemento: escolha um valor da lista. A planilha pode não reconhecer outro valor." type="list" errorStyle="warning">
      <formula1>'Dados'!$AN$6:$AN$12</formula1>
    </dataValidation>
    <dataValidation sqref="F32" showDropDown="0" showInputMessage="0" showErrorMessage="1" allowBlank="1" errorTitle="Fora da lista" error="Pode Executar?: escolha um valor da lista. A planilha pode não reconhecer outro valor." type="list" errorStyle="warning">
      <formula1>'Dados'!$AT$6:$AT$7</formula1>
    </dataValidation>
    <dataValidation sqref="G32" showDropDown="0" showInputMessage="0" showErrorMessage="1" allowBlank="1" errorTitle="Texto longo" error="Comportamento na Fila: até 120 caracteres." type="textLength" errorStyle="warning" operator="lessThanOrEqual">
      <formula1>120</formula1>
    </dataValidation>
    <dataValidation sqref="B33" showDropDown="0" showInputMessage="0" showErrorMessage="1" allowBlank="1" errorTitle="Fora da lista" error="Facção: escolha um valor da lista. A planilha pode não reconhecer outro valor." type="list" errorStyle="warning">
      <formula1>'Dados'!$AV$6:$AV$17</formula1>
    </dataValidation>
    <dataValidation sqref="E33" showDropDown="0" showInputMessage="0" showErrorMessage="1" allowBlank="1" errorTitle="Fora da lista" error="Elemento: escolha um valor da lista. A planilha pode não reconhecer outro valor." type="list" errorStyle="warning">
      <formula1>'Dados'!$AN$6:$AN$12</formula1>
    </dataValidation>
    <dataValidation sqref="F33" showDropDown="0" showInputMessage="0" showErrorMessage="1" allowBlank="1" errorTitle="Fora da lista" error="Pode Executar?: escolha um valor da lista. A planilha pode não reconhecer outro valor." type="list" errorStyle="warning">
      <formula1>'Dados'!$AT$6:$AT$7</formula1>
    </dataValidation>
    <dataValidation sqref="G33" showDropDown="0" showInputMessage="0" showErrorMessage="1" allowBlank="1" errorTitle="Texto longo" error="Comportamento na Fila: até 120 caracteres." type="textLength" errorStyle="warning" operator="lessThanOrEqual">
      <formula1>120</formula1>
    </dataValidation>
    <dataValidation sqref="B34" showDropDown="0" showInputMessage="0" showErrorMessage="1" allowBlank="1" errorTitle="Fora da lista" error="Facção: escolha um valor da lista. A planilha pode não reconhecer outro valor." type="list" errorStyle="warning">
      <formula1>'Dados'!$AV$6:$AV$17</formula1>
    </dataValidation>
    <dataValidation sqref="E34" showDropDown="0" showInputMessage="0" showErrorMessage="1" allowBlank="1" errorTitle="Fora da lista" error="Elemento: escolha um valor da lista. A planilha pode não reconhecer outro valor." type="list" errorStyle="warning">
      <formula1>'Dados'!$AN$6:$AN$12</formula1>
    </dataValidation>
    <dataValidation sqref="F34" showDropDown="0" showInputMessage="0" showErrorMessage="1" allowBlank="1" errorTitle="Fora da lista" error="Pode Executar?: escolha um valor da lista. A planilha pode não reconhecer outro valor." type="list" errorStyle="warning">
      <formula1>'Dados'!$AT$6:$AT$7</formula1>
    </dataValidation>
    <dataValidation sqref="G34" showDropDown="0" showInputMessage="0" showErrorMessage="1" allowBlank="1" errorTitle="Texto longo" error="Comportamento na Fila: até 120 caracteres." type="textLength" errorStyle="warning" operator="lessThanOrEqual">
      <formula1>120</formula1>
    </dataValidation>
    <dataValidation sqref="B35" showDropDown="0" showInputMessage="0" showErrorMessage="1" allowBlank="1" errorTitle="Fora da lista" error="Facção: escolha um valor da lista. A planilha pode não reconhecer outro valor." type="list" errorStyle="warning">
      <formula1>'Dados'!$AV$6:$AV$17</formula1>
    </dataValidation>
    <dataValidation sqref="E35" showDropDown="0" showInputMessage="0" showErrorMessage="1" allowBlank="1" errorTitle="Fora da lista" error="Elemento: escolha um valor da lista. A planilha pode não reconhecer outro valor." type="list" errorStyle="warning">
      <formula1>'Dados'!$AN$6:$AN$12</formula1>
    </dataValidation>
    <dataValidation sqref="F35" showDropDown="0" showInputMessage="0" showErrorMessage="1" allowBlank="1" errorTitle="Fora da lista" error="Pode Executar?: escolha um valor da lista. A planilha pode não reconhecer outro valor." type="list" errorStyle="warning">
      <formula1>'Dados'!$AT$6:$AT$7</formula1>
    </dataValidation>
    <dataValidation sqref="G35" showDropDown="0" showInputMessage="0" showErrorMessage="1" allowBlank="1" errorTitle="Texto longo" error="Comportamento na Fila: até 120 caracteres." type="textLength" errorStyle="warning" operator="lessThanOrEqual">
      <formula1>120</formula1>
    </dataValidation>
    <dataValidation sqref="B36" showDropDown="0" showInputMessage="0" showErrorMessage="1" allowBlank="1" errorTitle="Fora da lista" error="Facção: escolha um valor da lista. A planilha pode não reconhecer outro valor." type="list" errorStyle="warning">
      <formula1>'Dados'!$AV$6:$AV$17</formula1>
    </dataValidation>
    <dataValidation sqref="E36" showDropDown="0" showInputMessage="0" showErrorMessage="1" allowBlank="1" errorTitle="Fora da lista" error="Elemento: escolha um valor da lista. A planilha pode não reconhecer outro valor." type="list" errorStyle="warning">
      <formula1>'Dados'!$AN$6:$AN$12</formula1>
    </dataValidation>
    <dataValidation sqref="F36" showDropDown="0" showInputMessage="0" showErrorMessage="1" allowBlank="1" errorTitle="Fora da lista" error="Pode Executar?: escolha um valor da lista. A planilha pode não reconhecer outro valor." type="list" errorStyle="warning">
      <formula1>'Dados'!$AT$6:$AT$7</formula1>
    </dataValidation>
    <dataValidation sqref="G36" showDropDown="0" showInputMessage="0" showErrorMessage="1" allowBlank="1" errorTitle="Texto longo" error="Comportamento na Fila: até 120 caracteres." type="textLength" errorStyle="warning" operator="lessThanOrEqual">
      <formula1>120</formula1>
    </dataValidation>
    <dataValidation sqref="B37" showDropDown="0" showInputMessage="0" showErrorMessage="1" allowBlank="1" errorTitle="Fora da lista" error="Facção: escolha um valor da lista. A planilha pode não reconhecer outro valor." type="list" errorStyle="warning">
      <formula1>'Dados'!$AV$6:$AV$17</formula1>
    </dataValidation>
    <dataValidation sqref="E37" showDropDown="0" showInputMessage="0" showErrorMessage="1" allowBlank="1" errorTitle="Fora da lista" error="Elemento: escolha um valor da lista. A planilha pode não reconhecer outro valor." type="list" errorStyle="warning">
      <formula1>'Dados'!$AN$6:$AN$12</formula1>
    </dataValidation>
    <dataValidation sqref="F37" showDropDown="0" showInputMessage="0" showErrorMessage="1" allowBlank="1" errorTitle="Fora da lista" error="Pode Executar?: escolha um valor da lista. A planilha pode não reconhecer outro valor." type="list" errorStyle="warning">
      <formula1>'Dados'!$AT$6:$AT$7</formula1>
    </dataValidation>
    <dataValidation sqref="G37" showDropDown="0" showInputMessage="0" showErrorMessage="1" allowBlank="1" errorTitle="Texto longo" error="Comportamento na Fila: até 120 caracteres." type="textLength" errorStyle="warning" operator="lessThanOrEqual">
      <formula1>120</formula1>
    </dataValidation>
    <dataValidation sqref="B42" showDropDown="0" showInputMessage="0" showErrorMessage="1" allowBlank="1" errorTitle="Fora da lista" error="Fraqueza 1: escolha um valor da lista. A planilha pode não reconhecer outro valor." type="list" errorStyle="warning">
      <formula1>'Dados'!$AN$6:$AN$12</formula1>
    </dataValidation>
    <dataValidation sqref="C42" showDropDown="0" showInputMessage="0" showErrorMessage="1" allowBlank="1" errorTitle="Fora da lista" error="Fraqueza 2: escolha um valor da lista. A planilha pode não reconhecer outro valor." type="list" errorStyle="warning">
      <formula1>'Dados'!$AN$6:$AN$12</formula1>
    </dataValidation>
    <dataValidation sqref="D42" showDropDown="0" showInputMessage="0" showErrorMessage="1" allowBlank="1" errorTitle="Fora da lista" error="Fraqueza 3: escolha um valor da lista. A planilha pode não reconhecer outro valor." type="list" errorStyle="warning">
      <formula1>'Dados'!$AN$6:$AN$12</formula1>
    </dataValidation>
    <dataValidation sqref="E42" showDropDown="0" showInputMessage="0" showErrorMessage="1" allowBlank="1" errorTitle="Fora da lista" error="Fraqueza 4: escolha um valor da lista. A planilha pode não reconhecer outro valor." type="list" errorStyle="warning">
      <formula1>'Dados'!$AN$6:$AN$12</formula1>
    </dataValidation>
    <dataValidation sqref="F42" showDropDown="0" showInputMessage="0" showErrorMessage="1" allowBlank="1" errorTitle="Fora da lista" error="Resistência: escolha um valor da lista. A planilha pode não reconhecer outro valor." type="list" errorStyle="warning">
      <formula1>'Dados'!$AN$6:$AN$12</formula1>
    </dataValidation>
    <dataValidation sqref="B43" showDropDown="0" showInputMessage="0" showErrorMessage="1" allowBlank="1" errorTitle="Fora da lista" error="Fraqueza 1: escolha um valor da lista. A planilha pode não reconhecer outro valor." type="list" errorStyle="warning">
      <formula1>'Dados'!$AN$6:$AN$12</formula1>
    </dataValidation>
    <dataValidation sqref="C43" showDropDown="0" showInputMessage="0" showErrorMessage="1" allowBlank="1" errorTitle="Fora da lista" error="Fraqueza 2: escolha um valor da lista. A planilha pode não reconhecer outro valor." type="list" errorStyle="warning">
      <formula1>'Dados'!$AN$6:$AN$12</formula1>
    </dataValidation>
    <dataValidation sqref="D43" showDropDown="0" showInputMessage="0" showErrorMessage="1" allowBlank="1" errorTitle="Fora da lista" error="Fraqueza 3: escolha um valor da lista. A planilha pode não reconhecer outro valor." type="list" errorStyle="warning">
      <formula1>'Dados'!$AN$6:$AN$12</formula1>
    </dataValidation>
    <dataValidation sqref="E43" showDropDown="0" showInputMessage="0" showErrorMessage="1" allowBlank="1" errorTitle="Fora da lista" error="Fraqueza 4: escolha um valor da lista. A planilha pode não reconhecer outro valor." type="list" errorStyle="warning">
      <formula1>'Dados'!$AN$6:$AN$12</formula1>
    </dataValidation>
    <dataValidation sqref="F43" showDropDown="0" showInputMessage="0" showErrorMessage="1" allowBlank="1" errorTitle="Fora da lista" error="Resistência: escolha um valor da lista. A planilha pode não reconhecer outro valor." type="list" errorStyle="warning">
      <formula1>'Dados'!$AN$6:$AN$12</formula1>
    </dataValidation>
    <dataValidation sqref="B44" showDropDown="0" showInputMessage="0" showErrorMessage="1" allowBlank="1" errorTitle="Fora da lista" error="Fraqueza 1: escolha um valor da lista. A planilha pode não reconhecer outro valor." type="list" errorStyle="warning">
      <formula1>'Dados'!$AN$6:$AN$12</formula1>
    </dataValidation>
    <dataValidation sqref="C44" showDropDown="0" showInputMessage="0" showErrorMessage="1" allowBlank="1" errorTitle="Fora da lista" error="Fraqueza 2: escolha um valor da lista. A planilha pode não reconhecer outro valor." type="list" errorStyle="warning">
      <formula1>'Dados'!$AN$6:$AN$12</formula1>
    </dataValidation>
    <dataValidation sqref="D44" showDropDown="0" showInputMessage="0" showErrorMessage="1" allowBlank="1" errorTitle="Fora da lista" error="Fraqueza 3: escolha um valor da lista. A planilha pode não reconhecer outro valor." type="list" errorStyle="warning">
      <formula1>'Dados'!$AN$6:$AN$12</formula1>
    </dataValidation>
    <dataValidation sqref="E44" showDropDown="0" showInputMessage="0" showErrorMessage="1" allowBlank="1" errorTitle="Fora da lista" error="Fraqueza 4: escolha um valor da lista. A planilha pode não reconhecer outro valor." type="list" errorStyle="warning">
      <formula1>'Dados'!$AN$6:$AN$12</formula1>
    </dataValidation>
    <dataValidation sqref="F44" showDropDown="0" showInputMessage="0" showErrorMessage="1" allowBlank="1" errorTitle="Fora da lista" error="Resistência: escolha um valor da lista. A planilha pode não reconhecer outro valor." type="list" errorStyle="warning">
      <formula1>'Dados'!$AN$6:$AN$12</formula1>
    </dataValidation>
    <dataValidation sqref="B45" showDropDown="0" showInputMessage="0" showErrorMessage="1" allowBlank="1" errorTitle="Fora da lista" error="Fraqueza 1: escolha um valor da lista. A planilha pode não reconhecer outro valor." type="list" errorStyle="warning">
      <formula1>'Dados'!$AN$6:$AN$12</formula1>
    </dataValidation>
    <dataValidation sqref="C45" showDropDown="0" showInputMessage="0" showErrorMessage="1" allowBlank="1" errorTitle="Fora da lista" error="Fraqueza 2: escolha um valor da lista. A planilha pode não reconhecer outro valor." type="list" errorStyle="warning">
      <formula1>'Dados'!$AN$6:$AN$12</formula1>
    </dataValidation>
    <dataValidation sqref="D45" showDropDown="0" showInputMessage="0" showErrorMessage="1" allowBlank="1" errorTitle="Fora da lista" error="Fraqueza 3: escolha um valor da lista. A planilha pode não reconhecer outro valor." type="list" errorStyle="warning">
      <formula1>'Dados'!$AN$6:$AN$12</formula1>
    </dataValidation>
    <dataValidation sqref="E45" showDropDown="0" showInputMessage="0" showErrorMessage="1" allowBlank="1" errorTitle="Fora da lista" error="Fraqueza 4: escolha um valor da lista. A planilha pode não reconhecer outro valor." type="list" errorStyle="warning">
      <formula1>'Dados'!$AN$6:$AN$12</formula1>
    </dataValidation>
    <dataValidation sqref="F45" showDropDown="0" showInputMessage="0" showErrorMessage="1" allowBlank="1" errorTitle="Fora da lista" error="Resistência: escolha um valor da lista. A planilha pode não reconhecer outro valor." type="list" errorStyle="warning">
      <formula1>'Dados'!$AN$6:$AN$12</formula1>
    </dataValidation>
    <dataValidation sqref="B46" showDropDown="0" showInputMessage="0" showErrorMessage="1" allowBlank="1" errorTitle="Fora da lista" error="Fraqueza 1: escolha um valor da lista. A planilha pode não reconhecer outro valor." type="list" errorStyle="warning">
      <formula1>'Dados'!$AN$6:$AN$12</formula1>
    </dataValidation>
    <dataValidation sqref="C46" showDropDown="0" showInputMessage="0" showErrorMessage="1" allowBlank="1" errorTitle="Fora da lista" error="Fraqueza 2: escolha um valor da lista. A planilha pode não reconhecer outro valor." type="list" errorStyle="warning">
      <formula1>'Dados'!$AN$6:$AN$12</formula1>
    </dataValidation>
    <dataValidation sqref="D46" showDropDown="0" showInputMessage="0" showErrorMessage="1" allowBlank="1" errorTitle="Fora da lista" error="Fraqueza 3: escolha um valor da lista. A planilha pode não reconhecer outro valor." type="list" errorStyle="warning">
      <formula1>'Dados'!$AN$6:$AN$12</formula1>
    </dataValidation>
    <dataValidation sqref="E46" showDropDown="0" showInputMessage="0" showErrorMessage="1" allowBlank="1" errorTitle="Fora da lista" error="Fraqueza 4: escolha um valor da lista. A planilha pode não reconhecer outro valor." type="list" errorStyle="warning">
      <formula1>'Dados'!$AN$6:$AN$12</formula1>
    </dataValidation>
    <dataValidation sqref="F46" showDropDown="0" showInputMessage="0" showErrorMessage="1" allowBlank="1" errorTitle="Fora da lista" error="Resistência: escolha um valor da lista. A planilha pode não reconhecer outro valor." type="list" errorStyle="warning">
      <formula1>'Dados'!$AN$6:$AN$12</formula1>
    </dataValidation>
    <dataValidation sqref="B47" showDropDown="0" showInputMessage="0" showErrorMessage="1" allowBlank="1" errorTitle="Fora da lista" error="Fraqueza 1: escolha um valor da lista. A planilha pode não reconhecer outro valor." type="list" errorStyle="warning">
      <formula1>'Dados'!$AN$6:$AN$12</formula1>
    </dataValidation>
    <dataValidation sqref="C47" showDropDown="0" showInputMessage="0" showErrorMessage="1" allowBlank="1" errorTitle="Fora da lista" error="Fraqueza 2: escolha um valor da lista. A planilha pode não reconhecer outro valor." type="list" errorStyle="warning">
      <formula1>'Dados'!$AN$6:$AN$12</formula1>
    </dataValidation>
    <dataValidation sqref="D47" showDropDown="0" showInputMessage="0" showErrorMessage="1" allowBlank="1" errorTitle="Fora da lista" error="Fraqueza 3: escolha um valor da lista. A planilha pode não reconhecer outro valor." type="list" errorStyle="warning">
      <formula1>'Dados'!$AN$6:$AN$12</formula1>
    </dataValidation>
    <dataValidation sqref="E47" showDropDown="0" showInputMessage="0" showErrorMessage="1" allowBlank="1" errorTitle="Fora da lista" error="Fraqueza 4: escolha um valor da lista. A planilha pode não reconhecer outro valor." type="list" errorStyle="warning">
      <formula1>'Dados'!$AN$6:$AN$12</formula1>
    </dataValidation>
    <dataValidation sqref="F47" showDropDown="0" showInputMessage="0" showErrorMessage="1" allowBlank="1" errorTitle="Fora da lista" error="Resistência: escolha um valor da lista. A planilha pode não reconhecer outro valor." type="list" errorStyle="warning">
      <formula1>'Dados'!$AN$6:$AN$12</formula1>
    </dataValidation>
    <dataValidation sqref="B48" showDropDown="0" showInputMessage="0" showErrorMessage="1" allowBlank="1" errorTitle="Fora da lista" error="Fraqueza 1: escolha um valor da lista. A planilha pode não reconhecer outro valor." type="list" errorStyle="warning">
      <formula1>'Dados'!$AN$6:$AN$12</formula1>
    </dataValidation>
    <dataValidation sqref="C48" showDropDown="0" showInputMessage="0" showErrorMessage="1" allowBlank="1" errorTitle="Fora da lista" error="Fraqueza 2: escolha um valor da lista. A planilha pode não reconhecer outro valor." type="list" errorStyle="warning">
      <formula1>'Dados'!$AN$6:$AN$12</formula1>
    </dataValidation>
    <dataValidation sqref="D48" showDropDown="0" showInputMessage="0" showErrorMessage="1" allowBlank="1" errorTitle="Fora da lista" error="Fraqueza 3: escolha um valor da lista. A planilha pode não reconhecer outro valor." type="list" errorStyle="warning">
      <formula1>'Dados'!$AN$6:$AN$12</formula1>
    </dataValidation>
    <dataValidation sqref="E48" showDropDown="0" showInputMessage="0" showErrorMessage="1" allowBlank="1" errorTitle="Fora da lista" error="Fraqueza 4: escolha um valor da lista. A planilha pode não reconhecer outro valor." type="list" errorStyle="warning">
      <formula1>'Dados'!$AN$6:$AN$12</formula1>
    </dataValidation>
    <dataValidation sqref="F48" showDropDown="0" showInputMessage="0" showErrorMessage="1" allowBlank="1" errorTitle="Fora da lista" error="Resistência: escolha um valor da lista. A planilha pode não reconhecer outro valor." type="list" errorStyle="warning">
      <formula1>'Dados'!$AN$6:$AN$12</formula1>
    </dataValidation>
    <dataValidation sqref="B49" showDropDown="0" showInputMessage="0" showErrorMessage="1" allowBlank="1" errorTitle="Fora da lista" error="Fraqueza 1: escolha um valor da lista. A planilha pode não reconhecer outro valor." type="list" errorStyle="warning">
      <formula1>'Dados'!$AN$6:$AN$12</formula1>
    </dataValidation>
    <dataValidation sqref="C49" showDropDown="0" showInputMessage="0" showErrorMessage="1" allowBlank="1" errorTitle="Fora da lista" error="Fraqueza 2: escolha um valor da lista. A planilha pode não reconhecer outro valor." type="list" errorStyle="warning">
      <formula1>'Dados'!$AN$6:$AN$12</formula1>
    </dataValidation>
    <dataValidation sqref="D49" showDropDown="0" showInputMessage="0" showErrorMessage="1" allowBlank="1" errorTitle="Fora da lista" error="Fraqueza 3: escolha um valor da lista. A planilha pode não reconhecer outro valor." type="list" errorStyle="warning">
      <formula1>'Dados'!$AN$6:$AN$12</formula1>
    </dataValidation>
    <dataValidation sqref="E49" showDropDown="0" showInputMessage="0" showErrorMessage="1" allowBlank="1" errorTitle="Fora da lista" error="Fraqueza 4: escolha um valor da lista. A planilha pode não reconhecer outro valor." type="list" errorStyle="warning">
      <formula1>'Dados'!$AN$6:$AN$12</formula1>
    </dataValidation>
    <dataValidation sqref="F49" showDropDown="0" showInputMessage="0" showErrorMessage="1" allowBlank="1" errorTitle="Fora da lista" error="Resistência: escolha um valor da lista. A planilha pode não reconhecer outro valor." type="list" errorStyle="warning">
      <formula1>'Dados'!$AN$6:$AN$12</formula1>
    </dataValidation>
    <dataValidation sqref="B50" showDropDown="0" showInputMessage="0" showErrorMessage="1" allowBlank="1" errorTitle="Fora da lista" error="Fraqueza 1: escolha um valor da lista. A planilha pode não reconhecer outro valor." type="list" errorStyle="warning">
      <formula1>'Dados'!$AN$6:$AN$12</formula1>
    </dataValidation>
    <dataValidation sqref="C50" showDropDown="0" showInputMessage="0" showErrorMessage="1" allowBlank="1" errorTitle="Fora da lista" error="Fraqueza 2: escolha um valor da lista. A planilha pode não reconhecer outro valor." type="list" errorStyle="warning">
      <formula1>'Dados'!$AN$6:$AN$12</formula1>
    </dataValidation>
    <dataValidation sqref="D50" showDropDown="0" showInputMessage="0" showErrorMessage="1" allowBlank="1" errorTitle="Fora da lista" error="Fraqueza 3: escolha um valor da lista. A planilha pode não reconhecer outro valor." type="list" errorStyle="warning">
      <formula1>'Dados'!$AN$6:$AN$12</formula1>
    </dataValidation>
    <dataValidation sqref="E50" showDropDown="0" showInputMessage="0" showErrorMessage="1" allowBlank="1" errorTitle="Fora da lista" error="Fraqueza 4: escolha um valor da lista. A planilha pode não reconhecer outro valor." type="list" errorStyle="warning">
      <formula1>'Dados'!$AN$6:$AN$12</formula1>
    </dataValidation>
    <dataValidation sqref="F50" showDropDown="0" showInputMessage="0" showErrorMessage="1" allowBlank="1" errorTitle="Fora da lista" error="Resistência: escolha um valor da lista. A planilha pode não reconhecer outro valor." type="list" errorStyle="warning">
      <formula1>'Dados'!$AN$6:$AN$12</formula1>
    </dataValidation>
    <dataValidation sqref="B51" showDropDown="0" showInputMessage="0" showErrorMessage="1" allowBlank="1" errorTitle="Fora da lista" error="Fraqueza 1: escolha um valor da lista. A planilha pode não reconhecer outro valor." type="list" errorStyle="warning">
      <formula1>'Dados'!$AN$6:$AN$12</formula1>
    </dataValidation>
    <dataValidation sqref="C51" showDropDown="0" showInputMessage="0" showErrorMessage="1" allowBlank="1" errorTitle="Fora da lista" error="Fraqueza 2: escolha um valor da lista. A planilha pode não reconhecer outro valor." type="list" errorStyle="warning">
      <formula1>'Dados'!$AN$6:$AN$12</formula1>
    </dataValidation>
    <dataValidation sqref="D51" showDropDown="0" showInputMessage="0" showErrorMessage="1" allowBlank="1" errorTitle="Fora da lista" error="Fraqueza 3: escolha um valor da lista. A planilha pode não reconhecer outro valor." type="list" errorStyle="warning">
      <formula1>'Dados'!$AN$6:$AN$12</formula1>
    </dataValidation>
    <dataValidation sqref="E51" showDropDown="0" showInputMessage="0" showErrorMessage="1" allowBlank="1" errorTitle="Fora da lista" error="Fraqueza 4: escolha um valor da lista. A planilha pode não reconhecer outro valor." type="list" errorStyle="warning">
      <formula1>'Dados'!$AN$6:$AN$12</formula1>
    </dataValidation>
    <dataValidation sqref="F51" showDropDown="0" showInputMessage="0" showErrorMessage="1" allowBlank="1" errorTitle="Fora da lista" error="Resistência: escolha um valor da lista. A planilha pode não reconhecer outro valor." type="list" errorStyle="warning">
      <formula1>'Dados'!$AN$6:$AN$12</formula1>
    </dataValidation>
    <dataValidation sqref="B52" showDropDown="0" showInputMessage="0" showErrorMessage="1" allowBlank="1" errorTitle="Fora da lista" error="Fraqueza 1: escolha um valor da lista. A planilha pode não reconhecer outro valor." type="list" errorStyle="warning">
      <formula1>'Dados'!$AN$6:$AN$12</formula1>
    </dataValidation>
    <dataValidation sqref="C52" showDropDown="0" showInputMessage="0" showErrorMessage="1" allowBlank="1" errorTitle="Fora da lista" error="Fraqueza 2: escolha um valor da lista. A planilha pode não reconhecer outro valor." type="list" errorStyle="warning">
      <formula1>'Dados'!$AN$6:$AN$12</formula1>
    </dataValidation>
    <dataValidation sqref="D52" showDropDown="0" showInputMessage="0" showErrorMessage="1" allowBlank="1" errorTitle="Fora da lista" error="Fraqueza 3: escolha um valor da lista. A planilha pode não reconhecer outro valor." type="list" errorStyle="warning">
      <formula1>'Dados'!$AN$6:$AN$12</formula1>
    </dataValidation>
    <dataValidation sqref="E52" showDropDown="0" showInputMessage="0" showErrorMessage="1" allowBlank="1" errorTitle="Fora da lista" error="Fraqueza 4: escolha um valor da lista. A planilha pode não reconhecer outro valor." type="list" errorStyle="warning">
      <formula1>'Dados'!$AN$6:$AN$12</formula1>
    </dataValidation>
    <dataValidation sqref="F52" showDropDown="0" showInputMessage="0" showErrorMessage="1" allowBlank="1" errorTitle="Fora da lista" error="Resistência: escolha um valor da lista. A planilha pode não reconhecer outro valor." type="list" errorStyle="warning">
      <formula1>'Dados'!$AN$6:$AN$12</formula1>
    </dataValidation>
    <dataValidation sqref="B53" showDropDown="0" showInputMessage="0" showErrorMessage="1" allowBlank="1" errorTitle="Fora da lista" error="Fraqueza 1: escolha um valor da lista. A planilha pode não reconhecer outro valor." type="list" errorStyle="warning">
      <formula1>'Dados'!$AN$6:$AN$12</formula1>
    </dataValidation>
    <dataValidation sqref="C53" showDropDown="0" showInputMessage="0" showErrorMessage="1" allowBlank="1" errorTitle="Fora da lista" error="Fraqueza 2: escolha um valor da lista. A planilha pode não reconhecer outro valor." type="list" errorStyle="warning">
      <formula1>'Dados'!$AN$6:$AN$12</formula1>
    </dataValidation>
    <dataValidation sqref="D53" showDropDown="0" showInputMessage="0" showErrorMessage="1" allowBlank="1" errorTitle="Fora da lista" error="Fraqueza 3: escolha um valor da lista. A planilha pode não reconhecer outro valor." type="list" errorStyle="warning">
      <formula1>'Dados'!$AN$6:$AN$12</formula1>
    </dataValidation>
    <dataValidation sqref="E53" showDropDown="0" showInputMessage="0" showErrorMessage="1" allowBlank="1" errorTitle="Fora da lista" error="Fraqueza 4: escolha um valor da lista. A planilha pode não reconhecer outro valor." type="list" errorStyle="warning">
      <formula1>'Dados'!$AN$6:$AN$12</formula1>
    </dataValidation>
    <dataValidation sqref="F53" showDropDown="0" showInputMessage="0" showErrorMessage="1" allowBlank="1" errorTitle="Fora da lista" error="Resistência: escolha um valor da lista. A planilha pode não reconhecer outro valor." type="list" errorStyle="warning">
      <formula1>'Dados'!$AN$6:$AN$12</formula1>
    </dataValidation>
    <dataValidation sqref="A88" showDropDown="0" showInputMessage="0" showErrorMessage="1" allowBlank="1" errorTitle="Fora da lista" error="Inimigo: escolha um valor da lista. A planilha pode não reconhecer outro valor." type="list" errorStyle="warning">
      <formula1>'Inimigos'!$A$11:$A$22</formula1>
    </dataValidation>
    <dataValidation sqref="C88" showDropDown="0" showInputMessage="0" showErrorMessage="1" allowBlank="1" errorTitle="Valor fora da faixa" error="Fase: use um número inteiro de 2 a 3." type="whole" errorStyle="warning" operator="between">
      <formula1>2</formula1>
      <formula2>3</formula2>
    </dataValidation>
    <dataValidation sqref="D88" showDropDown="0" showInputMessage="0" showErrorMessage="1" allowBlank="1" errorTitle="Fora da lista" error="Fraqueza 1: escolha um valor da lista. A planilha pode não reconhecer outro valor." type="list" errorStyle="warning">
      <formula1>'Dados'!$AN$6:$AN$12</formula1>
    </dataValidation>
    <dataValidation sqref="E88" showDropDown="0" showInputMessage="0" showErrorMessage="1" allowBlank="1" errorTitle="Fora da lista" error="Fraqueza 2: escolha um valor da lista. A planilha pode não reconhecer outro valor." type="list" errorStyle="warning">
      <formula1>'Dados'!$AN$6:$AN$12</formula1>
    </dataValidation>
    <dataValidation sqref="F88" showDropDown="0" showInputMessage="0" showErrorMessage="1" allowBlank="1" errorTitle="Fora da lista" error="Fraqueza 3: escolha um valor da lista. A planilha pode não reconhecer outro valor." type="list" errorStyle="warning">
      <formula1>'Dados'!$AN$6:$AN$12</formula1>
    </dataValidation>
    <dataValidation sqref="G88" showDropDown="0" showInputMessage="0" showErrorMessage="1" allowBlank="1" errorTitle="Fora da lista" error="Fraqueza 4: escolha um valor da lista. A planilha pode não reconhecer outro valor." type="list" errorStyle="warning">
      <formula1>'Dados'!$AN$6:$AN$12</formula1>
    </dataValidation>
    <dataValidation sqref="H88" showDropDown="0" showInputMessage="0" showErrorMessage="1" allowBlank="1" errorTitle="Valor fora da faixa" error="Tenacidade: use um número inteiro de 0 a 13." type="whole" errorStyle="warning" operator="between">
      <formula1>0</formula1>
      <formula2>13</formula2>
    </dataValidation>
    <dataValidation sqref="I88" showDropDown="0" showInputMessage="0" showErrorMessage="1" allowBlank="1" errorTitle="Texto longo" error="Ritmo: até 80 caracteres." type="textLength" errorStyle="warning" operator="lessThanOrEqual">
      <formula1>80</formula1>
    </dataValidation>
    <dataValidation sqref="A89" showDropDown="0" showInputMessage="0" showErrorMessage="1" allowBlank="1" errorTitle="Fora da lista" error="Inimigo: escolha um valor da lista. A planilha pode não reconhecer outro valor." type="list" errorStyle="warning">
      <formula1>'Inimigos'!$A$11:$A$22</formula1>
    </dataValidation>
    <dataValidation sqref="C89" showDropDown="0" showInputMessage="0" showErrorMessage="1" allowBlank="1" errorTitle="Valor fora da faixa" error="Fase: use um número inteiro de 2 a 3." type="whole" errorStyle="warning" operator="between">
      <formula1>2</formula1>
      <formula2>3</formula2>
    </dataValidation>
    <dataValidation sqref="D89" showDropDown="0" showInputMessage="0" showErrorMessage="1" allowBlank="1" errorTitle="Fora da lista" error="Fraqueza 1: escolha um valor da lista. A planilha pode não reconhecer outro valor." type="list" errorStyle="warning">
      <formula1>'Dados'!$AN$6:$AN$12</formula1>
    </dataValidation>
    <dataValidation sqref="E89" showDropDown="0" showInputMessage="0" showErrorMessage="1" allowBlank="1" errorTitle="Fora da lista" error="Fraqueza 2: escolha um valor da lista. A planilha pode não reconhecer outro valor." type="list" errorStyle="warning">
      <formula1>'Dados'!$AN$6:$AN$12</formula1>
    </dataValidation>
    <dataValidation sqref="F89" showDropDown="0" showInputMessage="0" showErrorMessage="1" allowBlank="1" errorTitle="Fora da lista" error="Fraqueza 3: escolha um valor da lista. A planilha pode não reconhecer outro valor." type="list" errorStyle="warning">
      <formula1>'Dados'!$AN$6:$AN$12</formula1>
    </dataValidation>
    <dataValidation sqref="G89" showDropDown="0" showInputMessage="0" showErrorMessage="1" allowBlank="1" errorTitle="Fora da lista" error="Fraqueza 4: escolha um valor da lista. A planilha pode não reconhecer outro valor." type="list" errorStyle="warning">
      <formula1>'Dados'!$AN$6:$AN$12</formula1>
    </dataValidation>
    <dataValidation sqref="H89" showDropDown="0" showInputMessage="0" showErrorMessage="1" allowBlank="1" errorTitle="Valor fora da faixa" error="Tenacidade: use um número inteiro de 0 a 13." type="whole" errorStyle="warning" operator="between">
      <formula1>0</formula1>
      <formula2>13</formula2>
    </dataValidation>
    <dataValidation sqref="I89" showDropDown="0" showInputMessage="0" showErrorMessage="1" allowBlank="1" errorTitle="Texto longo" error="Ritmo: até 80 caracteres." type="textLength" errorStyle="warning" operator="lessThanOrEqual">
      <formula1>80</formula1>
    </dataValidation>
    <dataValidation sqref="A90" showDropDown="0" showInputMessage="0" showErrorMessage="1" allowBlank="1" errorTitle="Fora da lista" error="Inimigo: escolha um valor da lista. A planilha pode não reconhecer outro valor." type="list" errorStyle="warning">
      <formula1>'Inimigos'!$A$11:$A$22</formula1>
    </dataValidation>
    <dataValidation sqref="C90" showDropDown="0" showInputMessage="0" showErrorMessage="1" allowBlank="1" errorTitle="Valor fora da faixa" error="Fase: use um número inteiro de 2 a 3." type="whole" errorStyle="warning" operator="between">
      <formula1>2</formula1>
      <formula2>3</formula2>
    </dataValidation>
    <dataValidation sqref="D90" showDropDown="0" showInputMessage="0" showErrorMessage="1" allowBlank="1" errorTitle="Fora da lista" error="Fraqueza 1: escolha um valor da lista. A planilha pode não reconhecer outro valor." type="list" errorStyle="warning">
      <formula1>'Dados'!$AN$6:$AN$12</formula1>
    </dataValidation>
    <dataValidation sqref="E90" showDropDown="0" showInputMessage="0" showErrorMessage="1" allowBlank="1" errorTitle="Fora da lista" error="Fraqueza 2: escolha um valor da lista. A planilha pode não reconhecer outro valor." type="list" errorStyle="warning">
      <formula1>'Dados'!$AN$6:$AN$12</formula1>
    </dataValidation>
    <dataValidation sqref="F90" showDropDown="0" showInputMessage="0" showErrorMessage="1" allowBlank="1" errorTitle="Fora da lista" error="Fraqueza 3: escolha um valor da lista. A planilha pode não reconhecer outro valor." type="list" errorStyle="warning">
      <formula1>'Dados'!$AN$6:$AN$12</formula1>
    </dataValidation>
    <dataValidation sqref="G90" showDropDown="0" showInputMessage="0" showErrorMessage="1" allowBlank="1" errorTitle="Fora da lista" error="Fraqueza 4: escolha um valor da lista. A planilha pode não reconhecer outro valor." type="list" errorStyle="warning">
      <formula1>'Dados'!$AN$6:$AN$12</formula1>
    </dataValidation>
    <dataValidation sqref="H90" showDropDown="0" showInputMessage="0" showErrorMessage="1" allowBlank="1" errorTitle="Valor fora da faixa" error="Tenacidade: use um número inteiro de 0 a 13." type="whole" errorStyle="warning" operator="between">
      <formula1>0</formula1>
      <formula2>13</formula2>
    </dataValidation>
    <dataValidation sqref="I90" showDropDown="0" showInputMessage="0" showErrorMessage="1" allowBlank="1" errorTitle="Texto longo" error="Ritmo: até 80 caracteres." type="textLength" errorStyle="warning" operator="lessThanOrEqual">
      <formula1>80</formula1>
    </dataValidation>
    <dataValidation sqref="A91" showDropDown="0" showInputMessage="0" showErrorMessage="1" allowBlank="1" errorTitle="Fora da lista" error="Inimigo: escolha um valor da lista. A planilha pode não reconhecer outro valor." type="list" errorStyle="warning">
      <formula1>'Inimigos'!$A$11:$A$22</formula1>
    </dataValidation>
    <dataValidation sqref="C91" showDropDown="0" showInputMessage="0" showErrorMessage="1" allowBlank="1" errorTitle="Valor fora da faixa" error="Fase: use um número inteiro de 2 a 3." type="whole" errorStyle="warning" operator="between">
      <formula1>2</formula1>
      <formula2>3</formula2>
    </dataValidation>
    <dataValidation sqref="D91" showDropDown="0" showInputMessage="0" showErrorMessage="1" allowBlank="1" errorTitle="Fora da lista" error="Fraqueza 1: escolha um valor da lista. A planilha pode não reconhecer outro valor." type="list" errorStyle="warning">
      <formula1>'Dados'!$AN$6:$AN$12</formula1>
    </dataValidation>
    <dataValidation sqref="E91" showDropDown="0" showInputMessage="0" showErrorMessage="1" allowBlank="1" errorTitle="Fora da lista" error="Fraqueza 2: escolha um valor da lista. A planilha pode não reconhecer outro valor." type="list" errorStyle="warning">
      <formula1>'Dados'!$AN$6:$AN$12</formula1>
    </dataValidation>
    <dataValidation sqref="F91" showDropDown="0" showInputMessage="0" showErrorMessage="1" allowBlank="1" errorTitle="Fora da lista" error="Fraqueza 3: escolha um valor da lista. A planilha pode não reconhecer outro valor." type="list" errorStyle="warning">
      <formula1>'Dados'!$AN$6:$AN$12</formula1>
    </dataValidation>
    <dataValidation sqref="G91" showDropDown="0" showInputMessage="0" showErrorMessage="1" allowBlank="1" errorTitle="Fora da lista" error="Fraqueza 4: escolha um valor da lista. A planilha pode não reconhecer outro valor." type="list" errorStyle="warning">
      <formula1>'Dados'!$AN$6:$AN$12</formula1>
    </dataValidation>
    <dataValidation sqref="H91" showDropDown="0" showInputMessage="0" showErrorMessage="1" allowBlank="1" errorTitle="Valor fora da faixa" error="Tenacidade: use um número inteiro de 0 a 13." type="whole" errorStyle="warning" operator="between">
      <formula1>0</formula1>
      <formula2>13</formula2>
    </dataValidation>
    <dataValidation sqref="I91" showDropDown="0" showInputMessage="0" showErrorMessage="1" allowBlank="1" errorTitle="Texto longo" error="Ritmo: até 80 caracteres." type="textLength" errorStyle="warning" operator="lessThanOrEqual">
      <formula1>80</formula1>
    </dataValidation>
    <dataValidation sqref="A92" showDropDown="0" showInputMessage="0" showErrorMessage="1" allowBlank="1" errorTitle="Fora da lista" error="Inimigo: escolha um valor da lista. A planilha pode não reconhecer outro valor." type="list" errorStyle="warning">
      <formula1>'Inimigos'!$A$11:$A$22</formula1>
    </dataValidation>
    <dataValidation sqref="C92" showDropDown="0" showInputMessage="0" showErrorMessage="1" allowBlank="1" errorTitle="Valor fora da faixa" error="Fase: use um número inteiro de 2 a 3." type="whole" errorStyle="warning" operator="between">
      <formula1>2</formula1>
      <formula2>3</formula2>
    </dataValidation>
    <dataValidation sqref="D92" showDropDown="0" showInputMessage="0" showErrorMessage="1" allowBlank="1" errorTitle="Fora da lista" error="Fraqueza 1: escolha um valor da lista. A planilha pode não reconhecer outro valor." type="list" errorStyle="warning">
      <formula1>'Dados'!$AN$6:$AN$12</formula1>
    </dataValidation>
    <dataValidation sqref="E92" showDropDown="0" showInputMessage="0" showErrorMessage="1" allowBlank="1" errorTitle="Fora da lista" error="Fraqueza 2: escolha um valor da lista. A planilha pode não reconhecer outro valor." type="list" errorStyle="warning">
      <formula1>'Dados'!$AN$6:$AN$12</formula1>
    </dataValidation>
    <dataValidation sqref="F92" showDropDown="0" showInputMessage="0" showErrorMessage="1" allowBlank="1" errorTitle="Fora da lista" error="Fraqueza 3: escolha um valor da lista. A planilha pode não reconhecer outro valor." type="list" errorStyle="warning">
      <formula1>'Dados'!$AN$6:$AN$12</formula1>
    </dataValidation>
    <dataValidation sqref="G92" showDropDown="0" showInputMessage="0" showErrorMessage="1" allowBlank="1" errorTitle="Fora da lista" error="Fraqueza 4: escolha um valor da lista. A planilha pode não reconhecer outro valor." type="list" errorStyle="warning">
      <formula1>'Dados'!$AN$6:$AN$12</formula1>
    </dataValidation>
    <dataValidation sqref="H92" showDropDown="0" showInputMessage="0" showErrorMessage="1" allowBlank="1" errorTitle="Valor fora da faixa" error="Tenacidade: use um número inteiro de 0 a 13." type="whole" errorStyle="warning" operator="between">
      <formula1>0</formula1>
      <formula2>13</formula2>
    </dataValidation>
    <dataValidation sqref="I92" showDropDown="0" showInputMessage="0" showErrorMessage="1" allowBlank="1" errorTitle="Texto longo" error="Ritmo: até 80 caracteres." type="textLength" errorStyle="warning" operator="lessThanOrEqual">
      <formula1>80</formula1>
    </dataValidation>
    <dataValidation sqref="A93" showDropDown="0" showInputMessage="0" showErrorMessage="1" allowBlank="1" errorTitle="Fora da lista" error="Inimigo: escolha um valor da lista. A planilha pode não reconhecer outro valor." type="list" errorStyle="warning">
      <formula1>'Inimigos'!$A$11:$A$22</formula1>
    </dataValidation>
    <dataValidation sqref="C93" showDropDown="0" showInputMessage="0" showErrorMessage="1" allowBlank="1" errorTitle="Valor fora da faixa" error="Fase: use um número inteiro de 2 a 3." type="whole" errorStyle="warning" operator="between">
      <formula1>2</formula1>
      <formula2>3</formula2>
    </dataValidation>
    <dataValidation sqref="D93" showDropDown="0" showInputMessage="0" showErrorMessage="1" allowBlank="1" errorTitle="Fora da lista" error="Fraqueza 1: escolha um valor da lista. A planilha pode não reconhecer outro valor." type="list" errorStyle="warning">
      <formula1>'Dados'!$AN$6:$AN$12</formula1>
    </dataValidation>
    <dataValidation sqref="E93" showDropDown="0" showInputMessage="0" showErrorMessage="1" allowBlank="1" errorTitle="Fora da lista" error="Fraqueza 2: escolha um valor da lista. A planilha pode não reconhecer outro valor." type="list" errorStyle="warning">
      <formula1>'Dados'!$AN$6:$AN$12</formula1>
    </dataValidation>
    <dataValidation sqref="F93" showDropDown="0" showInputMessage="0" showErrorMessage="1" allowBlank="1" errorTitle="Fora da lista" error="Fraqueza 3: escolha um valor da lista. A planilha pode não reconhecer outro valor." type="list" errorStyle="warning">
      <formula1>'Dados'!$AN$6:$AN$12</formula1>
    </dataValidation>
    <dataValidation sqref="G93" showDropDown="0" showInputMessage="0" showErrorMessage="1" allowBlank="1" errorTitle="Fora da lista" error="Fraqueza 4: escolha um valor da lista. A planilha pode não reconhecer outro valor." type="list" errorStyle="warning">
      <formula1>'Dados'!$AN$6:$AN$12</formula1>
    </dataValidation>
    <dataValidation sqref="H93" showDropDown="0" showInputMessage="0" showErrorMessage="1" allowBlank="1" errorTitle="Valor fora da faixa" error="Tenacidade: use um número inteiro de 0 a 13." type="whole" errorStyle="warning" operator="between">
      <formula1>0</formula1>
      <formula2>13</formula2>
    </dataValidation>
    <dataValidation sqref="I93" showDropDown="0" showInputMessage="0" showErrorMessage="1" allowBlank="1" errorTitle="Texto longo" error="Ritmo: até 80 caracteres." type="textLength" errorStyle="warning" operator="lessThanOrEqual">
      <formula1>80</formula1>
    </dataValidation>
    <dataValidation sqref="A94" showDropDown="0" showInputMessage="0" showErrorMessage="1" allowBlank="1" errorTitle="Fora da lista" error="Inimigo: escolha um valor da lista. A planilha pode não reconhecer outro valor." type="list" errorStyle="warning">
      <formula1>'Inimigos'!$A$11:$A$22</formula1>
    </dataValidation>
    <dataValidation sqref="C94" showDropDown="0" showInputMessage="0" showErrorMessage="1" allowBlank="1" errorTitle="Valor fora da faixa" error="Fase: use um número inteiro de 2 a 3." type="whole" errorStyle="warning" operator="between">
      <formula1>2</formula1>
      <formula2>3</formula2>
    </dataValidation>
    <dataValidation sqref="D94" showDropDown="0" showInputMessage="0" showErrorMessage="1" allowBlank="1" errorTitle="Fora da lista" error="Fraqueza 1: escolha um valor da lista. A planilha pode não reconhecer outro valor." type="list" errorStyle="warning">
      <formula1>'Dados'!$AN$6:$AN$12</formula1>
    </dataValidation>
    <dataValidation sqref="E94" showDropDown="0" showInputMessage="0" showErrorMessage="1" allowBlank="1" errorTitle="Fora da lista" error="Fraqueza 2: escolha um valor da lista. A planilha pode não reconhecer outro valor." type="list" errorStyle="warning">
      <formula1>'Dados'!$AN$6:$AN$12</formula1>
    </dataValidation>
    <dataValidation sqref="F94" showDropDown="0" showInputMessage="0" showErrorMessage="1" allowBlank="1" errorTitle="Fora da lista" error="Fraqueza 3: escolha um valor da lista. A planilha pode não reconhecer outro valor." type="list" errorStyle="warning">
      <formula1>'Dados'!$AN$6:$AN$12</formula1>
    </dataValidation>
    <dataValidation sqref="G94" showDropDown="0" showInputMessage="0" showErrorMessage="1" allowBlank="1" errorTitle="Fora da lista" error="Fraqueza 4: escolha um valor da lista. A planilha pode não reconhecer outro valor." type="list" errorStyle="warning">
      <formula1>'Dados'!$AN$6:$AN$12</formula1>
    </dataValidation>
    <dataValidation sqref="H94" showDropDown="0" showInputMessage="0" showErrorMessage="1" allowBlank="1" errorTitle="Valor fora da faixa" error="Tenacidade: use um número inteiro de 0 a 13." type="whole" errorStyle="warning" operator="between">
      <formula1>0</formula1>
      <formula2>13</formula2>
    </dataValidation>
    <dataValidation sqref="I94" showDropDown="0" showInputMessage="0" showErrorMessage="1" allowBlank="1" errorTitle="Texto longo" error="Ritmo: até 80 caracteres." type="textLength" errorStyle="warning" operator="lessThanOrEqual">
      <formula1>80</formula1>
    </dataValidation>
    <dataValidation sqref="A95" showDropDown="0" showInputMessage="0" showErrorMessage="1" allowBlank="1" errorTitle="Fora da lista" error="Inimigo: escolha um valor da lista. A planilha pode não reconhecer outro valor." type="list" errorStyle="warning">
      <formula1>'Inimigos'!$A$11:$A$22</formula1>
    </dataValidation>
    <dataValidation sqref="C95" showDropDown="0" showInputMessage="0" showErrorMessage="1" allowBlank="1" errorTitle="Valor fora da faixa" error="Fase: use um número inteiro de 2 a 3." type="whole" errorStyle="warning" operator="between">
      <formula1>2</formula1>
      <formula2>3</formula2>
    </dataValidation>
    <dataValidation sqref="D95" showDropDown="0" showInputMessage="0" showErrorMessage="1" allowBlank="1" errorTitle="Fora da lista" error="Fraqueza 1: escolha um valor da lista. A planilha pode não reconhecer outro valor." type="list" errorStyle="warning">
      <formula1>'Dados'!$AN$6:$AN$12</formula1>
    </dataValidation>
    <dataValidation sqref="E95" showDropDown="0" showInputMessage="0" showErrorMessage="1" allowBlank="1" errorTitle="Fora da lista" error="Fraqueza 2: escolha um valor da lista. A planilha pode não reconhecer outro valor." type="list" errorStyle="warning">
      <formula1>'Dados'!$AN$6:$AN$12</formula1>
    </dataValidation>
    <dataValidation sqref="F95" showDropDown="0" showInputMessage="0" showErrorMessage="1" allowBlank="1" errorTitle="Fora da lista" error="Fraqueza 3: escolha um valor da lista. A planilha pode não reconhecer outro valor." type="list" errorStyle="warning">
      <formula1>'Dados'!$AN$6:$AN$12</formula1>
    </dataValidation>
    <dataValidation sqref="G95" showDropDown="0" showInputMessage="0" showErrorMessage="1" allowBlank="1" errorTitle="Fora da lista" error="Fraqueza 4: escolha um valor da lista. A planilha pode não reconhecer outro valor." type="list" errorStyle="warning">
      <formula1>'Dados'!$AN$6:$AN$12</formula1>
    </dataValidation>
    <dataValidation sqref="H95" showDropDown="0" showInputMessage="0" showErrorMessage="1" allowBlank="1" errorTitle="Valor fora da faixa" error="Tenacidade: use um número inteiro de 0 a 13." type="whole" errorStyle="warning" operator="between">
      <formula1>0</formula1>
      <formula2>13</formula2>
    </dataValidation>
    <dataValidation sqref="I95" showDropDown="0" showInputMessage="0" showErrorMessage="1" allowBlank="1" errorTitle="Texto longo" error="Ritmo: até 80 caracteres." type="textLength" errorStyle="warning" operator="lessThanOrEqual">
      <formula1>80</formula1>
    </dataValidation>
    <dataValidation sqref="A96" showDropDown="0" showInputMessage="0" showErrorMessage="1" allowBlank="1" errorTitle="Fora da lista" error="Inimigo: escolha um valor da lista. A planilha pode não reconhecer outro valor." type="list" errorStyle="warning">
      <formula1>'Inimigos'!$A$11:$A$22</formula1>
    </dataValidation>
    <dataValidation sqref="C96" showDropDown="0" showInputMessage="0" showErrorMessage="1" allowBlank="1" errorTitle="Valor fora da faixa" error="Fase: use um número inteiro de 2 a 3." type="whole" errorStyle="warning" operator="between">
      <formula1>2</formula1>
      <formula2>3</formula2>
    </dataValidation>
    <dataValidation sqref="D96" showDropDown="0" showInputMessage="0" showErrorMessage="1" allowBlank="1" errorTitle="Fora da lista" error="Fraqueza 1: escolha um valor da lista. A planilha pode não reconhecer outro valor." type="list" errorStyle="warning">
      <formula1>'Dados'!$AN$6:$AN$12</formula1>
    </dataValidation>
    <dataValidation sqref="E96" showDropDown="0" showInputMessage="0" showErrorMessage="1" allowBlank="1" errorTitle="Fora da lista" error="Fraqueza 2: escolha um valor da lista. A planilha pode não reconhecer outro valor." type="list" errorStyle="warning">
      <formula1>'Dados'!$AN$6:$AN$12</formula1>
    </dataValidation>
    <dataValidation sqref="F96" showDropDown="0" showInputMessage="0" showErrorMessage="1" allowBlank="1" errorTitle="Fora da lista" error="Fraqueza 3: escolha um valor da lista. A planilha pode não reconhecer outro valor." type="list" errorStyle="warning">
      <formula1>'Dados'!$AN$6:$AN$12</formula1>
    </dataValidation>
    <dataValidation sqref="G96" showDropDown="0" showInputMessage="0" showErrorMessage="1" allowBlank="1" errorTitle="Fora da lista" error="Fraqueza 4: escolha um valor da lista. A planilha pode não reconhecer outro valor." type="list" errorStyle="warning">
      <formula1>'Dados'!$AN$6:$AN$12</formula1>
    </dataValidation>
    <dataValidation sqref="H96" showDropDown="0" showInputMessage="0" showErrorMessage="1" allowBlank="1" errorTitle="Valor fora da faixa" error="Tenacidade: use um número inteiro de 0 a 13." type="whole" errorStyle="warning" operator="between">
      <formula1>0</formula1>
      <formula2>13</formula2>
    </dataValidation>
    <dataValidation sqref="I96" showDropDown="0" showInputMessage="0" showErrorMessage="1" allowBlank="1" errorTitle="Texto longo" error="Ritmo: até 80 caracteres." type="textLength" errorStyle="warning" operator="lessThanOrEqual">
      <formula1>80</formula1>
    </dataValidation>
    <dataValidation sqref="A97" showDropDown="0" showInputMessage="0" showErrorMessage="1" allowBlank="1" errorTitle="Fora da lista" error="Inimigo: escolha um valor da lista. A planilha pode não reconhecer outro valor." type="list" errorStyle="warning">
      <formula1>'Inimigos'!$A$11:$A$22</formula1>
    </dataValidation>
    <dataValidation sqref="C97" showDropDown="0" showInputMessage="0" showErrorMessage="1" allowBlank="1" errorTitle="Valor fora da faixa" error="Fase: use um número inteiro de 2 a 3." type="whole" errorStyle="warning" operator="between">
      <formula1>2</formula1>
      <formula2>3</formula2>
    </dataValidation>
    <dataValidation sqref="D97" showDropDown="0" showInputMessage="0" showErrorMessage="1" allowBlank="1" errorTitle="Fora da lista" error="Fraqueza 1: escolha um valor da lista. A planilha pode não reconhecer outro valor." type="list" errorStyle="warning">
      <formula1>'Dados'!$AN$6:$AN$12</formula1>
    </dataValidation>
    <dataValidation sqref="E97" showDropDown="0" showInputMessage="0" showErrorMessage="1" allowBlank="1" errorTitle="Fora da lista" error="Fraqueza 2: escolha um valor da lista. A planilha pode não reconhecer outro valor." type="list" errorStyle="warning">
      <formula1>'Dados'!$AN$6:$AN$12</formula1>
    </dataValidation>
    <dataValidation sqref="F97" showDropDown="0" showInputMessage="0" showErrorMessage="1" allowBlank="1" errorTitle="Fora da lista" error="Fraqueza 3: escolha um valor da lista. A planilha pode não reconhecer outro valor." type="list" errorStyle="warning">
      <formula1>'Dados'!$AN$6:$AN$12</formula1>
    </dataValidation>
    <dataValidation sqref="G97" showDropDown="0" showInputMessage="0" showErrorMessage="1" allowBlank="1" errorTitle="Fora da lista" error="Fraqueza 4: escolha um valor da lista. A planilha pode não reconhecer outro valor." type="list" errorStyle="warning">
      <formula1>'Dados'!$AN$6:$AN$12</formula1>
    </dataValidation>
    <dataValidation sqref="H97" showDropDown="0" showInputMessage="0" showErrorMessage="1" allowBlank="1" errorTitle="Valor fora da faixa" error="Tenacidade: use um número inteiro de 0 a 13." type="whole" errorStyle="warning" operator="between">
      <formula1>0</formula1>
      <formula2>13</formula2>
    </dataValidation>
    <dataValidation sqref="I97" showDropDown="0" showInputMessage="0" showErrorMessage="1" allowBlank="1" errorTitle="Texto longo" error="Ritmo: até 80 caracteres." type="textLength" errorStyle="warning" operator="lessThanOrEqual">
      <formula1>80</formula1>
    </dataValidation>
    <dataValidation sqref="A98" showDropDown="0" showInputMessage="0" showErrorMessage="1" allowBlank="1" errorTitle="Fora da lista" error="Inimigo: escolha um valor da lista. A planilha pode não reconhecer outro valor." type="list" errorStyle="warning">
      <formula1>'Inimigos'!$A$11:$A$22</formula1>
    </dataValidation>
    <dataValidation sqref="C98" showDropDown="0" showInputMessage="0" showErrorMessage="1" allowBlank="1" errorTitle="Valor fora da faixa" error="Fase: use um número inteiro de 2 a 3." type="whole" errorStyle="warning" operator="between">
      <formula1>2</formula1>
      <formula2>3</formula2>
    </dataValidation>
    <dataValidation sqref="D98" showDropDown="0" showInputMessage="0" showErrorMessage="1" allowBlank="1" errorTitle="Fora da lista" error="Fraqueza 1: escolha um valor da lista. A planilha pode não reconhecer outro valor." type="list" errorStyle="warning">
      <formula1>'Dados'!$AN$6:$AN$12</formula1>
    </dataValidation>
    <dataValidation sqref="E98" showDropDown="0" showInputMessage="0" showErrorMessage="1" allowBlank="1" errorTitle="Fora da lista" error="Fraqueza 2: escolha um valor da lista. A planilha pode não reconhecer outro valor." type="list" errorStyle="warning">
      <formula1>'Dados'!$AN$6:$AN$12</formula1>
    </dataValidation>
    <dataValidation sqref="F98" showDropDown="0" showInputMessage="0" showErrorMessage="1" allowBlank="1" errorTitle="Fora da lista" error="Fraqueza 3: escolha um valor da lista. A planilha pode não reconhecer outro valor." type="list" errorStyle="warning">
      <formula1>'Dados'!$AN$6:$AN$12</formula1>
    </dataValidation>
    <dataValidation sqref="G98" showDropDown="0" showInputMessage="0" showErrorMessage="1" allowBlank="1" errorTitle="Fora da lista" error="Fraqueza 4: escolha um valor da lista. A planilha pode não reconhecer outro valor." type="list" errorStyle="warning">
      <formula1>'Dados'!$AN$6:$AN$12</formula1>
    </dataValidation>
    <dataValidation sqref="H98" showDropDown="0" showInputMessage="0" showErrorMessage="1" allowBlank="1" errorTitle="Valor fora da faixa" error="Tenacidade: use um número inteiro de 0 a 13." type="whole" errorStyle="warning" operator="between">
      <formula1>0</formula1>
      <formula2>13</formula2>
    </dataValidation>
    <dataValidation sqref="I98" showDropDown="0" showInputMessage="0" showErrorMessage="1" allowBlank="1" errorTitle="Texto longo" error="Ritmo: até 80 caracteres." type="textLength" errorStyle="warning" operator="lessThanOrEqual">
      <formula1>80</formula1>
    </dataValidation>
    <dataValidation sqref="A99" showDropDown="0" showInputMessage="0" showErrorMessage="1" allowBlank="1" errorTitle="Fora da lista" error="Inimigo: escolha um valor da lista. A planilha pode não reconhecer outro valor." type="list" errorStyle="warning">
      <formula1>'Inimigos'!$A$11:$A$22</formula1>
    </dataValidation>
    <dataValidation sqref="C99" showDropDown="0" showInputMessage="0" showErrorMessage="1" allowBlank="1" errorTitle="Valor fora da faixa" error="Fase: use um número inteiro de 2 a 3." type="whole" errorStyle="warning" operator="between">
      <formula1>2</formula1>
      <formula2>3</formula2>
    </dataValidation>
    <dataValidation sqref="D99" showDropDown="0" showInputMessage="0" showErrorMessage="1" allowBlank="1" errorTitle="Fora da lista" error="Fraqueza 1: escolha um valor da lista. A planilha pode não reconhecer outro valor." type="list" errorStyle="warning">
      <formula1>'Dados'!$AN$6:$AN$12</formula1>
    </dataValidation>
    <dataValidation sqref="E99" showDropDown="0" showInputMessage="0" showErrorMessage="1" allowBlank="1" errorTitle="Fora da lista" error="Fraqueza 2: escolha um valor da lista. A planilha pode não reconhecer outro valor." type="list" errorStyle="warning">
      <formula1>'Dados'!$AN$6:$AN$12</formula1>
    </dataValidation>
    <dataValidation sqref="F99" showDropDown="0" showInputMessage="0" showErrorMessage="1" allowBlank="1" errorTitle="Fora da lista" error="Fraqueza 3: escolha um valor da lista. A planilha pode não reconhecer outro valor." type="list" errorStyle="warning">
      <formula1>'Dados'!$AN$6:$AN$12</formula1>
    </dataValidation>
    <dataValidation sqref="G99" showDropDown="0" showInputMessage="0" showErrorMessage="1" allowBlank="1" errorTitle="Fora da lista" error="Fraqueza 4: escolha um valor da lista. A planilha pode não reconhecer outro valor." type="list" errorStyle="warning">
      <formula1>'Dados'!$AN$6:$AN$12</formula1>
    </dataValidation>
    <dataValidation sqref="H99" showDropDown="0" showInputMessage="0" showErrorMessage="1" allowBlank="1" errorTitle="Valor fora da faixa" error="Tenacidade: use um número inteiro de 0 a 13." type="whole" errorStyle="warning" operator="between">
      <formula1>0</formula1>
      <formula2>13</formula2>
    </dataValidation>
    <dataValidation sqref="I99" showDropDown="0" showInputMessage="0" showErrorMessage="1" allowBlank="1" errorTitle="Texto longo" error="Ritmo: até 80 caracteres." type="textLength" errorStyle="warning" operator="lessThanOrEqual">
      <formula1>80</formula1>
    </dataValidation>
    <dataValidation sqref="A101" showDropDown="0" showInputMessage="0" showErrorMessage="1" allowBlank="1" errorTitle="Fora da lista" error="Inimigo: escolha um valor da lista. A planilha pode não reconhecer outro valor." type="list" errorStyle="warning">
      <formula1>'Inimigos'!$A$11:$A$22</formula1>
    </dataValidation>
    <dataValidation sqref="C101" showDropDown="0" showInputMessage="0" showErrorMessage="1" allowBlank="1" errorTitle="Valor fora da faixa" error="Fase: use um número inteiro de 2 a 3." type="whole" errorStyle="warning" operator="between">
      <formula1>2</formula1>
      <formula2>3</formula2>
    </dataValidation>
    <dataValidation sqref="D101" showDropDown="0" showInputMessage="0" showErrorMessage="1" allowBlank="1" errorTitle="Fora da lista" error="Fraqueza 1: escolha um valor da lista. A planilha pode não reconhecer outro valor." type="list" errorStyle="warning">
      <formula1>'Dados'!$AN$6:$AN$12</formula1>
    </dataValidation>
    <dataValidation sqref="E101" showDropDown="0" showInputMessage="0" showErrorMessage="1" allowBlank="1" errorTitle="Fora da lista" error="Fraqueza 2: escolha um valor da lista. A planilha pode não reconhecer outro valor." type="list" errorStyle="warning">
      <formula1>'Dados'!$AN$6:$AN$12</formula1>
    </dataValidation>
    <dataValidation sqref="F101" showDropDown="0" showInputMessage="0" showErrorMessage="1" allowBlank="1" errorTitle="Fora da lista" error="Fraqueza 3: escolha um valor da lista. A planilha pode não reconhecer outro valor." type="list" errorStyle="warning">
      <formula1>'Dados'!$AN$6:$AN$12</formula1>
    </dataValidation>
    <dataValidation sqref="G101" showDropDown="0" showInputMessage="0" showErrorMessage="1" allowBlank="1" errorTitle="Fora da lista" error="Fraqueza 4: escolha um valor da lista. A planilha pode não reconhecer outro valor." type="list" errorStyle="warning">
      <formula1>'Dados'!$AN$6:$AN$12</formula1>
    </dataValidation>
    <dataValidation sqref="H101" showDropDown="0" showInputMessage="0" showErrorMessage="1" allowBlank="1" errorTitle="Valor fora da faixa" error="Tenacidade: use um número inteiro de 0 a 13." type="whole" errorStyle="warning" operator="between">
      <formula1>0</formula1>
      <formula2>13</formula2>
    </dataValidation>
    <dataValidation sqref="I101" showDropDown="0" showInputMessage="0" showErrorMessage="1" allowBlank="1" errorTitle="Texto longo" error="Ritmo: até 80 caracteres." type="textLength" errorStyle="warning" operator="lessThanOrEqual">
      <formula1>80</formula1>
    </dataValidation>
    <dataValidation sqref="A102" showDropDown="0" showInputMessage="0" showErrorMessage="1" allowBlank="1" errorTitle="Fora da lista" error="Inimigo: escolha um valor da lista. A planilha pode não reconhecer outro valor." type="list" errorStyle="warning">
      <formula1>'Inimigos'!$A$11:$A$22</formula1>
    </dataValidation>
    <dataValidation sqref="C102" showDropDown="0" showInputMessage="0" showErrorMessage="1" allowBlank="1" errorTitle="Valor fora da faixa" error="Fase: use um número inteiro de 2 a 3." type="whole" errorStyle="warning" operator="between">
      <formula1>2</formula1>
      <formula2>3</formula2>
    </dataValidation>
    <dataValidation sqref="D102" showDropDown="0" showInputMessage="0" showErrorMessage="1" allowBlank="1" errorTitle="Fora da lista" error="Fraqueza 1: escolha um valor da lista. A planilha pode não reconhecer outro valor." type="list" errorStyle="warning">
      <formula1>'Dados'!$AN$6:$AN$12</formula1>
    </dataValidation>
    <dataValidation sqref="E102" showDropDown="0" showInputMessage="0" showErrorMessage="1" allowBlank="1" errorTitle="Fora da lista" error="Fraqueza 2: escolha um valor da lista. A planilha pode não reconhecer outro valor." type="list" errorStyle="warning">
      <formula1>'Dados'!$AN$6:$AN$12</formula1>
    </dataValidation>
    <dataValidation sqref="F102" showDropDown="0" showInputMessage="0" showErrorMessage="1" allowBlank="1" errorTitle="Fora da lista" error="Fraqueza 3: escolha um valor da lista. A planilha pode não reconhecer outro valor." type="list" errorStyle="warning">
      <formula1>'Dados'!$AN$6:$AN$12</formula1>
    </dataValidation>
    <dataValidation sqref="G102" showDropDown="0" showInputMessage="0" showErrorMessage="1" allowBlank="1" errorTitle="Fora da lista" error="Fraqueza 4: escolha um valor da lista. A planilha pode não reconhecer outro valor." type="list" errorStyle="warning">
      <formula1>'Dados'!$AN$6:$AN$12</formula1>
    </dataValidation>
    <dataValidation sqref="H102" showDropDown="0" showInputMessage="0" showErrorMessage="1" allowBlank="1" errorTitle="Valor fora da faixa" error="Tenacidade: use um número inteiro de 0 a 13." type="whole" errorStyle="warning" operator="between">
      <formula1>0</formula1>
      <formula2>13</formula2>
    </dataValidation>
    <dataValidation sqref="I102" showDropDown="0" showInputMessage="0" showErrorMessage="1" allowBlank="1" errorTitle="Texto longo" error="Ritmo: até 80 caracteres." type="textLength" errorStyle="warning" operator="lessThanOrEqual">
      <formula1>80</formula1>
    </dataValidation>
    <dataValidation sqref="A103" showDropDown="0" showInputMessage="0" showErrorMessage="1" allowBlank="1" errorTitle="Fora da lista" error="Inimigo: escolha um valor da lista. A planilha pode não reconhecer outro valor." type="list" errorStyle="warning">
      <formula1>'Inimigos'!$A$11:$A$22</formula1>
    </dataValidation>
    <dataValidation sqref="C103" showDropDown="0" showInputMessage="0" showErrorMessage="1" allowBlank="1" errorTitle="Valor fora da faixa" error="Fase: use um número inteiro de 2 a 3." type="whole" errorStyle="warning" operator="between">
      <formula1>2</formula1>
      <formula2>3</formula2>
    </dataValidation>
    <dataValidation sqref="D103" showDropDown="0" showInputMessage="0" showErrorMessage="1" allowBlank="1" errorTitle="Fora da lista" error="Fraqueza 1: escolha um valor da lista. A planilha pode não reconhecer outro valor." type="list" errorStyle="warning">
      <formula1>'Dados'!$AN$6:$AN$12</formula1>
    </dataValidation>
    <dataValidation sqref="E103" showDropDown="0" showInputMessage="0" showErrorMessage="1" allowBlank="1" errorTitle="Fora da lista" error="Fraqueza 2: escolha um valor da lista. A planilha pode não reconhecer outro valor." type="list" errorStyle="warning">
      <formula1>'Dados'!$AN$6:$AN$12</formula1>
    </dataValidation>
    <dataValidation sqref="F103" showDropDown="0" showInputMessage="0" showErrorMessage="1" allowBlank="1" errorTitle="Fora da lista" error="Fraqueza 3: escolha um valor da lista. A planilha pode não reconhecer outro valor." type="list" errorStyle="warning">
      <formula1>'Dados'!$AN$6:$AN$12</formula1>
    </dataValidation>
    <dataValidation sqref="G103" showDropDown="0" showInputMessage="0" showErrorMessage="1" allowBlank="1" errorTitle="Fora da lista" error="Fraqueza 4: escolha um valor da lista. A planilha pode não reconhecer outro valor." type="list" errorStyle="warning">
      <formula1>'Dados'!$AN$6:$AN$12</formula1>
    </dataValidation>
    <dataValidation sqref="H103" showDropDown="0" showInputMessage="0" showErrorMessage="1" allowBlank="1" errorTitle="Valor fora da faixa" error="Tenacidade: use um número inteiro de 0 a 13." type="whole" errorStyle="warning" operator="between">
      <formula1>0</formula1>
      <formula2>13</formula2>
    </dataValidation>
    <dataValidation sqref="I103" showDropDown="0" showInputMessage="0" showErrorMessage="1" allowBlank="1" errorTitle="Texto longo" error="Ritmo: até 80 caracteres." type="textLength" errorStyle="warning" operator="lessThanOrEqual">
      <formula1>80</formula1>
    </dataValidation>
    <dataValidation sqref="A104" showDropDown="0" showInputMessage="0" showErrorMessage="1" allowBlank="1" errorTitle="Fora da lista" error="Inimigo: escolha um valor da lista. A planilha pode não reconhecer outro valor." type="list" errorStyle="warning">
      <formula1>'Inimigos'!$A$11:$A$22</formula1>
    </dataValidation>
    <dataValidation sqref="C104" showDropDown="0" showInputMessage="0" showErrorMessage="1" allowBlank="1" errorTitle="Valor fora da faixa" error="Fase: use um número inteiro de 2 a 3." type="whole" errorStyle="warning" operator="between">
      <formula1>2</formula1>
      <formula2>3</formula2>
    </dataValidation>
    <dataValidation sqref="D104" showDropDown="0" showInputMessage="0" showErrorMessage="1" allowBlank="1" errorTitle="Fora da lista" error="Fraqueza 1: escolha um valor da lista. A planilha pode não reconhecer outro valor." type="list" errorStyle="warning">
      <formula1>'Dados'!$AN$6:$AN$12</formula1>
    </dataValidation>
    <dataValidation sqref="E104" showDropDown="0" showInputMessage="0" showErrorMessage="1" allowBlank="1" errorTitle="Fora da lista" error="Fraqueza 2: escolha um valor da lista. A planilha pode não reconhecer outro valor." type="list" errorStyle="warning">
      <formula1>'Dados'!$AN$6:$AN$12</formula1>
    </dataValidation>
    <dataValidation sqref="F104" showDropDown="0" showInputMessage="0" showErrorMessage="1" allowBlank="1" errorTitle="Fora da lista" error="Fraqueza 3: escolha um valor da lista. A planilha pode não reconhecer outro valor." type="list" errorStyle="warning">
      <formula1>'Dados'!$AN$6:$AN$12</formula1>
    </dataValidation>
    <dataValidation sqref="G104" showDropDown="0" showInputMessage="0" showErrorMessage="1" allowBlank="1" errorTitle="Fora da lista" error="Fraqueza 4: escolha um valor da lista. A planilha pode não reconhecer outro valor." type="list" errorStyle="warning">
      <formula1>'Dados'!$AN$6:$AN$12</formula1>
    </dataValidation>
    <dataValidation sqref="H104" showDropDown="0" showInputMessage="0" showErrorMessage="1" allowBlank="1" errorTitle="Valor fora da faixa" error="Tenacidade: use um número inteiro de 0 a 13." type="whole" errorStyle="warning" operator="between">
      <formula1>0</formula1>
      <formula2>13</formula2>
    </dataValidation>
    <dataValidation sqref="I104" showDropDown="0" showInputMessage="0" showErrorMessage="1" allowBlank="1" errorTitle="Texto longo" error="Ritmo: até 80 caracteres." type="textLength" errorStyle="warning" operator="lessThanOrEqual">
      <formula1>80</formula1>
    </dataValidation>
    <dataValidation sqref="A105" showDropDown="0" showInputMessage="0" showErrorMessage="1" allowBlank="1" errorTitle="Fora da lista" error="Inimigo: escolha um valor da lista. A planilha pode não reconhecer outro valor." type="list" errorStyle="warning">
      <formula1>'Inimigos'!$A$11:$A$22</formula1>
    </dataValidation>
    <dataValidation sqref="C105" showDropDown="0" showInputMessage="0" showErrorMessage="1" allowBlank="1" errorTitle="Valor fora da faixa" error="Fase: use um número inteiro de 2 a 3." type="whole" errorStyle="warning" operator="between">
      <formula1>2</formula1>
      <formula2>3</formula2>
    </dataValidation>
    <dataValidation sqref="D105" showDropDown="0" showInputMessage="0" showErrorMessage="1" allowBlank="1" errorTitle="Fora da lista" error="Fraqueza 1: escolha um valor da lista. A planilha pode não reconhecer outro valor." type="list" errorStyle="warning">
      <formula1>'Dados'!$AN$6:$AN$12</formula1>
    </dataValidation>
    <dataValidation sqref="E105" showDropDown="0" showInputMessage="0" showErrorMessage="1" allowBlank="1" errorTitle="Fora da lista" error="Fraqueza 2: escolha um valor da lista. A planilha pode não reconhecer outro valor." type="list" errorStyle="warning">
      <formula1>'Dados'!$AN$6:$AN$12</formula1>
    </dataValidation>
    <dataValidation sqref="F105" showDropDown="0" showInputMessage="0" showErrorMessage="1" allowBlank="1" errorTitle="Fora da lista" error="Fraqueza 3: escolha um valor da lista. A planilha pode não reconhecer outro valor." type="list" errorStyle="warning">
      <formula1>'Dados'!$AN$6:$AN$12</formula1>
    </dataValidation>
    <dataValidation sqref="G105" showDropDown="0" showInputMessage="0" showErrorMessage="1" allowBlank="1" errorTitle="Fora da lista" error="Fraqueza 4: escolha um valor da lista. A planilha pode não reconhecer outro valor." type="list" errorStyle="warning">
      <formula1>'Dados'!$AN$6:$AN$12</formula1>
    </dataValidation>
    <dataValidation sqref="H105" showDropDown="0" showInputMessage="0" showErrorMessage="1" allowBlank="1" errorTitle="Valor fora da faixa" error="Tenacidade: use um número inteiro de 0 a 13." type="whole" errorStyle="warning" operator="between">
      <formula1>0</formula1>
      <formula2>13</formula2>
    </dataValidation>
    <dataValidation sqref="I105" showDropDown="0" showInputMessage="0" showErrorMessage="1" allowBlank="1" errorTitle="Texto longo" error="Ritmo: até 80 caracteres." type="textLength" errorStyle="warning" operator="lessThanOrEqual">
      <formula1>80</formula1>
    </dataValidation>
    <dataValidation sqref="A106" showDropDown="0" showInputMessage="0" showErrorMessage="1" allowBlank="1" errorTitle="Fora da lista" error="Inimigo: escolha um valor da lista. A planilha pode não reconhecer outro valor." type="list" errorStyle="warning">
      <formula1>'Inimigos'!$A$11:$A$22</formula1>
    </dataValidation>
    <dataValidation sqref="C106" showDropDown="0" showInputMessage="0" showErrorMessage="1" allowBlank="1" errorTitle="Valor fora da faixa" error="Fase: use um número inteiro de 2 a 3." type="whole" errorStyle="warning" operator="between">
      <formula1>2</formula1>
      <formula2>3</formula2>
    </dataValidation>
    <dataValidation sqref="D106" showDropDown="0" showInputMessage="0" showErrorMessage="1" allowBlank="1" errorTitle="Fora da lista" error="Fraqueza 1: escolha um valor da lista. A planilha pode não reconhecer outro valor." type="list" errorStyle="warning">
      <formula1>'Dados'!$AN$6:$AN$12</formula1>
    </dataValidation>
    <dataValidation sqref="E106" showDropDown="0" showInputMessage="0" showErrorMessage="1" allowBlank="1" errorTitle="Fora da lista" error="Fraqueza 2: escolha um valor da lista. A planilha pode não reconhecer outro valor." type="list" errorStyle="warning">
      <formula1>'Dados'!$AN$6:$AN$12</formula1>
    </dataValidation>
    <dataValidation sqref="F106" showDropDown="0" showInputMessage="0" showErrorMessage="1" allowBlank="1" errorTitle="Fora da lista" error="Fraqueza 3: escolha um valor da lista. A planilha pode não reconhecer outro valor." type="list" errorStyle="warning">
      <formula1>'Dados'!$AN$6:$AN$12</formula1>
    </dataValidation>
    <dataValidation sqref="G106" showDropDown="0" showInputMessage="0" showErrorMessage="1" allowBlank="1" errorTitle="Fora da lista" error="Fraqueza 4: escolha um valor da lista. A planilha pode não reconhecer outro valor." type="list" errorStyle="warning">
      <formula1>'Dados'!$AN$6:$AN$12</formula1>
    </dataValidation>
    <dataValidation sqref="H106" showDropDown="0" showInputMessage="0" showErrorMessage="1" allowBlank="1" errorTitle="Valor fora da faixa" error="Tenacidade: use um número inteiro de 0 a 13." type="whole" errorStyle="warning" operator="between">
      <formula1>0</formula1>
      <formula2>13</formula2>
    </dataValidation>
    <dataValidation sqref="I106" showDropDown="0" showInputMessage="0" showErrorMessage="1" allowBlank="1" errorTitle="Texto longo" error="Ritmo: até 80 caracteres." type="textLength" errorStyle="warning" operator="lessThanOrEqual">
      <formula1>80</formula1>
    </dataValidation>
    <dataValidation sqref="A107" showDropDown="0" showInputMessage="0" showErrorMessage="1" allowBlank="1" errorTitle="Fora da lista" error="Inimigo: escolha um valor da lista. A planilha pode não reconhecer outro valor." type="list" errorStyle="warning">
      <formula1>'Inimigos'!$A$11:$A$22</formula1>
    </dataValidation>
    <dataValidation sqref="C107" showDropDown="0" showInputMessage="0" showErrorMessage="1" allowBlank="1" errorTitle="Valor fora da faixa" error="Fase: use um número inteiro de 2 a 3." type="whole" errorStyle="warning" operator="between">
      <formula1>2</formula1>
      <formula2>3</formula2>
    </dataValidation>
    <dataValidation sqref="D107" showDropDown="0" showInputMessage="0" showErrorMessage="1" allowBlank="1" errorTitle="Fora da lista" error="Fraqueza 1: escolha um valor da lista. A planilha pode não reconhecer outro valor." type="list" errorStyle="warning">
      <formula1>'Dados'!$AN$6:$AN$12</formula1>
    </dataValidation>
    <dataValidation sqref="E107" showDropDown="0" showInputMessage="0" showErrorMessage="1" allowBlank="1" errorTitle="Fora da lista" error="Fraqueza 2: escolha um valor da lista. A planilha pode não reconhecer outro valor." type="list" errorStyle="warning">
      <formula1>'Dados'!$AN$6:$AN$12</formula1>
    </dataValidation>
    <dataValidation sqref="F107" showDropDown="0" showInputMessage="0" showErrorMessage="1" allowBlank="1" errorTitle="Fora da lista" error="Fraqueza 3: escolha um valor da lista. A planilha pode não reconhecer outro valor." type="list" errorStyle="warning">
      <formula1>'Dados'!$AN$6:$AN$12</formula1>
    </dataValidation>
    <dataValidation sqref="G107" showDropDown="0" showInputMessage="0" showErrorMessage="1" allowBlank="1" errorTitle="Fora da lista" error="Fraqueza 4: escolha um valor da lista. A planilha pode não reconhecer outro valor." type="list" errorStyle="warning">
      <formula1>'Dados'!$AN$6:$AN$12</formula1>
    </dataValidation>
    <dataValidation sqref="H107" showDropDown="0" showInputMessage="0" showErrorMessage="1" allowBlank="1" errorTitle="Valor fora da faixa" error="Tenacidade: use um número inteiro de 0 a 13." type="whole" errorStyle="warning" operator="between">
      <formula1>0</formula1>
      <formula2>13</formula2>
    </dataValidation>
    <dataValidation sqref="I107" showDropDown="0" showInputMessage="0" showErrorMessage="1" allowBlank="1" errorTitle="Texto longo" error="Ritmo: até 80 caracteres." type="textLength" errorStyle="warning" operator="lessThanOrEqual">
      <formula1>80</formula1>
    </dataValidation>
    <dataValidation sqref="A108" showDropDown="0" showInputMessage="0" showErrorMessage="1" allowBlank="1" errorTitle="Fora da lista" error="Inimigo: escolha um valor da lista. A planilha pode não reconhecer outro valor." type="list" errorStyle="warning">
      <formula1>'Inimigos'!$A$11:$A$22</formula1>
    </dataValidation>
    <dataValidation sqref="C108" showDropDown="0" showInputMessage="0" showErrorMessage="1" allowBlank="1" errorTitle="Valor fora da faixa" error="Fase: use um número inteiro de 2 a 3." type="whole" errorStyle="warning" operator="between">
      <formula1>2</formula1>
      <formula2>3</formula2>
    </dataValidation>
    <dataValidation sqref="D108" showDropDown="0" showInputMessage="0" showErrorMessage="1" allowBlank="1" errorTitle="Fora da lista" error="Fraqueza 1: escolha um valor da lista. A planilha pode não reconhecer outro valor." type="list" errorStyle="warning">
      <formula1>'Dados'!$AN$6:$AN$12</formula1>
    </dataValidation>
    <dataValidation sqref="E108" showDropDown="0" showInputMessage="0" showErrorMessage="1" allowBlank="1" errorTitle="Fora da lista" error="Fraqueza 2: escolha um valor da lista. A planilha pode não reconhecer outro valor." type="list" errorStyle="warning">
      <formula1>'Dados'!$AN$6:$AN$12</formula1>
    </dataValidation>
    <dataValidation sqref="F108" showDropDown="0" showInputMessage="0" showErrorMessage="1" allowBlank="1" errorTitle="Fora da lista" error="Fraqueza 3: escolha um valor da lista. A planilha pode não reconhecer outro valor." type="list" errorStyle="warning">
      <formula1>'Dados'!$AN$6:$AN$12</formula1>
    </dataValidation>
    <dataValidation sqref="G108" showDropDown="0" showInputMessage="0" showErrorMessage="1" allowBlank="1" errorTitle="Fora da lista" error="Fraqueza 4: escolha um valor da lista. A planilha pode não reconhecer outro valor." type="list" errorStyle="warning">
      <formula1>'Dados'!$AN$6:$AN$12</formula1>
    </dataValidation>
    <dataValidation sqref="H108" showDropDown="0" showInputMessage="0" showErrorMessage="1" allowBlank="1" errorTitle="Valor fora da faixa" error="Tenacidade: use um número inteiro de 0 a 13." type="whole" errorStyle="warning" operator="between">
      <formula1>0</formula1>
      <formula2>13</formula2>
    </dataValidation>
    <dataValidation sqref="I108" showDropDown="0" showInputMessage="0" showErrorMessage="1" allowBlank="1" errorTitle="Texto longo" error="Ritmo: até 80 caracteres." type="textLength" errorStyle="warning" operator="lessThanOrEqual">
      <formula1>80</formula1>
    </dataValidation>
    <dataValidation sqref="A109" showDropDown="0" showInputMessage="0" showErrorMessage="1" allowBlank="1" errorTitle="Fora da lista" error="Inimigo: escolha um valor da lista. A planilha pode não reconhecer outro valor." type="list" errorStyle="warning">
      <formula1>'Inimigos'!$A$11:$A$22</formula1>
    </dataValidation>
    <dataValidation sqref="C109" showDropDown="0" showInputMessage="0" showErrorMessage="1" allowBlank="1" errorTitle="Valor fora da faixa" error="Fase: use um número inteiro de 2 a 3." type="whole" errorStyle="warning" operator="between">
      <formula1>2</formula1>
      <formula2>3</formula2>
    </dataValidation>
    <dataValidation sqref="D109" showDropDown="0" showInputMessage="0" showErrorMessage="1" allowBlank="1" errorTitle="Fora da lista" error="Fraqueza 1: escolha um valor da lista. A planilha pode não reconhecer outro valor." type="list" errorStyle="warning">
      <formula1>'Dados'!$AN$6:$AN$12</formula1>
    </dataValidation>
    <dataValidation sqref="E109" showDropDown="0" showInputMessage="0" showErrorMessage="1" allowBlank="1" errorTitle="Fora da lista" error="Fraqueza 2: escolha um valor da lista. A planilha pode não reconhecer outro valor." type="list" errorStyle="warning">
      <formula1>'Dados'!$AN$6:$AN$12</formula1>
    </dataValidation>
    <dataValidation sqref="F109" showDropDown="0" showInputMessage="0" showErrorMessage="1" allowBlank="1" errorTitle="Fora da lista" error="Fraqueza 3: escolha um valor da lista. A planilha pode não reconhecer outro valor." type="list" errorStyle="warning">
      <formula1>'Dados'!$AN$6:$AN$12</formula1>
    </dataValidation>
    <dataValidation sqref="G109" showDropDown="0" showInputMessage="0" showErrorMessage="1" allowBlank="1" errorTitle="Fora da lista" error="Fraqueza 4: escolha um valor da lista. A planilha pode não reconhecer outro valor." type="list" errorStyle="warning">
      <formula1>'Dados'!$AN$6:$AN$12</formula1>
    </dataValidation>
    <dataValidation sqref="H109" showDropDown="0" showInputMessage="0" showErrorMessage="1" allowBlank="1" errorTitle="Valor fora da faixa" error="Tenacidade: use um número inteiro de 0 a 13." type="whole" errorStyle="warning" operator="between">
      <formula1>0</formula1>
      <formula2>13</formula2>
    </dataValidation>
    <dataValidation sqref="I109" showDropDown="0" showInputMessage="0" showErrorMessage="1" allowBlank="1" errorTitle="Texto longo" error="Ritmo: até 80 caracteres." type="textLength" errorStyle="warning" operator="lessThanOrEqual">
      <formula1>80</formula1>
    </dataValidation>
    <dataValidation sqref="A110" showDropDown="0" showInputMessage="0" showErrorMessage="1" allowBlank="1" errorTitle="Fora da lista" error="Inimigo: escolha um valor da lista. A planilha pode não reconhecer outro valor." type="list" errorStyle="warning">
      <formula1>'Inimigos'!$A$11:$A$22</formula1>
    </dataValidation>
    <dataValidation sqref="C110" showDropDown="0" showInputMessage="0" showErrorMessage="1" allowBlank="1" errorTitle="Valor fora da faixa" error="Fase: use um número inteiro de 2 a 3." type="whole" errorStyle="warning" operator="between">
      <formula1>2</formula1>
      <formula2>3</formula2>
    </dataValidation>
    <dataValidation sqref="D110" showDropDown="0" showInputMessage="0" showErrorMessage="1" allowBlank="1" errorTitle="Fora da lista" error="Fraqueza 1: escolha um valor da lista. A planilha pode não reconhecer outro valor." type="list" errorStyle="warning">
      <formula1>'Dados'!$AN$6:$AN$12</formula1>
    </dataValidation>
    <dataValidation sqref="E110" showDropDown="0" showInputMessage="0" showErrorMessage="1" allowBlank="1" errorTitle="Fora da lista" error="Fraqueza 2: escolha um valor da lista. A planilha pode não reconhecer outro valor." type="list" errorStyle="warning">
      <formula1>'Dados'!$AN$6:$AN$12</formula1>
    </dataValidation>
    <dataValidation sqref="F110" showDropDown="0" showInputMessage="0" showErrorMessage="1" allowBlank="1" errorTitle="Fora da lista" error="Fraqueza 3: escolha um valor da lista. A planilha pode não reconhecer outro valor." type="list" errorStyle="warning">
      <formula1>'Dados'!$AN$6:$AN$12</formula1>
    </dataValidation>
    <dataValidation sqref="G110" showDropDown="0" showInputMessage="0" showErrorMessage="1" allowBlank="1" errorTitle="Fora da lista" error="Fraqueza 4: escolha um valor da lista. A planilha pode não reconhecer outro valor." type="list" errorStyle="warning">
      <formula1>'Dados'!$AN$6:$AN$12</formula1>
    </dataValidation>
    <dataValidation sqref="H110" showDropDown="0" showInputMessage="0" showErrorMessage="1" allowBlank="1" errorTitle="Valor fora da faixa" error="Tenacidade: use um número inteiro de 0 a 13." type="whole" errorStyle="warning" operator="between">
      <formula1>0</formula1>
      <formula2>13</formula2>
    </dataValidation>
    <dataValidation sqref="I110" showDropDown="0" showInputMessage="0" showErrorMessage="1" allowBlank="1" errorTitle="Texto longo" error="Ritmo: até 80 caracteres." type="textLength" errorStyle="warning" operator="lessThanOrEqual">
      <formula1>80</formula1>
    </dataValidation>
    <dataValidation sqref="A111" showDropDown="0" showInputMessage="0" showErrorMessage="1" allowBlank="1" errorTitle="Fora da lista" error="Inimigo: escolha um valor da lista. A planilha pode não reconhecer outro valor." type="list" errorStyle="warning">
      <formula1>'Inimigos'!$A$11:$A$22</formula1>
    </dataValidation>
    <dataValidation sqref="C111" showDropDown="0" showInputMessage="0" showErrorMessage="1" allowBlank="1" errorTitle="Valor fora da faixa" error="Fase: use um número inteiro de 2 a 3." type="whole" errorStyle="warning" operator="between">
      <formula1>2</formula1>
      <formula2>3</formula2>
    </dataValidation>
    <dataValidation sqref="D111" showDropDown="0" showInputMessage="0" showErrorMessage="1" allowBlank="1" errorTitle="Fora da lista" error="Fraqueza 1: escolha um valor da lista. A planilha pode não reconhecer outro valor." type="list" errorStyle="warning">
      <formula1>'Dados'!$AN$6:$AN$12</formula1>
    </dataValidation>
    <dataValidation sqref="E111" showDropDown="0" showInputMessage="0" showErrorMessage="1" allowBlank="1" errorTitle="Fora da lista" error="Fraqueza 2: escolha um valor da lista. A planilha pode não reconhecer outro valor." type="list" errorStyle="warning">
      <formula1>'Dados'!$AN$6:$AN$12</formula1>
    </dataValidation>
    <dataValidation sqref="F111" showDropDown="0" showInputMessage="0" showErrorMessage="1" allowBlank="1" errorTitle="Fora da lista" error="Fraqueza 3: escolha um valor da lista. A planilha pode não reconhecer outro valor." type="list" errorStyle="warning">
      <formula1>'Dados'!$AN$6:$AN$12</formula1>
    </dataValidation>
    <dataValidation sqref="G111" showDropDown="0" showInputMessage="0" showErrorMessage="1" allowBlank="1" errorTitle="Fora da lista" error="Fraqueza 4: escolha um valor da lista. A planilha pode não reconhecer outro valor." type="list" errorStyle="warning">
      <formula1>'Dados'!$AN$6:$AN$12</formula1>
    </dataValidation>
    <dataValidation sqref="H111" showDropDown="0" showInputMessage="0" showErrorMessage="1" allowBlank="1" errorTitle="Valor fora da faixa" error="Tenacidade: use um número inteiro de 0 a 13." type="whole" errorStyle="warning" operator="between">
      <formula1>0</formula1>
      <formula2>13</formula2>
    </dataValidation>
    <dataValidation sqref="I111" showDropDown="0" showInputMessage="0" showErrorMessage="1" allowBlank="1" errorTitle="Texto longo" error="Ritmo: até 80 caracteres." type="textLength" errorStyle="warning" operator="lessThanOrEqual">
      <formula1>80</formula1>
    </dataValidation>
    <dataValidation sqref="A112" showDropDown="0" showInputMessage="0" showErrorMessage="1" allowBlank="1" errorTitle="Fora da lista" error="Inimigo: escolha um valor da lista. A planilha pode não reconhecer outro valor." type="list" errorStyle="warning">
      <formula1>'Inimigos'!$A$11:$A$22</formula1>
    </dataValidation>
    <dataValidation sqref="C112" showDropDown="0" showInputMessage="0" showErrorMessage="1" allowBlank="1" errorTitle="Valor fora da faixa" error="Fase: use um número inteiro de 2 a 3." type="whole" errorStyle="warning" operator="between">
      <formula1>2</formula1>
      <formula2>3</formula2>
    </dataValidation>
    <dataValidation sqref="D112" showDropDown="0" showInputMessage="0" showErrorMessage="1" allowBlank="1" errorTitle="Fora da lista" error="Fraqueza 1: escolha um valor da lista. A planilha pode não reconhecer outro valor." type="list" errorStyle="warning">
      <formula1>'Dados'!$AN$6:$AN$12</formula1>
    </dataValidation>
    <dataValidation sqref="E112" showDropDown="0" showInputMessage="0" showErrorMessage="1" allowBlank="1" errorTitle="Fora da lista" error="Fraqueza 2: escolha um valor da lista. A planilha pode não reconhecer outro valor." type="list" errorStyle="warning">
      <formula1>'Dados'!$AN$6:$AN$12</formula1>
    </dataValidation>
    <dataValidation sqref="F112" showDropDown="0" showInputMessage="0" showErrorMessage="1" allowBlank="1" errorTitle="Fora da lista" error="Fraqueza 3: escolha um valor da lista. A planilha pode não reconhecer outro valor." type="list" errorStyle="warning">
      <formula1>'Dados'!$AN$6:$AN$12</formula1>
    </dataValidation>
    <dataValidation sqref="G112" showDropDown="0" showInputMessage="0" showErrorMessage="1" allowBlank="1" errorTitle="Fora da lista" error="Fraqueza 4: escolha um valor da lista. A planilha pode não reconhecer outro valor." type="list" errorStyle="warning">
      <formula1>'Dados'!$AN$6:$AN$12</formula1>
    </dataValidation>
    <dataValidation sqref="H112" showDropDown="0" showInputMessage="0" showErrorMessage="1" allowBlank="1" errorTitle="Valor fora da faixa" error="Tenacidade: use um número inteiro de 0 a 13." type="whole" errorStyle="warning" operator="between">
      <formula1>0</formula1>
      <formula2>13</formula2>
    </dataValidation>
    <dataValidation sqref="I112" showDropDown="0" showInputMessage="0" showErrorMessage="1" allowBlank="1" errorTitle="Texto longo" error="Ritmo: até 80 caracteres." type="textLength" errorStyle="warning" operator="lessThanOrEqual">
      <formula1>80</formula1>
    </dataValidation>
    <dataValidation sqref="A116" showDropDown="0" showInputMessage="0" showErrorMessage="1" allowBlank="1" errorTitle="Fora da lista" error="Inimigo: escolha um valor da lista. A planilha pode não reconhecer outro valor." type="list" errorStyle="warning">
      <formula1>'Inimigos'!$A$11:$A$22</formula1>
    </dataValidation>
    <dataValidation sqref="C116" showDropDown="0" showInputMessage="0" showErrorMessage="1" allowBlank="1" errorTitle="Fora da lista" error="Tipo de ação: escolha um valor da lista. A planilha pode não reconhecer outro valor." type="list" errorStyle="warning">
      <formula1>'Dados'!$BJ$6:$BJ$10</formula1>
    </dataValidation>
    <dataValidation sqref="E116" showDropDown="0" showInputMessage="0" showErrorMessage="1" allowBlank="1" errorTitle="Texto longo" error="Nome da ação: até 40 caracteres." type="textLength" errorStyle="warning" operator="lessThanOrEqual">
      <formula1>40</formula1>
    </dataValidation>
    <dataValidation sqref="G116" showDropDown="0" showInputMessage="0" showErrorMessage="1" allowBlank="1" errorTitle="Fora da lista" error="Alcance: escolha um valor da lista. A planilha pode não reconhecer outro valor." type="list" errorStyle="warning">
      <formula1>'Dados'!$BK$6:$BK$10</formula1>
    </dataValidation>
    <dataValidation sqref="H116" showDropDown="0" showInputMessage="0" showErrorMessage="1" allowBlank="1" errorTitle="Fora da lista" error="Elemento: escolha um valor da lista. A planilha pode não reconhecer outro valor." type="list" errorStyle="warning">
      <formula1>'Dados'!$AN$6:$AN$12</formula1>
    </dataValidation>
    <dataValidation sqref="I116" showDropDown="0" showInputMessage="0" showErrorMessage="1" allowBlank="1" errorTitle="Valor fora da faixa" error="Recarga: use um número inteiro de 2 a 3." type="whole" errorStyle="warning" operator="between">
      <formula1>2</formula1>
      <formula2>3</formula2>
    </dataValidation>
    <dataValidation sqref="J116" showDropDown="0" showInputMessage="0" showErrorMessage="1" allowBlank="1" errorTitle="Valor fora da faixa" error="Duração: use um número inteiro de 1 a 5." type="whole" errorStyle="warning" operator="between">
      <formula1>1</formula1>
      <formula2>5</formula2>
    </dataValidation>
    <dataValidation sqref="A117" showDropDown="0" showInputMessage="0" showErrorMessage="1" allowBlank="1" errorTitle="Fora da lista" error="Inimigo: escolha um valor da lista. A planilha pode não reconhecer outro valor." type="list" errorStyle="warning">
      <formula1>'Inimigos'!$A$11:$A$22</formula1>
    </dataValidation>
    <dataValidation sqref="C117" showDropDown="0" showInputMessage="0" showErrorMessage="1" allowBlank="1" errorTitle="Fora da lista" error="Tipo de ação: escolha um valor da lista. A planilha pode não reconhecer outro valor." type="list" errorStyle="warning">
      <formula1>'Dados'!$BJ$6:$BJ$10</formula1>
    </dataValidation>
    <dataValidation sqref="E117" showDropDown="0" showInputMessage="0" showErrorMessage="1" allowBlank="1" errorTitle="Texto longo" error="Nome da ação: até 40 caracteres." type="textLength" errorStyle="warning" operator="lessThanOrEqual">
      <formula1>40</formula1>
    </dataValidation>
    <dataValidation sqref="G117" showDropDown="0" showInputMessage="0" showErrorMessage="1" allowBlank="1" errorTitle="Fora da lista" error="Alcance: escolha um valor da lista. A planilha pode não reconhecer outro valor." type="list" errorStyle="warning">
      <formula1>'Dados'!$BK$6:$BK$10</formula1>
    </dataValidation>
    <dataValidation sqref="H117" showDropDown="0" showInputMessage="0" showErrorMessage="1" allowBlank="1" errorTitle="Fora da lista" error="Elemento: escolha um valor da lista. A planilha pode não reconhecer outro valor." type="list" errorStyle="warning">
      <formula1>'Dados'!$AN$6:$AN$12</formula1>
    </dataValidation>
    <dataValidation sqref="I117" showDropDown="0" showInputMessage="0" showErrorMessage="1" allowBlank="1" errorTitle="Valor fora da faixa" error="Recarga: use um número inteiro de 2 a 3." type="whole" errorStyle="warning" operator="between">
      <formula1>2</formula1>
      <formula2>3</formula2>
    </dataValidation>
    <dataValidation sqref="J117" showDropDown="0" showInputMessage="0" showErrorMessage="1" allowBlank="1" errorTitle="Valor fora da faixa" error="Duração: use um número inteiro de 1 a 5." type="whole" errorStyle="warning" operator="between">
      <formula1>1</formula1>
      <formula2>5</formula2>
    </dataValidation>
    <dataValidation sqref="A118" showDropDown="0" showInputMessage="0" showErrorMessage="1" allowBlank="1" errorTitle="Fora da lista" error="Inimigo: escolha um valor da lista. A planilha pode não reconhecer outro valor." type="list" errorStyle="warning">
      <formula1>'Inimigos'!$A$11:$A$22</formula1>
    </dataValidation>
    <dataValidation sqref="C118" showDropDown="0" showInputMessage="0" showErrorMessage="1" allowBlank="1" errorTitle="Fora da lista" error="Tipo de ação: escolha um valor da lista. A planilha pode não reconhecer outro valor." type="list" errorStyle="warning">
      <formula1>'Dados'!$BJ$6:$BJ$10</formula1>
    </dataValidation>
    <dataValidation sqref="E118" showDropDown="0" showInputMessage="0" showErrorMessage="1" allowBlank="1" errorTitle="Texto longo" error="Nome da ação: até 40 caracteres." type="textLength" errorStyle="warning" operator="lessThanOrEqual">
      <formula1>40</formula1>
    </dataValidation>
    <dataValidation sqref="G118" showDropDown="0" showInputMessage="0" showErrorMessage="1" allowBlank="1" errorTitle="Fora da lista" error="Alcance: escolha um valor da lista. A planilha pode não reconhecer outro valor." type="list" errorStyle="warning">
      <formula1>'Dados'!$BK$6:$BK$10</formula1>
    </dataValidation>
    <dataValidation sqref="H118" showDropDown="0" showInputMessage="0" showErrorMessage="1" allowBlank="1" errorTitle="Fora da lista" error="Elemento: escolha um valor da lista. A planilha pode não reconhecer outro valor." type="list" errorStyle="warning">
      <formula1>'Dados'!$AN$6:$AN$12</formula1>
    </dataValidation>
    <dataValidation sqref="I118" showDropDown="0" showInputMessage="0" showErrorMessage="1" allowBlank="1" errorTitle="Valor fora da faixa" error="Recarga: use um número inteiro de 2 a 3." type="whole" errorStyle="warning" operator="between">
      <formula1>2</formula1>
      <formula2>3</formula2>
    </dataValidation>
    <dataValidation sqref="J118" showDropDown="0" showInputMessage="0" showErrorMessage="1" allowBlank="1" errorTitle="Valor fora da faixa" error="Duração: use um número inteiro de 1 a 5." type="whole" errorStyle="warning" operator="between">
      <formula1>1</formula1>
      <formula2>5</formula2>
    </dataValidation>
    <dataValidation sqref="A119" showDropDown="0" showInputMessage="0" showErrorMessage="1" allowBlank="1" errorTitle="Fora da lista" error="Inimigo: escolha um valor da lista. A planilha pode não reconhecer outro valor." type="list" errorStyle="warning">
      <formula1>'Inimigos'!$A$11:$A$22</formula1>
    </dataValidation>
    <dataValidation sqref="C119" showDropDown="0" showInputMessage="0" showErrorMessage="1" allowBlank="1" errorTitle="Fora da lista" error="Tipo de ação: escolha um valor da lista. A planilha pode não reconhecer outro valor." type="list" errorStyle="warning">
      <formula1>'Dados'!$BJ$6:$BJ$10</formula1>
    </dataValidation>
    <dataValidation sqref="E119" showDropDown="0" showInputMessage="0" showErrorMessage="1" allowBlank="1" errorTitle="Texto longo" error="Nome da ação: até 40 caracteres." type="textLength" errorStyle="warning" operator="lessThanOrEqual">
      <formula1>40</formula1>
    </dataValidation>
    <dataValidation sqref="G119" showDropDown="0" showInputMessage="0" showErrorMessage="1" allowBlank="1" errorTitle="Fora da lista" error="Alcance: escolha um valor da lista. A planilha pode não reconhecer outro valor." type="list" errorStyle="warning">
      <formula1>'Dados'!$BK$6:$BK$10</formula1>
    </dataValidation>
    <dataValidation sqref="H119" showDropDown="0" showInputMessage="0" showErrorMessage="1" allowBlank="1" errorTitle="Fora da lista" error="Elemento: escolha um valor da lista. A planilha pode não reconhecer outro valor." type="list" errorStyle="warning">
      <formula1>'Dados'!$AN$6:$AN$12</formula1>
    </dataValidation>
    <dataValidation sqref="I119" showDropDown="0" showInputMessage="0" showErrorMessage="1" allowBlank="1" errorTitle="Valor fora da faixa" error="Recarga: use um número inteiro de 2 a 3." type="whole" errorStyle="warning" operator="between">
      <formula1>2</formula1>
      <formula2>3</formula2>
    </dataValidation>
    <dataValidation sqref="J119" showDropDown="0" showInputMessage="0" showErrorMessage="1" allowBlank="1" errorTitle="Valor fora da faixa" error="Duração: use um número inteiro de 1 a 5." type="whole" errorStyle="warning" operator="between">
      <formula1>1</formula1>
      <formula2>5</formula2>
    </dataValidation>
    <dataValidation sqref="A120" showDropDown="0" showInputMessage="0" showErrorMessage="1" allowBlank="1" errorTitle="Fora da lista" error="Inimigo: escolha um valor da lista. A planilha pode não reconhecer outro valor." type="list" errorStyle="warning">
      <formula1>'Inimigos'!$A$11:$A$22</formula1>
    </dataValidation>
    <dataValidation sqref="C120" showDropDown="0" showInputMessage="0" showErrorMessage="1" allowBlank="1" errorTitle="Fora da lista" error="Tipo de ação: escolha um valor da lista. A planilha pode não reconhecer outro valor." type="list" errorStyle="warning">
      <formula1>'Dados'!$BJ$6:$BJ$10</formula1>
    </dataValidation>
    <dataValidation sqref="E120" showDropDown="0" showInputMessage="0" showErrorMessage="1" allowBlank="1" errorTitle="Texto longo" error="Nome da ação: até 40 caracteres." type="textLength" errorStyle="warning" operator="lessThanOrEqual">
      <formula1>40</formula1>
    </dataValidation>
    <dataValidation sqref="G120" showDropDown="0" showInputMessage="0" showErrorMessage="1" allowBlank="1" errorTitle="Fora da lista" error="Alcance: escolha um valor da lista. A planilha pode não reconhecer outro valor." type="list" errorStyle="warning">
      <formula1>'Dados'!$BK$6:$BK$10</formula1>
    </dataValidation>
    <dataValidation sqref="H120" showDropDown="0" showInputMessage="0" showErrorMessage="1" allowBlank="1" errorTitle="Fora da lista" error="Elemento: escolha um valor da lista. A planilha pode não reconhecer outro valor." type="list" errorStyle="warning">
      <formula1>'Dados'!$AN$6:$AN$12</formula1>
    </dataValidation>
    <dataValidation sqref="I120" showDropDown="0" showInputMessage="0" showErrorMessage="1" allowBlank="1" errorTitle="Valor fora da faixa" error="Recarga: use um número inteiro de 2 a 3." type="whole" errorStyle="warning" operator="between">
      <formula1>2</formula1>
      <formula2>3</formula2>
    </dataValidation>
    <dataValidation sqref="J120" showDropDown="0" showInputMessage="0" showErrorMessage="1" allowBlank="1" errorTitle="Valor fora da faixa" error="Duração: use um número inteiro de 1 a 5." type="whole" errorStyle="warning" operator="between">
      <formula1>1</formula1>
      <formula2>5</formula2>
    </dataValidation>
    <dataValidation sqref="A121" showDropDown="0" showInputMessage="0" showErrorMessage="1" allowBlank="1" errorTitle="Fora da lista" error="Inimigo: escolha um valor da lista. A planilha pode não reconhecer outro valor." type="list" errorStyle="warning">
      <formula1>'Inimigos'!$A$11:$A$22</formula1>
    </dataValidation>
    <dataValidation sqref="C121" showDropDown="0" showInputMessage="0" showErrorMessage="1" allowBlank="1" errorTitle="Fora da lista" error="Tipo de ação: escolha um valor da lista. A planilha pode não reconhecer outro valor." type="list" errorStyle="warning">
      <formula1>'Dados'!$BJ$6:$BJ$10</formula1>
    </dataValidation>
    <dataValidation sqref="E121" showDropDown="0" showInputMessage="0" showErrorMessage="1" allowBlank="1" errorTitle="Texto longo" error="Nome da ação: até 40 caracteres." type="textLength" errorStyle="warning" operator="lessThanOrEqual">
      <formula1>40</formula1>
    </dataValidation>
    <dataValidation sqref="G121" showDropDown="0" showInputMessage="0" showErrorMessage="1" allowBlank="1" errorTitle="Fora da lista" error="Alcance: escolha um valor da lista. A planilha pode não reconhecer outro valor." type="list" errorStyle="warning">
      <formula1>'Dados'!$BK$6:$BK$10</formula1>
    </dataValidation>
    <dataValidation sqref="H121" showDropDown="0" showInputMessage="0" showErrorMessage="1" allowBlank="1" errorTitle="Fora da lista" error="Elemento: escolha um valor da lista. A planilha pode não reconhecer outro valor." type="list" errorStyle="warning">
      <formula1>'Dados'!$AN$6:$AN$12</formula1>
    </dataValidation>
    <dataValidation sqref="I121" showDropDown="0" showInputMessage="0" showErrorMessage="1" allowBlank="1" errorTitle="Valor fora da faixa" error="Recarga: use um número inteiro de 2 a 3." type="whole" errorStyle="warning" operator="between">
      <formula1>2</formula1>
      <formula2>3</formula2>
    </dataValidation>
    <dataValidation sqref="J121" showDropDown="0" showInputMessage="0" showErrorMessage="1" allowBlank="1" errorTitle="Valor fora da faixa" error="Duração: use um número inteiro de 1 a 5." type="whole" errorStyle="warning" operator="between">
      <formula1>1</formula1>
      <formula2>5</formula2>
    </dataValidation>
    <dataValidation sqref="A122" showDropDown="0" showInputMessage="0" showErrorMessage="1" allowBlank="1" errorTitle="Fora da lista" error="Inimigo: escolha um valor da lista. A planilha pode não reconhecer outro valor." type="list" errorStyle="warning">
      <formula1>'Inimigos'!$A$11:$A$22</formula1>
    </dataValidation>
    <dataValidation sqref="C122" showDropDown="0" showInputMessage="0" showErrorMessage="1" allowBlank="1" errorTitle="Fora da lista" error="Tipo de ação: escolha um valor da lista. A planilha pode não reconhecer outro valor." type="list" errorStyle="warning">
      <formula1>'Dados'!$BJ$6:$BJ$10</formula1>
    </dataValidation>
    <dataValidation sqref="E122" showDropDown="0" showInputMessage="0" showErrorMessage="1" allowBlank="1" errorTitle="Texto longo" error="Nome da ação: até 40 caracteres." type="textLength" errorStyle="warning" operator="lessThanOrEqual">
      <formula1>40</formula1>
    </dataValidation>
    <dataValidation sqref="G122" showDropDown="0" showInputMessage="0" showErrorMessage="1" allowBlank="1" errorTitle="Fora da lista" error="Alcance: escolha um valor da lista. A planilha pode não reconhecer outro valor." type="list" errorStyle="warning">
      <formula1>'Dados'!$BK$6:$BK$10</formula1>
    </dataValidation>
    <dataValidation sqref="H122" showDropDown="0" showInputMessage="0" showErrorMessage="1" allowBlank="1" errorTitle="Fora da lista" error="Elemento: escolha um valor da lista. A planilha pode não reconhecer outro valor." type="list" errorStyle="warning">
      <formula1>'Dados'!$AN$6:$AN$12</formula1>
    </dataValidation>
    <dataValidation sqref="I122" showDropDown="0" showInputMessage="0" showErrorMessage="1" allowBlank="1" errorTitle="Valor fora da faixa" error="Recarga: use um número inteiro de 2 a 3." type="whole" errorStyle="warning" operator="between">
      <formula1>2</formula1>
      <formula2>3</formula2>
    </dataValidation>
    <dataValidation sqref="J122" showDropDown="0" showInputMessage="0" showErrorMessage="1" allowBlank="1" errorTitle="Valor fora da faixa" error="Duração: use um número inteiro de 1 a 5." type="whole" errorStyle="warning" operator="between">
      <formula1>1</formula1>
      <formula2>5</formula2>
    </dataValidation>
    <dataValidation sqref="A123" showDropDown="0" showInputMessage="0" showErrorMessage="1" allowBlank="1" errorTitle="Fora da lista" error="Inimigo: escolha um valor da lista. A planilha pode não reconhecer outro valor." type="list" errorStyle="warning">
      <formula1>'Inimigos'!$A$11:$A$22</formula1>
    </dataValidation>
    <dataValidation sqref="C123" showDropDown="0" showInputMessage="0" showErrorMessage="1" allowBlank="1" errorTitle="Fora da lista" error="Tipo de ação: escolha um valor da lista. A planilha pode não reconhecer outro valor." type="list" errorStyle="warning">
      <formula1>'Dados'!$BJ$6:$BJ$10</formula1>
    </dataValidation>
    <dataValidation sqref="E123" showDropDown="0" showInputMessage="0" showErrorMessage="1" allowBlank="1" errorTitle="Texto longo" error="Nome da ação: até 40 caracteres." type="textLength" errorStyle="warning" operator="lessThanOrEqual">
      <formula1>40</formula1>
    </dataValidation>
    <dataValidation sqref="G123" showDropDown="0" showInputMessage="0" showErrorMessage="1" allowBlank="1" errorTitle="Fora da lista" error="Alcance: escolha um valor da lista. A planilha pode não reconhecer outro valor." type="list" errorStyle="warning">
      <formula1>'Dados'!$BK$6:$BK$10</formula1>
    </dataValidation>
    <dataValidation sqref="H123" showDropDown="0" showInputMessage="0" showErrorMessage="1" allowBlank="1" errorTitle="Fora da lista" error="Elemento: escolha um valor da lista. A planilha pode não reconhecer outro valor." type="list" errorStyle="warning">
      <formula1>'Dados'!$AN$6:$AN$12</formula1>
    </dataValidation>
    <dataValidation sqref="I123" showDropDown="0" showInputMessage="0" showErrorMessage="1" allowBlank="1" errorTitle="Valor fora da faixa" error="Recarga: use um número inteiro de 2 a 3." type="whole" errorStyle="warning" operator="between">
      <formula1>2</formula1>
      <formula2>3</formula2>
    </dataValidation>
    <dataValidation sqref="J123" showDropDown="0" showInputMessage="0" showErrorMessage="1" allowBlank="1" errorTitle="Valor fora da faixa" error="Duração: use um número inteiro de 1 a 5." type="whole" errorStyle="warning" operator="between">
      <formula1>1</formula1>
      <formula2>5</formula2>
    </dataValidation>
    <dataValidation sqref="A124" showDropDown="0" showInputMessage="0" showErrorMessage="1" allowBlank="1" errorTitle="Fora da lista" error="Inimigo: escolha um valor da lista. A planilha pode não reconhecer outro valor." type="list" errorStyle="warning">
      <formula1>'Inimigos'!$A$11:$A$22</formula1>
    </dataValidation>
    <dataValidation sqref="C124" showDropDown="0" showInputMessage="0" showErrorMessage="1" allowBlank="1" errorTitle="Fora da lista" error="Tipo de ação: escolha um valor da lista. A planilha pode não reconhecer outro valor." type="list" errorStyle="warning">
      <formula1>'Dados'!$BJ$6:$BJ$10</formula1>
    </dataValidation>
    <dataValidation sqref="E124" showDropDown="0" showInputMessage="0" showErrorMessage="1" allowBlank="1" errorTitle="Texto longo" error="Nome da ação: até 40 caracteres." type="textLength" errorStyle="warning" operator="lessThanOrEqual">
      <formula1>40</formula1>
    </dataValidation>
    <dataValidation sqref="G124" showDropDown="0" showInputMessage="0" showErrorMessage="1" allowBlank="1" errorTitle="Fora da lista" error="Alcance: escolha um valor da lista. A planilha pode não reconhecer outro valor." type="list" errorStyle="warning">
      <formula1>'Dados'!$BK$6:$BK$10</formula1>
    </dataValidation>
    <dataValidation sqref="H124" showDropDown="0" showInputMessage="0" showErrorMessage="1" allowBlank="1" errorTitle="Fora da lista" error="Elemento: escolha um valor da lista. A planilha pode não reconhecer outro valor." type="list" errorStyle="warning">
      <formula1>'Dados'!$AN$6:$AN$12</formula1>
    </dataValidation>
    <dataValidation sqref="I124" showDropDown="0" showInputMessage="0" showErrorMessage="1" allowBlank="1" errorTitle="Valor fora da faixa" error="Recarga: use um número inteiro de 2 a 3." type="whole" errorStyle="warning" operator="between">
      <formula1>2</formula1>
      <formula2>3</formula2>
    </dataValidation>
    <dataValidation sqref="J124" showDropDown="0" showInputMessage="0" showErrorMessage="1" allowBlank="1" errorTitle="Valor fora da faixa" error="Duração: use um número inteiro de 1 a 5." type="whole" errorStyle="warning" operator="between">
      <formula1>1</formula1>
      <formula2>5</formula2>
    </dataValidation>
    <dataValidation sqref="A125" showDropDown="0" showInputMessage="0" showErrorMessage="1" allowBlank="1" errorTitle="Fora da lista" error="Inimigo: escolha um valor da lista. A planilha pode não reconhecer outro valor." type="list" errorStyle="warning">
      <formula1>'Inimigos'!$A$11:$A$22</formula1>
    </dataValidation>
    <dataValidation sqref="C125" showDropDown="0" showInputMessage="0" showErrorMessage="1" allowBlank="1" errorTitle="Fora da lista" error="Tipo de ação: escolha um valor da lista. A planilha pode não reconhecer outro valor." type="list" errorStyle="warning">
      <formula1>'Dados'!$BJ$6:$BJ$10</formula1>
    </dataValidation>
    <dataValidation sqref="E125" showDropDown="0" showInputMessage="0" showErrorMessage="1" allowBlank="1" errorTitle="Texto longo" error="Nome da ação: até 40 caracteres." type="textLength" errorStyle="warning" operator="lessThanOrEqual">
      <formula1>40</formula1>
    </dataValidation>
    <dataValidation sqref="G125" showDropDown="0" showInputMessage="0" showErrorMessage="1" allowBlank="1" errorTitle="Fora da lista" error="Alcance: escolha um valor da lista. A planilha pode não reconhecer outro valor." type="list" errorStyle="warning">
      <formula1>'Dados'!$BK$6:$BK$10</formula1>
    </dataValidation>
    <dataValidation sqref="H125" showDropDown="0" showInputMessage="0" showErrorMessage="1" allowBlank="1" errorTitle="Fora da lista" error="Elemento: escolha um valor da lista. A planilha pode não reconhecer outro valor." type="list" errorStyle="warning">
      <formula1>'Dados'!$AN$6:$AN$12</formula1>
    </dataValidation>
    <dataValidation sqref="I125" showDropDown="0" showInputMessage="0" showErrorMessage="1" allowBlank="1" errorTitle="Valor fora da faixa" error="Recarga: use um número inteiro de 2 a 3." type="whole" errorStyle="warning" operator="between">
      <formula1>2</formula1>
      <formula2>3</formula2>
    </dataValidation>
    <dataValidation sqref="J125" showDropDown="0" showInputMessage="0" showErrorMessage="1" allowBlank="1" errorTitle="Valor fora da faixa" error="Duração: use um número inteiro de 1 a 5." type="whole" errorStyle="warning" operator="between">
      <formula1>1</formula1>
      <formula2>5</formula2>
    </dataValidation>
    <dataValidation sqref="A126" showDropDown="0" showInputMessage="0" showErrorMessage="1" allowBlank="1" errorTitle="Fora da lista" error="Inimigo: escolha um valor da lista. A planilha pode não reconhecer outro valor." type="list" errorStyle="warning">
      <formula1>'Inimigos'!$A$11:$A$22</formula1>
    </dataValidation>
    <dataValidation sqref="C126" showDropDown="0" showInputMessage="0" showErrorMessage="1" allowBlank="1" errorTitle="Fora da lista" error="Tipo de ação: escolha um valor da lista. A planilha pode não reconhecer outro valor." type="list" errorStyle="warning">
      <formula1>'Dados'!$BJ$6:$BJ$10</formula1>
    </dataValidation>
    <dataValidation sqref="E126" showDropDown="0" showInputMessage="0" showErrorMessage="1" allowBlank="1" errorTitle="Texto longo" error="Nome da ação: até 40 caracteres." type="textLength" errorStyle="warning" operator="lessThanOrEqual">
      <formula1>40</formula1>
    </dataValidation>
    <dataValidation sqref="G126" showDropDown="0" showInputMessage="0" showErrorMessage="1" allowBlank="1" errorTitle="Fora da lista" error="Alcance: escolha um valor da lista. A planilha pode não reconhecer outro valor." type="list" errorStyle="warning">
      <formula1>'Dados'!$BK$6:$BK$10</formula1>
    </dataValidation>
    <dataValidation sqref="H126" showDropDown="0" showInputMessage="0" showErrorMessage="1" allowBlank="1" errorTitle="Fora da lista" error="Elemento: escolha um valor da lista. A planilha pode não reconhecer outro valor." type="list" errorStyle="warning">
      <formula1>'Dados'!$AN$6:$AN$12</formula1>
    </dataValidation>
    <dataValidation sqref="I126" showDropDown="0" showInputMessage="0" showErrorMessage="1" allowBlank="1" errorTitle="Valor fora da faixa" error="Recarga: use um número inteiro de 2 a 3." type="whole" errorStyle="warning" operator="between">
      <formula1>2</formula1>
      <formula2>3</formula2>
    </dataValidation>
    <dataValidation sqref="J126" showDropDown="0" showInputMessage="0" showErrorMessage="1" allowBlank="1" errorTitle="Valor fora da faixa" error="Duração: use um número inteiro de 1 a 5." type="whole" errorStyle="warning" operator="between">
      <formula1>1</formula1>
      <formula2>5</formula2>
    </dataValidation>
    <dataValidation sqref="A127" showDropDown="0" showInputMessage="0" showErrorMessage="1" allowBlank="1" errorTitle="Fora da lista" error="Inimigo: escolha um valor da lista. A planilha pode não reconhecer outro valor." type="list" errorStyle="warning">
      <formula1>'Inimigos'!$A$11:$A$22</formula1>
    </dataValidation>
    <dataValidation sqref="C127" showDropDown="0" showInputMessage="0" showErrorMessage="1" allowBlank="1" errorTitle="Fora da lista" error="Tipo de ação: escolha um valor da lista. A planilha pode não reconhecer outro valor." type="list" errorStyle="warning">
      <formula1>'Dados'!$BJ$6:$BJ$10</formula1>
    </dataValidation>
    <dataValidation sqref="E127" showDropDown="0" showInputMessage="0" showErrorMessage="1" allowBlank="1" errorTitle="Texto longo" error="Nome da ação: até 40 caracteres." type="textLength" errorStyle="warning" operator="lessThanOrEqual">
      <formula1>40</formula1>
    </dataValidation>
    <dataValidation sqref="G127" showDropDown="0" showInputMessage="0" showErrorMessage="1" allowBlank="1" errorTitle="Fora da lista" error="Alcance: escolha um valor da lista. A planilha pode não reconhecer outro valor." type="list" errorStyle="warning">
      <formula1>'Dados'!$BK$6:$BK$10</formula1>
    </dataValidation>
    <dataValidation sqref="H127" showDropDown="0" showInputMessage="0" showErrorMessage="1" allowBlank="1" errorTitle="Fora da lista" error="Elemento: escolha um valor da lista. A planilha pode não reconhecer outro valor." type="list" errorStyle="warning">
      <formula1>'Dados'!$AN$6:$AN$12</formula1>
    </dataValidation>
    <dataValidation sqref="I127" showDropDown="0" showInputMessage="0" showErrorMessage="1" allowBlank="1" errorTitle="Valor fora da faixa" error="Recarga: use um número inteiro de 2 a 3." type="whole" errorStyle="warning" operator="between">
      <formula1>2</formula1>
      <formula2>3</formula2>
    </dataValidation>
    <dataValidation sqref="J127" showDropDown="0" showInputMessage="0" showErrorMessage="1" allowBlank="1" errorTitle="Valor fora da faixa" error="Duração: use um número inteiro de 1 a 5." type="whole" errorStyle="warning" operator="between">
      <formula1>1</formula1>
      <formula2>5</formula2>
    </dataValidation>
    <dataValidation sqref="A129" showDropDown="0" showInputMessage="0" showErrorMessage="1" allowBlank="1" errorTitle="Fora da lista" error="Inimigo: escolha um valor da lista. A planilha pode não reconhecer outro valor." type="list" errorStyle="warning">
      <formula1>'Inimigos'!$A$11:$A$22</formula1>
    </dataValidation>
    <dataValidation sqref="C129" showDropDown="0" showInputMessage="0" showErrorMessage="1" allowBlank="1" errorTitle="Fora da lista" error="Tipo de ação: escolha um valor da lista. A planilha pode não reconhecer outro valor." type="list" errorStyle="warning">
      <formula1>'Dados'!$BJ$6:$BJ$10</formula1>
    </dataValidation>
    <dataValidation sqref="E129" showDropDown="0" showInputMessage="0" showErrorMessage="1" allowBlank="1" errorTitle="Texto longo" error="Nome da ação: até 40 caracteres." type="textLength" errorStyle="warning" operator="lessThanOrEqual">
      <formula1>40</formula1>
    </dataValidation>
    <dataValidation sqref="G129" showDropDown="0" showInputMessage="0" showErrorMessage="1" allowBlank="1" errorTitle="Fora da lista" error="Alcance: escolha um valor da lista. A planilha pode não reconhecer outro valor." type="list" errorStyle="warning">
      <formula1>'Dados'!$BK$6:$BK$10</formula1>
    </dataValidation>
    <dataValidation sqref="H129" showDropDown="0" showInputMessage="0" showErrorMessage="1" allowBlank="1" errorTitle="Fora da lista" error="Elemento: escolha um valor da lista. A planilha pode não reconhecer outro valor." type="list" errorStyle="warning">
      <formula1>'Dados'!$AN$6:$AN$12</formula1>
    </dataValidation>
    <dataValidation sqref="I129" showDropDown="0" showInputMessage="0" showErrorMessage="1" allowBlank="1" errorTitle="Valor fora da faixa" error="Recarga: use um número inteiro de 2 a 3." type="whole" errorStyle="warning" operator="between">
      <formula1>2</formula1>
      <formula2>3</formula2>
    </dataValidation>
    <dataValidation sqref="J129" showDropDown="0" showInputMessage="0" showErrorMessage="1" allowBlank="1" errorTitle="Valor fora da faixa" error="Duração: use um número inteiro de 1 a 5." type="whole" errorStyle="warning" operator="between">
      <formula1>1</formula1>
      <formula2>5</formula2>
    </dataValidation>
    <dataValidation sqref="A130" showDropDown="0" showInputMessage="0" showErrorMessage="1" allowBlank="1" errorTitle="Fora da lista" error="Inimigo: escolha um valor da lista. A planilha pode não reconhecer outro valor." type="list" errorStyle="warning">
      <formula1>'Inimigos'!$A$11:$A$22</formula1>
    </dataValidation>
    <dataValidation sqref="C130" showDropDown="0" showInputMessage="0" showErrorMessage="1" allowBlank="1" errorTitle="Fora da lista" error="Tipo de ação: escolha um valor da lista. A planilha pode não reconhecer outro valor." type="list" errorStyle="warning">
      <formula1>'Dados'!$BJ$6:$BJ$10</formula1>
    </dataValidation>
    <dataValidation sqref="E130" showDropDown="0" showInputMessage="0" showErrorMessage="1" allowBlank="1" errorTitle="Texto longo" error="Nome da ação: até 40 caracteres." type="textLength" errorStyle="warning" operator="lessThanOrEqual">
      <formula1>40</formula1>
    </dataValidation>
    <dataValidation sqref="G130" showDropDown="0" showInputMessage="0" showErrorMessage="1" allowBlank="1" errorTitle="Fora da lista" error="Alcance: escolha um valor da lista. A planilha pode não reconhecer outro valor." type="list" errorStyle="warning">
      <formula1>'Dados'!$BK$6:$BK$10</formula1>
    </dataValidation>
    <dataValidation sqref="H130" showDropDown="0" showInputMessage="0" showErrorMessage="1" allowBlank="1" errorTitle="Fora da lista" error="Elemento: escolha um valor da lista. A planilha pode não reconhecer outro valor." type="list" errorStyle="warning">
      <formula1>'Dados'!$AN$6:$AN$12</formula1>
    </dataValidation>
    <dataValidation sqref="I130" showDropDown="0" showInputMessage="0" showErrorMessage="1" allowBlank="1" errorTitle="Valor fora da faixa" error="Recarga: use um número inteiro de 2 a 3." type="whole" errorStyle="warning" operator="between">
      <formula1>2</formula1>
      <formula2>3</formula2>
    </dataValidation>
    <dataValidation sqref="J130" showDropDown="0" showInputMessage="0" showErrorMessage="1" allowBlank="1" errorTitle="Valor fora da faixa" error="Duração: use um número inteiro de 1 a 5." type="whole" errorStyle="warning" operator="between">
      <formula1>1</formula1>
      <formula2>5</formula2>
    </dataValidation>
    <dataValidation sqref="A131" showDropDown="0" showInputMessage="0" showErrorMessage="1" allowBlank="1" errorTitle="Fora da lista" error="Inimigo: escolha um valor da lista. A planilha pode não reconhecer outro valor." type="list" errorStyle="warning">
      <formula1>'Inimigos'!$A$11:$A$22</formula1>
    </dataValidation>
    <dataValidation sqref="C131" showDropDown="0" showInputMessage="0" showErrorMessage="1" allowBlank="1" errorTitle="Fora da lista" error="Tipo de ação: escolha um valor da lista. A planilha pode não reconhecer outro valor." type="list" errorStyle="warning">
      <formula1>'Dados'!$BJ$6:$BJ$10</formula1>
    </dataValidation>
    <dataValidation sqref="E131" showDropDown="0" showInputMessage="0" showErrorMessage="1" allowBlank="1" errorTitle="Texto longo" error="Nome da ação: até 40 caracteres." type="textLength" errorStyle="warning" operator="lessThanOrEqual">
      <formula1>40</formula1>
    </dataValidation>
    <dataValidation sqref="G131" showDropDown="0" showInputMessage="0" showErrorMessage="1" allowBlank="1" errorTitle="Fora da lista" error="Alcance: escolha um valor da lista. A planilha pode não reconhecer outro valor." type="list" errorStyle="warning">
      <formula1>'Dados'!$BK$6:$BK$10</formula1>
    </dataValidation>
    <dataValidation sqref="H131" showDropDown="0" showInputMessage="0" showErrorMessage="1" allowBlank="1" errorTitle="Fora da lista" error="Elemento: escolha um valor da lista. A planilha pode não reconhecer outro valor." type="list" errorStyle="warning">
      <formula1>'Dados'!$AN$6:$AN$12</formula1>
    </dataValidation>
    <dataValidation sqref="I131" showDropDown="0" showInputMessage="0" showErrorMessage="1" allowBlank="1" errorTitle="Valor fora da faixa" error="Recarga: use um número inteiro de 2 a 3." type="whole" errorStyle="warning" operator="between">
      <formula1>2</formula1>
      <formula2>3</formula2>
    </dataValidation>
    <dataValidation sqref="J131" showDropDown="0" showInputMessage="0" showErrorMessage="1" allowBlank="1" errorTitle="Valor fora da faixa" error="Duração: use um número inteiro de 1 a 5." type="whole" errorStyle="warning" operator="between">
      <formula1>1</formula1>
      <formula2>5</formula2>
    </dataValidation>
    <dataValidation sqref="A132" showDropDown="0" showInputMessage="0" showErrorMessage="1" allowBlank="1" errorTitle="Fora da lista" error="Inimigo: escolha um valor da lista. A planilha pode não reconhecer outro valor." type="list" errorStyle="warning">
      <formula1>'Inimigos'!$A$11:$A$22</formula1>
    </dataValidation>
    <dataValidation sqref="C132" showDropDown="0" showInputMessage="0" showErrorMessage="1" allowBlank="1" errorTitle="Fora da lista" error="Tipo de ação: escolha um valor da lista. A planilha pode não reconhecer outro valor." type="list" errorStyle="warning">
      <formula1>'Dados'!$BJ$6:$BJ$10</formula1>
    </dataValidation>
    <dataValidation sqref="E132" showDropDown="0" showInputMessage="0" showErrorMessage="1" allowBlank="1" errorTitle="Texto longo" error="Nome da ação: até 40 caracteres." type="textLength" errorStyle="warning" operator="lessThanOrEqual">
      <formula1>40</formula1>
    </dataValidation>
    <dataValidation sqref="G132" showDropDown="0" showInputMessage="0" showErrorMessage="1" allowBlank="1" errorTitle="Fora da lista" error="Alcance: escolha um valor da lista. A planilha pode não reconhecer outro valor." type="list" errorStyle="warning">
      <formula1>'Dados'!$BK$6:$BK$10</formula1>
    </dataValidation>
    <dataValidation sqref="H132" showDropDown="0" showInputMessage="0" showErrorMessage="1" allowBlank="1" errorTitle="Fora da lista" error="Elemento: escolha um valor da lista. A planilha pode não reconhecer outro valor." type="list" errorStyle="warning">
      <formula1>'Dados'!$AN$6:$AN$12</formula1>
    </dataValidation>
    <dataValidation sqref="I132" showDropDown="0" showInputMessage="0" showErrorMessage="1" allowBlank="1" errorTitle="Valor fora da faixa" error="Recarga: use um número inteiro de 2 a 3." type="whole" errorStyle="warning" operator="between">
      <formula1>2</formula1>
      <formula2>3</formula2>
    </dataValidation>
    <dataValidation sqref="J132" showDropDown="0" showInputMessage="0" showErrorMessage="1" allowBlank="1" errorTitle="Valor fora da faixa" error="Duração: use um número inteiro de 1 a 5." type="whole" errorStyle="warning" operator="between">
      <formula1>1</formula1>
      <formula2>5</formula2>
    </dataValidation>
    <dataValidation sqref="A133" showDropDown="0" showInputMessage="0" showErrorMessage="1" allowBlank="1" errorTitle="Fora da lista" error="Inimigo: escolha um valor da lista. A planilha pode não reconhecer outro valor." type="list" errorStyle="warning">
      <formula1>'Inimigos'!$A$11:$A$22</formula1>
    </dataValidation>
    <dataValidation sqref="C133" showDropDown="0" showInputMessage="0" showErrorMessage="1" allowBlank="1" errorTitle="Fora da lista" error="Tipo de ação: escolha um valor da lista. A planilha pode não reconhecer outro valor." type="list" errorStyle="warning">
      <formula1>'Dados'!$BJ$6:$BJ$10</formula1>
    </dataValidation>
    <dataValidation sqref="E133" showDropDown="0" showInputMessage="0" showErrorMessage="1" allowBlank="1" errorTitle="Texto longo" error="Nome da ação: até 40 caracteres." type="textLength" errorStyle="warning" operator="lessThanOrEqual">
      <formula1>40</formula1>
    </dataValidation>
    <dataValidation sqref="G133" showDropDown="0" showInputMessage="0" showErrorMessage="1" allowBlank="1" errorTitle="Fora da lista" error="Alcance: escolha um valor da lista. A planilha pode não reconhecer outro valor." type="list" errorStyle="warning">
      <formula1>'Dados'!$BK$6:$BK$10</formula1>
    </dataValidation>
    <dataValidation sqref="H133" showDropDown="0" showInputMessage="0" showErrorMessage="1" allowBlank="1" errorTitle="Fora da lista" error="Elemento: escolha um valor da lista. A planilha pode não reconhecer outro valor." type="list" errorStyle="warning">
      <formula1>'Dados'!$AN$6:$AN$12</formula1>
    </dataValidation>
    <dataValidation sqref="I133" showDropDown="0" showInputMessage="0" showErrorMessage="1" allowBlank="1" errorTitle="Valor fora da faixa" error="Recarga: use um número inteiro de 2 a 3." type="whole" errorStyle="warning" operator="between">
      <formula1>2</formula1>
      <formula2>3</formula2>
    </dataValidation>
    <dataValidation sqref="J133" showDropDown="0" showInputMessage="0" showErrorMessage="1" allowBlank="1" errorTitle="Valor fora da faixa" error="Duração: use um número inteiro de 1 a 5." type="whole" errorStyle="warning" operator="between">
      <formula1>1</formula1>
      <formula2>5</formula2>
    </dataValidation>
    <dataValidation sqref="A134" showDropDown="0" showInputMessage="0" showErrorMessage="1" allowBlank="1" errorTitle="Fora da lista" error="Inimigo: escolha um valor da lista. A planilha pode não reconhecer outro valor." type="list" errorStyle="warning">
      <formula1>'Inimigos'!$A$11:$A$22</formula1>
    </dataValidation>
    <dataValidation sqref="C134" showDropDown="0" showInputMessage="0" showErrorMessage="1" allowBlank="1" errorTitle="Fora da lista" error="Tipo de ação: escolha um valor da lista. A planilha pode não reconhecer outro valor." type="list" errorStyle="warning">
      <formula1>'Dados'!$BJ$6:$BJ$10</formula1>
    </dataValidation>
    <dataValidation sqref="E134" showDropDown="0" showInputMessage="0" showErrorMessage="1" allowBlank="1" errorTitle="Texto longo" error="Nome da ação: até 40 caracteres." type="textLength" errorStyle="warning" operator="lessThanOrEqual">
      <formula1>40</formula1>
    </dataValidation>
    <dataValidation sqref="G134" showDropDown="0" showInputMessage="0" showErrorMessage="1" allowBlank="1" errorTitle="Fora da lista" error="Alcance: escolha um valor da lista. A planilha pode não reconhecer outro valor." type="list" errorStyle="warning">
      <formula1>'Dados'!$BK$6:$BK$10</formula1>
    </dataValidation>
    <dataValidation sqref="H134" showDropDown="0" showInputMessage="0" showErrorMessage="1" allowBlank="1" errorTitle="Fora da lista" error="Elemento: escolha um valor da lista. A planilha pode não reconhecer outro valor." type="list" errorStyle="warning">
      <formula1>'Dados'!$AN$6:$AN$12</formula1>
    </dataValidation>
    <dataValidation sqref="I134" showDropDown="0" showInputMessage="0" showErrorMessage="1" allowBlank="1" errorTitle="Valor fora da faixa" error="Recarga: use um número inteiro de 2 a 3." type="whole" errorStyle="warning" operator="between">
      <formula1>2</formula1>
      <formula2>3</formula2>
    </dataValidation>
    <dataValidation sqref="J134" showDropDown="0" showInputMessage="0" showErrorMessage="1" allowBlank="1" errorTitle="Valor fora da faixa" error="Duração: use um número inteiro de 1 a 5." type="whole" errorStyle="warning" operator="between">
      <formula1>1</formula1>
      <formula2>5</formula2>
    </dataValidation>
    <dataValidation sqref="A135" showDropDown="0" showInputMessage="0" showErrorMessage="1" allowBlank="1" errorTitle="Fora da lista" error="Inimigo: escolha um valor da lista. A planilha pode não reconhecer outro valor." type="list" errorStyle="warning">
      <formula1>'Inimigos'!$A$11:$A$22</formula1>
    </dataValidation>
    <dataValidation sqref="C135" showDropDown="0" showInputMessage="0" showErrorMessage="1" allowBlank="1" errorTitle="Fora da lista" error="Tipo de ação: escolha um valor da lista. A planilha pode não reconhecer outro valor." type="list" errorStyle="warning">
      <formula1>'Dados'!$BJ$6:$BJ$10</formula1>
    </dataValidation>
    <dataValidation sqref="E135" showDropDown="0" showInputMessage="0" showErrorMessage="1" allowBlank="1" errorTitle="Texto longo" error="Nome da ação: até 40 caracteres." type="textLength" errorStyle="warning" operator="lessThanOrEqual">
      <formula1>40</formula1>
    </dataValidation>
    <dataValidation sqref="G135" showDropDown="0" showInputMessage="0" showErrorMessage="1" allowBlank="1" errorTitle="Fora da lista" error="Alcance: escolha um valor da lista. A planilha pode não reconhecer outro valor." type="list" errorStyle="warning">
      <formula1>'Dados'!$BK$6:$BK$10</formula1>
    </dataValidation>
    <dataValidation sqref="H135" showDropDown="0" showInputMessage="0" showErrorMessage="1" allowBlank="1" errorTitle="Fora da lista" error="Elemento: escolha um valor da lista. A planilha pode não reconhecer outro valor." type="list" errorStyle="warning">
      <formula1>'Dados'!$AN$6:$AN$12</formula1>
    </dataValidation>
    <dataValidation sqref="I135" showDropDown="0" showInputMessage="0" showErrorMessage="1" allowBlank="1" errorTitle="Valor fora da faixa" error="Recarga: use um número inteiro de 2 a 3." type="whole" errorStyle="warning" operator="between">
      <formula1>2</formula1>
      <formula2>3</formula2>
    </dataValidation>
    <dataValidation sqref="J135" showDropDown="0" showInputMessage="0" showErrorMessage="1" allowBlank="1" errorTitle="Valor fora da faixa" error="Duração: use um número inteiro de 1 a 5." type="whole" errorStyle="warning" operator="between">
      <formula1>1</formula1>
      <formula2>5</formula2>
    </dataValidation>
    <dataValidation sqref="A136" showDropDown="0" showInputMessage="0" showErrorMessage="1" allowBlank="1" errorTitle="Fora da lista" error="Inimigo: escolha um valor da lista. A planilha pode não reconhecer outro valor." type="list" errorStyle="warning">
      <formula1>'Inimigos'!$A$11:$A$22</formula1>
    </dataValidation>
    <dataValidation sqref="C136" showDropDown="0" showInputMessage="0" showErrorMessage="1" allowBlank="1" errorTitle="Fora da lista" error="Tipo de ação: escolha um valor da lista. A planilha pode não reconhecer outro valor." type="list" errorStyle="warning">
      <formula1>'Dados'!$BJ$6:$BJ$10</formula1>
    </dataValidation>
    <dataValidation sqref="E136" showDropDown="0" showInputMessage="0" showErrorMessage="1" allowBlank="1" errorTitle="Texto longo" error="Nome da ação: até 40 caracteres." type="textLength" errorStyle="warning" operator="lessThanOrEqual">
      <formula1>40</formula1>
    </dataValidation>
    <dataValidation sqref="G136" showDropDown="0" showInputMessage="0" showErrorMessage="1" allowBlank="1" errorTitle="Fora da lista" error="Alcance: escolha um valor da lista. A planilha pode não reconhecer outro valor." type="list" errorStyle="warning">
      <formula1>'Dados'!$BK$6:$BK$10</formula1>
    </dataValidation>
    <dataValidation sqref="H136" showDropDown="0" showInputMessage="0" showErrorMessage="1" allowBlank="1" errorTitle="Fora da lista" error="Elemento: escolha um valor da lista. A planilha pode não reconhecer outro valor." type="list" errorStyle="warning">
      <formula1>'Dados'!$AN$6:$AN$12</formula1>
    </dataValidation>
    <dataValidation sqref="I136" showDropDown="0" showInputMessage="0" showErrorMessage="1" allowBlank="1" errorTitle="Valor fora da faixa" error="Recarga: use um número inteiro de 2 a 3." type="whole" errorStyle="warning" operator="between">
      <formula1>2</formula1>
      <formula2>3</formula2>
    </dataValidation>
    <dataValidation sqref="J136" showDropDown="0" showInputMessage="0" showErrorMessage="1" allowBlank="1" errorTitle="Valor fora da faixa" error="Duração: use um número inteiro de 1 a 5." type="whole" errorStyle="warning" operator="between">
      <formula1>1</formula1>
      <formula2>5</formula2>
    </dataValidation>
    <dataValidation sqref="A137" showDropDown="0" showInputMessage="0" showErrorMessage="1" allowBlank="1" errorTitle="Fora da lista" error="Inimigo: escolha um valor da lista. A planilha pode não reconhecer outro valor." type="list" errorStyle="warning">
      <formula1>'Inimigos'!$A$11:$A$22</formula1>
    </dataValidation>
    <dataValidation sqref="C137" showDropDown="0" showInputMessage="0" showErrorMessage="1" allowBlank="1" errorTitle="Fora da lista" error="Tipo de ação: escolha um valor da lista. A planilha pode não reconhecer outro valor." type="list" errorStyle="warning">
      <formula1>'Dados'!$BJ$6:$BJ$10</formula1>
    </dataValidation>
    <dataValidation sqref="E137" showDropDown="0" showInputMessage="0" showErrorMessage="1" allowBlank="1" errorTitle="Texto longo" error="Nome da ação: até 40 caracteres." type="textLength" errorStyle="warning" operator="lessThanOrEqual">
      <formula1>40</formula1>
    </dataValidation>
    <dataValidation sqref="G137" showDropDown="0" showInputMessage="0" showErrorMessage="1" allowBlank="1" errorTitle="Fora da lista" error="Alcance: escolha um valor da lista. A planilha pode não reconhecer outro valor." type="list" errorStyle="warning">
      <formula1>'Dados'!$BK$6:$BK$10</formula1>
    </dataValidation>
    <dataValidation sqref="H137" showDropDown="0" showInputMessage="0" showErrorMessage="1" allowBlank="1" errorTitle="Fora da lista" error="Elemento: escolha um valor da lista. A planilha pode não reconhecer outro valor." type="list" errorStyle="warning">
      <formula1>'Dados'!$AN$6:$AN$12</formula1>
    </dataValidation>
    <dataValidation sqref="I137" showDropDown="0" showInputMessage="0" showErrorMessage="1" allowBlank="1" errorTitle="Valor fora da faixa" error="Recarga: use um número inteiro de 2 a 3." type="whole" errorStyle="warning" operator="between">
      <formula1>2</formula1>
      <formula2>3</formula2>
    </dataValidation>
    <dataValidation sqref="J137" showDropDown="0" showInputMessage="0" showErrorMessage="1" allowBlank="1" errorTitle="Valor fora da faixa" error="Duração: use um número inteiro de 1 a 5." type="whole" errorStyle="warning" operator="between">
      <formula1>1</formula1>
      <formula2>5</formula2>
    </dataValidation>
    <dataValidation sqref="A138" showDropDown="0" showInputMessage="0" showErrorMessage="1" allowBlank="1" errorTitle="Fora da lista" error="Inimigo: escolha um valor da lista. A planilha pode não reconhecer outro valor." type="list" errorStyle="warning">
      <formula1>'Inimigos'!$A$11:$A$22</formula1>
    </dataValidation>
    <dataValidation sqref="C138" showDropDown="0" showInputMessage="0" showErrorMessage="1" allowBlank="1" errorTitle="Fora da lista" error="Tipo de ação: escolha um valor da lista. A planilha pode não reconhecer outro valor." type="list" errorStyle="warning">
      <formula1>'Dados'!$BJ$6:$BJ$10</formula1>
    </dataValidation>
    <dataValidation sqref="E138" showDropDown="0" showInputMessage="0" showErrorMessage="1" allowBlank="1" errorTitle="Texto longo" error="Nome da ação: até 40 caracteres." type="textLength" errorStyle="warning" operator="lessThanOrEqual">
      <formula1>40</formula1>
    </dataValidation>
    <dataValidation sqref="G138" showDropDown="0" showInputMessage="0" showErrorMessage="1" allowBlank="1" errorTitle="Fora da lista" error="Alcance: escolha um valor da lista. A planilha pode não reconhecer outro valor." type="list" errorStyle="warning">
      <formula1>'Dados'!$BK$6:$BK$10</formula1>
    </dataValidation>
    <dataValidation sqref="H138" showDropDown="0" showInputMessage="0" showErrorMessage="1" allowBlank="1" errorTitle="Fora da lista" error="Elemento: escolha um valor da lista. A planilha pode não reconhecer outro valor." type="list" errorStyle="warning">
      <formula1>'Dados'!$AN$6:$AN$12</formula1>
    </dataValidation>
    <dataValidation sqref="I138" showDropDown="0" showInputMessage="0" showErrorMessage="1" allowBlank="1" errorTitle="Valor fora da faixa" error="Recarga: use um número inteiro de 2 a 3." type="whole" errorStyle="warning" operator="between">
      <formula1>2</formula1>
      <formula2>3</formula2>
    </dataValidation>
    <dataValidation sqref="J138" showDropDown="0" showInputMessage="0" showErrorMessage="1" allowBlank="1" errorTitle="Valor fora da faixa" error="Duração: use um número inteiro de 1 a 5." type="whole" errorStyle="warning" operator="between">
      <formula1>1</formula1>
      <formula2>5</formula2>
    </dataValidation>
    <dataValidation sqref="A139" showDropDown="0" showInputMessage="0" showErrorMessage="1" allowBlank="1" errorTitle="Fora da lista" error="Inimigo: escolha um valor da lista. A planilha pode não reconhecer outro valor." type="list" errorStyle="warning">
      <formula1>'Inimigos'!$A$11:$A$22</formula1>
    </dataValidation>
    <dataValidation sqref="C139" showDropDown="0" showInputMessage="0" showErrorMessage="1" allowBlank="1" errorTitle="Fora da lista" error="Tipo de ação: escolha um valor da lista. A planilha pode não reconhecer outro valor." type="list" errorStyle="warning">
      <formula1>'Dados'!$BJ$6:$BJ$10</formula1>
    </dataValidation>
    <dataValidation sqref="E139" showDropDown="0" showInputMessage="0" showErrorMessage="1" allowBlank="1" errorTitle="Texto longo" error="Nome da ação: até 40 caracteres." type="textLength" errorStyle="warning" operator="lessThanOrEqual">
      <formula1>40</formula1>
    </dataValidation>
    <dataValidation sqref="G139" showDropDown="0" showInputMessage="0" showErrorMessage="1" allowBlank="1" errorTitle="Fora da lista" error="Alcance: escolha um valor da lista. A planilha pode não reconhecer outro valor." type="list" errorStyle="warning">
      <formula1>'Dados'!$BK$6:$BK$10</formula1>
    </dataValidation>
    <dataValidation sqref="H139" showDropDown="0" showInputMessage="0" showErrorMessage="1" allowBlank="1" errorTitle="Fora da lista" error="Elemento: escolha um valor da lista. A planilha pode não reconhecer outro valor." type="list" errorStyle="warning">
      <formula1>'Dados'!$AN$6:$AN$12</formula1>
    </dataValidation>
    <dataValidation sqref="I139" showDropDown="0" showInputMessage="0" showErrorMessage="1" allowBlank="1" errorTitle="Valor fora da faixa" error="Recarga: use um número inteiro de 2 a 3." type="whole" errorStyle="warning" operator="between">
      <formula1>2</formula1>
      <formula2>3</formula2>
    </dataValidation>
    <dataValidation sqref="J139" showDropDown="0" showInputMessage="0" showErrorMessage="1" allowBlank="1" errorTitle="Valor fora da faixa" error="Duração: use um número inteiro de 1 a 5." type="whole" errorStyle="warning" operator="between">
      <formula1>1</formula1>
      <formula2>5</formula2>
    </dataValidation>
    <dataValidation sqref="A140" showDropDown="0" showInputMessage="0" showErrorMessage="1" allowBlank="1" errorTitle="Fora da lista" error="Inimigo: escolha um valor da lista. A planilha pode não reconhecer outro valor." type="list" errorStyle="warning">
      <formula1>'Inimigos'!$A$11:$A$22</formula1>
    </dataValidation>
    <dataValidation sqref="C140" showDropDown="0" showInputMessage="0" showErrorMessage="1" allowBlank="1" errorTitle="Fora da lista" error="Tipo de ação: escolha um valor da lista. A planilha pode não reconhecer outro valor." type="list" errorStyle="warning">
      <formula1>'Dados'!$BJ$6:$BJ$10</formula1>
    </dataValidation>
    <dataValidation sqref="E140" showDropDown="0" showInputMessage="0" showErrorMessage="1" allowBlank="1" errorTitle="Texto longo" error="Nome da ação: até 40 caracteres." type="textLength" errorStyle="warning" operator="lessThanOrEqual">
      <formula1>40</formula1>
    </dataValidation>
    <dataValidation sqref="G140" showDropDown="0" showInputMessage="0" showErrorMessage="1" allowBlank="1" errorTitle="Fora da lista" error="Alcance: escolha um valor da lista. A planilha pode não reconhecer outro valor." type="list" errorStyle="warning">
      <formula1>'Dados'!$BK$6:$BK$10</formula1>
    </dataValidation>
    <dataValidation sqref="H140" showDropDown="0" showInputMessage="0" showErrorMessage="1" allowBlank="1" errorTitle="Fora da lista" error="Elemento: escolha um valor da lista. A planilha pode não reconhecer outro valor." type="list" errorStyle="warning">
      <formula1>'Dados'!$AN$6:$AN$12</formula1>
    </dataValidation>
    <dataValidation sqref="I140" showDropDown="0" showInputMessage="0" showErrorMessage="1" allowBlank="1" errorTitle="Valor fora da faixa" error="Recarga: use um número inteiro de 2 a 3." type="whole" errorStyle="warning" operator="between">
      <formula1>2</formula1>
      <formula2>3</formula2>
    </dataValidation>
    <dataValidation sqref="J140" showDropDown="0" showInputMessage="0" showErrorMessage="1" allowBlank="1" errorTitle="Valor fora da faixa" error="Duração: use um número inteiro de 1 a 5." type="whole" errorStyle="warning" operator="between">
      <formula1>1</formula1>
      <formula2>5</formula2>
    </dataValidation>
    <dataValidation sqref="A142" showDropDown="0" showInputMessage="0" showErrorMessage="1" allowBlank="1" errorTitle="Fora da lista" error="Inimigo: escolha um valor da lista. A planilha pode não reconhecer outro valor." type="list" errorStyle="warning">
      <formula1>'Inimigos'!$A$11:$A$22</formula1>
    </dataValidation>
    <dataValidation sqref="C142" showDropDown="0" showInputMessage="0" showErrorMessage="1" allowBlank="1" errorTitle="Fora da lista" error="Tipo de ação: escolha um valor da lista. A planilha pode não reconhecer outro valor." type="list" errorStyle="warning">
      <formula1>'Dados'!$BJ$6:$BJ$10</formula1>
    </dataValidation>
    <dataValidation sqref="E142" showDropDown="0" showInputMessage="0" showErrorMessage="1" allowBlank="1" errorTitle="Texto longo" error="Nome da ação: até 40 caracteres." type="textLength" errorStyle="warning" operator="lessThanOrEqual">
      <formula1>40</formula1>
    </dataValidation>
    <dataValidation sqref="G142" showDropDown="0" showInputMessage="0" showErrorMessage="1" allowBlank="1" errorTitle="Fora da lista" error="Alcance: escolha um valor da lista. A planilha pode não reconhecer outro valor." type="list" errorStyle="warning">
      <formula1>'Dados'!$BK$6:$BK$10</formula1>
    </dataValidation>
    <dataValidation sqref="H142" showDropDown="0" showInputMessage="0" showErrorMessage="1" allowBlank="1" errorTitle="Fora da lista" error="Elemento: escolha um valor da lista. A planilha pode não reconhecer outro valor." type="list" errorStyle="warning">
      <formula1>'Dados'!$AN$6:$AN$12</formula1>
    </dataValidation>
    <dataValidation sqref="I142" showDropDown="0" showInputMessage="0" showErrorMessage="1" allowBlank="1" errorTitle="Valor fora da faixa" error="Recarga: use um número inteiro de 2 a 3." type="whole" errorStyle="warning" operator="between">
      <formula1>2</formula1>
      <formula2>3</formula2>
    </dataValidation>
    <dataValidation sqref="J142" showDropDown="0" showInputMessage="0" showErrorMessage="1" allowBlank="1" errorTitle="Valor fora da faixa" error="Duração: use um número inteiro de 1 a 5." type="whole" errorStyle="warning" operator="between">
      <formula1>1</formula1>
      <formula2>5</formula2>
    </dataValidation>
    <dataValidation sqref="A143" showDropDown="0" showInputMessage="0" showErrorMessage="1" allowBlank="1" errorTitle="Fora da lista" error="Inimigo: escolha um valor da lista. A planilha pode não reconhecer outro valor." type="list" errorStyle="warning">
      <formula1>'Inimigos'!$A$11:$A$22</formula1>
    </dataValidation>
    <dataValidation sqref="C143" showDropDown="0" showInputMessage="0" showErrorMessage="1" allowBlank="1" errorTitle="Fora da lista" error="Tipo de ação: escolha um valor da lista. A planilha pode não reconhecer outro valor." type="list" errorStyle="warning">
      <formula1>'Dados'!$BJ$6:$BJ$10</formula1>
    </dataValidation>
    <dataValidation sqref="E143" showDropDown="0" showInputMessage="0" showErrorMessage="1" allowBlank="1" errorTitle="Texto longo" error="Nome da ação: até 40 caracteres." type="textLength" errorStyle="warning" operator="lessThanOrEqual">
      <formula1>40</formula1>
    </dataValidation>
    <dataValidation sqref="G143" showDropDown="0" showInputMessage="0" showErrorMessage="1" allowBlank="1" errorTitle="Fora da lista" error="Alcance: escolha um valor da lista. A planilha pode não reconhecer outro valor." type="list" errorStyle="warning">
      <formula1>'Dados'!$BK$6:$BK$10</formula1>
    </dataValidation>
    <dataValidation sqref="H143" showDropDown="0" showInputMessage="0" showErrorMessage="1" allowBlank="1" errorTitle="Fora da lista" error="Elemento: escolha um valor da lista. A planilha pode não reconhecer outro valor." type="list" errorStyle="warning">
      <formula1>'Dados'!$AN$6:$AN$12</formula1>
    </dataValidation>
    <dataValidation sqref="I143" showDropDown="0" showInputMessage="0" showErrorMessage="1" allowBlank="1" errorTitle="Valor fora da faixa" error="Recarga: use um número inteiro de 2 a 3." type="whole" errorStyle="warning" operator="between">
      <formula1>2</formula1>
      <formula2>3</formula2>
    </dataValidation>
    <dataValidation sqref="J143" showDropDown="0" showInputMessage="0" showErrorMessage="1" allowBlank="1" errorTitle="Valor fora da faixa" error="Duração: use um número inteiro de 1 a 5." type="whole" errorStyle="warning" operator="between">
      <formula1>1</formula1>
      <formula2>5</formula2>
    </dataValidation>
    <dataValidation sqref="A144" showDropDown="0" showInputMessage="0" showErrorMessage="1" allowBlank="1" errorTitle="Fora da lista" error="Inimigo: escolha um valor da lista. A planilha pode não reconhecer outro valor." type="list" errorStyle="warning">
      <formula1>'Inimigos'!$A$11:$A$22</formula1>
    </dataValidation>
    <dataValidation sqref="C144" showDropDown="0" showInputMessage="0" showErrorMessage="1" allowBlank="1" errorTitle="Fora da lista" error="Tipo de ação: escolha um valor da lista. A planilha pode não reconhecer outro valor." type="list" errorStyle="warning">
      <formula1>'Dados'!$BJ$6:$BJ$10</formula1>
    </dataValidation>
    <dataValidation sqref="E144" showDropDown="0" showInputMessage="0" showErrorMessage="1" allowBlank="1" errorTitle="Texto longo" error="Nome da ação: até 40 caracteres." type="textLength" errorStyle="warning" operator="lessThanOrEqual">
      <formula1>40</formula1>
    </dataValidation>
    <dataValidation sqref="G144" showDropDown="0" showInputMessage="0" showErrorMessage="1" allowBlank="1" errorTitle="Fora da lista" error="Alcance: escolha um valor da lista. A planilha pode não reconhecer outro valor." type="list" errorStyle="warning">
      <formula1>'Dados'!$BK$6:$BK$10</formula1>
    </dataValidation>
    <dataValidation sqref="H144" showDropDown="0" showInputMessage="0" showErrorMessage="1" allowBlank="1" errorTitle="Fora da lista" error="Elemento: escolha um valor da lista. A planilha pode não reconhecer outro valor." type="list" errorStyle="warning">
      <formula1>'Dados'!$AN$6:$AN$12</formula1>
    </dataValidation>
    <dataValidation sqref="I144" showDropDown="0" showInputMessage="0" showErrorMessage="1" allowBlank="1" errorTitle="Valor fora da faixa" error="Recarga: use um número inteiro de 2 a 3." type="whole" errorStyle="warning" operator="between">
      <formula1>2</formula1>
      <formula2>3</formula2>
    </dataValidation>
    <dataValidation sqref="J144" showDropDown="0" showInputMessage="0" showErrorMessage="1" allowBlank="1" errorTitle="Valor fora da faixa" error="Duração: use um número inteiro de 1 a 5." type="whole" errorStyle="warning" operator="between">
      <formula1>1</formula1>
      <formula2>5</formula2>
    </dataValidation>
    <dataValidation sqref="A145" showDropDown="0" showInputMessage="0" showErrorMessage="1" allowBlank="1" errorTitle="Fora da lista" error="Inimigo: escolha um valor da lista. A planilha pode não reconhecer outro valor." type="list" errorStyle="warning">
      <formula1>'Inimigos'!$A$11:$A$22</formula1>
    </dataValidation>
    <dataValidation sqref="C145" showDropDown="0" showInputMessage="0" showErrorMessage="1" allowBlank="1" errorTitle="Fora da lista" error="Tipo de ação: escolha um valor da lista. A planilha pode não reconhecer outro valor." type="list" errorStyle="warning">
      <formula1>'Dados'!$BJ$6:$BJ$10</formula1>
    </dataValidation>
    <dataValidation sqref="E145" showDropDown="0" showInputMessage="0" showErrorMessage="1" allowBlank="1" errorTitle="Texto longo" error="Nome da ação: até 40 caracteres." type="textLength" errorStyle="warning" operator="lessThanOrEqual">
      <formula1>40</formula1>
    </dataValidation>
    <dataValidation sqref="G145" showDropDown="0" showInputMessage="0" showErrorMessage="1" allowBlank="1" errorTitle="Fora da lista" error="Alcance: escolha um valor da lista. A planilha pode não reconhecer outro valor." type="list" errorStyle="warning">
      <formula1>'Dados'!$BK$6:$BK$10</formula1>
    </dataValidation>
    <dataValidation sqref="H145" showDropDown="0" showInputMessage="0" showErrorMessage="1" allowBlank="1" errorTitle="Fora da lista" error="Elemento: escolha um valor da lista. A planilha pode não reconhecer outro valor." type="list" errorStyle="warning">
      <formula1>'Dados'!$AN$6:$AN$12</formula1>
    </dataValidation>
    <dataValidation sqref="I145" showDropDown="0" showInputMessage="0" showErrorMessage="1" allowBlank="1" errorTitle="Valor fora da faixa" error="Recarga: use um número inteiro de 2 a 3." type="whole" errorStyle="warning" operator="between">
      <formula1>2</formula1>
      <formula2>3</formula2>
    </dataValidation>
    <dataValidation sqref="J145" showDropDown="0" showInputMessage="0" showErrorMessage="1" allowBlank="1" errorTitle="Valor fora da faixa" error="Duração: use um número inteiro de 1 a 5." type="whole" errorStyle="warning" operator="between">
      <formula1>1</formula1>
      <formula2>5</formula2>
    </dataValidation>
    <dataValidation sqref="A146" showDropDown="0" showInputMessage="0" showErrorMessage="1" allowBlank="1" errorTitle="Fora da lista" error="Inimigo: escolha um valor da lista. A planilha pode não reconhecer outro valor." type="list" errorStyle="warning">
      <formula1>'Inimigos'!$A$11:$A$22</formula1>
    </dataValidation>
    <dataValidation sqref="C146" showDropDown="0" showInputMessage="0" showErrorMessage="1" allowBlank="1" errorTitle="Fora da lista" error="Tipo de ação: escolha um valor da lista. A planilha pode não reconhecer outro valor." type="list" errorStyle="warning">
      <formula1>'Dados'!$BJ$6:$BJ$10</formula1>
    </dataValidation>
    <dataValidation sqref="E146" showDropDown="0" showInputMessage="0" showErrorMessage="1" allowBlank="1" errorTitle="Texto longo" error="Nome da ação: até 40 caracteres." type="textLength" errorStyle="warning" operator="lessThanOrEqual">
      <formula1>40</formula1>
    </dataValidation>
    <dataValidation sqref="G146" showDropDown="0" showInputMessage="0" showErrorMessage="1" allowBlank="1" errorTitle="Fora da lista" error="Alcance: escolha um valor da lista. A planilha pode não reconhecer outro valor." type="list" errorStyle="warning">
      <formula1>'Dados'!$BK$6:$BK$10</formula1>
    </dataValidation>
    <dataValidation sqref="H146" showDropDown="0" showInputMessage="0" showErrorMessage="1" allowBlank="1" errorTitle="Fora da lista" error="Elemento: escolha um valor da lista. A planilha pode não reconhecer outro valor." type="list" errorStyle="warning">
      <formula1>'Dados'!$AN$6:$AN$12</formula1>
    </dataValidation>
    <dataValidation sqref="I146" showDropDown="0" showInputMessage="0" showErrorMessage="1" allowBlank="1" errorTitle="Valor fora da faixa" error="Recarga: use um número inteiro de 2 a 3." type="whole" errorStyle="warning" operator="between">
      <formula1>2</formula1>
      <formula2>3</formula2>
    </dataValidation>
    <dataValidation sqref="J146" showDropDown="0" showInputMessage="0" showErrorMessage="1" allowBlank="1" errorTitle="Valor fora da faixa" error="Duração: use um número inteiro de 1 a 5." type="whole" errorStyle="warning" operator="between">
      <formula1>1</formula1>
      <formula2>5</formula2>
    </dataValidation>
    <dataValidation sqref="A147" showDropDown="0" showInputMessage="0" showErrorMessage="1" allowBlank="1" errorTitle="Fora da lista" error="Inimigo: escolha um valor da lista. A planilha pode não reconhecer outro valor." type="list" errorStyle="warning">
      <formula1>'Inimigos'!$A$11:$A$22</formula1>
    </dataValidation>
    <dataValidation sqref="C147" showDropDown="0" showInputMessage="0" showErrorMessage="1" allowBlank="1" errorTitle="Fora da lista" error="Tipo de ação: escolha um valor da lista. A planilha pode não reconhecer outro valor." type="list" errorStyle="warning">
      <formula1>'Dados'!$BJ$6:$BJ$10</formula1>
    </dataValidation>
    <dataValidation sqref="E147" showDropDown="0" showInputMessage="0" showErrorMessage="1" allowBlank="1" errorTitle="Texto longo" error="Nome da ação: até 40 caracteres." type="textLength" errorStyle="warning" operator="lessThanOrEqual">
      <formula1>40</formula1>
    </dataValidation>
    <dataValidation sqref="G147" showDropDown="0" showInputMessage="0" showErrorMessage="1" allowBlank="1" errorTitle="Fora da lista" error="Alcance: escolha um valor da lista. A planilha pode não reconhecer outro valor." type="list" errorStyle="warning">
      <formula1>'Dados'!$BK$6:$BK$10</formula1>
    </dataValidation>
    <dataValidation sqref="H147" showDropDown="0" showInputMessage="0" showErrorMessage="1" allowBlank="1" errorTitle="Fora da lista" error="Elemento: escolha um valor da lista. A planilha pode não reconhecer outro valor." type="list" errorStyle="warning">
      <formula1>'Dados'!$AN$6:$AN$12</formula1>
    </dataValidation>
    <dataValidation sqref="I147" showDropDown="0" showInputMessage="0" showErrorMessage="1" allowBlank="1" errorTitle="Valor fora da faixa" error="Recarga: use um número inteiro de 2 a 3." type="whole" errorStyle="warning" operator="between">
      <formula1>2</formula1>
      <formula2>3</formula2>
    </dataValidation>
    <dataValidation sqref="J147" showDropDown="0" showInputMessage="0" showErrorMessage="1" allowBlank="1" errorTitle="Valor fora da faixa" error="Duração: use um número inteiro de 1 a 5." type="whole" errorStyle="warning" operator="between">
      <formula1>1</formula1>
      <formula2>5</formula2>
    </dataValidation>
    <dataValidation sqref="A148" showDropDown="0" showInputMessage="0" showErrorMessage="1" allowBlank="1" errorTitle="Fora da lista" error="Inimigo: escolha um valor da lista. A planilha pode não reconhecer outro valor." type="list" errorStyle="warning">
      <formula1>'Inimigos'!$A$11:$A$22</formula1>
    </dataValidation>
    <dataValidation sqref="C148" showDropDown="0" showInputMessage="0" showErrorMessage="1" allowBlank="1" errorTitle="Fora da lista" error="Tipo de ação: escolha um valor da lista. A planilha pode não reconhecer outro valor." type="list" errorStyle="warning">
      <formula1>'Dados'!$BJ$6:$BJ$10</formula1>
    </dataValidation>
    <dataValidation sqref="E148" showDropDown="0" showInputMessage="0" showErrorMessage="1" allowBlank="1" errorTitle="Texto longo" error="Nome da ação: até 40 caracteres." type="textLength" errorStyle="warning" operator="lessThanOrEqual">
      <formula1>40</formula1>
    </dataValidation>
    <dataValidation sqref="G148" showDropDown="0" showInputMessage="0" showErrorMessage="1" allowBlank="1" errorTitle="Fora da lista" error="Alcance: escolha um valor da lista. A planilha pode não reconhecer outro valor." type="list" errorStyle="warning">
      <formula1>'Dados'!$BK$6:$BK$10</formula1>
    </dataValidation>
    <dataValidation sqref="H148" showDropDown="0" showInputMessage="0" showErrorMessage="1" allowBlank="1" errorTitle="Fora da lista" error="Elemento: escolha um valor da lista. A planilha pode não reconhecer outro valor." type="list" errorStyle="warning">
      <formula1>'Dados'!$AN$6:$AN$12</formula1>
    </dataValidation>
    <dataValidation sqref="I148" showDropDown="0" showInputMessage="0" showErrorMessage="1" allowBlank="1" errorTitle="Valor fora da faixa" error="Recarga: use um número inteiro de 2 a 3." type="whole" errorStyle="warning" operator="between">
      <formula1>2</formula1>
      <formula2>3</formula2>
    </dataValidation>
    <dataValidation sqref="J148" showDropDown="0" showInputMessage="0" showErrorMessage="1" allowBlank="1" errorTitle="Valor fora da faixa" error="Duração: use um número inteiro de 1 a 5." type="whole" errorStyle="warning" operator="between">
      <formula1>1</formula1>
      <formula2>5</formula2>
    </dataValidation>
    <dataValidation sqref="A149" showDropDown="0" showInputMessage="0" showErrorMessage="1" allowBlank="1" errorTitle="Fora da lista" error="Inimigo: escolha um valor da lista. A planilha pode não reconhecer outro valor." type="list" errorStyle="warning">
      <formula1>'Inimigos'!$A$11:$A$22</formula1>
    </dataValidation>
    <dataValidation sqref="C149" showDropDown="0" showInputMessage="0" showErrorMessage="1" allowBlank="1" errorTitle="Fora da lista" error="Tipo de ação: escolha um valor da lista. A planilha pode não reconhecer outro valor." type="list" errorStyle="warning">
      <formula1>'Dados'!$BJ$6:$BJ$10</formula1>
    </dataValidation>
    <dataValidation sqref="E149" showDropDown="0" showInputMessage="0" showErrorMessage="1" allowBlank="1" errorTitle="Texto longo" error="Nome da ação: até 40 caracteres." type="textLength" errorStyle="warning" operator="lessThanOrEqual">
      <formula1>40</formula1>
    </dataValidation>
    <dataValidation sqref="G149" showDropDown="0" showInputMessage="0" showErrorMessage="1" allowBlank="1" errorTitle="Fora da lista" error="Alcance: escolha um valor da lista. A planilha pode não reconhecer outro valor." type="list" errorStyle="warning">
      <formula1>'Dados'!$BK$6:$BK$10</formula1>
    </dataValidation>
    <dataValidation sqref="H149" showDropDown="0" showInputMessage="0" showErrorMessage="1" allowBlank="1" errorTitle="Fora da lista" error="Elemento: escolha um valor da lista. A planilha pode não reconhecer outro valor." type="list" errorStyle="warning">
      <formula1>'Dados'!$AN$6:$AN$12</formula1>
    </dataValidation>
    <dataValidation sqref="I149" showDropDown="0" showInputMessage="0" showErrorMessage="1" allowBlank="1" errorTitle="Valor fora da faixa" error="Recarga: use um número inteiro de 2 a 3." type="whole" errorStyle="warning" operator="between">
      <formula1>2</formula1>
      <formula2>3</formula2>
    </dataValidation>
    <dataValidation sqref="J149" showDropDown="0" showInputMessage="0" showErrorMessage="1" allowBlank="1" errorTitle="Valor fora da faixa" error="Duração: use um número inteiro de 1 a 5." type="whole" errorStyle="warning" operator="between">
      <formula1>1</formula1>
      <formula2>5</formula2>
    </dataValidation>
    <dataValidation sqref="A150" showDropDown="0" showInputMessage="0" showErrorMessage="1" allowBlank="1" errorTitle="Fora da lista" error="Inimigo: escolha um valor da lista. A planilha pode não reconhecer outro valor." type="list" errorStyle="warning">
      <formula1>'Inimigos'!$A$11:$A$22</formula1>
    </dataValidation>
    <dataValidation sqref="C150" showDropDown="0" showInputMessage="0" showErrorMessage="1" allowBlank="1" errorTitle="Fora da lista" error="Tipo de ação: escolha um valor da lista. A planilha pode não reconhecer outro valor." type="list" errorStyle="warning">
      <formula1>'Dados'!$BJ$6:$BJ$10</formula1>
    </dataValidation>
    <dataValidation sqref="E150" showDropDown="0" showInputMessage="0" showErrorMessage="1" allowBlank="1" errorTitle="Texto longo" error="Nome da ação: até 40 caracteres." type="textLength" errorStyle="warning" operator="lessThanOrEqual">
      <formula1>40</formula1>
    </dataValidation>
    <dataValidation sqref="G150" showDropDown="0" showInputMessage="0" showErrorMessage="1" allowBlank="1" errorTitle="Fora da lista" error="Alcance: escolha um valor da lista. A planilha pode não reconhecer outro valor." type="list" errorStyle="warning">
      <formula1>'Dados'!$BK$6:$BK$10</formula1>
    </dataValidation>
    <dataValidation sqref="H150" showDropDown="0" showInputMessage="0" showErrorMessage="1" allowBlank="1" errorTitle="Fora da lista" error="Elemento: escolha um valor da lista. A planilha pode não reconhecer outro valor." type="list" errorStyle="warning">
      <formula1>'Dados'!$AN$6:$AN$12</formula1>
    </dataValidation>
    <dataValidation sqref="I150" showDropDown="0" showInputMessage="0" showErrorMessage="1" allowBlank="1" errorTitle="Valor fora da faixa" error="Recarga: use um número inteiro de 2 a 3." type="whole" errorStyle="warning" operator="between">
      <formula1>2</formula1>
      <formula2>3</formula2>
    </dataValidation>
    <dataValidation sqref="J150" showDropDown="0" showInputMessage="0" showErrorMessage="1" allowBlank="1" errorTitle="Valor fora da faixa" error="Duração: use um número inteiro de 1 a 5." type="whole" errorStyle="warning" operator="between">
      <formula1>1</formula1>
      <formula2>5</formula2>
    </dataValidation>
    <dataValidation sqref="A151" showDropDown="0" showInputMessage="0" showErrorMessage="1" allowBlank="1" errorTitle="Fora da lista" error="Inimigo: escolha um valor da lista. A planilha pode não reconhecer outro valor." type="list" errorStyle="warning">
      <formula1>'Inimigos'!$A$11:$A$22</formula1>
    </dataValidation>
    <dataValidation sqref="C151" showDropDown="0" showInputMessage="0" showErrorMessage="1" allowBlank="1" errorTitle="Fora da lista" error="Tipo de ação: escolha um valor da lista. A planilha pode não reconhecer outro valor." type="list" errorStyle="warning">
      <formula1>'Dados'!$BJ$6:$BJ$10</formula1>
    </dataValidation>
    <dataValidation sqref="E151" showDropDown="0" showInputMessage="0" showErrorMessage="1" allowBlank="1" errorTitle="Texto longo" error="Nome da ação: até 40 caracteres." type="textLength" errorStyle="warning" operator="lessThanOrEqual">
      <formula1>40</formula1>
    </dataValidation>
    <dataValidation sqref="G151" showDropDown="0" showInputMessage="0" showErrorMessage="1" allowBlank="1" errorTitle="Fora da lista" error="Alcance: escolha um valor da lista. A planilha pode não reconhecer outro valor." type="list" errorStyle="warning">
      <formula1>'Dados'!$BK$6:$BK$10</formula1>
    </dataValidation>
    <dataValidation sqref="H151" showDropDown="0" showInputMessage="0" showErrorMessage="1" allowBlank="1" errorTitle="Fora da lista" error="Elemento: escolha um valor da lista. A planilha pode não reconhecer outro valor." type="list" errorStyle="warning">
      <formula1>'Dados'!$AN$6:$AN$12</formula1>
    </dataValidation>
    <dataValidation sqref="I151" showDropDown="0" showInputMessage="0" showErrorMessage="1" allowBlank="1" errorTitle="Valor fora da faixa" error="Recarga: use um número inteiro de 2 a 3." type="whole" errorStyle="warning" operator="between">
      <formula1>2</formula1>
      <formula2>3</formula2>
    </dataValidation>
    <dataValidation sqref="J151" showDropDown="0" showInputMessage="0" showErrorMessage="1" allowBlank="1" errorTitle="Valor fora da faixa" error="Duração: use um número inteiro de 1 a 5." type="whole" errorStyle="warning" operator="between">
      <formula1>1</formula1>
      <formula2>5</formula2>
    </dataValidation>
    <dataValidation sqref="A152" showDropDown="0" showInputMessage="0" showErrorMessage="1" allowBlank="1" errorTitle="Fora da lista" error="Inimigo: escolha um valor da lista. A planilha pode não reconhecer outro valor." type="list" errorStyle="warning">
      <formula1>'Inimigos'!$A$11:$A$22</formula1>
    </dataValidation>
    <dataValidation sqref="C152" showDropDown="0" showInputMessage="0" showErrorMessage="1" allowBlank="1" errorTitle="Fora da lista" error="Tipo de ação: escolha um valor da lista. A planilha pode não reconhecer outro valor." type="list" errorStyle="warning">
      <formula1>'Dados'!$BJ$6:$BJ$10</formula1>
    </dataValidation>
    <dataValidation sqref="E152" showDropDown="0" showInputMessage="0" showErrorMessage="1" allowBlank="1" errorTitle="Texto longo" error="Nome da ação: até 40 caracteres." type="textLength" errorStyle="warning" operator="lessThanOrEqual">
      <formula1>40</formula1>
    </dataValidation>
    <dataValidation sqref="G152" showDropDown="0" showInputMessage="0" showErrorMessage="1" allowBlank="1" errorTitle="Fora da lista" error="Alcance: escolha um valor da lista. A planilha pode não reconhecer outro valor." type="list" errorStyle="warning">
      <formula1>'Dados'!$BK$6:$BK$10</formula1>
    </dataValidation>
    <dataValidation sqref="H152" showDropDown="0" showInputMessage="0" showErrorMessage="1" allowBlank="1" errorTitle="Fora da lista" error="Elemento: escolha um valor da lista. A planilha pode não reconhecer outro valor." type="list" errorStyle="warning">
      <formula1>'Dados'!$AN$6:$AN$12</formula1>
    </dataValidation>
    <dataValidation sqref="I152" showDropDown="0" showInputMessage="0" showErrorMessage="1" allowBlank="1" errorTitle="Valor fora da faixa" error="Recarga: use um número inteiro de 2 a 3." type="whole" errorStyle="warning" operator="between">
      <formula1>2</formula1>
      <formula2>3</formula2>
    </dataValidation>
    <dataValidation sqref="J152" showDropDown="0" showInputMessage="0" showErrorMessage="1" allowBlank="1" errorTitle="Valor fora da faixa" error="Duração: use um número inteiro de 1 a 5." type="whole" errorStyle="warning" operator="between">
      <formula1>1</formula1>
      <formula2>5</formula2>
    </dataValidation>
    <dataValidation sqref="A153" showDropDown="0" showInputMessage="0" showErrorMessage="1" allowBlank="1" errorTitle="Fora da lista" error="Inimigo: escolha um valor da lista. A planilha pode não reconhecer outro valor." type="list" errorStyle="warning">
      <formula1>'Inimigos'!$A$11:$A$22</formula1>
    </dataValidation>
    <dataValidation sqref="C153" showDropDown="0" showInputMessage="0" showErrorMessage="1" allowBlank="1" errorTitle="Fora da lista" error="Tipo de ação: escolha um valor da lista. A planilha pode não reconhecer outro valor." type="list" errorStyle="warning">
      <formula1>'Dados'!$BJ$6:$BJ$10</formula1>
    </dataValidation>
    <dataValidation sqref="E153" showDropDown="0" showInputMessage="0" showErrorMessage="1" allowBlank="1" errorTitle="Texto longo" error="Nome da ação: até 40 caracteres." type="textLength" errorStyle="warning" operator="lessThanOrEqual">
      <formula1>40</formula1>
    </dataValidation>
    <dataValidation sqref="G153" showDropDown="0" showInputMessage="0" showErrorMessage="1" allowBlank="1" errorTitle="Fora da lista" error="Alcance: escolha um valor da lista. A planilha pode não reconhecer outro valor." type="list" errorStyle="warning">
      <formula1>'Dados'!$BK$6:$BK$10</formula1>
    </dataValidation>
    <dataValidation sqref="H153" showDropDown="0" showInputMessage="0" showErrorMessage="1" allowBlank="1" errorTitle="Fora da lista" error="Elemento: escolha um valor da lista. A planilha pode não reconhecer outro valor." type="list" errorStyle="warning">
      <formula1>'Dados'!$AN$6:$AN$12</formula1>
    </dataValidation>
    <dataValidation sqref="I153" showDropDown="0" showInputMessage="0" showErrorMessage="1" allowBlank="1" errorTitle="Valor fora da faixa" error="Recarga: use um número inteiro de 2 a 3." type="whole" errorStyle="warning" operator="between">
      <formula1>2</formula1>
      <formula2>3</formula2>
    </dataValidation>
    <dataValidation sqref="J153" showDropDown="0" showInputMessage="0" showErrorMessage="1" allowBlank="1" errorTitle="Valor fora da faixa" error="Duração: use um número inteiro de 1 a 5." type="whole" errorStyle="warning" operator="between">
      <formula1>1</formula1>
      <formula2>5</formula2>
    </dataValidation>
    <dataValidation sqref="B157" showDropDown="0" showInputMessage="0" showErrorMessage="1" allowBlank="1" errorTitle="Fora da lista" error="Condição: escolha um valor da lista. A planilha pode não reconhecer outro valor." type="list" errorStyle="warning">
      <formula1>'Dados'!$BH$6:$BH$18</formula1>
    </dataValidation>
    <dataValidation sqref="D157" showDropDown="0" showInputMessage="0" showErrorMessage="1" allowBlank="1" errorTitle="Fora da lista" error="Teste de Resistência: escolha um valor da lista. A planilha pode não reconhecer outro valor." type="list" errorStyle="warning">
      <formula1>'Dados'!$BL$6:$BL$11</formula1>
    </dataValidation>
    <dataValidation sqref="B158" showDropDown="0" showInputMessage="0" showErrorMessage="1" allowBlank="1" errorTitle="Fora da lista" error="Condição: escolha um valor da lista. A planilha pode não reconhecer outro valor." type="list" errorStyle="warning">
      <formula1>'Dados'!$BH$6:$BH$18</formula1>
    </dataValidation>
    <dataValidation sqref="D158" showDropDown="0" showInputMessage="0" showErrorMessage="1" allowBlank="1" errorTitle="Fora da lista" error="Teste de Resistência: escolha um valor da lista. A planilha pode não reconhecer outro valor." type="list" errorStyle="warning">
      <formula1>'Dados'!$BL$6:$BL$11</formula1>
    </dataValidation>
    <dataValidation sqref="B159" showDropDown="0" showInputMessage="0" showErrorMessage="1" allowBlank="1" errorTitle="Fora da lista" error="Condição: escolha um valor da lista. A planilha pode não reconhecer outro valor." type="list" errorStyle="warning">
      <formula1>'Dados'!$BH$6:$BH$18</formula1>
    </dataValidation>
    <dataValidation sqref="D159" showDropDown="0" showInputMessage="0" showErrorMessage="1" allowBlank="1" errorTitle="Fora da lista" error="Teste de Resistência: escolha um valor da lista. A planilha pode não reconhecer outro valor." type="list" errorStyle="warning">
      <formula1>'Dados'!$BL$6:$BL$11</formula1>
    </dataValidation>
    <dataValidation sqref="B160" showDropDown="0" showInputMessage="0" showErrorMessage="1" allowBlank="1" errorTitle="Fora da lista" error="Condição: escolha um valor da lista. A planilha pode não reconhecer outro valor." type="list" errorStyle="warning">
      <formula1>'Dados'!$BH$6:$BH$18</formula1>
    </dataValidation>
    <dataValidation sqref="D160" showDropDown="0" showInputMessage="0" showErrorMessage="1" allowBlank="1" errorTitle="Fora da lista" error="Teste de Resistência: escolha um valor da lista. A planilha pode não reconhecer outro valor." type="list" errorStyle="warning">
      <formula1>'Dados'!$BL$6:$BL$11</formula1>
    </dataValidation>
    <dataValidation sqref="B161" showDropDown="0" showInputMessage="0" showErrorMessage="1" allowBlank="1" errorTitle="Fora da lista" error="Condição: escolha um valor da lista. A planilha pode não reconhecer outro valor." type="list" errorStyle="warning">
      <formula1>'Dados'!$BH$6:$BH$18</formula1>
    </dataValidation>
    <dataValidation sqref="D161" showDropDown="0" showInputMessage="0" showErrorMessage="1" allowBlank="1" errorTitle="Fora da lista" error="Teste de Resistência: escolha um valor da lista. A planilha pode não reconhecer outro valor." type="list" errorStyle="warning">
      <formula1>'Dados'!$BL$6:$BL$11</formula1>
    </dataValidation>
    <dataValidation sqref="B162" showDropDown="0" showInputMessage="0" showErrorMessage="1" allowBlank="1" errorTitle="Fora da lista" error="Condição: escolha um valor da lista. A planilha pode não reconhecer outro valor." type="list" errorStyle="warning">
      <formula1>'Dados'!$BH$6:$BH$18</formula1>
    </dataValidation>
    <dataValidation sqref="D162" showDropDown="0" showInputMessage="0" showErrorMessage="1" allowBlank="1" errorTitle="Fora da lista" error="Teste de Resistência: escolha um valor da lista. A planilha pode não reconhecer outro valor." type="list" errorStyle="warning">
      <formula1>'Dados'!$BL$6:$BL$11</formula1>
    </dataValidation>
    <dataValidation sqref="B163" showDropDown="0" showInputMessage="0" showErrorMessage="1" allowBlank="1" errorTitle="Fora da lista" error="Condição: escolha um valor da lista. A planilha pode não reconhecer outro valor." type="list" errorStyle="warning">
      <formula1>'Dados'!$BH$6:$BH$18</formula1>
    </dataValidation>
    <dataValidation sqref="D163" showDropDown="0" showInputMessage="0" showErrorMessage="1" allowBlank="1" errorTitle="Fora da lista" error="Teste de Resistência: escolha um valor da lista. A planilha pode não reconhecer outro valor." type="list" errorStyle="warning">
      <formula1>'Dados'!$BL$6:$BL$11</formula1>
    </dataValidation>
    <dataValidation sqref="B164" showDropDown="0" showInputMessage="0" showErrorMessage="1" allowBlank="1" errorTitle="Fora da lista" error="Condição: escolha um valor da lista. A planilha pode não reconhecer outro valor." type="list" errorStyle="warning">
      <formula1>'Dados'!$BH$6:$BH$18</formula1>
    </dataValidation>
    <dataValidation sqref="D164" showDropDown="0" showInputMessage="0" showErrorMessage="1" allowBlank="1" errorTitle="Fora da lista" error="Teste de Resistência: escolha um valor da lista. A planilha pode não reconhecer outro valor." type="list" errorStyle="warning">
      <formula1>'Dados'!$BL$6:$BL$11</formula1>
    </dataValidation>
    <dataValidation sqref="B165" showDropDown="0" showInputMessage="0" showErrorMessage="1" allowBlank="1" errorTitle="Fora da lista" error="Condição: escolha um valor da lista. A planilha pode não reconhecer outro valor." type="list" errorStyle="warning">
      <formula1>'Dados'!$BH$6:$BH$18</formula1>
    </dataValidation>
    <dataValidation sqref="D165" showDropDown="0" showInputMessage="0" showErrorMessage="1" allowBlank="1" errorTitle="Fora da lista" error="Teste de Resistência: escolha um valor da lista. A planilha pode não reconhecer outro valor." type="list" errorStyle="warning">
      <formula1>'Dados'!$BL$6:$BL$11</formula1>
    </dataValidation>
    <dataValidation sqref="B166" showDropDown="0" showInputMessage="0" showErrorMessage="1" allowBlank="1" errorTitle="Fora da lista" error="Condição: escolha um valor da lista. A planilha pode não reconhecer outro valor." type="list" errorStyle="warning">
      <formula1>'Dados'!$BH$6:$BH$18</formula1>
    </dataValidation>
    <dataValidation sqref="D166" showDropDown="0" showInputMessage="0" showErrorMessage="1" allowBlank="1" errorTitle="Fora da lista" error="Teste de Resistência: escolha um valor da lista. A planilha pode não reconhecer outro valor." type="list" errorStyle="warning">
      <formula1>'Dados'!$BL$6:$BL$11</formula1>
    </dataValidation>
    <dataValidation sqref="B167" showDropDown="0" showInputMessage="0" showErrorMessage="1" allowBlank="1" errorTitle="Fora da lista" error="Condição: escolha um valor da lista. A planilha pode não reconhecer outro valor." type="list" errorStyle="warning">
      <formula1>'Dados'!$BH$6:$BH$18</formula1>
    </dataValidation>
    <dataValidation sqref="D167" showDropDown="0" showInputMessage="0" showErrorMessage="1" allowBlank="1" errorTitle="Fora da lista" error="Teste de Resistência: escolha um valor da lista. A planilha pode não reconhecer outro valor." type="list" errorStyle="warning">
      <formula1>'Dados'!$BL$6:$BL$11</formula1>
    </dataValidation>
    <dataValidation sqref="B168" showDropDown="0" showInputMessage="0" showErrorMessage="1" allowBlank="1" errorTitle="Fora da lista" error="Condição: escolha um valor da lista. A planilha pode não reconhecer outro valor." type="list" errorStyle="warning">
      <formula1>'Dados'!$BH$6:$BH$18</formula1>
    </dataValidation>
    <dataValidation sqref="D168" showDropDown="0" showInputMessage="0" showErrorMessage="1" allowBlank="1" errorTitle="Fora da lista" error="Teste de Resistência: escolha um valor da lista. A planilha pode não reconhecer outro valor." type="list" errorStyle="warning">
      <formula1>'Dados'!$BL$6:$BL$11</formula1>
    </dataValidation>
    <dataValidation sqref="B170" showDropDown="0" showInputMessage="0" showErrorMessage="1" allowBlank="1" errorTitle="Fora da lista" error="Condição: escolha um valor da lista. A planilha pode não reconhecer outro valor." type="list" errorStyle="warning">
      <formula1>'Dados'!$BH$6:$BH$18</formula1>
    </dataValidation>
    <dataValidation sqref="D170" showDropDown="0" showInputMessage="0" showErrorMessage="1" allowBlank="1" errorTitle="Fora da lista" error="Teste de Resistência: escolha um valor da lista. A planilha pode não reconhecer outro valor." type="list" errorStyle="warning">
      <formula1>'Dados'!$BL$6:$BL$11</formula1>
    </dataValidation>
    <dataValidation sqref="B171" showDropDown="0" showInputMessage="0" showErrorMessage="1" allowBlank="1" errorTitle="Fora da lista" error="Condição: escolha um valor da lista. A planilha pode não reconhecer outro valor." type="list" errorStyle="warning">
      <formula1>'Dados'!$BH$6:$BH$18</formula1>
    </dataValidation>
    <dataValidation sqref="D171" showDropDown="0" showInputMessage="0" showErrorMessage="1" allowBlank="1" errorTitle="Fora da lista" error="Teste de Resistência: escolha um valor da lista. A planilha pode não reconhecer outro valor." type="list" errorStyle="warning">
      <formula1>'Dados'!$BL$6:$BL$11</formula1>
    </dataValidation>
    <dataValidation sqref="B172" showDropDown="0" showInputMessage="0" showErrorMessage="1" allowBlank="1" errorTitle="Fora da lista" error="Condição: escolha um valor da lista. A planilha pode não reconhecer outro valor." type="list" errorStyle="warning">
      <formula1>'Dados'!$BH$6:$BH$18</formula1>
    </dataValidation>
    <dataValidation sqref="D172" showDropDown="0" showInputMessage="0" showErrorMessage="1" allowBlank="1" errorTitle="Fora da lista" error="Teste de Resistência: escolha um valor da lista. A planilha pode não reconhecer outro valor." type="list" errorStyle="warning">
      <formula1>'Dados'!$BL$6:$BL$11</formula1>
    </dataValidation>
    <dataValidation sqref="B173" showDropDown="0" showInputMessage="0" showErrorMessage="1" allowBlank="1" errorTitle="Fora da lista" error="Condição: escolha um valor da lista. A planilha pode não reconhecer outro valor." type="list" errorStyle="warning">
      <formula1>'Dados'!$BH$6:$BH$18</formula1>
    </dataValidation>
    <dataValidation sqref="D173" showDropDown="0" showInputMessage="0" showErrorMessage="1" allowBlank="1" errorTitle="Fora da lista" error="Teste de Resistência: escolha um valor da lista. A planilha pode não reconhecer outro valor." type="list" errorStyle="warning">
      <formula1>'Dados'!$BL$6:$BL$11</formula1>
    </dataValidation>
    <dataValidation sqref="B174" showDropDown="0" showInputMessage="0" showErrorMessage="1" allowBlank="1" errorTitle="Fora da lista" error="Condição: escolha um valor da lista. A planilha pode não reconhecer outro valor." type="list" errorStyle="warning">
      <formula1>'Dados'!$BH$6:$BH$18</formula1>
    </dataValidation>
    <dataValidation sqref="D174" showDropDown="0" showInputMessage="0" showErrorMessage="1" allowBlank="1" errorTitle="Fora da lista" error="Teste de Resistência: escolha um valor da lista. A planilha pode não reconhecer outro valor." type="list" errorStyle="warning">
      <formula1>'Dados'!$BL$6:$BL$11</formula1>
    </dataValidation>
    <dataValidation sqref="B175" showDropDown="0" showInputMessage="0" showErrorMessage="1" allowBlank="1" errorTitle="Fora da lista" error="Condição: escolha um valor da lista. A planilha pode não reconhecer outro valor." type="list" errorStyle="warning">
      <formula1>'Dados'!$BH$6:$BH$18</formula1>
    </dataValidation>
    <dataValidation sqref="D175" showDropDown="0" showInputMessage="0" showErrorMessage="1" allowBlank="1" errorTitle="Fora da lista" error="Teste de Resistência: escolha um valor da lista. A planilha pode não reconhecer outro valor." type="list" errorStyle="warning">
      <formula1>'Dados'!$BL$6:$BL$11</formula1>
    </dataValidation>
    <dataValidation sqref="B176" showDropDown="0" showInputMessage="0" showErrorMessage="1" allowBlank="1" errorTitle="Fora da lista" error="Condição: escolha um valor da lista. A planilha pode não reconhecer outro valor." type="list" errorStyle="warning">
      <formula1>'Dados'!$BH$6:$BH$18</formula1>
    </dataValidation>
    <dataValidation sqref="D176" showDropDown="0" showInputMessage="0" showErrorMessage="1" allowBlank="1" errorTitle="Fora da lista" error="Teste de Resistência: escolha um valor da lista. A planilha pode não reconhecer outro valor." type="list" errorStyle="warning">
      <formula1>'Dados'!$BL$6:$BL$11</formula1>
    </dataValidation>
    <dataValidation sqref="B177" showDropDown="0" showInputMessage="0" showErrorMessage="1" allowBlank="1" errorTitle="Fora da lista" error="Condição: escolha um valor da lista. A planilha pode não reconhecer outro valor." type="list" errorStyle="warning">
      <formula1>'Dados'!$BH$6:$BH$18</formula1>
    </dataValidation>
    <dataValidation sqref="D177" showDropDown="0" showInputMessage="0" showErrorMessage="1" allowBlank="1" errorTitle="Fora da lista" error="Teste de Resistência: escolha um valor da lista. A planilha pode não reconhecer outro valor." type="list" errorStyle="warning">
      <formula1>'Dados'!$BL$6:$BL$11</formula1>
    </dataValidation>
    <dataValidation sqref="B178" showDropDown="0" showInputMessage="0" showErrorMessage="1" allowBlank="1" errorTitle="Fora da lista" error="Condição: escolha um valor da lista. A planilha pode não reconhecer outro valor." type="list" errorStyle="warning">
      <formula1>'Dados'!$BH$6:$BH$18</formula1>
    </dataValidation>
    <dataValidation sqref="D178" showDropDown="0" showInputMessage="0" showErrorMessage="1" allowBlank="1" errorTitle="Fora da lista" error="Teste de Resistência: escolha um valor da lista. A planilha pode não reconhecer outro valor." type="list" errorStyle="warning">
      <formula1>'Dados'!$BL$6:$BL$11</formula1>
    </dataValidation>
    <dataValidation sqref="B179" showDropDown="0" showInputMessage="0" showErrorMessage="1" allowBlank="1" errorTitle="Fora da lista" error="Condição: escolha um valor da lista. A planilha pode não reconhecer outro valor." type="list" errorStyle="warning">
      <formula1>'Dados'!$BH$6:$BH$18</formula1>
    </dataValidation>
    <dataValidation sqref="D179" showDropDown="0" showInputMessage="0" showErrorMessage="1" allowBlank="1" errorTitle="Fora da lista" error="Teste de Resistência: escolha um valor da lista. A planilha pode não reconhecer outro valor." type="list" errorStyle="warning">
      <formula1>'Dados'!$BL$6:$BL$11</formula1>
    </dataValidation>
    <dataValidation sqref="B180" showDropDown="0" showInputMessage="0" showErrorMessage="1" allowBlank="1" errorTitle="Fora da lista" error="Condição: escolha um valor da lista. A planilha pode não reconhecer outro valor." type="list" errorStyle="warning">
      <formula1>'Dados'!$BH$6:$BH$18</formula1>
    </dataValidation>
    <dataValidation sqref="D180" showDropDown="0" showInputMessage="0" showErrorMessage="1" allowBlank="1" errorTitle="Fora da lista" error="Teste de Resistência: escolha um valor da lista. A planilha pode não reconhecer outro valor." type="list" errorStyle="warning">
      <formula1>'Dados'!$BL$6:$BL$11</formula1>
    </dataValidation>
    <dataValidation sqref="B181" showDropDown="0" showInputMessage="0" showErrorMessage="1" allowBlank="1" errorTitle="Fora da lista" error="Condição: escolha um valor da lista. A planilha pode não reconhecer outro valor." type="list" errorStyle="warning">
      <formula1>'Dados'!$BH$6:$BH$18</formula1>
    </dataValidation>
    <dataValidation sqref="D181" showDropDown="0" showInputMessage="0" showErrorMessage="1" allowBlank="1" errorTitle="Fora da lista" error="Teste de Resistência: escolha um valor da lista. A planilha pode não reconhecer outro valor." type="list" errorStyle="warning">
      <formula1>'Dados'!$BL$6:$BL$11</formula1>
    </dataValidation>
    <dataValidation sqref="B183" showDropDown="0" showInputMessage="0" showErrorMessage="1" allowBlank="1" errorTitle="Fora da lista" error="Condição: escolha um valor da lista. A planilha pode não reconhecer outro valor." type="list" errorStyle="warning">
      <formula1>'Dados'!$BH$6:$BH$18</formula1>
    </dataValidation>
    <dataValidation sqref="D183" showDropDown="0" showInputMessage="0" showErrorMessage="1" allowBlank="1" errorTitle="Fora da lista" error="Teste de Resistência: escolha um valor da lista. A planilha pode não reconhecer outro valor." type="list" errorStyle="warning">
      <formula1>'Dados'!$BL$6:$BL$11</formula1>
    </dataValidation>
    <dataValidation sqref="B184" showDropDown="0" showInputMessage="0" showErrorMessage="1" allowBlank="1" errorTitle="Fora da lista" error="Condição: escolha um valor da lista. A planilha pode não reconhecer outro valor." type="list" errorStyle="warning">
      <formula1>'Dados'!$BH$6:$BH$18</formula1>
    </dataValidation>
    <dataValidation sqref="D184" showDropDown="0" showInputMessage="0" showErrorMessage="1" allowBlank="1" errorTitle="Fora da lista" error="Teste de Resistência: escolha um valor da lista. A planilha pode não reconhecer outro valor." type="list" errorStyle="warning">
      <formula1>'Dados'!$BL$6:$BL$11</formula1>
    </dataValidation>
    <dataValidation sqref="B185" showDropDown="0" showInputMessage="0" showErrorMessage="1" allowBlank="1" errorTitle="Fora da lista" error="Condição: escolha um valor da lista. A planilha pode não reconhecer outro valor." type="list" errorStyle="warning">
      <formula1>'Dados'!$BH$6:$BH$18</formula1>
    </dataValidation>
    <dataValidation sqref="D185" showDropDown="0" showInputMessage="0" showErrorMessage="1" allowBlank="1" errorTitle="Fora da lista" error="Teste de Resistência: escolha um valor da lista. A planilha pode não reconhecer outro valor." type="list" errorStyle="warning">
      <formula1>'Dados'!$BL$6:$BL$11</formula1>
    </dataValidation>
    <dataValidation sqref="B186" showDropDown="0" showInputMessage="0" showErrorMessage="1" allowBlank="1" errorTitle="Fora da lista" error="Condição: escolha um valor da lista. A planilha pode não reconhecer outro valor." type="list" errorStyle="warning">
      <formula1>'Dados'!$BH$6:$BH$18</formula1>
    </dataValidation>
    <dataValidation sqref="D186" showDropDown="0" showInputMessage="0" showErrorMessage="1" allowBlank="1" errorTitle="Fora da lista" error="Teste de Resistência: escolha um valor da lista. A planilha pode não reconhecer outro valor." type="list" errorStyle="warning">
      <formula1>'Dados'!$BL$6:$BL$11</formula1>
    </dataValidation>
    <dataValidation sqref="B187" showDropDown="0" showInputMessage="0" showErrorMessage="1" allowBlank="1" errorTitle="Fora da lista" error="Condição: escolha um valor da lista. A planilha pode não reconhecer outro valor." type="list" errorStyle="warning">
      <formula1>'Dados'!$BH$6:$BH$18</formula1>
    </dataValidation>
    <dataValidation sqref="D187" showDropDown="0" showInputMessage="0" showErrorMessage="1" allowBlank="1" errorTitle="Fora da lista" error="Teste de Resistência: escolha um valor da lista. A planilha pode não reconhecer outro valor." type="list" errorStyle="warning">
      <formula1>'Dados'!$BL$6:$BL$11</formula1>
    </dataValidation>
    <dataValidation sqref="B188" showDropDown="0" showInputMessage="0" showErrorMessage="1" allowBlank="1" errorTitle="Fora da lista" error="Condição: escolha um valor da lista. A planilha pode não reconhecer outro valor." type="list" errorStyle="warning">
      <formula1>'Dados'!$BH$6:$BH$18</formula1>
    </dataValidation>
    <dataValidation sqref="D188" showDropDown="0" showInputMessage="0" showErrorMessage="1" allowBlank="1" errorTitle="Fora da lista" error="Teste de Resistência: escolha um valor da lista. A planilha pode não reconhecer outro valor." type="list" errorStyle="warning">
      <formula1>'Dados'!$BL$6:$BL$11</formula1>
    </dataValidation>
    <dataValidation sqref="B189" showDropDown="0" showInputMessage="0" showErrorMessage="1" allowBlank="1" errorTitle="Fora da lista" error="Condição: escolha um valor da lista. A planilha pode não reconhecer outro valor." type="list" errorStyle="warning">
      <formula1>'Dados'!$BH$6:$BH$18</formula1>
    </dataValidation>
    <dataValidation sqref="D189" showDropDown="0" showInputMessage="0" showErrorMessage="1" allowBlank="1" errorTitle="Fora da lista" error="Teste de Resistência: escolha um valor da lista. A planilha pode não reconhecer outro valor." type="list" errorStyle="warning">
      <formula1>'Dados'!$BL$6:$BL$11</formula1>
    </dataValidation>
    <dataValidation sqref="B190" showDropDown="0" showInputMessage="0" showErrorMessage="1" allowBlank="1" errorTitle="Fora da lista" error="Condição: escolha um valor da lista. A planilha pode não reconhecer outro valor." type="list" errorStyle="warning">
      <formula1>'Dados'!$BH$6:$BH$18</formula1>
    </dataValidation>
    <dataValidation sqref="D190" showDropDown="0" showInputMessage="0" showErrorMessage="1" allowBlank="1" errorTitle="Fora da lista" error="Teste de Resistência: escolha um valor da lista. A planilha pode não reconhecer outro valor." type="list" errorStyle="warning">
      <formula1>'Dados'!$BL$6:$BL$11</formula1>
    </dataValidation>
    <dataValidation sqref="B191" showDropDown="0" showInputMessage="0" showErrorMessage="1" allowBlank="1" errorTitle="Fora da lista" error="Condição: escolha um valor da lista. A planilha pode não reconhecer outro valor." type="list" errorStyle="warning">
      <formula1>'Dados'!$BH$6:$BH$18</formula1>
    </dataValidation>
    <dataValidation sqref="D191" showDropDown="0" showInputMessage="0" showErrorMessage="1" allowBlank="1" errorTitle="Fora da lista" error="Teste de Resistência: escolha um valor da lista. A planilha pode não reconhecer outro valor." type="list" errorStyle="warning">
      <formula1>'Dados'!$BL$6:$BL$11</formula1>
    </dataValidation>
    <dataValidation sqref="B192" showDropDown="0" showInputMessage="0" showErrorMessage="1" allowBlank="1" errorTitle="Fora da lista" error="Condição: escolha um valor da lista. A planilha pode não reconhecer outro valor." type="list" errorStyle="warning">
      <formula1>'Dados'!$BH$6:$BH$18</formula1>
    </dataValidation>
    <dataValidation sqref="D192" showDropDown="0" showInputMessage="0" showErrorMessage="1" allowBlank="1" errorTitle="Fora da lista" error="Teste de Resistência: escolha um valor da lista. A planilha pode não reconhecer outro valor." type="list" errorStyle="warning">
      <formula1>'Dados'!$BL$6:$BL$11</formula1>
    </dataValidation>
    <dataValidation sqref="B193" showDropDown="0" showInputMessage="0" showErrorMessage="1" allowBlank="1" errorTitle="Fora da lista" error="Condição: escolha um valor da lista. A planilha pode não reconhecer outro valor." type="list" errorStyle="warning">
      <formula1>'Dados'!$BH$6:$BH$18</formula1>
    </dataValidation>
    <dataValidation sqref="D193" showDropDown="0" showInputMessage="0" showErrorMessage="1" allowBlank="1" errorTitle="Fora da lista" error="Teste de Resistência: escolha um valor da lista. A planilha pode não reconhecer outro valor." type="list" errorStyle="warning">
      <formula1>'Dados'!$BL$6:$BL$11</formula1>
    </dataValidation>
    <dataValidation sqref="B194" showDropDown="0" showInputMessage="0" showErrorMessage="1" allowBlank="1" errorTitle="Fora da lista" error="Condição: escolha um valor da lista. A planilha pode não reconhecer outro valor." type="list" errorStyle="warning">
      <formula1>'Dados'!$BH$6:$BH$18</formula1>
    </dataValidation>
    <dataValidation sqref="D194" showDropDown="0" showInputMessage="0" showErrorMessage="1" allowBlank="1" errorTitle="Fora da lista" error="Teste de Resistência: escolha um valor da lista. A planilha pode não reconhecer outro valor." type="list" errorStyle="warning">
      <formula1>'Dados'!$BL$6:$BL$11</formula1>
    </dataValidation>
    <dataValidation sqref="B197" showDropDown="0" showInputMessage="0" showErrorMessage="1" allowBlank="1" errorTitle="Fora da lista" error="Ver ficha de: escolha um valor da lista. A planilha pode não reconhecer outro valor." type="list" errorStyle="warning">
      <formula1>'Inimigos'!$A$11:$A$22</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21"/>
  <sheetViews>
    <sheetView showGridLines="1" workbookViewId="0">
      <selection activeCell="A1" sqref="A1"/>
    </sheetView>
  </sheetViews>
  <sheetFormatPr baseColWidth="8" defaultRowHeight="15"/>
  <cols>
    <col width="20.786" customWidth="1" min="1" max="1"/>
    <col width="13.643" customWidth="1" min="2" max="2"/>
    <col width="13.643"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1.5" customWidth="1" min="11" max="11"/>
    <col width="21.5" customWidth="1" min="12" max="12"/>
    <col hidden="1" width="13" customWidth="1" min="13" max="13"/>
    <col hidden="1" width="13" customWidth="1" min="14" max="14"/>
    <col hidden="1" width="13" customWidth="1" min="15" max="15"/>
    <col hidden="1" width="13" customWidth="1" min="16" max="16"/>
    <col width="13" customWidth="1" min="17" max="17"/>
    <col hidden="1" width="13" customWidth="1" min="18" max="18"/>
    <col hidden="1" width="13" customWidth="1" min="19" max="19"/>
  </cols>
  <sheetData>
    <row r="1" ht="24" customHeight="1">
      <c r="A1" s="1" t="inlineStr">
        <is>
          <t>Bestiário — Explorando Galáxias v1.1</t>
        </is>
      </c>
    </row>
    <row r="2" ht="37" customHeight="1">
      <c r="A2" s="2"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As 32 fichas do capítulo 28, com filtro e ficha completa.</t>
        </is>
      </c>
    </row>
    <row r="4"/>
    <row r="5" ht="20" customHeight="1">
      <c r="A5" s="12" t="inlineStr">
        <is>
          <t>Filtro (preencha; vazio = todas as fichas)</t>
        </is>
      </c>
      <c r="O5" s="19">
        <f>SUMPRODUCT(ISNUMBER($N$11:$N$42)*1)</f>
        <v/>
      </c>
    </row>
    <row r="6" ht="26" customHeight="1">
      <c r="A6" s="8" t="inlineStr">
        <is>
          <t>Faixa</t>
        </is>
      </c>
      <c r="B6" s="36" t="n"/>
      <c r="E6" s="11" t="inlineStr">
        <is>
          <t>As Fraquezas sugeridas podem ser trocadas livremente para cumprir o contrato de encontro (28.2 regra 7).</t>
        </is>
      </c>
      <c r="R6" s="19">
        <f>IF(ISERROR($B$6),"",IF(ISBLANK($B$6),"",$B$6))</f>
        <v/>
      </c>
      <c r="S6" s="19">
        <f>ISERROR($B$6)*1</f>
        <v/>
      </c>
    </row>
    <row r="7" ht="26" customHeight="1">
      <c r="A7" s="8" t="inlineStr">
        <is>
          <t>Tipo</t>
        </is>
      </c>
      <c r="B7" s="36" t="n"/>
      <c r="K7" s="18">
        <f>IF(S7&gt;0,"O Google leu como fórmula: escolha de novo na lista.",IF(S6&gt;0,"Linha 6: O Google leu como fórmula: escolha de novo na lista.",""))</f>
        <v/>
      </c>
      <c r="R7" s="19">
        <f>IF(ISERROR($B$7),"",IF(ISBLANK($B$7),"",$B$7))</f>
        <v/>
      </c>
      <c r="S7" s="19">
        <f>ISERROR($B$7)*1</f>
        <v/>
      </c>
    </row>
    <row r="8" ht="26" customHeight="1">
      <c r="A8" s="8" t="inlineStr">
        <is>
          <t>Fraqueza (fase 1)</t>
        </is>
      </c>
      <c r="B8" s="36" t="n"/>
      <c r="C8" s="16" t="n"/>
      <c r="K8" s="18">
        <f>IF(S8&gt;0,"O Google leu como fórmula: escolha de novo na lista.","")</f>
        <v/>
      </c>
      <c r="R8" s="19">
        <f>IF(ISERROR($B$8),"",IF(ISBLANK($B$8),"",$B$8))</f>
        <v/>
      </c>
      <c r="S8" s="19">
        <f>ISERROR($B$8)*1</f>
        <v/>
      </c>
    </row>
    <row r="9" ht="26" customHeight="1">
      <c r="A9" s="8" t="inlineStr">
        <is>
          <t>Facção ou origem</t>
        </is>
      </c>
      <c r="B9" s="36" t="n"/>
      <c r="C9" s="24" t="n"/>
      <c r="D9" s="16" t="n"/>
      <c r="K9" s="18">
        <f>IF(S9&gt;0,"O Google leu como fórmula: escolha de novo na lista.",IF(S10&gt;0,"Linha 10: O Google leu como fórmula: escolha de novo na lista.",""))</f>
        <v/>
      </c>
      <c r="R9" s="19">
        <f>IF(ISERROR($B$9),"",IF(ISBLANK($B$9),"",$B$9))</f>
        <v/>
      </c>
      <c r="S9" s="19">
        <f>ISERROR($B$9)*1</f>
        <v/>
      </c>
    </row>
    <row r="10">
      <c r="A10" s="8" t="inlineStr">
        <is>
          <t>Ambiente</t>
        </is>
      </c>
      <c r="B10" s="36" t="n"/>
      <c r="C10" s="24" t="n"/>
      <c r="D10" s="16" t="n"/>
      <c r="E10" s="11" t="inlineStr">
        <is>
          <t>Sugestão da planilha — não é regra do livro (H8): o ambiente de cada facção vem da aba Tabelas.</t>
        </is>
      </c>
      <c r="R10" s="19">
        <f>IF(ISERROR($B$10),"",IF(ISBLANK($B$10),"",$B$10))</f>
        <v/>
      </c>
      <c r="S10" s="19">
        <f>ISERROR($B$10)*1</f>
        <v/>
      </c>
    </row>
    <row r="11" ht="26" customHeight="1">
      <c r="A11" s="8" t="inlineStr">
        <is>
          <t>Só com Resistência?</t>
        </is>
      </c>
      <c r="B11" s="36" t="n"/>
      <c r="K11" s="18">
        <f>IF(S11&gt;0,"O Google leu como fórmula: escolha de novo na lista.","")</f>
        <v/>
      </c>
      <c r="N11" s="19">
        <f>IF(AND(OR(LEN($R$6)=0,$R$6="Todas",$R$6="Faixa "&amp;'Dados'!$D$92),OR(LEN($R$7)=0,$R$7="Todos",$R$7='Dados'!$C$92),OR(LEN($R$8)=0,$R$8="Qualquer",COUNTIF('Dados'!$Q$92:'Dados'!$T$92,$R$8)&gt;0),OR(LEN($R$9)=0,$R$9="Todas",$R$9='Dados'!$E$92),OR(LEN($R$10)=0,$R$10="Todos",COUNTIFS('Tabelas'!$AE$12:$AE$118,'Dados'!$E$92,'Tabelas'!$AF$12:$AF$118,$R$10)+IF(LEN('Dados'!$AD$92)=0,0,COUNTIFS('Tabelas'!$AE$12:$AE$118,'Dados'!$AD$92,'Tabelas'!$AF$12:$AF$118,$R$10))&gt;0),OR($R$11&lt;&gt;"Sim",LEN('Dados'!$U$92)&gt;0),OR($R$12&lt;&gt;"Sim",'Dados'!$F$92&gt;1)),'Dados'!$AB$92*1000+'Dados'!$AC$92*100+1,"")</f>
        <v/>
      </c>
      <c r="R11" s="19">
        <f>IF(ISERROR($B$11),"",IF(ISBLANK($B$11),"",$B$11))</f>
        <v/>
      </c>
      <c r="S11" s="19">
        <f>ISERROR($B$11)*1</f>
        <v/>
      </c>
    </row>
    <row r="12" ht="26" customHeight="1">
      <c r="A12" s="8" t="inlineStr">
        <is>
          <t>Só com fases?</t>
        </is>
      </c>
      <c r="B12" s="36" t="n"/>
      <c r="K12" s="18">
        <f>IF(S12&gt;0,"O Google leu como fórmula: escolha de novo na lista.","")</f>
        <v/>
      </c>
      <c r="N12" s="19">
        <f>IF(AND(OR(LEN($R$6)=0,$R$6="Todas",$R$6="Faixa "&amp;'Dados'!$D$93),OR(LEN($R$7)=0,$R$7="Todos",$R$7='Dados'!$C$93),OR(LEN($R$8)=0,$R$8="Qualquer",COUNTIF('Dados'!$Q$93:'Dados'!$T$93,$R$8)&gt;0),OR(LEN($R$9)=0,$R$9="Todas",$R$9='Dados'!$E$93),OR(LEN($R$10)=0,$R$10="Todos",COUNTIFS('Tabelas'!$AE$12:$AE$118,'Dados'!$E$93,'Tabelas'!$AF$12:$AF$118,$R$10)+IF(LEN('Dados'!$AD$93)=0,0,COUNTIFS('Tabelas'!$AE$12:$AE$118,'Dados'!$AD$93,'Tabelas'!$AF$12:$AF$118,$R$10))&gt;0),OR($R$11&lt;&gt;"Sim",LEN('Dados'!$U$93)&gt;0),OR($R$12&lt;&gt;"Sim",'Dados'!$F$93&gt;1)),'Dados'!$AB$93*1000+'Dados'!$AC$93*100+2,"")</f>
        <v/>
      </c>
      <c r="R12" s="19">
        <f>IF(ISERROR($B$12),"",IF(ISBLANK($B$12),"",$B$12))</f>
        <v/>
      </c>
      <c r="S12" s="19">
        <f>ISERROR($B$12)*1</f>
        <v/>
      </c>
    </row>
    <row r="13">
      <c r="A13" s="8" t="inlineStr">
        <is>
          <t>Resultado</t>
        </is>
      </c>
      <c r="B13" s="4">
        <f>$O$5&amp;" de 32 fichas"</f>
        <v/>
      </c>
      <c r="N13" s="19">
        <f>IF(AND(OR(LEN($R$6)=0,$R$6="Todas",$R$6="Faixa "&amp;'Dados'!$D$94),OR(LEN($R$7)=0,$R$7="Todos",$R$7='Dados'!$C$94),OR(LEN($R$8)=0,$R$8="Qualquer",COUNTIF('Dados'!$Q$94:'Dados'!$T$94,$R$8)&gt;0),OR(LEN($R$9)=0,$R$9="Todas",$R$9='Dados'!$E$94),OR(LEN($R$10)=0,$R$10="Todos",COUNTIFS('Tabelas'!$AE$12:$AE$118,'Dados'!$E$94,'Tabelas'!$AF$12:$AF$118,$R$10)+IF(LEN('Dados'!$AD$94)=0,0,COUNTIFS('Tabelas'!$AE$12:$AE$118,'Dados'!$AD$94,'Tabelas'!$AF$12:$AF$118,$R$10))&gt;0),OR($R$11&lt;&gt;"Sim",LEN('Dados'!$U$94)&gt;0),OR($R$12&lt;&gt;"Sim",'Dados'!$F$94&gt;1)),'Dados'!$AB$94*1000+'Dados'!$AC$94*100+3,"")</f>
        <v/>
      </c>
    </row>
    <row r="14">
      <c r="N14" s="19">
        <f>IF(AND(OR(LEN($R$6)=0,$R$6="Todas",$R$6="Faixa "&amp;'Dados'!$D$95),OR(LEN($R$7)=0,$R$7="Todos",$R$7='Dados'!$C$95),OR(LEN($R$8)=0,$R$8="Qualquer",COUNTIF('Dados'!$Q$95:'Dados'!$T$95,$R$8)&gt;0),OR(LEN($R$9)=0,$R$9="Todas",$R$9='Dados'!$E$95),OR(LEN($R$10)=0,$R$10="Todos",COUNTIFS('Tabelas'!$AE$12:$AE$118,'Dados'!$E$95,'Tabelas'!$AF$12:$AF$118,$R$10)+IF(LEN('Dados'!$AD$95)=0,0,COUNTIFS('Tabelas'!$AE$12:$AE$118,'Dados'!$AD$95,'Tabelas'!$AF$12:$AF$118,$R$10))&gt;0),OR($R$11&lt;&gt;"Sim",LEN('Dados'!$U$95)&gt;0),OR($R$12&lt;&gt;"Sim",'Dados'!$F$95&gt;1)),'Dados'!$AB$95*1000+'Dados'!$AC$95*100+4,"")</f>
        <v/>
      </c>
    </row>
    <row r="15" ht="20" customHeight="1">
      <c r="A15" s="12" t="inlineStr">
        <is>
          <t>B1 · Números (automático, ordenado por faixa e tipo)</t>
        </is>
      </c>
      <c r="N15" s="19">
        <f>IF(AND(OR(LEN($R$6)=0,$R$6="Todas",$R$6="Faixa "&amp;'Dados'!$D$96),OR(LEN($R$7)=0,$R$7="Todos",$R$7='Dados'!$C$96),OR(LEN($R$8)=0,$R$8="Qualquer",COUNTIF('Dados'!$Q$96:'Dados'!$T$96,$R$8)&gt;0),OR(LEN($R$9)=0,$R$9="Todas",$R$9='Dados'!$E$96),OR(LEN($R$10)=0,$R$10="Todos",COUNTIFS('Tabelas'!$AE$12:$AE$118,'Dados'!$E$96,'Tabelas'!$AF$12:$AF$118,$R$10)+IF(LEN('Dados'!$AD$96)=0,0,COUNTIFS('Tabelas'!$AE$12:$AE$118,'Dados'!$AD$96,'Tabelas'!$AF$12:$AF$118,$R$10))&gt;0),OR($R$11&lt;&gt;"Sim",LEN('Dados'!$U$96)&gt;0),OR($R$12&lt;&gt;"Sim",'Dados'!$F$96&gt;1)),'Dados'!$AB$96*1000+'Dados'!$AC$96*100+5,"")</f>
        <v/>
      </c>
    </row>
    <row r="16" ht="26" customHeight="1">
      <c r="A16" s="7" t="inlineStr">
        <is>
          <t>Nome</t>
        </is>
      </c>
      <c r="B16" s="7" t="inlineStr">
        <is>
          <t>Tipo</t>
        </is>
      </c>
      <c r="C16" s="7" t="inlineStr">
        <is>
          <t>Faixa</t>
        </is>
      </c>
      <c r="D16" s="7" t="inlineStr">
        <is>
          <t>Facção ou origem</t>
        </is>
      </c>
      <c r="E16" s="7" t="inlineStr">
        <is>
          <t>PV</t>
        </is>
      </c>
      <c r="F16" s="7" t="inlineStr">
        <is>
          <t>Defesa</t>
        </is>
      </c>
      <c r="G16" s="7" t="inlineStr">
        <is>
          <t>RD</t>
        </is>
      </c>
      <c r="H16" s="7" t="inlineStr">
        <is>
          <t>Tenacidade</t>
        </is>
      </c>
      <c r="I16" s="7" t="inlineStr">
        <is>
          <t>VEL</t>
        </is>
      </c>
      <c r="J16" s="7" t="inlineStr">
        <is>
          <t>Teste de Ataque</t>
        </is>
      </c>
      <c r="N16" s="19">
        <f>IF(AND(OR(LEN($R$6)=0,$R$6="Todas",$R$6="Faixa "&amp;'Dados'!$D$97),OR(LEN($R$7)=0,$R$7="Todos",$R$7='Dados'!$C$97),OR(LEN($R$8)=0,$R$8="Qualquer",COUNTIF('Dados'!$Q$97:'Dados'!$T$97,$R$8)&gt;0),OR(LEN($R$9)=0,$R$9="Todas",$R$9='Dados'!$E$97),OR(LEN($R$10)=0,$R$10="Todos",COUNTIFS('Tabelas'!$AE$12:$AE$118,'Dados'!$E$97,'Tabelas'!$AF$12:$AF$118,$R$10)+IF(LEN('Dados'!$AD$97)=0,0,COUNTIFS('Tabelas'!$AE$12:$AE$118,'Dados'!$AD$97,'Tabelas'!$AF$12:$AF$118,$R$10))&gt;0),OR($R$11&lt;&gt;"Sim",LEN('Dados'!$U$97)&gt;0),OR($R$12&lt;&gt;"Sim",'Dados'!$F$97&gt;1)),'Dados'!$AB$97*1000+'Dados'!$AC$97*100+6,"")</f>
        <v/>
      </c>
    </row>
    <row r="17" ht="37" customHeight="1">
      <c r="A17" s="32">
        <f>IF($P$17="","",INDEX('Dados'!$B$92:$B$123,$P$17))</f>
        <v/>
      </c>
      <c r="B17" s="17">
        <f>IF($P$17="","",INDEX('Dados'!$C$92:$C$123,$P$17))</f>
        <v/>
      </c>
      <c r="C17" s="17">
        <f>IF($P$17="","",INDEX('Dados'!$D$92:$D$123,$P$17))</f>
        <v/>
      </c>
      <c r="D17" s="4">
        <f>IF($P$17="","",INDEX('Dados'!$E$92:$E$123,$P$17))</f>
        <v/>
      </c>
      <c r="E17" s="17">
        <f>IF($P$17="","",INDEX('Dados'!$G$92:$G$123,$P$17))</f>
        <v/>
      </c>
      <c r="F17" s="17">
        <f>IF($P$17="","",INDEX('Dados'!$H$92:$H$123,$P$17))</f>
        <v/>
      </c>
      <c r="G17" s="17">
        <f>IF($P$17="","",INDEX('Dados'!$I$92:$I$123,$P$17))</f>
        <v/>
      </c>
      <c r="H17" s="17">
        <f>IF($P$17="","",INDEX('Dados'!$J$92:$J$123,$P$17))</f>
        <v/>
      </c>
      <c r="I17" s="17">
        <f>IF($P$17="","",INDEX('Dados'!$K$92:$K$123,$P$17))</f>
        <v/>
      </c>
      <c r="J17" s="17">
        <f>IF($P$17="","","+"&amp;INDEX('Dados'!$L$92:$L$123,$P$17))</f>
        <v/>
      </c>
      <c r="N17" s="19">
        <f>IF(AND(OR(LEN($R$6)=0,$R$6="Todas",$R$6="Faixa "&amp;'Dados'!$D$98),OR(LEN($R$7)=0,$R$7="Todos",$R$7='Dados'!$C$98),OR(LEN($R$8)=0,$R$8="Qualquer",COUNTIF('Dados'!$Q$98:'Dados'!$T$98,$R$8)&gt;0),OR(LEN($R$9)=0,$R$9="Todas",$R$9='Dados'!$E$98),OR(LEN($R$10)=0,$R$10="Todos",COUNTIFS('Tabelas'!$AE$12:$AE$118,'Dados'!$E$98,'Tabelas'!$AF$12:$AF$118,$R$10)+IF(LEN('Dados'!$AD$98)=0,0,COUNTIFS('Tabelas'!$AE$12:$AE$118,'Dados'!$AD$98,'Tabelas'!$AF$12:$AF$118,$R$10))&gt;0),OR($R$11&lt;&gt;"Sim",LEN('Dados'!$U$98)&gt;0),OR($R$12&lt;&gt;"Sim",'Dados'!$F$98&gt;1)),'Dados'!$AB$98*1000+'Dados'!$AC$98*100+7,"")</f>
        <v/>
      </c>
      <c r="P17" s="19">
        <f>IF(1&gt;$O$5,"",MATCH(SMALL($N$11:$N$42,1),$N$11:$N$42,0))</f>
        <v/>
      </c>
    </row>
    <row r="18" ht="37" customHeight="1">
      <c r="A18" s="33">
        <f>IF($P$18="","",INDEX('Dados'!$B$92:$B$123,$P$18))</f>
        <v/>
      </c>
      <c r="B18" s="29">
        <f>IF($P$18="","",INDEX('Dados'!$C$92:$C$123,$P$18))</f>
        <v/>
      </c>
      <c r="C18" s="29">
        <f>IF($P$18="","",INDEX('Dados'!$D$92:$D$123,$P$18))</f>
        <v/>
      </c>
      <c r="D18" s="9">
        <f>IF($P$18="","",INDEX('Dados'!$E$92:$E$123,$P$18))</f>
        <v/>
      </c>
      <c r="E18" s="29">
        <f>IF($P$18="","",INDEX('Dados'!$G$92:$G$123,$P$18))</f>
        <v/>
      </c>
      <c r="F18" s="29">
        <f>IF($P$18="","",INDEX('Dados'!$H$92:$H$123,$P$18))</f>
        <v/>
      </c>
      <c r="G18" s="29">
        <f>IF($P$18="","",INDEX('Dados'!$I$92:$I$123,$P$18))</f>
        <v/>
      </c>
      <c r="H18" s="29">
        <f>IF($P$18="","",INDEX('Dados'!$J$92:$J$123,$P$18))</f>
        <v/>
      </c>
      <c r="I18" s="29">
        <f>IF($P$18="","",INDEX('Dados'!$K$92:$K$123,$P$18))</f>
        <v/>
      </c>
      <c r="J18" s="29">
        <f>IF($P$18="","","+"&amp;INDEX('Dados'!$L$92:$L$123,$P$18))</f>
        <v/>
      </c>
      <c r="N18" s="19">
        <f>IF(AND(OR(LEN($R$6)=0,$R$6="Todas",$R$6="Faixa "&amp;'Dados'!$D$99),OR(LEN($R$7)=0,$R$7="Todos",$R$7='Dados'!$C$99),OR(LEN($R$8)=0,$R$8="Qualquer",COUNTIF('Dados'!$Q$99:'Dados'!$T$99,$R$8)&gt;0),OR(LEN($R$9)=0,$R$9="Todas",$R$9='Dados'!$E$99),OR(LEN($R$10)=0,$R$10="Todos",COUNTIFS('Tabelas'!$AE$12:$AE$118,'Dados'!$E$99,'Tabelas'!$AF$12:$AF$118,$R$10)+IF(LEN('Dados'!$AD$99)=0,0,COUNTIFS('Tabelas'!$AE$12:$AE$118,'Dados'!$AD$99,'Tabelas'!$AF$12:$AF$118,$R$10))&gt;0),OR($R$11&lt;&gt;"Sim",LEN('Dados'!$U$99)&gt;0),OR($R$12&lt;&gt;"Sim",'Dados'!$F$99&gt;1)),'Dados'!$AB$99*1000+'Dados'!$AC$99*100+8,"")</f>
        <v/>
      </c>
      <c r="P18" s="19">
        <f>IF(2&gt;$O$5,"",MATCH(SMALL($N$11:$N$42,2),$N$11:$N$42,0))</f>
        <v/>
      </c>
    </row>
    <row r="19" ht="37" customHeight="1">
      <c r="A19" s="32">
        <f>IF($P$19="","",INDEX('Dados'!$B$92:$B$123,$P$19))</f>
        <v/>
      </c>
      <c r="B19" s="17">
        <f>IF($P$19="","",INDEX('Dados'!$C$92:$C$123,$P$19))</f>
        <v/>
      </c>
      <c r="C19" s="17">
        <f>IF($P$19="","",INDEX('Dados'!$D$92:$D$123,$P$19))</f>
        <v/>
      </c>
      <c r="D19" s="4">
        <f>IF($P$19="","",INDEX('Dados'!$E$92:$E$123,$P$19))</f>
        <v/>
      </c>
      <c r="E19" s="17">
        <f>IF($P$19="","",INDEX('Dados'!$G$92:$G$123,$P$19))</f>
        <v/>
      </c>
      <c r="F19" s="17">
        <f>IF($P$19="","",INDEX('Dados'!$H$92:$H$123,$P$19))</f>
        <v/>
      </c>
      <c r="G19" s="17">
        <f>IF($P$19="","",INDEX('Dados'!$I$92:$I$123,$P$19))</f>
        <v/>
      </c>
      <c r="H19" s="17">
        <f>IF($P$19="","",INDEX('Dados'!$J$92:$J$123,$P$19))</f>
        <v/>
      </c>
      <c r="I19" s="17">
        <f>IF($P$19="","",INDEX('Dados'!$K$92:$K$123,$P$19))</f>
        <v/>
      </c>
      <c r="J19" s="17">
        <f>IF($P$19="","","+"&amp;INDEX('Dados'!$L$92:$L$123,$P$19))</f>
        <v/>
      </c>
      <c r="N19" s="19">
        <f>IF(AND(OR(LEN($R$6)=0,$R$6="Todas",$R$6="Faixa "&amp;'Dados'!$D$100),OR(LEN($R$7)=0,$R$7="Todos",$R$7='Dados'!$C$100),OR(LEN($R$8)=0,$R$8="Qualquer",COUNTIF('Dados'!$Q$100:'Dados'!$T$100,$R$8)&gt;0),OR(LEN($R$9)=0,$R$9="Todas",$R$9='Dados'!$E$100),OR(LEN($R$10)=0,$R$10="Todos",COUNTIFS('Tabelas'!$AE$12:$AE$118,'Dados'!$E$100,'Tabelas'!$AF$12:$AF$118,$R$10)+IF(LEN('Dados'!$AD$100)=0,0,COUNTIFS('Tabelas'!$AE$12:$AE$118,'Dados'!$AD$100,'Tabelas'!$AF$12:$AF$118,$R$10))&gt;0),OR($R$11&lt;&gt;"Sim",LEN('Dados'!$U$100)&gt;0),OR($R$12&lt;&gt;"Sim",'Dados'!$F$100&gt;1)),'Dados'!$AB$100*1000+'Dados'!$AC$100*100+9,"")</f>
        <v/>
      </c>
      <c r="P19" s="19">
        <f>IF(3&gt;$O$5,"",MATCH(SMALL($N$11:$N$42,3),$N$11:$N$42,0))</f>
        <v/>
      </c>
    </row>
    <row r="20" ht="37" customHeight="1">
      <c r="A20" s="33">
        <f>IF($P$20="","",INDEX('Dados'!$B$92:$B$123,$P$20))</f>
        <v/>
      </c>
      <c r="B20" s="29">
        <f>IF($P$20="","",INDEX('Dados'!$C$92:$C$123,$P$20))</f>
        <v/>
      </c>
      <c r="C20" s="29">
        <f>IF($P$20="","",INDEX('Dados'!$D$92:$D$123,$P$20))</f>
        <v/>
      </c>
      <c r="D20" s="9">
        <f>IF($P$20="","",INDEX('Dados'!$E$92:$E$123,$P$20))</f>
        <v/>
      </c>
      <c r="E20" s="29">
        <f>IF($P$20="","",INDEX('Dados'!$G$92:$G$123,$P$20))</f>
        <v/>
      </c>
      <c r="F20" s="29">
        <f>IF($P$20="","",INDEX('Dados'!$H$92:$H$123,$P$20))</f>
        <v/>
      </c>
      <c r="G20" s="29">
        <f>IF($P$20="","",INDEX('Dados'!$I$92:$I$123,$P$20))</f>
        <v/>
      </c>
      <c r="H20" s="29">
        <f>IF($P$20="","",INDEX('Dados'!$J$92:$J$123,$P$20))</f>
        <v/>
      </c>
      <c r="I20" s="29">
        <f>IF($P$20="","",INDEX('Dados'!$K$92:$K$123,$P$20))</f>
        <v/>
      </c>
      <c r="J20" s="29">
        <f>IF($P$20="","","+"&amp;INDEX('Dados'!$L$92:$L$123,$P$20))</f>
        <v/>
      </c>
      <c r="N20" s="19">
        <f>IF(AND(OR(LEN($R$6)=0,$R$6="Todas",$R$6="Faixa "&amp;'Dados'!$D$101),OR(LEN($R$7)=0,$R$7="Todos",$R$7='Dados'!$C$101),OR(LEN($R$8)=0,$R$8="Qualquer",COUNTIF('Dados'!$Q$101:'Dados'!$T$101,$R$8)&gt;0),OR(LEN($R$9)=0,$R$9="Todas",$R$9='Dados'!$E$101),OR(LEN($R$10)=0,$R$10="Todos",COUNTIFS('Tabelas'!$AE$12:$AE$118,'Dados'!$E$101,'Tabelas'!$AF$12:$AF$118,$R$10)+IF(LEN('Dados'!$AD$101)=0,0,COUNTIFS('Tabelas'!$AE$12:$AE$118,'Dados'!$AD$101,'Tabelas'!$AF$12:$AF$118,$R$10))&gt;0),OR($R$11&lt;&gt;"Sim",LEN('Dados'!$U$101)&gt;0),OR($R$12&lt;&gt;"Sim",'Dados'!$F$101&gt;1)),'Dados'!$AB$101*1000+'Dados'!$AC$101*100+10,"")</f>
        <v/>
      </c>
      <c r="P20" s="19">
        <f>IF(4&gt;$O$5,"",MATCH(SMALL($N$11:$N$42,4),$N$11:$N$42,0))</f>
        <v/>
      </c>
    </row>
    <row r="21" ht="37" customHeight="1">
      <c r="A21" s="32">
        <f>IF($P$21="","",INDEX('Dados'!$B$92:$B$123,$P$21))</f>
        <v/>
      </c>
      <c r="B21" s="17">
        <f>IF($P$21="","",INDEX('Dados'!$C$92:$C$123,$P$21))</f>
        <v/>
      </c>
      <c r="C21" s="17">
        <f>IF($P$21="","",INDEX('Dados'!$D$92:$D$123,$P$21))</f>
        <v/>
      </c>
      <c r="D21" s="4">
        <f>IF($P$21="","",INDEX('Dados'!$E$92:$E$123,$P$21))</f>
        <v/>
      </c>
      <c r="E21" s="17">
        <f>IF($P$21="","",INDEX('Dados'!$G$92:$G$123,$P$21))</f>
        <v/>
      </c>
      <c r="F21" s="17">
        <f>IF($P$21="","",INDEX('Dados'!$H$92:$H$123,$P$21))</f>
        <v/>
      </c>
      <c r="G21" s="17">
        <f>IF($P$21="","",INDEX('Dados'!$I$92:$I$123,$P$21))</f>
        <v/>
      </c>
      <c r="H21" s="17">
        <f>IF($P$21="","",INDEX('Dados'!$J$92:$J$123,$P$21))</f>
        <v/>
      </c>
      <c r="I21" s="17">
        <f>IF($P$21="","",INDEX('Dados'!$K$92:$K$123,$P$21))</f>
        <v/>
      </c>
      <c r="J21" s="17">
        <f>IF($P$21="","","+"&amp;INDEX('Dados'!$L$92:$L$123,$P$21))</f>
        <v/>
      </c>
      <c r="N21" s="19">
        <f>IF(AND(OR(LEN($R$6)=0,$R$6="Todas",$R$6="Faixa "&amp;'Dados'!$D$102),OR(LEN($R$7)=0,$R$7="Todos",$R$7='Dados'!$C$102),OR(LEN($R$8)=0,$R$8="Qualquer",COUNTIF('Dados'!$Q$102:'Dados'!$T$102,$R$8)&gt;0),OR(LEN($R$9)=0,$R$9="Todas",$R$9='Dados'!$E$102),OR(LEN($R$10)=0,$R$10="Todos",COUNTIFS('Tabelas'!$AE$12:$AE$118,'Dados'!$E$102,'Tabelas'!$AF$12:$AF$118,$R$10)+IF(LEN('Dados'!$AD$102)=0,0,COUNTIFS('Tabelas'!$AE$12:$AE$118,'Dados'!$AD$102,'Tabelas'!$AF$12:$AF$118,$R$10))&gt;0),OR($R$11&lt;&gt;"Sim",LEN('Dados'!$U$102)&gt;0),OR($R$12&lt;&gt;"Sim",'Dados'!$F$102&gt;1)),'Dados'!$AB$102*1000+'Dados'!$AC$102*100+11,"")</f>
        <v/>
      </c>
      <c r="P21" s="19">
        <f>IF(5&gt;$O$5,"",MATCH(SMALL($N$11:$N$42,5),$N$11:$N$42,0))</f>
        <v/>
      </c>
    </row>
    <row r="22" ht="37" customHeight="1">
      <c r="A22" s="33">
        <f>IF($P$22="","",INDEX('Dados'!$B$92:$B$123,$P$22))</f>
        <v/>
      </c>
      <c r="B22" s="29">
        <f>IF($P$22="","",INDEX('Dados'!$C$92:$C$123,$P$22))</f>
        <v/>
      </c>
      <c r="C22" s="29">
        <f>IF($P$22="","",INDEX('Dados'!$D$92:$D$123,$P$22))</f>
        <v/>
      </c>
      <c r="D22" s="9">
        <f>IF($P$22="","",INDEX('Dados'!$E$92:$E$123,$P$22))</f>
        <v/>
      </c>
      <c r="E22" s="29">
        <f>IF($P$22="","",INDEX('Dados'!$G$92:$G$123,$P$22))</f>
        <v/>
      </c>
      <c r="F22" s="29">
        <f>IF($P$22="","",INDEX('Dados'!$H$92:$H$123,$P$22))</f>
        <v/>
      </c>
      <c r="G22" s="29">
        <f>IF($P$22="","",INDEX('Dados'!$I$92:$I$123,$P$22))</f>
        <v/>
      </c>
      <c r="H22" s="29">
        <f>IF($P$22="","",INDEX('Dados'!$J$92:$J$123,$P$22))</f>
        <v/>
      </c>
      <c r="I22" s="29">
        <f>IF($P$22="","",INDEX('Dados'!$K$92:$K$123,$P$22))</f>
        <v/>
      </c>
      <c r="J22" s="29">
        <f>IF($P$22="","","+"&amp;INDEX('Dados'!$L$92:$L$123,$P$22))</f>
        <v/>
      </c>
      <c r="N22" s="19">
        <f>IF(AND(OR(LEN($R$6)=0,$R$6="Todas",$R$6="Faixa "&amp;'Dados'!$D$103),OR(LEN($R$7)=0,$R$7="Todos",$R$7='Dados'!$C$103),OR(LEN($R$8)=0,$R$8="Qualquer",COUNTIF('Dados'!$Q$103:'Dados'!$T$103,$R$8)&gt;0),OR(LEN($R$9)=0,$R$9="Todas",$R$9='Dados'!$E$103),OR(LEN($R$10)=0,$R$10="Todos",COUNTIFS('Tabelas'!$AE$12:$AE$118,'Dados'!$E$103,'Tabelas'!$AF$12:$AF$118,$R$10)+IF(LEN('Dados'!$AD$103)=0,0,COUNTIFS('Tabelas'!$AE$12:$AE$118,'Dados'!$AD$103,'Tabelas'!$AF$12:$AF$118,$R$10))&gt;0),OR($R$11&lt;&gt;"Sim",LEN('Dados'!$U$103)&gt;0),OR($R$12&lt;&gt;"Sim",'Dados'!$F$103&gt;1)),'Dados'!$AB$103*1000+'Dados'!$AC$103*100+12,"")</f>
        <v/>
      </c>
      <c r="P22" s="19">
        <f>IF(6&gt;$O$5,"",MATCH(SMALL($N$11:$N$42,6),$N$11:$N$42,0))</f>
        <v/>
      </c>
    </row>
    <row r="23" ht="37" customHeight="1">
      <c r="A23" s="32">
        <f>IF($P$23="","",INDEX('Dados'!$B$92:$B$123,$P$23))</f>
        <v/>
      </c>
      <c r="B23" s="17">
        <f>IF($P$23="","",INDEX('Dados'!$C$92:$C$123,$P$23))</f>
        <v/>
      </c>
      <c r="C23" s="17">
        <f>IF($P$23="","",INDEX('Dados'!$D$92:$D$123,$P$23))</f>
        <v/>
      </c>
      <c r="D23" s="4">
        <f>IF($P$23="","",INDEX('Dados'!$E$92:$E$123,$P$23))</f>
        <v/>
      </c>
      <c r="E23" s="17">
        <f>IF($P$23="","",INDEX('Dados'!$G$92:$G$123,$P$23))</f>
        <v/>
      </c>
      <c r="F23" s="17">
        <f>IF($P$23="","",INDEX('Dados'!$H$92:$H$123,$P$23))</f>
        <v/>
      </c>
      <c r="G23" s="17">
        <f>IF($P$23="","",INDEX('Dados'!$I$92:$I$123,$P$23))</f>
        <v/>
      </c>
      <c r="H23" s="17">
        <f>IF($P$23="","",INDEX('Dados'!$J$92:$J$123,$P$23))</f>
        <v/>
      </c>
      <c r="I23" s="17">
        <f>IF($P$23="","",INDEX('Dados'!$K$92:$K$123,$P$23))</f>
        <v/>
      </c>
      <c r="J23" s="17">
        <f>IF($P$23="","","+"&amp;INDEX('Dados'!$L$92:$L$123,$P$23))</f>
        <v/>
      </c>
      <c r="N23" s="19">
        <f>IF(AND(OR(LEN($R$6)=0,$R$6="Todas",$R$6="Faixa "&amp;'Dados'!$D$104),OR(LEN($R$7)=0,$R$7="Todos",$R$7='Dados'!$C$104),OR(LEN($R$8)=0,$R$8="Qualquer",COUNTIF('Dados'!$Q$104:'Dados'!$T$104,$R$8)&gt;0),OR(LEN($R$9)=0,$R$9="Todas",$R$9='Dados'!$E$104),OR(LEN($R$10)=0,$R$10="Todos",COUNTIFS('Tabelas'!$AE$12:$AE$118,'Dados'!$E$104,'Tabelas'!$AF$12:$AF$118,$R$10)+IF(LEN('Dados'!$AD$104)=0,0,COUNTIFS('Tabelas'!$AE$12:$AE$118,'Dados'!$AD$104,'Tabelas'!$AF$12:$AF$118,$R$10))&gt;0),OR($R$11&lt;&gt;"Sim",LEN('Dados'!$U$104)&gt;0),OR($R$12&lt;&gt;"Sim",'Dados'!$F$104&gt;1)),'Dados'!$AB$104*1000+'Dados'!$AC$104*100+13,"")</f>
        <v/>
      </c>
      <c r="P23" s="19">
        <f>IF(7&gt;$O$5,"",MATCH(SMALL($N$11:$N$42,7),$N$11:$N$42,0))</f>
        <v/>
      </c>
    </row>
    <row r="24" ht="37" customHeight="1">
      <c r="A24" s="33">
        <f>IF($P$24="","",INDEX('Dados'!$B$92:$B$123,$P$24))</f>
        <v/>
      </c>
      <c r="B24" s="29">
        <f>IF($P$24="","",INDEX('Dados'!$C$92:$C$123,$P$24))</f>
        <v/>
      </c>
      <c r="C24" s="29">
        <f>IF($P$24="","",INDEX('Dados'!$D$92:$D$123,$P$24))</f>
        <v/>
      </c>
      <c r="D24" s="9">
        <f>IF($P$24="","",INDEX('Dados'!$E$92:$E$123,$P$24))</f>
        <v/>
      </c>
      <c r="E24" s="29">
        <f>IF($P$24="","",INDEX('Dados'!$G$92:$G$123,$P$24))</f>
        <v/>
      </c>
      <c r="F24" s="29">
        <f>IF($P$24="","",INDEX('Dados'!$H$92:$H$123,$P$24))</f>
        <v/>
      </c>
      <c r="G24" s="29">
        <f>IF($P$24="","",INDEX('Dados'!$I$92:$I$123,$P$24))</f>
        <v/>
      </c>
      <c r="H24" s="29">
        <f>IF($P$24="","",INDEX('Dados'!$J$92:$J$123,$P$24))</f>
        <v/>
      </c>
      <c r="I24" s="29">
        <f>IF($P$24="","",INDEX('Dados'!$K$92:$K$123,$P$24))</f>
        <v/>
      </c>
      <c r="J24" s="29">
        <f>IF($P$24="","","+"&amp;INDEX('Dados'!$L$92:$L$123,$P$24))</f>
        <v/>
      </c>
      <c r="N24" s="19">
        <f>IF(AND(OR(LEN($R$6)=0,$R$6="Todas",$R$6="Faixa "&amp;'Dados'!$D$105),OR(LEN($R$7)=0,$R$7="Todos",$R$7='Dados'!$C$105),OR(LEN($R$8)=0,$R$8="Qualquer",COUNTIF('Dados'!$Q$105:'Dados'!$T$105,$R$8)&gt;0),OR(LEN($R$9)=0,$R$9="Todas",$R$9='Dados'!$E$105),OR(LEN($R$10)=0,$R$10="Todos",COUNTIFS('Tabelas'!$AE$12:$AE$118,'Dados'!$E$105,'Tabelas'!$AF$12:$AF$118,$R$10)+IF(LEN('Dados'!$AD$105)=0,0,COUNTIFS('Tabelas'!$AE$12:$AE$118,'Dados'!$AD$105,'Tabelas'!$AF$12:$AF$118,$R$10))&gt;0),OR($R$11&lt;&gt;"Sim",LEN('Dados'!$U$105)&gt;0),OR($R$12&lt;&gt;"Sim",'Dados'!$F$105&gt;1)),'Dados'!$AB$105*1000+'Dados'!$AC$105*100+14,"")</f>
        <v/>
      </c>
      <c r="P24" s="19">
        <f>IF(8&gt;$O$5,"",MATCH(SMALL($N$11:$N$42,8),$N$11:$N$42,0))</f>
        <v/>
      </c>
    </row>
    <row r="25" ht="37" customHeight="1">
      <c r="A25" s="32">
        <f>IF($P$25="","",INDEX('Dados'!$B$92:$B$123,$P$25))</f>
        <v/>
      </c>
      <c r="B25" s="17">
        <f>IF($P$25="","",INDEX('Dados'!$C$92:$C$123,$P$25))</f>
        <v/>
      </c>
      <c r="C25" s="17">
        <f>IF($P$25="","",INDEX('Dados'!$D$92:$D$123,$P$25))</f>
        <v/>
      </c>
      <c r="D25" s="4">
        <f>IF($P$25="","",INDEX('Dados'!$E$92:$E$123,$P$25))</f>
        <v/>
      </c>
      <c r="E25" s="17">
        <f>IF($P$25="","",INDEX('Dados'!$G$92:$G$123,$P$25))</f>
        <v/>
      </c>
      <c r="F25" s="17">
        <f>IF($P$25="","",INDEX('Dados'!$H$92:$H$123,$P$25))</f>
        <v/>
      </c>
      <c r="G25" s="17">
        <f>IF($P$25="","",INDEX('Dados'!$I$92:$I$123,$P$25))</f>
        <v/>
      </c>
      <c r="H25" s="17">
        <f>IF($P$25="","",INDEX('Dados'!$J$92:$J$123,$P$25))</f>
        <v/>
      </c>
      <c r="I25" s="17">
        <f>IF($P$25="","",INDEX('Dados'!$K$92:$K$123,$P$25))</f>
        <v/>
      </c>
      <c r="J25" s="17">
        <f>IF($P$25="","","+"&amp;INDEX('Dados'!$L$92:$L$123,$P$25))</f>
        <v/>
      </c>
      <c r="N25" s="19">
        <f>IF(AND(OR(LEN($R$6)=0,$R$6="Todas",$R$6="Faixa "&amp;'Dados'!$D$106),OR(LEN($R$7)=0,$R$7="Todos",$R$7='Dados'!$C$106),OR(LEN($R$8)=0,$R$8="Qualquer",COUNTIF('Dados'!$Q$106:'Dados'!$T$106,$R$8)&gt;0),OR(LEN($R$9)=0,$R$9="Todas",$R$9='Dados'!$E$106),OR(LEN($R$10)=0,$R$10="Todos",COUNTIFS('Tabelas'!$AE$12:$AE$118,'Dados'!$E$106,'Tabelas'!$AF$12:$AF$118,$R$10)+IF(LEN('Dados'!$AD$106)=0,0,COUNTIFS('Tabelas'!$AE$12:$AE$118,'Dados'!$AD$106,'Tabelas'!$AF$12:$AF$118,$R$10))&gt;0),OR($R$11&lt;&gt;"Sim",LEN('Dados'!$U$106)&gt;0),OR($R$12&lt;&gt;"Sim",'Dados'!$F$106&gt;1)),'Dados'!$AB$106*1000+'Dados'!$AC$106*100+15,"")</f>
        <v/>
      </c>
      <c r="P25" s="19">
        <f>IF(9&gt;$O$5,"",MATCH(SMALL($N$11:$N$42,9),$N$11:$N$42,0))</f>
        <v/>
      </c>
    </row>
    <row r="26" ht="37" customHeight="1">
      <c r="A26" s="33">
        <f>IF($P$26="","",INDEX('Dados'!$B$92:$B$123,$P$26))</f>
        <v/>
      </c>
      <c r="B26" s="29">
        <f>IF($P$26="","",INDEX('Dados'!$C$92:$C$123,$P$26))</f>
        <v/>
      </c>
      <c r="C26" s="29">
        <f>IF($P$26="","",INDEX('Dados'!$D$92:$D$123,$P$26))</f>
        <v/>
      </c>
      <c r="D26" s="9">
        <f>IF($P$26="","",INDEX('Dados'!$E$92:$E$123,$P$26))</f>
        <v/>
      </c>
      <c r="E26" s="29">
        <f>IF($P$26="","",INDEX('Dados'!$G$92:$G$123,$P$26))</f>
        <v/>
      </c>
      <c r="F26" s="29">
        <f>IF($P$26="","",INDEX('Dados'!$H$92:$H$123,$P$26))</f>
        <v/>
      </c>
      <c r="G26" s="29">
        <f>IF($P$26="","",INDEX('Dados'!$I$92:$I$123,$P$26))</f>
        <v/>
      </c>
      <c r="H26" s="29">
        <f>IF($P$26="","",INDEX('Dados'!$J$92:$J$123,$P$26))</f>
        <v/>
      </c>
      <c r="I26" s="29">
        <f>IF($P$26="","",INDEX('Dados'!$K$92:$K$123,$P$26))</f>
        <v/>
      </c>
      <c r="J26" s="29">
        <f>IF($P$26="","","+"&amp;INDEX('Dados'!$L$92:$L$123,$P$26))</f>
        <v/>
      </c>
      <c r="N26" s="19">
        <f>IF(AND(OR(LEN($R$6)=0,$R$6="Todas",$R$6="Faixa "&amp;'Dados'!$D$107),OR(LEN($R$7)=0,$R$7="Todos",$R$7='Dados'!$C$107),OR(LEN($R$8)=0,$R$8="Qualquer",COUNTIF('Dados'!$Q$107:'Dados'!$T$107,$R$8)&gt;0),OR(LEN($R$9)=0,$R$9="Todas",$R$9='Dados'!$E$107),OR(LEN($R$10)=0,$R$10="Todos",COUNTIFS('Tabelas'!$AE$12:$AE$118,'Dados'!$E$107,'Tabelas'!$AF$12:$AF$118,$R$10)+IF(LEN('Dados'!$AD$107)=0,0,COUNTIFS('Tabelas'!$AE$12:$AE$118,'Dados'!$AD$107,'Tabelas'!$AF$12:$AF$118,$R$10))&gt;0),OR($R$11&lt;&gt;"Sim",LEN('Dados'!$U$107)&gt;0),OR($R$12&lt;&gt;"Sim",'Dados'!$F$107&gt;1)),'Dados'!$AB$107*1000+'Dados'!$AC$107*100+16,"")</f>
        <v/>
      </c>
      <c r="P26" s="19">
        <f>IF(10&gt;$O$5,"",MATCH(SMALL($N$11:$N$42,10),$N$11:$N$42,0))</f>
        <v/>
      </c>
    </row>
    <row r="27" ht="37" customHeight="1">
      <c r="A27" s="32">
        <f>IF($P$27="","",INDEX('Dados'!$B$92:$B$123,$P$27))</f>
        <v/>
      </c>
      <c r="B27" s="17">
        <f>IF($P$27="","",INDEX('Dados'!$C$92:$C$123,$P$27))</f>
        <v/>
      </c>
      <c r="C27" s="17">
        <f>IF($P$27="","",INDEX('Dados'!$D$92:$D$123,$P$27))</f>
        <v/>
      </c>
      <c r="D27" s="4">
        <f>IF($P$27="","",INDEX('Dados'!$E$92:$E$123,$P$27))</f>
        <v/>
      </c>
      <c r="E27" s="17">
        <f>IF($P$27="","",INDEX('Dados'!$G$92:$G$123,$P$27))</f>
        <v/>
      </c>
      <c r="F27" s="17">
        <f>IF($P$27="","",INDEX('Dados'!$H$92:$H$123,$P$27))</f>
        <v/>
      </c>
      <c r="G27" s="17">
        <f>IF($P$27="","",INDEX('Dados'!$I$92:$I$123,$P$27))</f>
        <v/>
      </c>
      <c r="H27" s="17">
        <f>IF($P$27="","",INDEX('Dados'!$J$92:$J$123,$P$27))</f>
        <v/>
      </c>
      <c r="I27" s="17">
        <f>IF($P$27="","",INDEX('Dados'!$K$92:$K$123,$P$27))</f>
        <v/>
      </c>
      <c r="J27" s="17">
        <f>IF($P$27="","","+"&amp;INDEX('Dados'!$L$92:$L$123,$P$27))</f>
        <v/>
      </c>
      <c r="N27" s="19">
        <f>IF(AND(OR(LEN($R$6)=0,$R$6="Todas",$R$6="Faixa "&amp;'Dados'!$D$108),OR(LEN($R$7)=0,$R$7="Todos",$R$7='Dados'!$C$108),OR(LEN($R$8)=0,$R$8="Qualquer",COUNTIF('Dados'!$Q$108:'Dados'!$T$108,$R$8)&gt;0),OR(LEN($R$9)=0,$R$9="Todas",$R$9='Dados'!$E$108),OR(LEN($R$10)=0,$R$10="Todos",COUNTIFS('Tabelas'!$AE$12:$AE$118,'Dados'!$E$108,'Tabelas'!$AF$12:$AF$118,$R$10)+IF(LEN('Dados'!$AD$108)=0,0,COUNTIFS('Tabelas'!$AE$12:$AE$118,'Dados'!$AD$108,'Tabelas'!$AF$12:$AF$118,$R$10))&gt;0),OR($R$11&lt;&gt;"Sim",LEN('Dados'!$U$108)&gt;0),OR($R$12&lt;&gt;"Sim",'Dados'!$F$108&gt;1)),'Dados'!$AB$108*1000+'Dados'!$AC$108*100+17,"")</f>
        <v/>
      </c>
      <c r="P27" s="19">
        <f>IF(11&gt;$O$5,"",MATCH(SMALL($N$11:$N$42,11),$N$11:$N$42,0))</f>
        <v/>
      </c>
    </row>
    <row r="28">
      <c r="N28" s="19">
        <f>IF(AND(OR(LEN($R$6)=0,$R$6="Todas",$R$6="Faixa "&amp;'Dados'!$D$109),OR(LEN($R$7)=0,$R$7="Todos",$R$7='Dados'!$C$109),OR(LEN($R$8)=0,$R$8="Qualquer",COUNTIF('Dados'!$Q$109:'Dados'!$T$109,$R$8)&gt;0),OR(LEN($R$9)=0,$R$9="Todas",$R$9='Dados'!$E$109),OR(LEN($R$10)=0,$R$10="Todos",COUNTIFS('Tabelas'!$AE$12:$AE$118,'Dados'!$E$109,'Tabelas'!$AF$12:$AF$118,$R$10)+IF(LEN('Dados'!$AD$109)=0,0,COUNTIFS('Tabelas'!$AE$12:$AE$118,'Dados'!$AD$109,'Tabelas'!$AF$12:$AF$118,$R$10))&gt;0),OR($R$11&lt;&gt;"Sim",LEN('Dados'!$U$109)&gt;0),OR($R$12&lt;&gt;"Sim",'Dados'!$F$109&gt;1)),'Dados'!$AB$109*1000+'Dados'!$AC$109*100+18,"")</f>
        <v/>
      </c>
    </row>
    <row r="29" ht="26" customHeight="1">
      <c r="A29" s="7" t="inlineStr">
        <is>
          <t>Nome</t>
        </is>
      </c>
      <c r="B29" s="7" t="inlineStr">
        <is>
          <t>Tipo</t>
        </is>
      </c>
      <c r="C29" s="7" t="inlineStr">
        <is>
          <t>Faixa</t>
        </is>
      </c>
      <c r="D29" s="7" t="inlineStr">
        <is>
          <t>Facção ou origem</t>
        </is>
      </c>
      <c r="E29" s="7" t="inlineStr">
        <is>
          <t>PV</t>
        </is>
      </c>
      <c r="F29" s="7" t="inlineStr">
        <is>
          <t>Defesa</t>
        </is>
      </c>
      <c r="G29" s="7" t="inlineStr">
        <is>
          <t>RD</t>
        </is>
      </c>
      <c r="H29" s="7" t="inlineStr">
        <is>
          <t>Tenacidade</t>
        </is>
      </c>
      <c r="I29" s="7" t="inlineStr">
        <is>
          <t>VEL</t>
        </is>
      </c>
      <c r="J29" s="7" t="inlineStr">
        <is>
          <t>Teste de Ataque</t>
        </is>
      </c>
      <c r="N29" s="19">
        <f>IF(AND(OR(LEN($R$6)=0,$R$6="Todas",$R$6="Faixa "&amp;'Dados'!$D$110),OR(LEN($R$7)=0,$R$7="Todos",$R$7='Dados'!$C$110),OR(LEN($R$8)=0,$R$8="Qualquer",COUNTIF('Dados'!$Q$110:'Dados'!$T$110,$R$8)&gt;0),OR(LEN($R$9)=0,$R$9="Todas",$R$9='Dados'!$E$110),OR(LEN($R$10)=0,$R$10="Todos",COUNTIFS('Tabelas'!$AE$12:$AE$118,'Dados'!$E$110,'Tabelas'!$AF$12:$AF$118,$R$10)+IF(LEN('Dados'!$AD$110)=0,0,COUNTIFS('Tabelas'!$AE$12:$AE$118,'Dados'!$AD$110,'Tabelas'!$AF$12:$AF$118,$R$10))&gt;0),OR($R$11&lt;&gt;"Sim",LEN('Dados'!$U$110)&gt;0),OR($R$12&lt;&gt;"Sim",'Dados'!$F$110&gt;1)),'Dados'!$AB$110*1000+'Dados'!$AC$110*100+19,"")</f>
        <v/>
      </c>
    </row>
    <row r="30" ht="37" customHeight="1">
      <c r="A30" s="32">
        <f>IF($P$30="","",INDEX('Dados'!$B$92:$B$123,$P$30))</f>
        <v/>
      </c>
      <c r="B30" s="17">
        <f>IF($P$30="","",INDEX('Dados'!$C$92:$C$123,$P$30))</f>
        <v/>
      </c>
      <c r="C30" s="17">
        <f>IF($P$30="","",INDEX('Dados'!$D$92:$D$123,$P$30))</f>
        <v/>
      </c>
      <c r="D30" s="4">
        <f>IF($P$30="","",INDEX('Dados'!$E$92:$E$123,$P$30))</f>
        <v/>
      </c>
      <c r="E30" s="17">
        <f>IF($P$30="","",INDEX('Dados'!$G$92:$G$123,$P$30))</f>
        <v/>
      </c>
      <c r="F30" s="17">
        <f>IF($P$30="","",INDEX('Dados'!$H$92:$H$123,$P$30))</f>
        <v/>
      </c>
      <c r="G30" s="17">
        <f>IF($P$30="","",INDEX('Dados'!$I$92:$I$123,$P$30))</f>
        <v/>
      </c>
      <c r="H30" s="17">
        <f>IF($P$30="","",INDEX('Dados'!$J$92:$J$123,$P$30))</f>
        <v/>
      </c>
      <c r="I30" s="17">
        <f>IF($P$30="","",INDEX('Dados'!$K$92:$K$123,$P$30))</f>
        <v/>
      </c>
      <c r="J30" s="17">
        <f>IF($P$30="","","+"&amp;INDEX('Dados'!$L$92:$L$123,$P$30))</f>
        <v/>
      </c>
      <c r="N30" s="19">
        <f>IF(AND(OR(LEN($R$6)=0,$R$6="Todas",$R$6="Faixa "&amp;'Dados'!$D$111),OR(LEN($R$7)=0,$R$7="Todos",$R$7='Dados'!$C$111),OR(LEN($R$8)=0,$R$8="Qualquer",COUNTIF('Dados'!$Q$111:'Dados'!$T$111,$R$8)&gt;0),OR(LEN($R$9)=0,$R$9="Todas",$R$9='Dados'!$E$111),OR(LEN($R$10)=0,$R$10="Todos",COUNTIFS('Tabelas'!$AE$12:$AE$118,'Dados'!$E$111,'Tabelas'!$AF$12:$AF$118,$R$10)+IF(LEN('Dados'!$AD$111)=0,0,COUNTIFS('Tabelas'!$AE$12:$AE$118,'Dados'!$AD$111,'Tabelas'!$AF$12:$AF$118,$R$10))&gt;0),OR($R$11&lt;&gt;"Sim",LEN('Dados'!$U$111)&gt;0),OR($R$12&lt;&gt;"Sim",'Dados'!$F$111&gt;1)),'Dados'!$AB$111*1000+'Dados'!$AC$111*100+20,"")</f>
        <v/>
      </c>
      <c r="P30" s="19">
        <f>IF(12&gt;$O$5,"",MATCH(SMALL($N$11:$N$42,12),$N$11:$N$42,0))</f>
        <v/>
      </c>
    </row>
    <row r="31" ht="37" customHeight="1">
      <c r="A31" s="33">
        <f>IF($P$31="","",INDEX('Dados'!$B$92:$B$123,$P$31))</f>
        <v/>
      </c>
      <c r="B31" s="29">
        <f>IF($P$31="","",INDEX('Dados'!$C$92:$C$123,$P$31))</f>
        <v/>
      </c>
      <c r="C31" s="29">
        <f>IF($P$31="","",INDEX('Dados'!$D$92:$D$123,$P$31))</f>
        <v/>
      </c>
      <c r="D31" s="9">
        <f>IF($P$31="","",INDEX('Dados'!$E$92:$E$123,$P$31))</f>
        <v/>
      </c>
      <c r="E31" s="29">
        <f>IF($P$31="","",INDEX('Dados'!$G$92:$G$123,$P$31))</f>
        <v/>
      </c>
      <c r="F31" s="29">
        <f>IF($P$31="","",INDEX('Dados'!$H$92:$H$123,$P$31))</f>
        <v/>
      </c>
      <c r="G31" s="29">
        <f>IF($P$31="","",INDEX('Dados'!$I$92:$I$123,$P$31))</f>
        <v/>
      </c>
      <c r="H31" s="29">
        <f>IF($P$31="","",INDEX('Dados'!$J$92:$J$123,$P$31))</f>
        <v/>
      </c>
      <c r="I31" s="29">
        <f>IF($P$31="","",INDEX('Dados'!$K$92:$K$123,$P$31))</f>
        <v/>
      </c>
      <c r="J31" s="29">
        <f>IF($P$31="","","+"&amp;INDEX('Dados'!$L$92:$L$123,$P$31))</f>
        <v/>
      </c>
      <c r="N31" s="19">
        <f>IF(AND(OR(LEN($R$6)=0,$R$6="Todas",$R$6="Faixa "&amp;'Dados'!$D$112),OR(LEN($R$7)=0,$R$7="Todos",$R$7='Dados'!$C$112),OR(LEN($R$8)=0,$R$8="Qualquer",COUNTIF('Dados'!$Q$112:'Dados'!$T$112,$R$8)&gt;0),OR(LEN($R$9)=0,$R$9="Todas",$R$9='Dados'!$E$112),OR(LEN($R$10)=0,$R$10="Todos",COUNTIFS('Tabelas'!$AE$12:$AE$118,'Dados'!$E$112,'Tabelas'!$AF$12:$AF$118,$R$10)+IF(LEN('Dados'!$AD$112)=0,0,COUNTIFS('Tabelas'!$AE$12:$AE$118,'Dados'!$AD$112,'Tabelas'!$AF$12:$AF$118,$R$10))&gt;0),OR($R$11&lt;&gt;"Sim",LEN('Dados'!$U$112)&gt;0),OR($R$12&lt;&gt;"Sim",'Dados'!$F$112&gt;1)),'Dados'!$AB$112*1000+'Dados'!$AC$112*100+21,"")</f>
        <v/>
      </c>
      <c r="P31" s="19">
        <f>IF(13&gt;$O$5,"",MATCH(SMALL($N$11:$N$42,13),$N$11:$N$42,0))</f>
        <v/>
      </c>
    </row>
    <row r="32" ht="37" customHeight="1">
      <c r="A32" s="32">
        <f>IF($P$32="","",INDEX('Dados'!$B$92:$B$123,$P$32))</f>
        <v/>
      </c>
      <c r="B32" s="17">
        <f>IF($P$32="","",INDEX('Dados'!$C$92:$C$123,$P$32))</f>
        <v/>
      </c>
      <c r="C32" s="17">
        <f>IF($P$32="","",INDEX('Dados'!$D$92:$D$123,$P$32))</f>
        <v/>
      </c>
      <c r="D32" s="4">
        <f>IF($P$32="","",INDEX('Dados'!$E$92:$E$123,$P$32))</f>
        <v/>
      </c>
      <c r="E32" s="17">
        <f>IF($P$32="","",INDEX('Dados'!$G$92:$G$123,$P$32))</f>
        <v/>
      </c>
      <c r="F32" s="17">
        <f>IF($P$32="","",INDEX('Dados'!$H$92:$H$123,$P$32))</f>
        <v/>
      </c>
      <c r="G32" s="17">
        <f>IF($P$32="","",INDEX('Dados'!$I$92:$I$123,$P$32))</f>
        <v/>
      </c>
      <c r="H32" s="17">
        <f>IF($P$32="","",INDEX('Dados'!$J$92:$J$123,$P$32))</f>
        <v/>
      </c>
      <c r="I32" s="17">
        <f>IF($P$32="","",INDEX('Dados'!$K$92:$K$123,$P$32))</f>
        <v/>
      </c>
      <c r="J32" s="17">
        <f>IF($P$32="","","+"&amp;INDEX('Dados'!$L$92:$L$123,$P$32))</f>
        <v/>
      </c>
      <c r="N32" s="19">
        <f>IF(AND(OR(LEN($R$6)=0,$R$6="Todas",$R$6="Faixa "&amp;'Dados'!$D$113),OR(LEN($R$7)=0,$R$7="Todos",$R$7='Dados'!$C$113),OR(LEN($R$8)=0,$R$8="Qualquer",COUNTIF('Dados'!$Q$113:'Dados'!$T$113,$R$8)&gt;0),OR(LEN($R$9)=0,$R$9="Todas",$R$9='Dados'!$E$113),OR(LEN($R$10)=0,$R$10="Todos",COUNTIFS('Tabelas'!$AE$12:$AE$118,'Dados'!$E$113,'Tabelas'!$AF$12:$AF$118,$R$10)+IF(LEN('Dados'!$AD$113)=0,0,COUNTIFS('Tabelas'!$AE$12:$AE$118,'Dados'!$AD$113,'Tabelas'!$AF$12:$AF$118,$R$10))&gt;0),OR($R$11&lt;&gt;"Sim",LEN('Dados'!$U$113)&gt;0),OR($R$12&lt;&gt;"Sim",'Dados'!$F$113&gt;1)),'Dados'!$AB$113*1000+'Dados'!$AC$113*100+22,"")</f>
        <v/>
      </c>
      <c r="P32" s="19">
        <f>IF(14&gt;$O$5,"",MATCH(SMALL($N$11:$N$42,14),$N$11:$N$42,0))</f>
        <v/>
      </c>
    </row>
    <row r="33" ht="37" customHeight="1">
      <c r="A33" s="33">
        <f>IF($P$33="","",INDEX('Dados'!$B$92:$B$123,$P$33))</f>
        <v/>
      </c>
      <c r="B33" s="29">
        <f>IF($P$33="","",INDEX('Dados'!$C$92:$C$123,$P$33))</f>
        <v/>
      </c>
      <c r="C33" s="29">
        <f>IF($P$33="","",INDEX('Dados'!$D$92:$D$123,$P$33))</f>
        <v/>
      </c>
      <c r="D33" s="9">
        <f>IF($P$33="","",INDEX('Dados'!$E$92:$E$123,$P$33))</f>
        <v/>
      </c>
      <c r="E33" s="29">
        <f>IF($P$33="","",INDEX('Dados'!$G$92:$G$123,$P$33))</f>
        <v/>
      </c>
      <c r="F33" s="29">
        <f>IF($P$33="","",INDEX('Dados'!$H$92:$H$123,$P$33))</f>
        <v/>
      </c>
      <c r="G33" s="29">
        <f>IF($P$33="","",INDEX('Dados'!$I$92:$I$123,$P$33))</f>
        <v/>
      </c>
      <c r="H33" s="29">
        <f>IF($P$33="","",INDEX('Dados'!$J$92:$J$123,$P$33))</f>
        <v/>
      </c>
      <c r="I33" s="29">
        <f>IF($P$33="","",INDEX('Dados'!$K$92:$K$123,$P$33))</f>
        <v/>
      </c>
      <c r="J33" s="29">
        <f>IF($P$33="","","+"&amp;INDEX('Dados'!$L$92:$L$123,$P$33))</f>
        <v/>
      </c>
      <c r="N33" s="19">
        <f>IF(AND(OR(LEN($R$6)=0,$R$6="Todas",$R$6="Faixa "&amp;'Dados'!$D$114),OR(LEN($R$7)=0,$R$7="Todos",$R$7='Dados'!$C$114),OR(LEN($R$8)=0,$R$8="Qualquer",COUNTIF('Dados'!$Q$114:'Dados'!$T$114,$R$8)&gt;0),OR(LEN($R$9)=0,$R$9="Todas",$R$9='Dados'!$E$114),OR(LEN($R$10)=0,$R$10="Todos",COUNTIFS('Tabelas'!$AE$12:$AE$118,'Dados'!$E$114,'Tabelas'!$AF$12:$AF$118,$R$10)+IF(LEN('Dados'!$AD$114)=0,0,COUNTIFS('Tabelas'!$AE$12:$AE$118,'Dados'!$AD$114,'Tabelas'!$AF$12:$AF$118,$R$10))&gt;0),OR($R$11&lt;&gt;"Sim",LEN('Dados'!$U$114)&gt;0),OR($R$12&lt;&gt;"Sim",'Dados'!$F$114&gt;1)),'Dados'!$AB$114*1000+'Dados'!$AC$114*100+23,"")</f>
        <v/>
      </c>
      <c r="P33" s="19">
        <f>IF(15&gt;$O$5,"",MATCH(SMALL($N$11:$N$42,15),$N$11:$N$42,0))</f>
        <v/>
      </c>
    </row>
    <row r="34" ht="37" customHeight="1">
      <c r="A34" s="32">
        <f>IF($P$34="","",INDEX('Dados'!$B$92:$B$123,$P$34))</f>
        <v/>
      </c>
      <c r="B34" s="17">
        <f>IF($P$34="","",INDEX('Dados'!$C$92:$C$123,$P$34))</f>
        <v/>
      </c>
      <c r="C34" s="17">
        <f>IF($P$34="","",INDEX('Dados'!$D$92:$D$123,$P$34))</f>
        <v/>
      </c>
      <c r="D34" s="4">
        <f>IF($P$34="","",INDEX('Dados'!$E$92:$E$123,$P$34))</f>
        <v/>
      </c>
      <c r="E34" s="17">
        <f>IF($P$34="","",INDEX('Dados'!$G$92:$G$123,$P$34))</f>
        <v/>
      </c>
      <c r="F34" s="17">
        <f>IF($P$34="","",INDEX('Dados'!$H$92:$H$123,$P$34))</f>
        <v/>
      </c>
      <c r="G34" s="17">
        <f>IF($P$34="","",INDEX('Dados'!$I$92:$I$123,$P$34))</f>
        <v/>
      </c>
      <c r="H34" s="17">
        <f>IF($P$34="","",INDEX('Dados'!$J$92:$J$123,$P$34))</f>
        <v/>
      </c>
      <c r="I34" s="17">
        <f>IF($P$34="","",INDEX('Dados'!$K$92:$K$123,$P$34))</f>
        <v/>
      </c>
      <c r="J34" s="17">
        <f>IF($P$34="","","+"&amp;INDEX('Dados'!$L$92:$L$123,$P$34))</f>
        <v/>
      </c>
      <c r="N34" s="19">
        <f>IF(AND(OR(LEN($R$6)=0,$R$6="Todas",$R$6="Faixa "&amp;'Dados'!$D$115),OR(LEN($R$7)=0,$R$7="Todos",$R$7='Dados'!$C$115),OR(LEN($R$8)=0,$R$8="Qualquer",COUNTIF('Dados'!$Q$115:'Dados'!$T$115,$R$8)&gt;0),OR(LEN($R$9)=0,$R$9="Todas",$R$9='Dados'!$E$115),OR(LEN($R$10)=0,$R$10="Todos",COUNTIFS('Tabelas'!$AE$12:$AE$118,'Dados'!$E$115,'Tabelas'!$AF$12:$AF$118,$R$10)+IF(LEN('Dados'!$AD$115)=0,0,COUNTIFS('Tabelas'!$AE$12:$AE$118,'Dados'!$AD$115,'Tabelas'!$AF$12:$AF$118,$R$10))&gt;0),OR($R$11&lt;&gt;"Sim",LEN('Dados'!$U$115)&gt;0),OR($R$12&lt;&gt;"Sim",'Dados'!$F$115&gt;1)),'Dados'!$AB$115*1000+'Dados'!$AC$115*100+24,"")</f>
        <v/>
      </c>
      <c r="P34" s="19">
        <f>IF(16&gt;$O$5,"",MATCH(SMALL($N$11:$N$42,16),$N$11:$N$42,0))</f>
        <v/>
      </c>
    </row>
    <row r="35" ht="37" customHeight="1">
      <c r="A35" s="33">
        <f>IF($P$35="","",INDEX('Dados'!$B$92:$B$123,$P$35))</f>
        <v/>
      </c>
      <c r="B35" s="29">
        <f>IF($P$35="","",INDEX('Dados'!$C$92:$C$123,$P$35))</f>
        <v/>
      </c>
      <c r="C35" s="29">
        <f>IF($P$35="","",INDEX('Dados'!$D$92:$D$123,$P$35))</f>
        <v/>
      </c>
      <c r="D35" s="9">
        <f>IF($P$35="","",INDEX('Dados'!$E$92:$E$123,$P$35))</f>
        <v/>
      </c>
      <c r="E35" s="29">
        <f>IF($P$35="","",INDEX('Dados'!$G$92:$G$123,$P$35))</f>
        <v/>
      </c>
      <c r="F35" s="29">
        <f>IF($P$35="","",INDEX('Dados'!$H$92:$H$123,$P$35))</f>
        <v/>
      </c>
      <c r="G35" s="29">
        <f>IF($P$35="","",INDEX('Dados'!$I$92:$I$123,$P$35))</f>
        <v/>
      </c>
      <c r="H35" s="29">
        <f>IF($P$35="","",INDEX('Dados'!$J$92:$J$123,$P$35))</f>
        <v/>
      </c>
      <c r="I35" s="29">
        <f>IF($P$35="","",INDEX('Dados'!$K$92:$K$123,$P$35))</f>
        <v/>
      </c>
      <c r="J35" s="29">
        <f>IF($P$35="","","+"&amp;INDEX('Dados'!$L$92:$L$123,$P$35))</f>
        <v/>
      </c>
      <c r="N35" s="19">
        <f>IF(AND(OR(LEN($R$6)=0,$R$6="Todas",$R$6="Faixa "&amp;'Dados'!$D$116),OR(LEN($R$7)=0,$R$7="Todos",$R$7='Dados'!$C$116),OR(LEN($R$8)=0,$R$8="Qualquer",COUNTIF('Dados'!$Q$116:'Dados'!$T$116,$R$8)&gt;0),OR(LEN($R$9)=0,$R$9="Todas",$R$9='Dados'!$E$116),OR(LEN($R$10)=0,$R$10="Todos",COUNTIFS('Tabelas'!$AE$12:$AE$118,'Dados'!$E$116,'Tabelas'!$AF$12:$AF$118,$R$10)+IF(LEN('Dados'!$AD$116)=0,0,COUNTIFS('Tabelas'!$AE$12:$AE$118,'Dados'!$AD$116,'Tabelas'!$AF$12:$AF$118,$R$10))&gt;0),OR($R$11&lt;&gt;"Sim",LEN('Dados'!$U$116)&gt;0),OR($R$12&lt;&gt;"Sim",'Dados'!$F$116&gt;1)),'Dados'!$AB$116*1000+'Dados'!$AC$116*100+25,"")</f>
        <v/>
      </c>
      <c r="P35" s="19">
        <f>IF(17&gt;$O$5,"",MATCH(SMALL($N$11:$N$42,17),$N$11:$N$42,0))</f>
        <v/>
      </c>
    </row>
    <row r="36" ht="37" customHeight="1">
      <c r="A36" s="32">
        <f>IF($P$36="","",INDEX('Dados'!$B$92:$B$123,$P$36))</f>
        <v/>
      </c>
      <c r="B36" s="17">
        <f>IF($P$36="","",INDEX('Dados'!$C$92:$C$123,$P$36))</f>
        <v/>
      </c>
      <c r="C36" s="17">
        <f>IF($P$36="","",INDEX('Dados'!$D$92:$D$123,$P$36))</f>
        <v/>
      </c>
      <c r="D36" s="4">
        <f>IF($P$36="","",INDEX('Dados'!$E$92:$E$123,$P$36))</f>
        <v/>
      </c>
      <c r="E36" s="17">
        <f>IF($P$36="","",INDEX('Dados'!$G$92:$G$123,$P$36))</f>
        <v/>
      </c>
      <c r="F36" s="17">
        <f>IF($P$36="","",INDEX('Dados'!$H$92:$H$123,$P$36))</f>
        <v/>
      </c>
      <c r="G36" s="17">
        <f>IF($P$36="","",INDEX('Dados'!$I$92:$I$123,$P$36))</f>
        <v/>
      </c>
      <c r="H36" s="17">
        <f>IF($P$36="","",INDEX('Dados'!$J$92:$J$123,$P$36))</f>
        <v/>
      </c>
      <c r="I36" s="17">
        <f>IF($P$36="","",INDEX('Dados'!$K$92:$K$123,$P$36))</f>
        <v/>
      </c>
      <c r="J36" s="17">
        <f>IF($P$36="","","+"&amp;INDEX('Dados'!$L$92:$L$123,$P$36))</f>
        <v/>
      </c>
      <c r="N36" s="19">
        <f>IF(AND(OR(LEN($R$6)=0,$R$6="Todas",$R$6="Faixa "&amp;'Dados'!$D$117),OR(LEN($R$7)=0,$R$7="Todos",$R$7='Dados'!$C$117),OR(LEN($R$8)=0,$R$8="Qualquer",COUNTIF('Dados'!$Q$117:'Dados'!$T$117,$R$8)&gt;0),OR(LEN($R$9)=0,$R$9="Todas",$R$9='Dados'!$E$117),OR(LEN($R$10)=0,$R$10="Todos",COUNTIFS('Tabelas'!$AE$12:$AE$118,'Dados'!$E$117,'Tabelas'!$AF$12:$AF$118,$R$10)+IF(LEN('Dados'!$AD$117)=0,0,COUNTIFS('Tabelas'!$AE$12:$AE$118,'Dados'!$AD$117,'Tabelas'!$AF$12:$AF$118,$R$10))&gt;0),OR($R$11&lt;&gt;"Sim",LEN('Dados'!$U$117)&gt;0),OR($R$12&lt;&gt;"Sim",'Dados'!$F$117&gt;1)),'Dados'!$AB$117*1000+'Dados'!$AC$117*100+26,"")</f>
        <v/>
      </c>
      <c r="P36" s="19">
        <f>IF(18&gt;$O$5,"",MATCH(SMALL($N$11:$N$42,18),$N$11:$N$42,0))</f>
        <v/>
      </c>
    </row>
    <row r="37" ht="37" customHeight="1">
      <c r="A37" s="33">
        <f>IF($P$37="","",INDEX('Dados'!$B$92:$B$123,$P$37))</f>
        <v/>
      </c>
      <c r="B37" s="29">
        <f>IF($P$37="","",INDEX('Dados'!$C$92:$C$123,$P$37))</f>
        <v/>
      </c>
      <c r="C37" s="29">
        <f>IF($P$37="","",INDEX('Dados'!$D$92:$D$123,$P$37))</f>
        <v/>
      </c>
      <c r="D37" s="9">
        <f>IF($P$37="","",INDEX('Dados'!$E$92:$E$123,$P$37))</f>
        <v/>
      </c>
      <c r="E37" s="29">
        <f>IF($P$37="","",INDEX('Dados'!$G$92:$G$123,$P$37))</f>
        <v/>
      </c>
      <c r="F37" s="29">
        <f>IF($P$37="","",INDEX('Dados'!$H$92:$H$123,$P$37))</f>
        <v/>
      </c>
      <c r="G37" s="29">
        <f>IF($P$37="","",INDEX('Dados'!$I$92:$I$123,$P$37))</f>
        <v/>
      </c>
      <c r="H37" s="29">
        <f>IF($P$37="","",INDEX('Dados'!$J$92:$J$123,$P$37))</f>
        <v/>
      </c>
      <c r="I37" s="29">
        <f>IF($P$37="","",INDEX('Dados'!$K$92:$K$123,$P$37))</f>
        <v/>
      </c>
      <c r="J37" s="29">
        <f>IF($P$37="","","+"&amp;INDEX('Dados'!$L$92:$L$123,$P$37))</f>
        <v/>
      </c>
      <c r="N37" s="19">
        <f>IF(AND(OR(LEN($R$6)=0,$R$6="Todas",$R$6="Faixa "&amp;'Dados'!$D$118),OR(LEN($R$7)=0,$R$7="Todos",$R$7='Dados'!$C$118),OR(LEN($R$8)=0,$R$8="Qualquer",COUNTIF('Dados'!$Q$118:'Dados'!$T$118,$R$8)&gt;0),OR(LEN($R$9)=0,$R$9="Todas",$R$9='Dados'!$E$118),OR(LEN($R$10)=0,$R$10="Todos",COUNTIFS('Tabelas'!$AE$12:$AE$118,'Dados'!$E$118,'Tabelas'!$AF$12:$AF$118,$R$10)+IF(LEN('Dados'!$AD$118)=0,0,COUNTIFS('Tabelas'!$AE$12:$AE$118,'Dados'!$AD$118,'Tabelas'!$AF$12:$AF$118,$R$10))&gt;0),OR($R$11&lt;&gt;"Sim",LEN('Dados'!$U$118)&gt;0),OR($R$12&lt;&gt;"Sim",'Dados'!$F$118&gt;1)),'Dados'!$AB$118*1000+'Dados'!$AC$118*100+27,"")</f>
        <v/>
      </c>
      <c r="P37" s="19">
        <f>IF(19&gt;$O$5,"",MATCH(SMALL($N$11:$N$42,19),$N$11:$N$42,0))</f>
        <v/>
      </c>
    </row>
    <row r="38" ht="37" customHeight="1">
      <c r="A38" s="32">
        <f>IF($P$38="","",INDEX('Dados'!$B$92:$B$123,$P$38))</f>
        <v/>
      </c>
      <c r="B38" s="17">
        <f>IF($P$38="","",INDEX('Dados'!$C$92:$C$123,$P$38))</f>
        <v/>
      </c>
      <c r="C38" s="17">
        <f>IF($P$38="","",INDEX('Dados'!$D$92:$D$123,$P$38))</f>
        <v/>
      </c>
      <c r="D38" s="4">
        <f>IF($P$38="","",INDEX('Dados'!$E$92:$E$123,$P$38))</f>
        <v/>
      </c>
      <c r="E38" s="17">
        <f>IF($P$38="","",INDEX('Dados'!$G$92:$G$123,$P$38))</f>
        <v/>
      </c>
      <c r="F38" s="17">
        <f>IF($P$38="","",INDEX('Dados'!$H$92:$H$123,$P$38))</f>
        <v/>
      </c>
      <c r="G38" s="17">
        <f>IF($P$38="","",INDEX('Dados'!$I$92:$I$123,$P$38))</f>
        <v/>
      </c>
      <c r="H38" s="17">
        <f>IF($P$38="","",INDEX('Dados'!$J$92:$J$123,$P$38))</f>
        <v/>
      </c>
      <c r="I38" s="17">
        <f>IF($P$38="","",INDEX('Dados'!$K$92:$K$123,$P$38))</f>
        <v/>
      </c>
      <c r="J38" s="17">
        <f>IF($P$38="","","+"&amp;INDEX('Dados'!$L$92:$L$123,$P$38))</f>
        <v/>
      </c>
      <c r="N38" s="19">
        <f>IF(AND(OR(LEN($R$6)=0,$R$6="Todas",$R$6="Faixa "&amp;'Dados'!$D$119),OR(LEN($R$7)=0,$R$7="Todos",$R$7='Dados'!$C$119),OR(LEN($R$8)=0,$R$8="Qualquer",COUNTIF('Dados'!$Q$119:'Dados'!$T$119,$R$8)&gt;0),OR(LEN($R$9)=0,$R$9="Todas",$R$9='Dados'!$E$119),OR(LEN($R$10)=0,$R$10="Todos",COUNTIFS('Tabelas'!$AE$12:$AE$118,'Dados'!$E$119,'Tabelas'!$AF$12:$AF$118,$R$10)+IF(LEN('Dados'!$AD$119)=0,0,COUNTIFS('Tabelas'!$AE$12:$AE$118,'Dados'!$AD$119,'Tabelas'!$AF$12:$AF$118,$R$10))&gt;0),OR($R$11&lt;&gt;"Sim",LEN('Dados'!$U$119)&gt;0),OR($R$12&lt;&gt;"Sim",'Dados'!$F$119&gt;1)),'Dados'!$AB$119*1000+'Dados'!$AC$119*100+28,"")</f>
        <v/>
      </c>
      <c r="P38" s="19">
        <f>IF(20&gt;$O$5,"",MATCH(SMALL($N$11:$N$42,20),$N$11:$N$42,0))</f>
        <v/>
      </c>
    </row>
    <row r="39" ht="37" customHeight="1">
      <c r="A39" s="33">
        <f>IF($P$39="","",INDEX('Dados'!$B$92:$B$123,$P$39))</f>
        <v/>
      </c>
      <c r="B39" s="29">
        <f>IF($P$39="","",INDEX('Dados'!$C$92:$C$123,$P$39))</f>
        <v/>
      </c>
      <c r="C39" s="29">
        <f>IF($P$39="","",INDEX('Dados'!$D$92:$D$123,$P$39))</f>
        <v/>
      </c>
      <c r="D39" s="9">
        <f>IF($P$39="","",INDEX('Dados'!$E$92:$E$123,$P$39))</f>
        <v/>
      </c>
      <c r="E39" s="29">
        <f>IF($P$39="","",INDEX('Dados'!$G$92:$G$123,$P$39))</f>
        <v/>
      </c>
      <c r="F39" s="29">
        <f>IF($P$39="","",INDEX('Dados'!$H$92:$H$123,$P$39))</f>
        <v/>
      </c>
      <c r="G39" s="29">
        <f>IF($P$39="","",INDEX('Dados'!$I$92:$I$123,$P$39))</f>
        <v/>
      </c>
      <c r="H39" s="29">
        <f>IF($P$39="","",INDEX('Dados'!$J$92:$J$123,$P$39))</f>
        <v/>
      </c>
      <c r="I39" s="29">
        <f>IF($P$39="","",INDEX('Dados'!$K$92:$K$123,$P$39))</f>
        <v/>
      </c>
      <c r="J39" s="29">
        <f>IF($P$39="","","+"&amp;INDEX('Dados'!$L$92:$L$123,$P$39))</f>
        <v/>
      </c>
      <c r="N39" s="19">
        <f>IF(AND(OR(LEN($R$6)=0,$R$6="Todas",$R$6="Faixa "&amp;'Dados'!$D$120),OR(LEN($R$7)=0,$R$7="Todos",$R$7='Dados'!$C$120),OR(LEN($R$8)=0,$R$8="Qualquer",COUNTIF('Dados'!$Q$120:'Dados'!$T$120,$R$8)&gt;0),OR(LEN($R$9)=0,$R$9="Todas",$R$9='Dados'!$E$120),OR(LEN($R$10)=0,$R$10="Todos",COUNTIFS('Tabelas'!$AE$12:$AE$118,'Dados'!$E$120,'Tabelas'!$AF$12:$AF$118,$R$10)+IF(LEN('Dados'!$AD$120)=0,0,COUNTIFS('Tabelas'!$AE$12:$AE$118,'Dados'!$AD$120,'Tabelas'!$AF$12:$AF$118,$R$10))&gt;0),OR($R$11&lt;&gt;"Sim",LEN('Dados'!$U$120)&gt;0),OR($R$12&lt;&gt;"Sim",'Dados'!$F$120&gt;1)),'Dados'!$AB$120*1000+'Dados'!$AC$120*100+29,"")</f>
        <v/>
      </c>
      <c r="P39" s="19">
        <f>IF(21&gt;$O$5,"",MATCH(SMALL($N$11:$N$42,21),$N$11:$N$42,0))</f>
        <v/>
      </c>
    </row>
    <row r="40" ht="37" customHeight="1">
      <c r="A40" s="32">
        <f>IF($P$40="","",INDEX('Dados'!$B$92:$B$123,$P$40))</f>
        <v/>
      </c>
      <c r="B40" s="17">
        <f>IF($P$40="","",INDEX('Dados'!$C$92:$C$123,$P$40))</f>
        <v/>
      </c>
      <c r="C40" s="17">
        <f>IF($P$40="","",INDEX('Dados'!$D$92:$D$123,$P$40))</f>
        <v/>
      </c>
      <c r="D40" s="4">
        <f>IF($P$40="","",INDEX('Dados'!$E$92:$E$123,$P$40))</f>
        <v/>
      </c>
      <c r="E40" s="17">
        <f>IF($P$40="","",INDEX('Dados'!$G$92:$G$123,$P$40))</f>
        <v/>
      </c>
      <c r="F40" s="17">
        <f>IF($P$40="","",INDEX('Dados'!$H$92:$H$123,$P$40))</f>
        <v/>
      </c>
      <c r="G40" s="17">
        <f>IF($P$40="","",INDEX('Dados'!$I$92:$I$123,$P$40))</f>
        <v/>
      </c>
      <c r="H40" s="17">
        <f>IF($P$40="","",INDEX('Dados'!$J$92:$J$123,$P$40))</f>
        <v/>
      </c>
      <c r="I40" s="17">
        <f>IF($P$40="","",INDEX('Dados'!$K$92:$K$123,$P$40))</f>
        <v/>
      </c>
      <c r="J40" s="17">
        <f>IF($P$40="","","+"&amp;INDEX('Dados'!$L$92:$L$123,$P$40))</f>
        <v/>
      </c>
      <c r="N40" s="19">
        <f>IF(AND(OR(LEN($R$6)=0,$R$6="Todas",$R$6="Faixa "&amp;'Dados'!$D$121),OR(LEN($R$7)=0,$R$7="Todos",$R$7='Dados'!$C$121),OR(LEN($R$8)=0,$R$8="Qualquer",COUNTIF('Dados'!$Q$121:'Dados'!$T$121,$R$8)&gt;0),OR(LEN($R$9)=0,$R$9="Todas",$R$9='Dados'!$E$121),OR(LEN($R$10)=0,$R$10="Todos",COUNTIFS('Tabelas'!$AE$12:$AE$118,'Dados'!$E$121,'Tabelas'!$AF$12:$AF$118,$R$10)+IF(LEN('Dados'!$AD$121)=0,0,COUNTIFS('Tabelas'!$AE$12:$AE$118,'Dados'!$AD$121,'Tabelas'!$AF$12:$AF$118,$R$10))&gt;0),OR($R$11&lt;&gt;"Sim",LEN('Dados'!$U$121)&gt;0),OR($R$12&lt;&gt;"Sim",'Dados'!$F$121&gt;1)),'Dados'!$AB$121*1000+'Dados'!$AC$121*100+30,"")</f>
        <v/>
      </c>
      <c r="P40" s="19">
        <f>IF(22&gt;$O$5,"",MATCH(SMALL($N$11:$N$42,22),$N$11:$N$42,0))</f>
        <v/>
      </c>
    </row>
    <row r="41">
      <c r="N41" s="19">
        <f>IF(AND(OR(LEN($R$6)=0,$R$6="Todas",$R$6="Faixa "&amp;'Dados'!$D$122),OR(LEN($R$7)=0,$R$7="Todos",$R$7='Dados'!$C$122),OR(LEN($R$8)=0,$R$8="Qualquer",COUNTIF('Dados'!$Q$122:'Dados'!$T$122,$R$8)&gt;0),OR(LEN($R$9)=0,$R$9="Todas",$R$9='Dados'!$E$122),OR(LEN($R$10)=0,$R$10="Todos",COUNTIFS('Tabelas'!$AE$12:$AE$118,'Dados'!$E$122,'Tabelas'!$AF$12:$AF$118,$R$10)+IF(LEN('Dados'!$AD$122)=0,0,COUNTIFS('Tabelas'!$AE$12:$AE$118,'Dados'!$AD$122,'Tabelas'!$AF$12:$AF$118,$R$10))&gt;0),OR($R$11&lt;&gt;"Sim",LEN('Dados'!$U$122)&gt;0),OR($R$12&lt;&gt;"Sim",'Dados'!$F$122&gt;1)),'Dados'!$AB$122*1000+'Dados'!$AC$122*100+31,"")</f>
        <v/>
      </c>
    </row>
    <row r="42" ht="26" customHeight="1">
      <c r="A42" s="7" t="inlineStr">
        <is>
          <t>Nome</t>
        </is>
      </c>
      <c r="B42" s="7" t="inlineStr">
        <is>
          <t>Tipo</t>
        </is>
      </c>
      <c r="C42" s="7" t="inlineStr">
        <is>
          <t>Faixa</t>
        </is>
      </c>
      <c r="D42" s="7" t="inlineStr">
        <is>
          <t>Facção ou origem</t>
        </is>
      </c>
      <c r="E42" s="7" t="inlineStr">
        <is>
          <t>PV</t>
        </is>
      </c>
      <c r="F42" s="7" t="inlineStr">
        <is>
          <t>Defesa</t>
        </is>
      </c>
      <c r="G42" s="7" t="inlineStr">
        <is>
          <t>RD</t>
        </is>
      </c>
      <c r="H42" s="7" t="inlineStr">
        <is>
          <t>Tenacidade</t>
        </is>
      </c>
      <c r="I42" s="7" t="inlineStr">
        <is>
          <t>VEL</t>
        </is>
      </c>
      <c r="J42" s="7" t="inlineStr">
        <is>
          <t>Teste de Ataque</t>
        </is>
      </c>
      <c r="N42" s="19">
        <f>IF(AND(OR(LEN($R$6)=0,$R$6="Todas",$R$6="Faixa "&amp;'Dados'!$D$123),OR(LEN($R$7)=0,$R$7="Todos",$R$7='Dados'!$C$123),OR(LEN($R$8)=0,$R$8="Qualquer",COUNTIF('Dados'!$Q$123:'Dados'!$T$123,$R$8)&gt;0),OR(LEN($R$9)=0,$R$9="Todas",$R$9='Dados'!$E$123),OR(LEN($R$10)=0,$R$10="Todos",COUNTIFS('Tabelas'!$AE$12:$AE$118,'Dados'!$E$123,'Tabelas'!$AF$12:$AF$118,$R$10)+IF(LEN('Dados'!$AD$123)=0,0,COUNTIFS('Tabelas'!$AE$12:$AE$118,'Dados'!$AD$123,'Tabelas'!$AF$12:$AF$118,$R$10))&gt;0),OR($R$11&lt;&gt;"Sim",LEN('Dados'!$U$123)&gt;0),OR($R$12&lt;&gt;"Sim",'Dados'!$F$123&gt;1)),'Dados'!$AB$123*1000+'Dados'!$AC$123*100+32,"")</f>
        <v/>
      </c>
    </row>
    <row r="43" ht="37" customHeight="1">
      <c r="A43" s="32">
        <f>IF($P$43="","",INDEX('Dados'!$B$92:$B$123,$P$43))</f>
        <v/>
      </c>
      <c r="B43" s="17">
        <f>IF($P$43="","",INDEX('Dados'!$C$92:$C$123,$P$43))</f>
        <v/>
      </c>
      <c r="C43" s="17">
        <f>IF($P$43="","",INDEX('Dados'!$D$92:$D$123,$P$43))</f>
        <v/>
      </c>
      <c r="D43" s="4">
        <f>IF($P$43="","",INDEX('Dados'!$E$92:$E$123,$P$43))</f>
        <v/>
      </c>
      <c r="E43" s="17">
        <f>IF($P$43="","",INDEX('Dados'!$G$92:$G$123,$P$43))</f>
        <v/>
      </c>
      <c r="F43" s="17">
        <f>IF($P$43="","",INDEX('Dados'!$H$92:$H$123,$P$43))</f>
        <v/>
      </c>
      <c r="G43" s="17">
        <f>IF($P$43="","",INDEX('Dados'!$I$92:$I$123,$P$43))</f>
        <v/>
      </c>
      <c r="H43" s="17">
        <f>IF($P$43="","",INDEX('Dados'!$J$92:$J$123,$P$43))</f>
        <v/>
      </c>
      <c r="I43" s="17">
        <f>IF($P$43="","",INDEX('Dados'!$K$92:$K$123,$P$43))</f>
        <v/>
      </c>
      <c r="J43" s="17">
        <f>IF($P$43="","","+"&amp;INDEX('Dados'!$L$92:$L$123,$P$43))</f>
        <v/>
      </c>
      <c r="P43" s="19">
        <f>IF(23&gt;$O$5,"",MATCH(SMALL($N$11:$N$42,23),$N$11:$N$42,0))</f>
        <v/>
      </c>
    </row>
    <row r="44" ht="37" customHeight="1">
      <c r="A44" s="33">
        <f>IF($P$44="","",INDEX('Dados'!$B$92:$B$123,$P$44))</f>
        <v/>
      </c>
      <c r="B44" s="29">
        <f>IF($P$44="","",INDEX('Dados'!$C$92:$C$123,$P$44))</f>
        <v/>
      </c>
      <c r="C44" s="29">
        <f>IF($P$44="","",INDEX('Dados'!$D$92:$D$123,$P$44))</f>
        <v/>
      </c>
      <c r="D44" s="9">
        <f>IF($P$44="","",INDEX('Dados'!$E$92:$E$123,$P$44))</f>
        <v/>
      </c>
      <c r="E44" s="29">
        <f>IF($P$44="","",INDEX('Dados'!$G$92:$G$123,$P$44))</f>
        <v/>
      </c>
      <c r="F44" s="29">
        <f>IF($P$44="","",INDEX('Dados'!$H$92:$H$123,$P$44))</f>
        <v/>
      </c>
      <c r="G44" s="29">
        <f>IF($P$44="","",INDEX('Dados'!$I$92:$I$123,$P$44))</f>
        <v/>
      </c>
      <c r="H44" s="29">
        <f>IF($P$44="","",INDEX('Dados'!$J$92:$J$123,$P$44))</f>
        <v/>
      </c>
      <c r="I44" s="29">
        <f>IF($P$44="","",INDEX('Dados'!$K$92:$K$123,$P$44))</f>
        <v/>
      </c>
      <c r="J44" s="29">
        <f>IF($P$44="","","+"&amp;INDEX('Dados'!$L$92:$L$123,$P$44))</f>
        <v/>
      </c>
      <c r="P44" s="19">
        <f>IF(24&gt;$O$5,"",MATCH(SMALL($N$11:$N$42,24),$N$11:$N$42,0))</f>
        <v/>
      </c>
    </row>
    <row r="45" ht="37" customHeight="1">
      <c r="A45" s="32">
        <f>IF($P$45="","",INDEX('Dados'!$B$92:$B$123,$P$45))</f>
        <v/>
      </c>
      <c r="B45" s="17">
        <f>IF($P$45="","",INDEX('Dados'!$C$92:$C$123,$P$45))</f>
        <v/>
      </c>
      <c r="C45" s="17">
        <f>IF($P$45="","",INDEX('Dados'!$D$92:$D$123,$P$45))</f>
        <v/>
      </c>
      <c r="D45" s="4">
        <f>IF($P$45="","",INDEX('Dados'!$E$92:$E$123,$P$45))</f>
        <v/>
      </c>
      <c r="E45" s="17">
        <f>IF($P$45="","",INDEX('Dados'!$G$92:$G$123,$P$45))</f>
        <v/>
      </c>
      <c r="F45" s="17">
        <f>IF($P$45="","",INDEX('Dados'!$H$92:$H$123,$P$45))</f>
        <v/>
      </c>
      <c r="G45" s="17">
        <f>IF($P$45="","",INDEX('Dados'!$I$92:$I$123,$P$45))</f>
        <v/>
      </c>
      <c r="H45" s="17">
        <f>IF($P$45="","",INDEX('Dados'!$J$92:$J$123,$P$45))</f>
        <v/>
      </c>
      <c r="I45" s="17">
        <f>IF($P$45="","",INDEX('Dados'!$K$92:$K$123,$P$45))</f>
        <v/>
      </c>
      <c r="J45" s="17">
        <f>IF($P$45="","","+"&amp;INDEX('Dados'!$L$92:$L$123,$P$45))</f>
        <v/>
      </c>
      <c r="P45" s="19">
        <f>IF(25&gt;$O$5,"",MATCH(SMALL($N$11:$N$42,25),$N$11:$N$42,0))</f>
        <v/>
      </c>
    </row>
    <row r="46" ht="37" customHeight="1">
      <c r="A46" s="33">
        <f>IF($P$46="","",INDEX('Dados'!$B$92:$B$123,$P$46))</f>
        <v/>
      </c>
      <c r="B46" s="29">
        <f>IF($P$46="","",INDEX('Dados'!$C$92:$C$123,$P$46))</f>
        <v/>
      </c>
      <c r="C46" s="29">
        <f>IF($P$46="","",INDEX('Dados'!$D$92:$D$123,$P$46))</f>
        <v/>
      </c>
      <c r="D46" s="9">
        <f>IF($P$46="","",INDEX('Dados'!$E$92:$E$123,$P$46))</f>
        <v/>
      </c>
      <c r="E46" s="29">
        <f>IF($P$46="","",INDEX('Dados'!$G$92:$G$123,$P$46))</f>
        <v/>
      </c>
      <c r="F46" s="29">
        <f>IF($P$46="","",INDEX('Dados'!$H$92:$H$123,$P$46))</f>
        <v/>
      </c>
      <c r="G46" s="29">
        <f>IF($P$46="","",INDEX('Dados'!$I$92:$I$123,$P$46))</f>
        <v/>
      </c>
      <c r="H46" s="29">
        <f>IF($P$46="","",INDEX('Dados'!$J$92:$J$123,$P$46))</f>
        <v/>
      </c>
      <c r="I46" s="29">
        <f>IF($P$46="","",INDEX('Dados'!$K$92:$K$123,$P$46))</f>
        <v/>
      </c>
      <c r="J46" s="29">
        <f>IF($P$46="","","+"&amp;INDEX('Dados'!$L$92:$L$123,$P$46))</f>
        <v/>
      </c>
      <c r="P46" s="19">
        <f>IF(26&gt;$O$5,"",MATCH(SMALL($N$11:$N$42,26),$N$11:$N$42,0))</f>
        <v/>
      </c>
    </row>
    <row r="47" ht="37" customHeight="1">
      <c r="A47" s="32">
        <f>IF($P$47="","",INDEX('Dados'!$B$92:$B$123,$P$47))</f>
        <v/>
      </c>
      <c r="B47" s="17">
        <f>IF($P$47="","",INDEX('Dados'!$C$92:$C$123,$P$47))</f>
        <v/>
      </c>
      <c r="C47" s="17">
        <f>IF($P$47="","",INDEX('Dados'!$D$92:$D$123,$P$47))</f>
        <v/>
      </c>
      <c r="D47" s="4">
        <f>IF($P$47="","",INDEX('Dados'!$E$92:$E$123,$P$47))</f>
        <v/>
      </c>
      <c r="E47" s="17">
        <f>IF($P$47="","",INDEX('Dados'!$G$92:$G$123,$P$47))</f>
        <v/>
      </c>
      <c r="F47" s="17">
        <f>IF($P$47="","",INDEX('Dados'!$H$92:$H$123,$P$47))</f>
        <v/>
      </c>
      <c r="G47" s="17">
        <f>IF($P$47="","",INDEX('Dados'!$I$92:$I$123,$P$47))</f>
        <v/>
      </c>
      <c r="H47" s="17">
        <f>IF($P$47="","",INDEX('Dados'!$J$92:$J$123,$P$47))</f>
        <v/>
      </c>
      <c r="I47" s="17">
        <f>IF($P$47="","",INDEX('Dados'!$K$92:$K$123,$P$47))</f>
        <v/>
      </c>
      <c r="J47" s="17">
        <f>IF($P$47="","","+"&amp;INDEX('Dados'!$L$92:$L$123,$P$47))</f>
        <v/>
      </c>
      <c r="P47" s="19">
        <f>IF(27&gt;$O$5,"",MATCH(SMALL($N$11:$N$42,27),$N$11:$N$42,0))</f>
        <v/>
      </c>
    </row>
    <row r="48" ht="37" customHeight="1">
      <c r="A48" s="33">
        <f>IF($P$48="","",INDEX('Dados'!$B$92:$B$123,$P$48))</f>
        <v/>
      </c>
      <c r="B48" s="29">
        <f>IF($P$48="","",INDEX('Dados'!$C$92:$C$123,$P$48))</f>
        <v/>
      </c>
      <c r="C48" s="29">
        <f>IF($P$48="","",INDEX('Dados'!$D$92:$D$123,$P$48))</f>
        <v/>
      </c>
      <c r="D48" s="9">
        <f>IF($P$48="","",INDEX('Dados'!$E$92:$E$123,$P$48))</f>
        <v/>
      </c>
      <c r="E48" s="29">
        <f>IF($P$48="","",INDEX('Dados'!$G$92:$G$123,$P$48))</f>
        <v/>
      </c>
      <c r="F48" s="29">
        <f>IF($P$48="","",INDEX('Dados'!$H$92:$H$123,$P$48))</f>
        <v/>
      </c>
      <c r="G48" s="29">
        <f>IF($P$48="","",INDEX('Dados'!$I$92:$I$123,$P$48))</f>
        <v/>
      </c>
      <c r="H48" s="29">
        <f>IF($P$48="","",INDEX('Dados'!$J$92:$J$123,$P$48))</f>
        <v/>
      </c>
      <c r="I48" s="29">
        <f>IF($P$48="","",INDEX('Dados'!$K$92:$K$123,$P$48))</f>
        <v/>
      </c>
      <c r="J48" s="29">
        <f>IF($P$48="","","+"&amp;INDEX('Dados'!$L$92:$L$123,$P$48))</f>
        <v/>
      </c>
      <c r="P48" s="19">
        <f>IF(28&gt;$O$5,"",MATCH(SMALL($N$11:$N$42,28),$N$11:$N$42,0))</f>
        <v/>
      </c>
    </row>
    <row r="49" ht="37" customHeight="1">
      <c r="A49" s="32">
        <f>IF($P$49="","",INDEX('Dados'!$B$92:$B$123,$P$49))</f>
        <v/>
      </c>
      <c r="B49" s="17">
        <f>IF($P$49="","",INDEX('Dados'!$C$92:$C$123,$P$49))</f>
        <v/>
      </c>
      <c r="C49" s="17">
        <f>IF($P$49="","",INDEX('Dados'!$D$92:$D$123,$P$49))</f>
        <v/>
      </c>
      <c r="D49" s="4">
        <f>IF($P$49="","",INDEX('Dados'!$E$92:$E$123,$P$49))</f>
        <v/>
      </c>
      <c r="E49" s="17">
        <f>IF($P$49="","",INDEX('Dados'!$G$92:$G$123,$P$49))</f>
        <v/>
      </c>
      <c r="F49" s="17">
        <f>IF($P$49="","",INDEX('Dados'!$H$92:$H$123,$P$49))</f>
        <v/>
      </c>
      <c r="G49" s="17">
        <f>IF($P$49="","",INDEX('Dados'!$I$92:$I$123,$P$49))</f>
        <v/>
      </c>
      <c r="H49" s="17">
        <f>IF($P$49="","",INDEX('Dados'!$J$92:$J$123,$P$49))</f>
        <v/>
      </c>
      <c r="I49" s="17">
        <f>IF($P$49="","",INDEX('Dados'!$K$92:$K$123,$P$49))</f>
        <v/>
      </c>
      <c r="J49" s="17">
        <f>IF($P$49="","","+"&amp;INDEX('Dados'!$L$92:$L$123,$P$49))</f>
        <v/>
      </c>
      <c r="P49" s="19">
        <f>IF(29&gt;$O$5,"",MATCH(SMALL($N$11:$N$42,29),$N$11:$N$42,0))</f>
        <v/>
      </c>
    </row>
    <row r="50" ht="37" customHeight="1">
      <c r="A50" s="33">
        <f>IF($P$50="","",INDEX('Dados'!$B$92:$B$123,$P$50))</f>
        <v/>
      </c>
      <c r="B50" s="29">
        <f>IF($P$50="","",INDEX('Dados'!$C$92:$C$123,$P$50))</f>
        <v/>
      </c>
      <c r="C50" s="29">
        <f>IF($P$50="","",INDEX('Dados'!$D$92:$D$123,$P$50))</f>
        <v/>
      </c>
      <c r="D50" s="9">
        <f>IF($P$50="","",INDEX('Dados'!$E$92:$E$123,$P$50))</f>
        <v/>
      </c>
      <c r="E50" s="29">
        <f>IF($P$50="","",INDEX('Dados'!$G$92:$G$123,$P$50))</f>
        <v/>
      </c>
      <c r="F50" s="29">
        <f>IF($P$50="","",INDEX('Dados'!$H$92:$H$123,$P$50))</f>
        <v/>
      </c>
      <c r="G50" s="29">
        <f>IF($P$50="","",INDEX('Dados'!$I$92:$I$123,$P$50))</f>
        <v/>
      </c>
      <c r="H50" s="29">
        <f>IF($P$50="","",INDEX('Dados'!$J$92:$J$123,$P$50))</f>
        <v/>
      </c>
      <c r="I50" s="29">
        <f>IF($P$50="","",INDEX('Dados'!$K$92:$K$123,$P$50))</f>
        <v/>
      </c>
      <c r="J50" s="29">
        <f>IF($P$50="","","+"&amp;INDEX('Dados'!$L$92:$L$123,$P$50))</f>
        <v/>
      </c>
      <c r="P50" s="19">
        <f>IF(30&gt;$O$5,"",MATCH(SMALL($N$11:$N$42,30),$N$11:$N$42,0))</f>
        <v/>
      </c>
    </row>
    <row r="51" ht="37" customHeight="1">
      <c r="A51" s="32">
        <f>IF($P$51="","",INDEX('Dados'!$B$92:$B$123,$P$51))</f>
        <v/>
      </c>
      <c r="B51" s="17">
        <f>IF($P$51="","",INDEX('Dados'!$C$92:$C$123,$P$51))</f>
        <v/>
      </c>
      <c r="C51" s="17">
        <f>IF($P$51="","",INDEX('Dados'!$D$92:$D$123,$P$51))</f>
        <v/>
      </c>
      <c r="D51" s="4">
        <f>IF($P$51="","",INDEX('Dados'!$E$92:$E$123,$P$51))</f>
        <v/>
      </c>
      <c r="E51" s="17">
        <f>IF($P$51="","",INDEX('Dados'!$G$92:$G$123,$P$51))</f>
        <v/>
      </c>
      <c r="F51" s="17">
        <f>IF($P$51="","",INDEX('Dados'!$H$92:$H$123,$P$51))</f>
        <v/>
      </c>
      <c r="G51" s="17">
        <f>IF($P$51="","",INDEX('Dados'!$I$92:$I$123,$P$51))</f>
        <v/>
      </c>
      <c r="H51" s="17">
        <f>IF($P$51="","",INDEX('Dados'!$J$92:$J$123,$P$51))</f>
        <v/>
      </c>
      <c r="I51" s="17">
        <f>IF($P$51="","",INDEX('Dados'!$K$92:$K$123,$P$51))</f>
        <v/>
      </c>
      <c r="J51" s="17">
        <f>IF($P$51="","","+"&amp;INDEX('Dados'!$L$92:$L$123,$P$51))</f>
        <v/>
      </c>
      <c r="P51" s="19">
        <f>IF(31&gt;$O$5,"",MATCH(SMALL($N$11:$N$42,31),$N$11:$N$42,0))</f>
        <v/>
      </c>
    </row>
    <row r="52" ht="37" customHeight="1">
      <c r="A52" s="33">
        <f>IF($P$52="","",INDEX('Dados'!$B$92:$B$123,$P$52))</f>
        <v/>
      </c>
      <c r="B52" s="29">
        <f>IF($P$52="","",INDEX('Dados'!$C$92:$C$123,$P$52))</f>
        <v/>
      </c>
      <c r="C52" s="29">
        <f>IF($P$52="","",INDEX('Dados'!$D$92:$D$123,$P$52))</f>
        <v/>
      </c>
      <c r="D52" s="9">
        <f>IF($P$52="","",INDEX('Dados'!$E$92:$E$123,$P$52))</f>
        <v/>
      </c>
      <c r="E52" s="29">
        <f>IF($P$52="","",INDEX('Dados'!$G$92:$G$123,$P$52))</f>
        <v/>
      </c>
      <c r="F52" s="29">
        <f>IF($P$52="","",INDEX('Dados'!$H$92:$H$123,$P$52))</f>
        <v/>
      </c>
      <c r="G52" s="29">
        <f>IF($P$52="","",INDEX('Dados'!$I$92:$I$123,$P$52))</f>
        <v/>
      </c>
      <c r="H52" s="29">
        <f>IF($P$52="","",INDEX('Dados'!$J$92:$J$123,$P$52))</f>
        <v/>
      </c>
      <c r="I52" s="29">
        <f>IF($P$52="","",INDEX('Dados'!$K$92:$K$123,$P$52))</f>
        <v/>
      </c>
      <c r="J52" s="29">
        <f>IF($P$52="","","+"&amp;INDEX('Dados'!$L$92:$L$123,$P$52))</f>
        <v/>
      </c>
      <c r="P52" s="19">
        <f>IF(32&gt;$O$5,"",MATCH(SMALL($N$11:$N$42,32),$N$11:$N$42,0))</f>
        <v/>
      </c>
    </row>
    <row r="53"/>
    <row r="54"/>
    <row r="55" ht="20" customHeight="1">
      <c r="A55" s="12" t="inlineStr">
        <is>
          <t>B2 · Dano, Fraquezas e Execução (automático)</t>
        </is>
      </c>
    </row>
    <row r="56">
      <c r="A56" s="7" t="inlineStr">
        <is>
          <t>Nome</t>
        </is>
      </c>
      <c r="B56" s="7" t="inlineStr">
        <is>
          <t>Dano por acerto</t>
        </is>
      </c>
      <c r="C56" s="20" t="n"/>
      <c r="D56" s="7" t="inlineStr">
        <is>
          <t>DT · Teste de Resistência</t>
        </is>
      </c>
      <c r="E56" s="20" t="n"/>
      <c r="F56" s="7" t="inlineStr">
        <is>
          <t>Fraquezas da fase 1</t>
        </is>
      </c>
      <c r="G56" s="20" t="n"/>
      <c r="H56" s="7" t="inlineStr">
        <is>
          <t>Resistência</t>
        </is>
      </c>
      <c r="I56" s="7" t="inlineStr">
        <is>
          <t>Fases</t>
        </is>
      </c>
      <c r="J56" s="7" t="inlineStr">
        <is>
          <t>Execução</t>
        </is>
      </c>
    </row>
    <row r="57" ht="37" customHeight="1">
      <c r="A57" s="32">
        <f>IF($P$17="","",INDEX('Dados'!$B$92:$B$123,$P$17))</f>
        <v/>
      </c>
      <c r="B57" s="4">
        <f>IF($P$17="","",INDEX('Dados'!$M$92:$M$123,$P$17)&amp;" · média "&amp;INDEX('Dados'!$N$92:$N$123,$P$17))</f>
        <v/>
      </c>
      <c r="D57" s="17">
        <f>IF($P$17="","","DT "&amp;INDEX('Dados'!$O$92:$O$123,$P$17)&amp;" · TR +"&amp;INDEX('Dados'!$P$92:$P$123,$P$17))</f>
        <v/>
      </c>
      <c r="F57" s="4">
        <f>IF($P$17="","",INDEX('Dados'!$AE$92:$AE$123,$P$17))</f>
        <v/>
      </c>
      <c r="H57" s="17">
        <f>IF($P$17="","",IF(LEN(INDEX('Dados'!$U$92:$U$123,$P$17))&gt;0,INDEX('Dados'!$U$92:$U$123,$P$17),"—"))</f>
        <v/>
      </c>
      <c r="I57" s="17">
        <f>IF($P$17="","",INDEX('Dados'!$F$92:$F$123,$P$17))</f>
        <v/>
      </c>
      <c r="J57" s="17">
        <f>IF($P$17="","",INDEX('Dados'!$V$92:$V$123,$P$17))</f>
        <v/>
      </c>
    </row>
    <row r="58" ht="37" customHeight="1">
      <c r="A58" s="33">
        <f>IF($P$18="","",INDEX('Dados'!$B$92:$B$123,$P$18))</f>
        <v/>
      </c>
      <c r="B58" s="9">
        <f>IF($P$18="","",INDEX('Dados'!$M$92:$M$123,$P$18)&amp;" · média "&amp;INDEX('Dados'!$N$92:$N$123,$P$18))</f>
        <v/>
      </c>
      <c r="D58" s="29">
        <f>IF($P$18="","","DT "&amp;INDEX('Dados'!$O$92:$O$123,$P$18)&amp;" · TR +"&amp;INDEX('Dados'!$P$92:$P$123,$P$18))</f>
        <v/>
      </c>
      <c r="F58" s="9">
        <f>IF($P$18="","",INDEX('Dados'!$AE$92:$AE$123,$P$18))</f>
        <v/>
      </c>
      <c r="H58" s="29">
        <f>IF($P$18="","",IF(LEN(INDEX('Dados'!$U$92:$U$123,$P$18))&gt;0,INDEX('Dados'!$U$92:$U$123,$P$18),"—"))</f>
        <v/>
      </c>
      <c r="I58" s="29">
        <f>IF($P$18="","",INDEX('Dados'!$F$92:$F$123,$P$18))</f>
        <v/>
      </c>
      <c r="J58" s="29">
        <f>IF($P$18="","",INDEX('Dados'!$V$92:$V$123,$P$18))</f>
        <v/>
      </c>
    </row>
    <row r="59" ht="37" customHeight="1">
      <c r="A59" s="32">
        <f>IF($P$19="","",INDEX('Dados'!$B$92:$B$123,$P$19))</f>
        <v/>
      </c>
      <c r="B59" s="4">
        <f>IF($P$19="","",INDEX('Dados'!$M$92:$M$123,$P$19)&amp;" · média "&amp;INDEX('Dados'!$N$92:$N$123,$P$19))</f>
        <v/>
      </c>
      <c r="D59" s="17">
        <f>IF($P$19="","","DT "&amp;INDEX('Dados'!$O$92:$O$123,$P$19)&amp;" · TR +"&amp;INDEX('Dados'!$P$92:$P$123,$P$19))</f>
        <v/>
      </c>
      <c r="F59" s="4">
        <f>IF($P$19="","",INDEX('Dados'!$AE$92:$AE$123,$P$19))</f>
        <v/>
      </c>
      <c r="H59" s="17">
        <f>IF($P$19="","",IF(LEN(INDEX('Dados'!$U$92:$U$123,$P$19))&gt;0,INDEX('Dados'!$U$92:$U$123,$P$19),"—"))</f>
        <v/>
      </c>
      <c r="I59" s="17">
        <f>IF($P$19="","",INDEX('Dados'!$F$92:$F$123,$P$19))</f>
        <v/>
      </c>
      <c r="J59" s="17">
        <f>IF($P$19="","",INDEX('Dados'!$V$92:$V$123,$P$19))</f>
        <v/>
      </c>
    </row>
    <row r="60" ht="37" customHeight="1">
      <c r="A60" s="33">
        <f>IF($P$20="","",INDEX('Dados'!$B$92:$B$123,$P$20))</f>
        <v/>
      </c>
      <c r="B60" s="9">
        <f>IF($P$20="","",INDEX('Dados'!$M$92:$M$123,$P$20)&amp;" · média "&amp;INDEX('Dados'!$N$92:$N$123,$P$20))</f>
        <v/>
      </c>
      <c r="D60" s="29">
        <f>IF($P$20="","","DT "&amp;INDEX('Dados'!$O$92:$O$123,$P$20)&amp;" · TR +"&amp;INDEX('Dados'!$P$92:$P$123,$P$20))</f>
        <v/>
      </c>
      <c r="F60" s="9">
        <f>IF($P$20="","",INDEX('Dados'!$AE$92:$AE$123,$P$20))</f>
        <v/>
      </c>
      <c r="H60" s="29">
        <f>IF($P$20="","",IF(LEN(INDEX('Dados'!$U$92:$U$123,$P$20))&gt;0,INDEX('Dados'!$U$92:$U$123,$P$20),"—"))</f>
        <v/>
      </c>
      <c r="I60" s="29">
        <f>IF($P$20="","",INDEX('Dados'!$F$92:$F$123,$P$20))</f>
        <v/>
      </c>
      <c r="J60" s="29">
        <f>IF($P$20="","",INDEX('Dados'!$V$92:$V$123,$P$20))</f>
        <v/>
      </c>
    </row>
    <row r="61" ht="37" customHeight="1">
      <c r="A61" s="32">
        <f>IF($P$21="","",INDEX('Dados'!$B$92:$B$123,$P$21))</f>
        <v/>
      </c>
      <c r="B61" s="4">
        <f>IF($P$21="","",INDEX('Dados'!$M$92:$M$123,$P$21)&amp;" · média "&amp;INDEX('Dados'!$N$92:$N$123,$P$21))</f>
        <v/>
      </c>
      <c r="D61" s="17">
        <f>IF($P$21="","","DT "&amp;INDEX('Dados'!$O$92:$O$123,$P$21)&amp;" · TR +"&amp;INDEX('Dados'!$P$92:$P$123,$P$21))</f>
        <v/>
      </c>
      <c r="F61" s="4">
        <f>IF($P$21="","",INDEX('Dados'!$AE$92:$AE$123,$P$21))</f>
        <v/>
      </c>
      <c r="H61" s="17">
        <f>IF($P$21="","",IF(LEN(INDEX('Dados'!$U$92:$U$123,$P$21))&gt;0,INDEX('Dados'!$U$92:$U$123,$P$21),"—"))</f>
        <v/>
      </c>
      <c r="I61" s="17">
        <f>IF($P$21="","",INDEX('Dados'!$F$92:$F$123,$P$21))</f>
        <v/>
      </c>
      <c r="J61" s="17">
        <f>IF($P$21="","",INDEX('Dados'!$V$92:$V$123,$P$21))</f>
        <v/>
      </c>
    </row>
    <row r="62" ht="37" customHeight="1">
      <c r="A62" s="33">
        <f>IF($P$22="","",INDEX('Dados'!$B$92:$B$123,$P$22))</f>
        <v/>
      </c>
      <c r="B62" s="9">
        <f>IF($P$22="","",INDEX('Dados'!$M$92:$M$123,$P$22)&amp;" · média "&amp;INDEX('Dados'!$N$92:$N$123,$P$22))</f>
        <v/>
      </c>
      <c r="D62" s="29">
        <f>IF($P$22="","","DT "&amp;INDEX('Dados'!$O$92:$O$123,$P$22)&amp;" · TR +"&amp;INDEX('Dados'!$P$92:$P$123,$P$22))</f>
        <v/>
      </c>
      <c r="F62" s="9">
        <f>IF($P$22="","",INDEX('Dados'!$AE$92:$AE$123,$P$22))</f>
        <v/>
      </c>
      <c r="H62" s="29">
        <f>IF($P$22="","",IF(LEN(INDEX('Dados'!$U$92:$U$123,$P$22))&gt;0,INDEX('Dados'!$U$92:$U$123,$P$22),"—"))</f>
        <v/>
      </c>
      <c r="I62" s="29">
        <f>IF($P$22="","",INDEX('Dados'!$F$92:$F$123,$P$22))</f>
        <v/>
      </c>
      <c r="J62" s="29">
        <f>IF($P$22="","",INDEX('Dados'!$V$92:$V$123,$P$22))</f>
        <v/>
      </c>
    </row>
    <row r="63" ht="37" customHeight="1">
      <c r="A63" s="32">
        <f>IF($P$23="","",INDEX('Dados'!$B$92:$B$123,$P$23))</f>
        <v/>
      </c>
      <c r="B63" s="4">
        <f>IF($P$23="","",INDEX('Dados'!$M$92:$M$123,$P$23)&amp;" · média "&amp;INDEX('Dados'!$N$92:$N$123,$P$23))</f>
        <v/>
      </c>
      <c r="D63" s="17">
        <f>IF($P$23="","","DT "&amp;INDEX('Dados'!$O$92:$O$123,$P$23)&amp;" · TR +"&amp;INDEX('Dados'!$P$92:$P$123,$P$23))</f>
        <v/>
      </c>
      <c r="F63" s="4">
        <f>IF($P$23="","",INDEX('Dados'!$AE$92:$AE$123,$P$23))</f>
        <v/>
      </c>
      <c r="H63" s="17">
        <f>IF($P$23="","",IF(LEN(INDEX('Dados'!$U$92:$U$123,$P$23))&gt;0,INDEX('Dados'!$U$92:$U$123,$P$23),"—"))</f>
        <v/>
      </c>
      <c r="I63" s="17">
        <f>IF($P$23="","",INDEX('Dados'!$F$92:$F$123,$P$23))</f>
        <v/>
      </c>
      <c r="J63" s="17">
        <f>IF($P$23="","",INDEX('Dados'!$V$92:$V$123,$P$23))</f>
        <v/>
      </c>
    </row>
    <row r="64" ht="37" customHeight="1">
      <c r="A64" s="33">
        <f>IF($P$24="","",INDEX('Dados'!$B$92:$B$123,$P$24))</f>
        <v/>
      </c>
      <c r="B64" s="9">
        <f>IF($P$24="","",INDEX('Dados'!$M$92:$M$123,$P$24)&amp;" · média "&amp;INDEX('Dados'!$N$92:$N$123,$P$24))</f>
        <v/>
      </c>
      <c r="D64" s="29">
        <f>IF($P$24="","","DT "&amp;INDEX('Dados'!$O$92:$O$123,$P$24)&amp;" · TR +"&amp;INDEX('Dados'!$P$92:$P$123,$P$24))</f>
        <v/>
      </c>
      <c r="F64" s="9">
        <f>IF($P$24="","",INDEX('Dados'!$AE$92:$AE$123,$P$24))</f>
        <v/>
      </c>
      <c r="H64" s="29">
        <f>IF($P$24="","",IF(LEN(INDEX('Dados'!$U$92:$U$123,$P$24))&gt;0,INDEX('Dados'!$U$92:$U$123,$P$24),"—"))</f>
        <v/>
      </c>
      <c r="I64" s="29">
        <f>IF($P$24="","",INDEX('Dados'!$F$92:$F$123,$P$24))</f>
        <v/>
      </c>
      <c r="J64" s="29">
        <f>IF($P$24="","",INDEX('Dados'!$V$92:$V$123,$P$24))</f>
        <v/>
      </c>
    </row>
    <row r="65" ht="37" customHeight="1">
      <c r="A65" s="32">
        <f>IF($P$25="","",INDEX('Dados'!$B$92:$B$123,$P$25))</f>
        <v/>
      </c>
      <c r="B65" s="4">
        <f>IF($P$25="","",INDEX('Dados'!$M$92:$M$123,$P$25)&amp;" · média "&amp;INDEX('Dados'!$N$92:$N$123,$P$25))</f>
        <v/>
      </c>
      <c r="D65" s="17">
        <f>IF($P$25="","","DT "&amp;INDEX('Dados'!$O$92:$O$123,$P$25)&amp;" · TR +"&amp;INDEX('Dados'!$P$92:$P$123,$P$25))</f>
        <v/>
      </c>
      <c r="F65" s="4">
        <f>IF($P$25="","",INDEX('Dados'!$AE$92:$AE$123,$P$25))</f>
        <v/>
      </c>
      <c r="H65" s="17">
        <f>IF($P$25="","",IF(LEN(INDEX('Dados'!$U$92:$U$123,$P$25))&gt;0,INDEX('Dados'!$U$92:$U$123,$P$25),"—"))</f>
        <v/>
      </c>
      <c r="I65" s="17">
        <f>IF($P$25="","",INDEX('Dados'!$F$92:$F$123,$P$25))</f>
        <v/>
      </c>
      <c r="J65" s="17">
        <f>IF($P$25="","",INDEX('Dados'!$V$92:$V$123,$P$25))</f>
        <v/>
      </c>
    </row>
    <row r="66" ht="37" customHeight="1">
      <c r="A66" s="33">
        <f>IF($P$26="","",INDEX('Dados'!$B$92:$B$123,$P$26))</f>
        <v/>
      </c>
      <c r="B66" s="9">
        <f>IF($P$26="","",INDEX('Dados'!$M$92:$M$123,$P$26)&amp;" · média "&amp;INDEX('Dados'!$N$92:$N$123,$P$26))</f>
        <v/>
      </c>
      <c r="D66" s="29">
        <f>IF($P$26="","","DT "&amp;INDEX('Dados'!$O$92:$O$123,$P$26)&amp;" · TR +"&amp;INDEX('Dados'!$P$92:$P$123,$P$26))</f>
        <v/>
      </c>
      <c r="F66" s="9">
        <f>IF($P$26="","",INDEX('Dados'!$AE$92:$AE$123,$P$26))</f>
        <v/>
      </c>
      <c r="H66" s="29">
        <f>IF($P$26="","",IF(LEN(INDEX('Dados'!$U$92:$U$123,$P$26))&gt;0,INDEX('Dados'!$U$92:$U$123,$P$26),"—"))</f>
        <v/>
      </c>
      <c r="I66" s="29">
        <f>IF($P$26="","",INDEX('Dados'!$F$92:$F$123,$P$26))</f>
        <v/>
      </c>
      <c r="J66" s="29">
        <f>IF($P$26="","",INDEX('Dados'!$V$92:$V$123,$P$26))</f>
        <v/>
      </c>
    </row>
    <row r="67" ht="37" customHeight="1">
      <c r="A67" s="32">
        <f>IF($P$27="","",INDEX('Dados'!$B$92:$B$123,$P$27))</f>
        <v/>
      </c>
      <c r="B67" s="4">
        <f>IF($P$27="","",INDEX('Dados'!$M$92:$M$123,$P$27)&amp;" · média "&amp;INDEX('Dados'!$N$92:$N$123,$P$27))</f>
        <v/>
      </c>
      <c r="D67" s="17">
        <f>IF($P$27="","","DT "&amp;INDEX('Dados'!$O$92:$O$123,$P$27)&amp;" · TR +"&amp;INDEX('Dados'!$P$92:$P$123,$P$27))</f>
        <v/>
      </c>
      <c r="F67" s="4">
        <f>IF($P$27="","",INDEX('Dados'!$AE$92:$AE$123,$P$27))</f>
        <v/>
      </c>
      <c r="H67" s="17">
        <f>IF($P$27="","",IF(LEN(INDEX('Dados'!$U$92:$U$123,$P$27))&gt;0,INDEX('Dados'!$U$92:$U$123,$P$27),"—"))</f>
        <v/>
      </c>
      <c r="I67" s="17">
        <f>IF($P$27="","",INDEX('Dados'!$F$92:$F$123,$P$27))</f>
        <v/>
      </c>
      <c r="J67" s="17">
        <f>IF($P$27="","",INDEX('Dados'!$V$92:$V$123,$P$27))</f>
        <v/>
      </c>
    </row>
    <row r="68"/>
    <row r="69">
      <c r="A69" s="7" t="inlineStr">
        <is>
          <t>Nome</t>
        </is>
      </c>
      <c r="B69" s="7" t="inlineStr">
        <is>
          <t>Dano por acerto</t>
        </is>
      </c>
      <c r="C69" s="20" t="n"/>
      <c r="D69" s="7" t="inlineStr">
        <is>
          <t>DT · Teste de Resistência</t>
        </is>
      </c>
      <c r="E69" s="20" t="n"/>
      <c r="F69" s="7" t="inlineStr">
        <is>
          <t>Fraquezas da fase 1</t>
        </is>
      </c>
      <c r="G69" s="20" t="n"/>
      <c r="H69" s="7" t="inlineStr">
        <is>
          <t>Resistência</t>
        </is>
      </c>
      <c r="I69" s="7" t="inlineStr">
        <is>
          <t>Fases</t>
        </is>
      </c>
      <c r="J69" s="7" t="inlineStr">
        <is>
          <t>Execução</t>
        </is>
      </c>
    </row>
    <row r="70" ht="37" customHeight="1">
      <c r="A70" s="32">
        <f>IF($P$30="","",INDEX('Dados'!$B$92:$B$123,$P$30))</f>
        <v/>
      </c>
      <c r="B70" s="4">
        <f>IF($P$30="","",INDEX('Dados'!$M$92:$M$123,$P$30)&amp;" · média "&amp;INDEX('Dados'!$N$92:$N$123,$P$30))</f>
        <v/>
      </c>
      <c r="D70" s="17">
        <f>IF($P$30="","","DT "&amp;INDEX('Dados'!$O$92:$O$123,$P$30)&amp;" · TR +"&amp;INDEX('Dados'!$P$92:$P$123,$P$30))</f>
        <v/>
      </c>
      <c r="F70" s="4">
        <f>IF($P$30="","",INDEX('Dados'!$AE$92:$AE$123,$P$30))</f>
        <v/>
      </c>
      <c r="H70" s="17">
        <f>IF($P$30="","",IF(LEN(INDEX('Dados'!$U$92:$U$123,$P$30))&gt;0,INDEX('Dados'!$U$92:$U$123,$P$30),"—"))</f>
        <v/>
      </c>
      <c r="I70" s="17">
        <f>IF($P$30="","",INDEX('Dados'!$F$92:$F$123,$P$30))</f>
        <v/>
      </c>
      <c r="J70" s="17">
        <f>IF($P$30="","",INDEX('Dados'!$V$92:$V$123,$P$30))</f>
        <v/>
      </c>
    </row>
    <row r="71" ht="37" customHeight="1">
      <c r="A71" s="33">
        <f>IF($P$31="","",INDEX('Dados'!$B$92:$B$123,$P$31))</f>
        <v/>
      </c>
      <c r="B71" s="9">
        <f>IF($P$31="","",INDEX('Dados'!$M$92:$M$123,$P$31)&amp;" · média "&amp;INDEX('Dados'!$N$92:$N$123,$P$31))</f>
        <v/>
      </c>
      <c r="D71" s="29">
        <f>IF($P$31="","","DT "&amp;INDEX('Dados'!$O$92:$O$123,$P$31)&amp;" · TR +"&amp;INDEX('Dados'!$P$92:$P$123,$P$31))</f>
        <v/>
      </c>
      <c r="F71" s="9">
        <f>IF($P$31="","",INDEX('Dados'!$AE$92:$AE$123,$P$31))</f>
        <v/>
      </c>
      <c r="H71" s="29">
        <f>IF($P$31="","",IF(LEN(INDEX('Dados'!$U$92:$U$123,$P$31))&gt;0,INDEX('Dados'!$U$92:$U$123,$P$31),"—"))</f>
        <v/>
      </c>
      <c r="I71" s="29">
        <f>IF($P$31="","",INDEX('Dados'!$F$92:$F$123,$P$31))</f>
        <v/>
      </c>
      <c r="J71" s="29">
        <f>IF($P$31="","",INDEX('Dados'!$V$92:$V$123,$P$31))</f>
        <v/>
      </c>
    </row>
    <row r="72" ht="37" customHeight="1">
      <c r="A72" s="32">
        <f>IF($P$32="","",INDEX('Dados'!$B$92:$B$123,$P$32))</f>
        <v/>
      </c>
      <c r="B72" s="4">
        <f>IF($P$32="","",INDEX('Dados'!$M$92:$M$123,$P$32)&amp;" · média "&amp;INDEX('Dados'!$N$92:$N$123,$P$32))</f>
        <v/>
      </c>
      <c r="D72" s="17">
        <f>IF($P$32="","","DT "&amp;INDEX('Dados'!$O$92:$O$123,$P$32)&amp;" · TR +"&amp;INDEX('Dados'!$P$92:$P$123,$P$32))</f>
        <v/>
      </c>
      <c r="F72" s="4">
        <f>IF($P$32="","",INDEX('Dados'!$AE$92:$AE$123,$P$32))</f>
        <v/>
      </c>
      <c r="H72" s="17">
        <f>IF($P$32="","",IF(LEN(INDEX('Dados'!$U$92:$U$123,$P$32))&gt;0,INDEX('Dados'!$U$92:$U$123,$P$32),"—"))</f>
        <v/>
      </c>
      <c r="I72" s="17">
        <f>IF($P$32="","",INDEX('Dados'!$F$92:$F$123,$P$32))</f>
        <v/>
      </c>
      <c r="J72" s="17">
        <f>IF($P$32="","",INDEX('Dados'!$V$92:$V$123,$P$32))</f>
        <v/>
      </c>
    </row>
    <row r="73" ht="37" customHeight="1">
      <c r="A73" s="33">
        <f>IF($P$33="","",INDEX('Dados'!$B$92:$B$123,$P$33))</f>
        <v/>
      </c>
      <c r="B73" s="9">
        <f>IF($P$33="","",INDEX('Dados'!$M$92:$M$123,$P$33)&amp;" · média "&amp;INDEX('Dados'!$N$92:$N$123,$P$33))</f>
        <v/>
      </c>
      <c r="D73" s="29">
        <f>IF($P$33="","","DT "&amp;INDEX('Dados'!$O$92:$O$123,$P$33)&amp;" · TR +"&amp;INDEX('Dados'!$P$92:$P$123,$P$33))</f>
        <v/>
      </c>
      <c r="F73" s="9">
        <f>IF($P$33="","",INDEX('Dados'!$AE$92:$AE$123,$P$33))</f>
        <v/>
      </c>
      <c r="H73" s="29">
        <f>IF($P$33="","",IF(LEN(INDEX('Dados'!$U$92:$U$123,$P$33))&gt;0,INDEX('Dados'!$U$92:$U$123,$P$33),"—"))</f>
        <v/>
      </c>
      <c r="I73" s="29">
        <f>IF($P$33="","",INDEX('Dados'!$F$92:$F$123,$P$33))</f>
        <v/>
      </c>
      <c r="J73" s="29">
        <f>IF($P$33="","",INDEX('Dados'!$V$92:$V$123,$P$33))</f>
        <v/>
      </c>
    </row>
    <row r="74" ht="37" customHeight="1">
      <c r="A74" s="32">
        <f>IF($P$34="","",INDEX('Dados'!$B$92:$B$123,$P$34))</f>
        <v/>
      </c>
      <c r="B74" s="4">
        <f>IF($P$34="","",INDEX('Dados'!$M$92:$M$123,$P$34)&amp;" · média "&amp;INDEX('Dados'!$N$92:$N$123,$P$34))</f>
        <v/>
      </c>
      <c r="D74" s="17">
        <f>IF($P$34="","","DT "&amp;INDEX('Dados'!$O$92:$O$123,$P$34)&amp;" · TR +"&amp;INDEX('Dados'!$P$92:$P$123,$P$34))</f>
        <v/>
      </c>
      <c r="F74" s="4">
        <f>IF($P$34="","",INDEX('Dados'!$AE$92:$AE$123,$P$34))</f>
        <v/>
      </c>
      <c r="H74" s="17">
        <f>IF($P$34="","",IF(LEN(INDEX('Dados'!$U$92:$U$123,$P$34))&gt;0,INDEX('Dados'!$U$92:$U$123,$P$34),"—"))</f>
        <v/>
      </c>
      <c r="I74" s="17">
        <f>IF($P$34="","",INDEX('Dados'!$F$92:$F$123,$P$34))</f>
        <v/>
      </c>
      <c r="J74" s="17">
        <f>IF($P$34="","",INDEX('Dados'!$V$92:$V$123,$P$34))</f>
        <v/>
      </c>
    </row>
    <row r="75" ht="37" customHeight="1">
      <c r="A75" s="33">
        <f>IF($P$35="","",INDEX('Dados'!$B$92:$B$123,$P$35))</f>
        <v/>
      </c>
      <c r="B75" s="9">
        <f>IF($P$35="","",INDEX('Dados'!$M$92:$M$123,$P$35)&amp;" · média "&amp;INDEX('Dados'!$N$92:$N$123,$P$35))</f>
        <v/>
      </c>
      <c r="D75" s="29">
        <f>IF($P$35="","","DT "&amp;INDEX('Dados'!$O$92:$O$123,$P$35)&amp;" · TR +"&amp;INDEX('Dados'!$P$92:$P$123,$P$35))</f>
        <v/>
      </c>
      <c r="F75" s="9">
        <f>IF($P$35="","",INDEX('Dados'!$AE$92:$AE$123,$P$35))</f>
        <v/>
      </c>
      <c r="H75" s="29">
        <f>IF($P$35="","",IF(LEN(INDEX('Dados'!$U$92:$U$123,$P$35))&gt;0,INDEX('Dados'!$U$92:$U$123,$P$35),"—"))</f>
        <v/>
      </c>
      <c r="I75" s="29">
        <f>IF($P$35="","",INDEX('Dados'!$F$92:$F$123,$P$35))</f>
        <v/>
      </c>
      <c r="J75" s="29">
        <f>IF($P$35="","",INDEX('Dados'!$V$92:$V$123,$P$35))</f>
        <v/>
      </c>
    </row>
    <row r="76" ht="37" customHeight="1">
      <c r="A76" s="32">
        <f>IF($P$36="","",INDEX('Dados'!$B$92:$B$123,$P$36))</f>
        <v/>
      </c>
      <c r="B76" s="4">
        <f>IF($P$36="","",INDEX('Dados'!$M$92:$M$123,$P$36)&amp;" · média "&amp;INDEX('Dados'!$N$92:$N$123,$P$36))</f>
        <v/>
      </c>
      <c r="D76" s="17">
        <f>IF($P$36="","","DT "&amp;INDEX('Dados'!$O$92:$O$123,$P$36)&amp;" · TR +"&amp;INDEX('Dados'!$P$92:$P$123,$P$36))</f>
        <v/>
      </c>
      <c r="F76" s="4">
        <f>IF($P$36="","",INDEX('Dados'!$AE$92:$AE$123,$P$36))</f>
        <v/>
      </c>
      <c r="H76" s="17">
        <f>IF($P$36="","",IF(LEN(INDEX('Dados'!$U$92:$U$123,$P$36))&gt;0,INDEX('Dados'!$U$92:$U$123,$P$36),"—"))</f>
        <v/>
      </c>
      <c r="I76" s="17">
        <f>IF($P$36="","",INDEX('Dados'!$F$92:$F$123,$P$36))</f>
        <v/>
      </c>
      <c r="J76" s="17">
        <f>IF($P$36="","",INDEX('Dados'!$V$92:$V$123,$P$36))</f>
        <v/>
      </c>
    </row>
    <row r="77" ht="37" customHeight="1">
      <c r="A77" s="33">
        <f>IF($P$37="","",INDEX('Dados'!$B$92:$B$123,$P$37))</f>
        <v/>
      </c>
      <c r="B77" s="9">
        <f>IF($P$37="","",INDEX('Dados'!$M$92:$M$123,$P$37)&amp;" · média "&amp;INDEX('Dados'!$N$92:$N$123,$P$37))</f>
        <v/>
      </c>
      <c r="D77" s="29">
        <f>IF($P$37="","","DT "&amp;INDEX('Dados'!$O$92:$O$123,$P$37)&amp;" · TR +"&amp;INDEX('Dados'!$P$92:$P$123,$P$37))</f>
        <v/>
      </c>
      <c r="F77" s="9">
        <f>IF($P$37="","",INDEX('Dados'!$AE$92:$AE$123,$P$37))</f>
        <v/>
      </c>
      <c r="H77" s="29">
        <f>IF($P$37="","",IF(LEN(INDEX('Dados'!$U$92:$U$123,$P$37))&gt;0,INDEX('Dados'!$U$92:$U$123,$P$37),"—"))</f>
        <v/>
      </c>
      <c r="I77" s="29">
        <f>IF($P$37="","",INDEX('Dados'!$F$92:$F$123,$P$37))</f>
        <v/>
      </c>
      <c r="J77" s="29">
        <f>IF($P$37="","",INDEX('Dados'!$V$92:$V$123,$P$37))</f>
        <v/>
      </c>
    </row>
    <row r="78" ht="37" customHeight="1">
      <c r="A78" s="32">
        <f>IF($P$38="","",INDEX('Dados'!$B$92:$B$123,$P$38))</f>
        <v/>
      </c>
      <c r="B78" s="4">
        <f>IF($P$38="","",INDEX('Dados'!$M$92:$M$123,$P$38)&amp;" · média "&amp;INDEX('Dados'!$N$92:$N$123,$P$38))</f>
        <v/>
      </c>
      <c r="D78" s="17">
        <f>IF($P$38="","","DT "&amp;INDEX('Dados'!$O$92:$O$123,$P$38)&amp;" · TR +"&amp;INDEX('Dados'!$P$92:$P$123,$P$38))</f>
        <v/>
      </c>
      <c r="F78" s="4">
        <f>IF($P$38="","",INDEX('Dados'!$AE$92:$AE$123,$P$38))</f>
        <v/>
      </c>
      <c r="H78" s="17">
        <f>IF($P$38="","",IF(LEN(INDEX('Dados'!$U$92:$U$123,$P$38))&gt;0,INDEX('Dados'!$U$92:$U$123,$P$38),"—"))</f>
        <v/>
      </c>
      <c r="I78" s="17">
        <f>IF($P$38="","",INDEX('Dados'!$F$92:$F$123,$P$38))</f>
        <v/>
      </c>
      <c r="J78" s="17">
        <f>IF($P$38="","",INDEX('Dados'!$V$92:$V$123,$P$38))</f>
        <v/>
      </c>
    </row>
    <row r="79" ht="37" customHeight="1">
      <c r="A79" s="33">
        <f>IF($P$39="","",INDEX('Dados'!$B$92:$B$123,$P$39))</f>
        <v/>
      </c>
      <c r="B79" s="9">
        <f>IF($P$39="","",INDEX('Dados'!$M$92:$M$123,$P$39)&amp;" · média "&amp;INDEX('Dados'!$N$92:$N$123,$P$39))</f>
        <v/>
      </c>
      <c r="D79" s="29">
        <f>IF($P$39="","","DT "&amp;INDEX('Dados'!$O$92:$O$123,$P$39)&amp;" · TR +"&amp;INDEX('Dados'!$P$92:$P$123,$P$39))</f>
        <v/>
      </c>
      <c r="F79" s="9">
        <f>IF($P$39="","",INDEX('Dados'!$AE$92:$AE$123,$P$39))</f>
        <v/>
      </c>
      <c r="H79" s="29">
        <f>IF($P$39="","",IF(LEN(INDEX('Dados'!$U$92:$U$123,$P$39))&gt;0,INDEX('Dados'!$U$92:$U$123,$P$39),"—"))</f>
        <v/>
      </c>
      <c r="I79" s="29">
        <f>IF($P$39="","",INDEX('Dados'!$F$92:$F$123,$P$39))</f>
        <v/>
      </c>
      <c r="J79" s="29">
        <f>IF($P$39="","",INDEX('Dados'!$V$92:$V$123,$P$39))</f>
        <v/>
      </c>
    </row>
    <row r="80" ht="37" customHeight="1">
      <c r="A80" s="32">
        <f>IF($P$40="","",INDEX('Dados'!$B$92:$B$123,$P$40))</f>
        <v/>
      </c>
      <c r="B80" s="4">
        <f>IF($P$40="","",INDEX('Dados'!$M$92:$M$123,$P$40)&amp;" · média "&amp;INDEX('Dados'!$N$92:$N$123,$P$40))</f>
        <v/>
      </c>
      <c r="D80" s="17">
        <f>IF($P$40="","","DT "&amp;INDEX('Dados'!$O$92:$O$123,$P$40)&amp;" · TR +"&amp;INDEX('Dados'!$P$92:$P$123,$P$40))</f>
        <v/>
      </c>
      <c r="F80" s="4">
        <f>IF($P$40="","",INDEX('Dados'!$AE$92:$AE$123,$P$40))</f>
        <v/>
      </c>
      <c r="H80" s="17">
        <f>IF($P$40="","",IF(LEN(INDEX('Dados'!$U$92:$U$123,$P$40))&gt;0,INDEX('Dados'!$U$92:$U$123,$P$40),"—"))</f>
        <v/>
      </c>
      <c r="I80" s="17">
        <f>IF($P$40="","",INDEX('Dados'!$F$92:$F$123,$P$40))</f>
        <v/>
      </c>
      <c r="J80" s="17">
        <f>IF($P$40="","",INDEX('Dados'!$V$92:$V$123,$P$40))</f>
        <v/>
      </c>
    </row>
    <row r="81"/>
    <row r="82">
      <c r="A82" s="7" t="inlineStr">
        <is>
          <t>Nome</t>
        </is>
      </c>
      <c r="B82" s="7" t="inlineStr">
        <is>
          <t>Dano por acerto</t>
        </is>
      </c>
      <c r="C82" s="20" t="n"/>
      <c r="D82" s="7" t="inlineStr">
        <is>
          <t>DT · Teste de Resistência</t>
        </is>
      </c>
      <c r="E82" s="20" t="n"/>
      <c r="F82" s="7" t="inlineStr">
        <is>
          <t>Fraquezas da fase 1</t>
        </is>
      </c>
      <c r="G82" s="20" t="n"/>
      <c r="H82" s="7" t="inlineStr">
        <is>
          <t>Resistência</t>
        </is>
      </c>
      <c r="I82" s="7" t="inlineStr">
        <is>
          <t>Fases</t>
        </is>
      </c>
      <c r="J82" s="7" t="inlineStr">
        <is>
          <t>Execução</t>
        </is>
      </c>
    </row>
    <row r="83" ht="37" customHeight="1">
      <c r="A83" s="32">
        <f>IF($P$43="","",INDEX('Dados'!$B$92:$B$123,$P$43))</f>
        <v/>
      </c>
      <c r="B83" s="4">
        <f>IF($P$43="","",INDEX('Dados'!$M$92:$M$123,$P$43)&amp;" · média "&amp;INDEX('Dados'!$N$92:$N$123,$P$43))</f>
        <v/>
      </c>
      <c r="D83" s="17">
        <f>IF($P$43="","","DT "&amp;INDEX('Dados'!$O$92:$O$123,$P$43)&amp;" · TR +"&amp;INDEX('Dados'!$P$92:$P$123,$P$43))</f>
        <v/>
      </c>
      <c r="F83" s="4">
        <f>IF($P$43="","",INDEX('Dados'!$AE$92:$AE$123,$P$43))</f>
        <v/>
      </c>
      <c r="H83" s="17">
        <f>IF($P$43="","",IF(LEN(INDEX('Dados'!$U$92:$U$123,$P$43))&gt;0,INDEX('Dados'!$U$92:$U$123,$P$43),"—"))</f>
        <v/>
      </c>
      <c r="I83" s="17">
        <f>IF($P$43="","",INDEX('Dados'!$F$92:$F$123,$P$43))</f>
        <v/>
      </c>
      <c r="J83" s="17">
        <f>IF($P$43="","",INDEX('Dados'!$V$92:$V$123,$P$43))</f>
        <v/>
      </c>
    </row>
    <row r="84" ht="37" customHeight="1">
      <c r="A84" s="33">
        <f>IF($P$44="","",INDEX('Dados'!$B$92:$B$123,$P$44))</f>
        <v/>
      </c>
      <c r="B84" s="9">
        <f>IF($P$44="","",INDEX('Dados'!$M$92:$M$123,$P$44)&amp;" · média "&amp;INDEX('Dados'!$N$92:$N$123,$P$44))</f>
        <v/>
      </c>
      <c r="D84" s="29">
        <f>IF($P$44="","","DT "&amp;INDEX('Dados'!$O$92:$O$123,$P$44)&amp;" · TR +"&amp;INDEX('Dados'!$P$92:$P$123,$P$44))</f>
        <v/>
      </c>
      <c r="F84" s="9">
        <f>IF($P$44="","",INDEX('Dados'!$AE$92:$AE$123,$P$44))</f>
        <v/>
      </c>
      <c r="H84" s="29">
        <f>IF($P$44="","",IF(LEN(INDEX('Dados'!$U$92:$U$123,$P$44))&gt;0,INDEX('Dados'!$U$92:$U$123,$P$44),"—"))</f>
        <v/>
      </c>
      <c r="I84" s="29">
        <f>IF($P$44="","",INDEX('Dados'!$F$92:$F$123,$P$44))</f>
        <v/>
      </c>
      <c r="J84" s="29">
        <f>IF($P$44="","",INDEX('Dados'!$V$92:$V$123,$P$44))</f>
        <v/>
      </c>
    </row>
    <row r="85" ht="37" customHeight="1">
      <c r="A85" s="32">
        <f>IF($P$45="","",INDEX('Dados'!$B$92:$B$123,$P$45))</f>
        <v/>
      </c>
      <c r="B85" s="4">
        <f>IF($P$45="","",INDEX('Dados'!$M$92:$M$123,$P$45)&amp;" · média "&amp;INDEX('Dados'!$N$92:$N$123,$P$45))</f>
        <v/>
      </c>
      <c r="D85" s="17">
        <f>IF($P$45="","","DT "&amp;INDEX('Dados'!$O$92:$O$123,$P$45)&amp;" · TR +"&amp;INDEX('Dados'!$P$92:$P$123,$P$45))</f>
        <v/>
      </c>
      <c r="F85" s="4">
        <f>IF($P$45="","",INDEX('Dados'!$AE$92:$AE$123,$P$45))</f>
        <v/>
      </c>
      <c r="H85" s="17">
        <f>IF($P$45="","",IF(LEN(INDEX('Dados'!$U$92:$U$123,$P$45))&gt;0,INDEX('Dados'!$U$92:$U$123,$P$45),"—"))</f>
        <v/>
      </c>
      <c r="I85" s="17">
        <f>IF($P$45="","",INDEX('Dados'!$F$92:$F$123,$P$45))</f>
        <v/>
      </c>
      <c r="J85" s="17">
        <f>IF($P$45="","",INDEX('Dados'!$V$92:$V$123,$P$45))</f>
        <v/>
      </c>
    </row>
    <row r="86" ht="37" customHeight="1">
      <c r="A86" s="33">
        <f>IF($P$46="","",INDEX('Dados'!$B$92:$B$123,$P$46))</f>
        <v/>
      </c>
      <c r="B86" s="9">
        <f>IF($P$46="","",INDEX('Dados'!$M$92:$M$123,$P$46)&amp;" · média "&amp;INDEX('Dados'!$N$92:$N$123,$P$46))</f>
        <v/>
      </c>
      <c r="D86" s="29">
        <f>IF($P$46="","","DT "&amp;INDEX('Dados'!$O$92:$O$123,$P$46)&amp;" · TR +"&amp;INDEX('Dados'!$P$92:$P$123,$P$46))</f>
        <v/>
      </c>
      <c r="F86" s="9">
        <f>IF($P$46="","",INDEX('Dados'!$AE$92:$AE$123,$P$46))</f>
        <v/>
      </c>
      <c r="H86" s="29">
        <f>IF($P$46="","",IF(LEN(INDEX('Dados'!$U$92:$U$123,$P$46))&gt;0,INDEX('Dados'!$U$92:$U$123,$P$46),"—"))</f>
        <v/>
      </c>
      <c r="I86" s="29">
        <f>IF($P$46="","",INDEX('Dados'!$F$92:$F$123,$P$46))</f>
        <v/>
      </c>
      <c r="J86" s="29">
        <f>IF($P$46="","",INDEX('Dados'!$V$92:$V$123,$P$46))</f>
        <v/>
      </c>
    </row>
    <row r="87" ht="37" customHeight="1">
      <c r="A87" s="32">
        <f>IF($P$47="","",INDEX('Dados'!$B$92:$B$123,$P$47))</f>
        <v/>
      </c>
      <c r="B87" s="4">
        <f>IF($P$47="","",INDEX('Dados'!$M$92:$M$123,$P$47)&amp;" · média "&amp;INDEX('Dados'!$N$92:$N$123,$P$47))</f>
        <v/>
      </c>
      <c r="D87" s="17">
        <f>IF($P$47="","","DT "&amp;INDEX('Dados'!$O$92:$O$123,$P$47)&amp;" · TR +"&amp;INDEX('Dados'!$P$92:$P$123,$P$47))</f>
        <v/>
      </c>
      <c r="F87" s="4">
        <f>IF($P$47="","",INDEX('Dados'!$AE$92:$AE$123,$P$47))</f>
        <v/>
      </c>
      <c r="H87" s="17">
        <f>IF($P$47="","",IF(LEN(INDEX('Dados'!$U$92:$U$123,$P$47))&gt;0,INDEX('Dados'!$U$92:$U$123,$P$47),"—"))</f>
        <v/>
      </c>
      <c r="I87" s="17">
        <f>IF($P$47="","",INDEX('Dados'!$F$92:$F$123,$P$47))</f>
        <v/>
      </c>
      <c r="J87" s="17">
        <f>IF($P$47="","",INDEX('Dados'!$V$92:$V$123,$P$47))</f>
        <v/>
      </c>
    </row>
    <row r="88" ht="37" customHeight="1">
      <c r="A88" s="33">
        <f>IF($P$48="","",INDEX('Dados'!$B$92:$B$123,$P$48))</f>
        <v/>
      </c>
      <c r="B88" s="9">
        <f>IF($P$48="","",INDEX('Dados'!$M$92:$M$123,$P$48)&amp;" · média "&amp;INDEX('Dados'!$N$92:$N$123,$P$48))</f>
        <v/>
      </c>
      <c r="D88" s="29">
        <f>IF($P$48="","","DT "&amp;INDEX('Dados'!$O$92:$O$123,$P$48)&amp;" · TR +"&amp;INDEX('Dados'!$P$92:$P$123,$P$48))</f>
        <v/>
      </c>
      <c r="F88" s="9">
        <f>IF($P$48="","",INDEX('Dados'!$AE$92:$AE$123,$P$48))</f>
        <v/>
      </c>
      <c r="H88" s="29">
        <f>IF($P$48="","",IF(LEN(INDEX('Dados'!$U$92:$U$123,$P$48))&gt;0,INDEX('Dados'!$U$92:$U$123,$P$48),"—"))</f>
        <v/>
      </c>
      <c r="I88" s="29">
        <f>IF($P$48="","",INDEX('Dados'!$F$92:$F$123,$P$48))</f>
        <v/>
      </c>
      <c r="J88" s="29">
        <f>IF($P$48="","",INDEX('Dados'!$V$92:$V$123,$P$48))</f>
        <v/>
      </c>
    </row>
    <row r="89" ht="37" customHeight="1">
      <c r="A89" s="32">
        <f>IF($P$49="","",INDEX('Dados'!$B$92:$B$123,$P$49))</f>
        <v/>
      </c>
      <c r="B89" s="4">
        <f>IF($P$49="","",INDEX('Dados'!$M$92:$M$123,$P$49)&amp;" · média "&amp;INDEX('Dados'!$N$92:$N$123,$P$49))</f>
        <v/>
      </c>
      <c r="D89" s="17">
        <f>IF($P$49="","","DT "&amp;INDEX('Dados'!$O$92:$O$123,$P$49)&amp;" · TR +"&amp;INDEX('Dados'!$P$92:$P$123,$P$49))</f>
        <v/>
      </c>
      <c r="F89" s="4">
        <f>IF($P$49="","",INDEX('Dados'!$AE$92:$AE$123,$P$49))</f>
        <v/>
      </c>
      <c r="H89" s="17">
        <f>IF($P$49="","",IF(LEN(INDEX('Dados'!$U$92:$U$123,$P$49))&gt;0,INDEX('Dados'!$U$92:$U$123,$P$49),"—"))</f>
        <v/>
      </c>
      <c r="I89" s="17">
        <f>IF($P$49="","",INDEX('Dados'!$F$92:$F$123,$P$49))</f>
        <v/>
      </c>
      <c r="J89" s="17">
        <f>IF($P$49="","",INDEX('Dados'!$V$92:$V$123,$P$49))</f>
        <v/>
      </c>
    </row>
    <row r="90" ht="37" customHeight="1">
      <c r="A90" s="33">
        <f>IF($P$50="","",INDEX('Dados'!$B$92:$B$123,$P$50))</f>
        <v/>
      </c>
      <c r="B90" s="9">
        <f>IF($P$50="","",INDEX('Dados'!$M$92:$M$123,$P$50)&amp;" · média "&amp;INDEX('Dados'!$N$92:$N$123,$P$50))</f>
        <v/>
      </c>
      <c r="D90" s="29">
        <f>IF($P$50="","","DT "&amp;INDEX('Dados'!$O$92:$O$123,$P$50)&amp;" · TR +"&amp;INDEX('Dados'!$P$92:$P$123,$P$50))</f>
        <v/>
      </c>
      <c r="F90" s="9">
        <f>IF($P$50="","",INDEX('Dados'!$AE$92:$AE$123,$P$50))</f>
        <v/>
      </c>
      <c r="H90" s="29">
        <f>IF($P$50="","",IF(LEN(INDEX('Dados'!$U$92:$U$123,$P$50))&gt;0,INDEX('Dados'!$U$92:$U$123,$P$50),"—"))</f>
        <v/>
      </c>
      <c r="I90" s="29">
        <f>IF($P$50="","",INDEX('Dados'!$F$92:$F$123,$P$50))</f>
        <v/>
      </c>
      <c r="J90" s="29">
        <f>IF($P$50="","",INDEX('Dados'!$V$92:$V$123,$P$50))</f>
        <v/>
      </c>
    </row>
    <row r="91" ht="37" customHeight="1">
      <c r="A91" s="32">
        <f>IF($P$51="","",INDEX('Dados'!$B$92:$B$123,$P$51))</f>
        <v/>
      </c>
      <c r="B91" s="4">
        <f>IF($P$51="","",INDEX('Dados'!$M$92:$M$123,$P$51)&amp;" · média "&amp;INDEX('Dados'!$N$92:$N$123,$P$51))</f>
        <v/>
      </c>
      <c r="D91" s="17">
        <f>IF($P$51="","","DT "&amp;INDEX('Dados'!$O$92:$O$123,$P$51)&amp;" · TR +"&amp;INDEX('Dados'!$P$92:$P$123,$P$51))</f>
        <v/>
      </c>
      <c r="F91" s="4">
        <f>IF($P$51="","",INDEX('Dados'!$AE$92:$AE$123,$P$51))</f>
        <v/>
      </c>
      <c r="H91" s="17">
        <f>IF($P$51="","",IF(LEN(INDEX('Dados'!$U$92:$U$123,$P$51))&gt;0,INDEX('Dados'!$U$92:$U$123,$P$51),"—"))</f>
        <v/>
      </c>
      <c r="I91" s="17">
        <f>IF($P$51="","",INDEX('Dados'!$F$92:$F$123,$P$51))</f>
        <v/>
      </c>
      <c r="J91" s="17">
        <f>IF($P$51="","",INDEX('Dados'!$V$92:$V$123,$P$51))</f>
        <v/>
      </c>
    </row>
    <row r="92" ht="37" customHeight="1">
      <c r="A92" s="33">
        <f>IF($P$52="","",INDEX('Dados'!$B$92:$B$123,$P$52))</f>
        <v/>
      </c>
      <c r="B92" s="9">
        <f>IF($P$52="","",INDEX('Dados'!$M$92:$M$123,$P$52)&amp;" · média "&amp;INDEX('Dados'!$N$92:$N$123,$P$52))</f>
        <v/>
      </c>
      <c r="D92" s="29">
        <f>IF($P$52="","","DT "&amp;INDEX('Dados'!$O$92:$O$123,$P$52)&amp;" · TR +"&amp;INDEX('Dados'!$P$92:$P$123,$P$52))</f>
        <v/>
      </c>
      <c r="F92" s="9">
        <f>IF($P$52="","",INDEX('Dados'!$AE$92:$AE$123,$P$52))</f>
        <v/>
      </c>
      <c r="H92" s="29">
        <f>IF($P$52="","",IF(LEN(INDEX('Dados'!$U$92:$U$123,$P$52))&gt;0,INDEX('Dados'!$U$92:$U$123,$P$52),"—"))</f>
        <v/>
      </c>
      <c r="I92" s="29">
        <f>IF($P$52="","",INDEX('Dados'!$F$92:$F$123,$P$52))</f>
        <v/>
      </c>
      <c r="J92" s="29">
        <f>IF($P$52="","",INDEX('Dados'!$V$92:$V$123,$P$52))</f>
        <v/>
      </c>
    </row>
    <row r="93"/>
    <row r="94"/>
    <row r="95"/>
    <row r="96" ht="20" customHeight="1">
      <c r="A96" s="12" t="inlineStr">
        <is>
          <t>Ficha completa (texto do livro)</t>
        </is>
      </c>
    </row>
    <row r="97" ht="26" customHeight="1">
      <c r="A97" s="8" t="inlineStr">
        <is>
          <t>Ver criatura</t>
        </is>
      </c>
      <c r="B97" s="3" t="n"/>
      <c r="C97" s="24" t="n"/>
      <c r="D97" s="16" t="n"/>
      <c r="K97" s="18">
        <f>IF(S97&gt;0,"O Google leu como fórmula: escolha de novo na lista.","")</f>
        <v/>
      </c>
      <c r="N97" s="19">
        <f>IFERROR(MATCH($R$97,'Dados'!$B$92:$B$123,0),"")</f>
        <v/>
      </c>
      <c r="R97" s="19">
        <f>IF(ISERROR($B$97),"",IF(ISBLANK($B$97),"",$B$97))</f>
        <v/>
      </c>
      <c r="S97" s="19">
        <f>ISERROR($B$97)*1</f>
        <v/>
      </c>
    </row>
    <row r="98">
      <c r="A98" s="4">
        <f>IF(ISNUMBER($N$97),INDEX('Dados'!$B$92:$B$123,$N$97)&amp;"  ·  "&amp;INDEX('Dados'!$C$92:$C$123,$N$97)&amp;" · "&amp;INDEX('Dados'!$AL$92:$AL$123,$N$97)&amp;" · faixa "&amp;INDEX('Dados'!$D$92:$D$123,$N$97)&amp;IF(INDEX('Dados'!$F$92:$F$123,$N$97)&gt;1," · "&amp;INDEX('Dados'!$F$92:$F$123,$N$97)&amp;" fases",IF(INDEX('Dados'!$C$92:$C$123,$N$97)="Boss"," · fase única","")),"")</f>
        <v/>
      </c>
    </row>
    <row r="99">
      <c r="A99" s="4">
        <f>IF(ISNUMBER($N$97),INDEX('Dados'!$Y$92:$Y$123,$N$97),"")</f>
        <v/>
      </c>
    </row>
    <row r="100">
      <c r="A100" s="4">
        <f>IF(ISNUMBER($N$97),"PV "&amp;INDEX('Dados'!$G$92:$G$123,$N$97)&amp;"   Defesa "&amp;INDEX('Dados'!$H$92:$H$123,$N$97)&amp;"   RD "&amp;INDEX('Dados'!$I$92:$I$123,$N$97)&amp;"   Tenacidade "&amp;INDEX('Dados'!$J$92:$J$123,$N$97)&amp;"   VEL "&amp;INDEX('Dados'!$K$92:$K$123,$N$97),"")</f>
        <v/>
      </c>
    </row>
    <row r="101">
      <c r="A101" s="4">
        <f>IF(ISNUMBER($N$97),"Ataque +"&amp;INDEX('Dados'!$L$92:$L$123,$N$97)&amp;"    DT dos efeitos "&amp;INDEX('Dados'!$O$92:$O$123,$N$97)&amp;"    Teste de Resistência +"&amp;INDEX('Dados'!$P$92:$P$123,$N$97),"")</f>
        <v/>
      </c>
    </row>
    <row r="102">
      <c r="A102" s="4">
        <f>IF(ISNUMBER($N$97),"Fraquezas: "&amp;INDEX('Dados'!$AE$92:$AE$123,$N$97)&amp;"    Resistências: "&amp;IF(LEN(INDEX('Dados'!$U$92:$U$123,$N$97))&gt;0,INDEX('Dados'!$U$92:$U$123,$N$97),"—"),"")</f>
        <v/>
      </c>
    </row>
    <row r="103">
      <c r="A103" s="7" t="inlineStr">
        <is>
          <t>Fase · tipo</t>
        </is>
      </c>
      <c r="B103" s="7" t="inlineStr">
        <is>
          <t>Ataques e ações (texto do livro)</t>
        </is>
      </c>
      <c r="C103" s="20" t="n"/>
      <c r="D103" s="20" t="n"/>
      <c r="E103" s="20" t="n"/>
      <c r="F103" s="20" t="n"/>
      <c r="G103" s="20" t="n"/>
      <c r="H103" s="20" t="n"/>
      <c r="I103" s="20" t="n"/>
      <c r="J103" s="20" t="n"/>
      <c r="K103" s="20" t="n"/>
      <c r="L103" s="20" t="n"/>
    </row>
    <row r="104" ht="37" customHeight="1">
      <c r="A104" s="32">
        <f>IF(ISNUMBER($O$104),IF(INDEX('Dados'!$C$142:$C$257,$O$104)=0,INDEX('Dados'!$E$142:$E$257,$O$104),"Fase "&amp;INDEX('Dados'!$C$142:$C$257,$O$104)&amp;" · "&amp;INDEX('Dados'!$E$142:$E$257,$O$104)),"")</f>
        <v/>
      </c>
      <c r="B104" s="4">
        <f>IF(ISNUMBER($O$104),INDEX('Dados'!$H$142:$H$257,$O$104),"")</f>
        <v/>
      </c>
      <c r="O104" s="19">
        <f>IF(ISNUMBER($N$97),IFERROR(MATCH(INDEX('Dados'!$B$92:$B$123,$N$97)&amp;"|1",'Dados'!$A$142:$A$257,0),""),"")</f>
        <v/>
      </c>
    </row>
    <row r="105" ht="37" customHeight="1">
      <c r="A105" s="33">
        <f>IF(ISNUMBER($O$105),IF(INDEX('Dados'!$C$142:$C$257,$O$105)=0,INDEX('Dados'!$E$142:$E$257,$O$105),"Fase "&amp;INDEX('Dados'!$C$142:$C$257,$O$105)&amp;" · "&amp;INDEX('Dados'!$E$142:$E$257,$O$105)),"")</f>
        <v/>
      </c>
      <c r="B105" s="9">
        <f>IF(ISNUMBER($O$105),INDEX('Dados'!$H$142:$H$257,$O$105),"")</f>
        <v/>
      </c>
      <c r="O105" s="19">
        <f>IF(ISNUMBER($N$97),IFERROR(MATCH(INDEX('Dados'!$B$92:$B$123,$N$97)&amp;"|2",'Dados'!$A$142:$A$257,0),""),"")</f>
        <v/>
      </c>
    </row>
    <row r="106" ht="37" customHeight="1">
      <c r="A106" s="32">
        <f>IF(ISNUMBER($O$106),IF(INDEX('Dados'!$C$142:$C$257,$O$106)=0,INDEX('Dados'!$E$142:$E$257,$O$106),"Fase "&amp;INDEX('Dados'!$C$142:$C$257,$O$106)&amp;" · "&amp;INDEX('Dados'!$E$142:$E$257,$O$106)),"")</f>
        <v/>
      </c>
      <c r="B106" s="4">
        <f>IF(ISNUMBER($O$106),INDEX('Dados'!$H$142:$H$257,$O$106),"")</f>
        <v/>
      </c>
      <c r="O106" s="19">
        <f>IF(ISNUMBER($N$97),IFERROR(MATCH(INDEX('Dados'!$B$92:$B$123,$N$97)&amp;"|3",'Dados'!$A$142:$A$257,0),""),"")</f>
        <v/>
      </c>
    </row>
    <row r="107" ht="37" customHeight="1">
      <c r="A107" s="33">
        <f>IF(ISNUMBER($O$107),IF(INDEX('Dados'!$C$142:$C$257,$O$107)=0,INDEX('Dados'!$E$142:$E$257,$O$107),"Fase "&amp;INDEX('Dados'!$C$142:$C$257,$O$107)&amp;" · "&amp;INDEX('Dados'!$E$142:$E$257,$O$107)),"")</f>
        <v/>
      </c>
      <c r="B107" s="9">
        <f>IF(ISNUMBER($O$107),INDEX('Dados'!$H$142:$H$257,$O$107),"")</f>
        <v/>
      </c>
      <c r="O107" s="19">
        <f>IF(ISNUMBER($N$97),IFERROR(MATCH(INDEX('Dados'!$B$92:$B$123,$N$97)&amp;"|4",'Dados'!$A$142:$A$257,0),""),"")</f>
        <v/>
      </c>
    </row>
    <row r="108" ht="37" customHeight="1">
      <c r="A108" s="32">
        <f>IF(ISNUMBER($O$108),IF(INDEX('Dados'!$C$142:$C$257,$O$108)=0,INDEX('Dados'!$E$142:$E$257,$O$108),"Fase "&amp;INDEX('Dados'!$C$142:$C$257,$O$108)&amp;" · "&amp;INDEX('Dados'!$E$142:$E$257,$O$108)),"")</f>
        <v/>
      </c>
      <c r="B108" s="4">
        <f>IF(ISNUMBER($O$108),INDEX('Dados'!$H$142:$H$257,$O$108),"")</f>
        <v/>
      </c>
      <c r="O108" s="19">
        <f>IF(ISNUMBER($N$97),IFERROR(MATCH(INDEX('Dados'!$B$92:$B$123,$N$97)&amp;"|5",'Dados'!$A$142:$A$257,0),""),"")</f>
        <v/>
      </c>
    </row>
    <row r="109" ht="37" customHeight="1">
      <c r="A109" s="33">
        <f>IF(ISNUMBER($O$109),IF(INDEX('Dados'!$C$142:$C$257,$O$109)=0,INDEX('Dados'!$E$142:$E$257,$O$109),"Fase "&amp;INDEX('Dados'!$C$142:$C$257,$O$109)&amp;" · "&amp;INDEX('Dados'!$E$142:$E$257,$O$109)),"")</f>
        <v/>
      </c>
      <c r="B109" s="9">
        <f>IF(ISNUMBER($O$109),INDEX('Dados'!$H$142:$H$257,$O$109),"")</f>
        <v/>
      </c>
      <c r="O109" s="19">
        <f>IF(ISNUMBER($N$97),IFERROR(MATCH(INDEX('Dados'!$B$92:$B$123,$N$97)&amp;"|6",'Dados'!$A$142:$A$257,0),""),"")</f>
        <v/>
      </c>
    </row>
    <row r="110" ht="37" customHeight="1">
      <c r="A110" s="32">
        <f>IF(ISNUMBER($O$110),IF(INDEX('Dados'!$C$142:$C$257,$O$110)=0,INDEX('Dados'!$E$142:$E$257,$O$110),"Fase "&amp;INDEX('Dados'!$C$142:$C$257,$O$110)&amp;" · "&amp;INDEX('Dados'!$E$142:$E$257,$O$110)),"")</f>
        <v/>
      </c>
      <c r="B110" s="4">
        <f>IF(ISNUMBER($O$110),INDEX('Dados'!$H$142:$H$257,$O$110),"")</f>
        <v/>
      </c>
      <c r="O110" s="19">
        <f>IF(ISNUMBER($N$97),IFERROR(MATCH(INDEX('Dados'!$B$92:$B$123,$N$97)&amp;"|7",'Dados'!$A$142:$A$257,0),""),"")</f>
        <v/>
      </c>
    </row>
    <row r="111" ht="37" customHeight="1">
      <c r="A111" s="33">
        <f>IF(ISNUMBER($O$111),IF(INDEX('Dados'!$C$142:$C$257,$O$111)=0,INDEX('Dados'!$E$142:$E$257,$O$111),"Fase "&amp;INDEX('Dados'!$C$142:$C$257,$O$111)&amp;" · "&amp;INDEX('Dados'!$E$142:$E$257,$O$111)),"")</f>
        <v/>
      </c>
      <c r="B111" s="9">
        <f>IF(ISNUMBER($O$111),INDEX('Dados'!$H$142:$H$257,$O$111),"")</f>
        <v/>
      </c>
      <c r="O111" s="19">
        <f>IF(ISNUMBER($N$97),IFERROR(MATCH(INDEX('Dados'!$B$92:$B$123,$N$97)&amp;"|8",'Dados'!$A$142:$A$257,0),""),"")</f>
        <v/>
      </c>
    </row>
    <row r="112" ht="37" customHeight="1">
      <c r="A112" s="32">
        <f>IF(ISNUMBER($O$112),IF(INDEX('Dados'!$C$142:$C$257,$O$112)=0,INDEX('Dados'!$E$142:$E$257,$O$112),"Fase "&amp;INDEX('Dados'!$C$142:$C$257,$O$112)&amp;" · "&amp;INDEX('Dados'!$E$142:$E$257,$O$112)),"")</f>
        <v/>
      </c>
      <c r="B112" s="4">
        <f>IF(ISNUMBER($O$112),INDEX('Dados'!$H$142:$H$257,$O$112),"")</f>
        <v/>
      </c>
      <c r="O112" s="19">
        <f>IF(ISNUMBER($N$97),IFERROR(MATCH(INDEX('Dados'!$B$92:$B$123,$N$97)&amp;"|9",'Dados'!$A$142:$A$257,0),""),"")</f>
        <v/>
      </c>
    </row>
    <row r="113" ht="37" customHeight="1">
      <c r="A113" s="33">
        <f>IF(ISNUMBER($O$113),IF(INDEX('Dados'!$C$142:$C$257,$O$113)=0,INDEX('Dados'!$E$142:$E$257,$O$113),"Fase "&amp;INDEX('Dados'!$C$142:$C$257,$O$113)&amp;" · "&amp;INDEX('Dados'!$E$142:$E$257,$O$113)),"")</f>
        <v/>
      </c>
      <c r="B113" s="9">
        <f>IF(ISNUMBER($O$113),INDEX('Dados'!$H$142:$H$257,$O$113),"")</f>
        <v/>
      </c>
      <c r="O113" s="19">
        <f>IF(ISNUMBER($N$97),IFERROR(MATCH(INDEX('Dados'!$B$92:$B$123,$N$97)&amp;"|10",'Dados'!$A$142:$A$257,0),""),"")</f>
        <v/>
      </c>
    </row>
    <row r="114" ht="37" customHeight="1">
      <c r="A114" s="32">
        <f>IF(ISNUMBER($O$114),IF(INDEX('Dados'!$C$142:$C$257,$O$114)=0,INDEX('Dados'!$E$142:$E$257,$O$114),"Fase "&amp;INDEX('Dados'!$C$142:$C$257,$O$114)&amp;" · "&amp;INDEX('Dados'!$E$142:$E$257,$O$114)),"")</f>
        <v/>
      </c>
      <c r="B114" s="4">
        <f>IF(ISNUMBER($O$114),INDEX('Dados'!$H$142:$H$257,$O$114),"")</f>
        <v/>
      </c>
      <c r="O114" s="19">
        <f>IF(ISNUMBER($N$97),IFERROR(MATCH(INDEX('Dados'!$B$92:$B$123,$N$97)&amp;"|11",'Dados'!$A$142:$A$257,0),""),"")</f>
        <v/>
      </c>
    </row>
    <row r="115" ht="37" customHeight="1">
      <c r="A115" s="33">
        <f>IF(ISNUMBER($O$115),IF(INDEX('Dados'!$C$142:$C$257,$O$115)=0,INDEX('Dados'!$E$142:$E$257,$O$115),"Fase "&amp;INDEX('Dados'!$C$142:$C$257,$O$115)&amp;" · "&amp;INDEX('Dados'!$E$142:$E$257,$O$115)),"")</f>
        <v/>
      </c>
      <c r="B115" s="9">
        <f>IF(ISNUMBER($O$115),INDEX('Dados'!$H$142:$H$257,$O$115),"")</f>
        <v/>
      </c>
      <c r="O115" s="19">
        <f>IF(ISNUMBER($N$97),IFERROR(MATCH(INDEX('Dados'!$B$92:$B$123,$N$97)&amp;"|12",'Dados'!$A$142:$A$257,0),""),"")</f>
        <v/>
      </c>
    </row>
    <row r="116"/>
    <row r="117" ht="26" customHeight="1">
      <c r="A117" s="4">
        <f>IF(ISNUMBER($N$97),"Na Fila: VEL "&amp;INDEX('Dados'!$K$92:$K$123,$N$97)&amp;", "&amp;INDEX('Dados'!$W$92:$W$123,$N$97)&amp;". "&amp;INDEX('Dados'!$X$92:$X$123,$N$97),"")</f>
        <v/>
      </c>
    </row>
    <row r="118">
      <c r="A118" s="4">
        <f>IF(ISNUMBER($N$97),IFERROR("Fase 1 — "&amp;INDEX('Dados'!$D$127:$D$138,MATCH(INDEX('Dados'!$B$92:$B$123,$N$97)&amp;"|1",'Dados'!$A$127:$A$138,0))&amp;" ("&amp;INDEX('Dados'!$E$127:$E$138,MATCH(INDEX('Dados'!$B$92:$B$123,$N$97)&amp;"|1",'Dados'!$A$127:$A$138,0))&amp;" a "&amp;INDEX('Dados'!$F$127:$F$138,MATCH(INDEX('Dados'!$B$92:$B$123,$N$97)&amp;"|1",'Dados'!$A$127:$A$138,0))&amp;" PV): Fraquezas "&amp;INDEX('Dados'!$G$127:$G$138,MATCH(INDEX('Dados'!$B$92:$B$123,$N$97)&amp;"|1",'Dados'!$A$127:$A$138,0))&amp;", "&amp;INDEX('Dados'!$H$127:$H$138,MATCH(INDEX('Dados'!$B$92:$B$123,$N$97)&amp;"|1",'Dados'!$A$127:$A$138,0))&amp;", "&amp;INDEX('Dados'!$I$127:$I$138,MATCH(INDEX('Dados'!$B$92:$B$123,$N$97)&amp;"|1",'Dados'!$A$127:$A$138,0))&amp;", "&amp;INDEX('Dados'!$J$127:$J$138,MATCH(INDEX('Dados'!$B$92:$B$123,$N$97)&amp;"|1",'Dados'!$A$127:$A$138,0))&amp;"; Tenacidade "&amp;INDEX('Dados'!$K$127:$K$138,MATCH(INDEX('Dados'!$B$92:$B$123,$N$97)&amp;"|1",'Dados'!$A$127:$A$138,0))&amp;"; "&amp;INDEX('Dados'!$L$127:$L$138,MATCH(INDEX('Dados'!$B$92:$B$123,$N$97)&amp;"|1",'Dados'!$A$127:$A$138,0)),""),"")</f>
        <v/>
      </c>
    </row>
    <row r="119">
      <c r="A119" s="4">
        <f>IF(ISNUMBER($N$97),IFERROR("Fase 2 — "&amp;INDEX('Dados'!$D$127:$D$138,MATCH(INDEX('Dados'!$B$92:$B$123,$N$97)&amp;"|2",'Dados'!$A$127:$A$138,0))&amp;" ("&amp;INDEX('Dados'!$E$127:$E$138,MATCH(INDEX('Dados'!$B$92:$B$123,$N$97)&amp;"|2",'Dados'!$A$127:$A$138,0))&amp;" a "&amp;INDEX('Dados'!$F$127:$F$138,MATCH(INDEX('Dados'!$B$92:$B$123,$N$97)&amp;"|2",'Dados'!$A$127:$A$138,0))&amp;" PV): Fraquezas "&amp;INDEX('Dados'!$G$127:$G$138,MATCH(INDEX('Dados'!$B$92:$B$123,$N$97)&amp;"|2",'Dados'!$A$127:$A$138,0))&amp;", "&amp;INDEX('Dados'!$H$127:$H$138,MATCH(INDEX('Dados'!$B$92:$B$123,$N$97)&amp;"|2",'Dados'!$A$127:$A$138,0))&amp;", "&amp;INDEX('Dados'!$I$127:$I$138,MATCH(INDEX('Dados'!$B$92:$B$123,$N$97)&amp;"|2",'Dados'!$A$127:$A$138,0))&amp;", "&amp;INDEX('Dados'!$J$127:$J$138,MATCH(INDEX('Dados'!$B$92:$B$123,$N$97)&amp;"|2",'Dados'!$A$127:$A$138,0))&amp;"; Tenacidade "&amp;INDEX('Dados'!$K$127:$K$138,MATCH(INDEX('Dados'!$B$92:$B$123,$N$97)&amp;"|2",'Dados'!$A$127:$A$138,0))&amp;"; "&amp;INDEX('Dados'!$L$127:$L$138,MATCH(INDEX('Dados'!$B$92:$B$123,$N$97)&amp;"|2",'Dados'!$A$127:$A$138,0)),""),"")</f>
        <v/>
      </c>
    </row>
    <row r="120">
      <c r="A120" s="4">
        <f>IF(ISNUMBER($N$97),IFERROR("Fase 3 — "&amp;INDEX('Dados'!$D$127:$D$138,MATCH(INDEX('Dados'!$B$92:$B$123,$N$97)&amp;"|3",'Dados'!$A$127:$A$138,0))&amp;" ("&amp;INDEX('Dados'!$E$127:$E$138,MATCH(INDEX('Dados'!$B$92:$B$123,$N$97)&amp;"|3",'Dados'!$A$127:$A$138,0))&amp;" a "&amp;INDEX('Dados'!$F$127:$F$138,MATCH(INDEX('Dados'!$B$92:$B$123,$N$97)&amp;"|3",'Dados'!$A$127:$A$138,0))&amp;" PV): Fraquezas "&amp;INDEX('Dados'!$G$127:$G$138,MATCH(INDEX('Dados'!$B$92:$B$123,$N$97)&amp;"|3",'Dados'!$A$127:$A$138,0))&amp;", "&amp;INDEX('Dados'!$H$127:$H$138,MATCH(INDEX('Dados'!$B$92:$B$123,$N$97)&amp;"|3",'Dados'!$A$127:$A$138,0))&amp;", "&amp;INDEX('Dados'!$I$127:$I$138,MATCH(INDEX('Dados'!$B$92:$B$123,$N$97)&amp;"|3",'Dados'!$A$127:$A$138,0))&amp;", "&amp;INDEX('Dados'!$J$127:$J$138,MATCH(INDEX('Dados'!$B$92:$B$123,$N$97)&amp;"|3",'Dados'!$A$127:$A$138,0))&amp;"; Tenacidade "&amp;INDEX('Dados'!$K$127:$K$138,MATCH(INDEX('Dados'!$B$92:$B$123,$N$97)&amp;"|3",'Dados'!$A$127:$A$138,0))&amp;"; "&amp;INDEX('Dados'!$L$127:$L$138,MATCH(INDEX('Dados'!$B$92:$B$123,$N$97)&amp;"|3",'Dados'!$A$127:$A$138,0)),""),"")</f>
        <v/>
      </c>
    </row>
    <row r="121" ht="26" customHeight="1">
      <c r="A121" s="11" t="inlineStr">
        <is>
          <t>Os cinco inimigos com Resistência: Capataz Oco, Centurião Catafracto, Mestre de Cerimônias Mascarado, Executora de Contrato, Arcanjo de Ferro-Vazio (28.11). As listas de Encontros e Combate leem o Bestiário e os inimigos da campanha.</t>
        </is>
      </c>
    </row>
  </sheetData>
  <mergeCells count="147">
    <mergeCell ref="B91:C91"/>
    <mergeCell ref="D60:E60"/>
    <mergeCell ref="B113:L113"/>
    <mergeCell ref="B109:L109"/>
    <mergeCell ref="D84:E84"/>
    <mergeCell ref="F84:G84"/>
    <mergeCell ref="B115:L115"/>
    <mergeCell ref="B77:C77"/>
    <mergeCell ref="D77:E77"/>
    <mergeCell ref="B86:C86"/>
    <mergeCell ref="D86:E86"/>
    <mergeCell ref="F86:G86"/>
    <mergeCell ref="B67:C67"/>
    <mergeCell ref="F80:G80"/>
    <mergeCell ref="B61:C61"/>
    <mergeCell ref="D61:E61"/>
    <mergeCell ref="D70:E70"/>
    <mergeCell ref="F70:G70"/>
    <mergeCell ref="F79:G79"/>
    <mergeCell ref="A100:L100"/>
    <mergeCell ref="B69:C69"/>
    <mergeCell ref="B78:C78"/>
    <mergeCell ref="D72:E72"/>
    <mergeCell ref="D78:E78"/>
    <mergeCell ref="F72:G72"/>
    <mergeCell ref="E6:L6"/>
    <mergeCell ref="B112:L112"/>
    <mergeCell ref="A102:L102"/>
    <mergeCell ref="D62:E62"/>
    <mergeCell ref="D56:E56"/>
    <mergeCell ref="D71:E71"/>
    <mergeCell ref="F56:G56"/>
    <mergeCell ref="F71:G71"/>
    <mergeCell ref="B64:C64"/>
    <mergeCell ref="D64:E64"/>
    <mergeCell ref="D73:E73"/>
    <mergeCell ref="B104:L104"/>
    <mergeCell ref="A119:L119"/>
    <mergeCell ref="B63:C63"/>
    <mergeCell ref="D88:E88"/>
    <mergeCell ref="B114:L114"/>
    <mergeCell ref="F57:G57"/>
    <mergeCell ref="F88:G88"/>
    <mergeCell ref="B106:L106"/>
    <mergeCell ref="B90:C90"/>
    <mergeCell ref="D90:E90"/>
    <mergeCell ref="F63:G63"/>
    <mergeCell ref="B66:C66"/>
    <mergeCell ref="A120:L120"/>
    <mergeCell ref="A3:L3"/>
    <mergeCell ref="F74:G74"/>
    <mergeCell ref="A55:L55"/>
    <mergeCell ref="F83:G83"/>
    <mergeCell ref="B10:D10"/>
    <mergeCell ref="D76:E76"/>
    <mergeCell ref="A5:L5"/>
    <mergeCell ref="F76:G76"/>
    <mergeCell ref="B9:D9"/>
    <mergeCell ref="E10:L10"/>
    <mergeCell ref="F85:G85"/>
    <mergeCell ref="D66:E66"/>
    <mergeCell ref="F66:G66"/>
    <mergeCell ref="D75:E75"/>
    <mergeCell ref="F75:G75"/>
    <mergeCell ref="A96:L96"/>
    <mergeCell ref="F62:G62"/>
    <mergeCell ref="B103:L103"/>
    <mergeCell ref="B84:C84"/>
    <mergeCell ref="F61:G61"/>
    <mergeCell ref="B80:C80"/>
    <mergeCell ref="B89:C89"/>
    <mergeCell ref="D89:E89"/>
    <mergeCell ref="B79:C79"/>
    <mergeCell ref="D79:E79"/>
    <mergeCell ref="F64:G64"/>
    <mergeCell ref="F73:G73"/>
    <mergeCell ref="F87:G87"/>
    <mergeCell ref="B72:C72"/>
    <mergeCell ref="D63:E63"/>
    <mergeCell ref="K9:L9"/>
    <mergeCell ref="B13:D13"/>
    <mergeCell ref="A118:L118"/>
    <mergeCell ref="B56:C56"/>
    <mergeCell ref="B71:C71"/>
    <mergeCell ref="F89:G89"/>
    <mergeCell ref="D65:E65"/>
    <mergeCell ref="B58:C58"/>
    <mergeCell ref="B105:L105"/>
    <mergeCell ref="K11:L11"/>
    <mergeCell ref="B60:C60"/>
    <mergeCell ref="B107:L107"/>
    <mergeCell ref="B57:C57"/>
    <mergeCell ref="B88:C88"/>
    <mergeCell ref="B82:C82"/>
    <mergeCell ref="D91:E91"/>
    <mergeCell ref="F91:G91"/>
    <mergeCell ref="K8:L8"/>
    <mergeCell ref="A121:L121"/>
    <mergeCell ref="B108:L108"/>
    <mergeCell ref="K97:L97"/>
    <mergeCell ref="B83:C83"/>
    <mergeCell ref="D83:E83"/>
    <mergeCell ref="B92:C92"/>
    <mergeCell ref="F77:G77"/>
    <mergeCell ref="K7:L7"/>
    <mergeCell ref="A15:L15"/>
    <mergeCell ref="D92:E92"/>
    <mergeCell ref="F92:G92"/>
    <mergeCell ref="A98:L98"/>
    <mergeCell ref="D67:E67"/>
    <mergeCell ref="B76:C76"/>
    <mergeCell ref="B85:C85"/>
    <mergeCell ref="D85:E85"/>
    <mergeCell ref="B75:C75"/>
    <mergeCell ref="D69:E69"/>
    <mergeCell ref="F69:G69"/>
    <mergeCell ref="B62:C62"/>
    <mergeCell ref="F78:G78"/>
    <mergeCell ref="B59:C59"/>
    <mergeCell ref="A99:L99"/>
    <mergeCell ref="F65:G65"/>
    <mergeCell ref="D80:E80"/>
    <mergeCell ref="A101:L101"/>
    <mergeCell ref="F59:G59"/>
    <mergeCell ref="B70:C70"/>
    <mergeCell ref="D57:E57"/>
    <mergeCell ref="B111:L111"/>
    <mergeCell ref="B8:C8"/>
    <mergeCell ref="B73:C73"/>
    <mergeCell ref="B87:C87"/>
    <mergeCell ref="D87:E87"/>
    <mergeCell ref="K12:L12"/>
    <mergeCell ref="F90:G90"/>
    <mergeCell ref="A117:L117"/>
    <mergeCell ref="B97:D97"/>
    <mergeCell ref="D58:E58"/>
    <mergeCell ref="F58:G58"/>
    <mergeCell ref="B65:C65"/>
    <mergeCell ref="F67:G67"/>
    <mergeCell ref="B74:C74"/>
    <mergeCell ref="D74:E74"/>
    <mergeCell ref="D82:E82"/>
    <mergeCell ref="F82:G82"/>
    <mergeCell ref="A1:L1"/>
    <mergeCell ref="F60:G60"/>
    <mergeCell ref="B110:L110"/>
    <mergeCell ref="D59:E59"/>
  </mergeCells>
  <conditionalFormatting sqref="K7">
    <cfRule type="expression" priority="1" dxfId="0">
      <formula>LEN(K7)&gt;0</formula>
    </cfRule>
  </conditionalFormatting>
  <conditionalFormatting sqref="K8">
    <cfRule type="expression" priority="2" dxfId="0">
      <formula>LEN(K8)&gt;0</formula>
    </cfRule>
  </conditionalFormatting>
  <conditionalFormatting sqref="K9">
    <cfRule type="expression" priority="3" dxfId="0">
      <formula>LEN(K9)&gt;0</formula>
    </cfRule>
  </conditionalFormatting>
  <conditionalFormatting sqref="K11">
    <cfRule type="expression" priority="4" dxfId="0">
      <formula>LEN(K11)&gt;0</formula>
    </cfRule>
  </conditionalFormatting>
  <conditionalFormatting sqref="K12">
    <cfRule type="expression" priority="5" dxfId="0">
      <formula>LEN(K12)&gt;0</formula>
    </cfRule>
  </conditionalFormatting>
  <conditionalFormatting sqref="K97">
    <cfRule type="expression" priority="6" dxfId="0">
      <formula>LEN(K97)&gt;0</formula>
    </cfRule>
  </conditionalFormatting>
  <dataValidations count="8">
    <dataValidation sqref="B6" showDropDown="0" showInputMessage="0" showErrorMessage="1" allowBlank="1" errorTitle="Fora da lista" error="Faixa: escolha um valor da lista. A planilha pode não reconhecer outro valor." type="list" errorStyle="warning">
      <formula1>'Dados'!$AX$6:$AX$11</formula1>
    </dataValidation>
    <dataValidation sqref="B7" showDropDown="0" showInputMessage="0" showErrorMessage="1" allowBlank="1" errorTitle="Fora da lista" error="Tipo: escolha um valor da lista. A planilha pode não reconhecer outro valor." type="list" errorStyle="warning">
      <formula1>'Dados'!$AY$6:$AY$9</formula1>
    </dataValidation>
    <dataValidation sqref="B8" showDropDown="0" showInputMessage="0" showErrorMessage="1" allowBlank="1" errorTitle="Fora da lista" error="Fraqueza (fase 1): escolha um valor da lista. A planilha pode não reconhecer outro valor." type="list" errorStyle="warning">
      <formula1>'Dados'!$AZ$6:$AZ$13</formula1>
    </dataValidation>
    <dataValidation sqref="B9" showDropDown="0" showInputMessage="0" showErrorMessage="1" allowBlank="1" errorTitle="Fora da lista" error="Facção ou origem: escolha um valor da lista. A planilha pode não reconhecer outro valor." type="list" errorStyle="warning">
      <formula1>'Dados'!$BA$6:$BA$19</formula1>
    </dataValidation>
    <dataValidation sqref="B10" showDropDown="0" showInputMessage="0" showErrorMessage="1" allowBlank="1" errorTitle="Fora da lista" error="Ambiente: escolha um valor da lista. A planilha pode não reconhecer outro valor." type="list" errorStyle="warning">
      <formula1>'Dados'!$BB$6:$BB$19</formula1>
    </dataValidation>
    <dataValidation sqref="B11" showDropDown="0" showInputMessage="0" showErrorMessage="1" allowBlank="1" errorTitle="Fora da lista" error="Só com Resistência?: escolha um valor da lista. A planilha pode não reconhecer outro valor." type="list" errorStyle="warning">
      <formula1>'Dados'!$AT$6:$AT$7</formula1>
    </dataValidation>
    <dataValidation sqref="B12" showDropDown="0" showInputMessage="0" showErrorMessage="1" allowBlank="1" errorTitle="Fora da lista" error="Só com fases?: escolha um valor da lista. A planilha pode não reconhecer outro valor." type="list" errorStyle="warning">
      <formula1>'Dados'!$AT$6:$AT$7</formula1>
    </dataValidation>
    <dataValidation sqref="B97" showDropDown="0" showInputMessage="0" showErrorMessage="1" allowBlank="1" errorTitle="Fora da lista" error="Ver criatura: escolha um valor da lista. A planilha pode não reconhecer outro valor." type="list" errorStyle="warning">
      <formula1>'Dados'!$AW$6:$AW$37</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N122"/>
  <sheetViews>
    <sheetView showGridLines="1" workbookViewId="0">
      <selection activeCell="A1" sqref="A1"/>
    </sheetView>
  </sheetViews>
  <sheetFormatPr baseColWidth="8" defaultRowHeight="15"/>
  <cols>
    <col width="20.786" customWidth="1" min="1" max="1"/>
    <col width="13.643" customWidth="1" min="2" max="2"/>
    <col width="13.643"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1.5" customWidth="1" min="11" max="11"/>
    <col width="21.5"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width="13" customWidth="1" min="44" max="44"/>
    <col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width="13" customWidth="1" min="52" max="52"/>
    <col hidden="1" width="13" customWidth="1" min="53" max="53"/>
    <col hidden="1" width="13" customWidth="1" min="54" max="54"/>
    <col hidden="1" width="13" customWidth="1" min="55" max="55"/>
    <col hidden="1" width="13" customWidth="1" min="56" max="56"/>
    <col hidden="1" width="13" customWidth="1" min="57" max="57"/>
    <col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s>
  <sheetData>
    <row r="1" ht="24" customHeight="1">
      <c r="A1" s="1" t="inlineStr">
        <is>
          <t>Encontros — Explorando Galáxias v1.1</t>
        </is>
      </c>
    </row>
    <row r="2" ht="37" customHeight="1">
      <c r="A2" s="2"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Orçamento de 27.4, três encontros salvos, contrato da Fraqueza e encontro aleatório.</t>
        </is>
      </c>
    </row>
    <row r="4"/>
    <row r="5" ht="20" customHeight="1">
      <c r="A5" s="12" t="inlineStr">
        <is>
          <t>Parâmetros e orçamento (27.4)</t>
        </is>
      </c>
    </row>
    <row r="6">
      <c r="A6" s="7" t="inlineStr">
        <is>
          <t>Campo</t>
        </is>
      </c>
      <c r="B6" s="7" t="inlineStr">
        <is>
          <t>Valor</t>
        </is>
      </c>
      <c r="C6" s="20" t="n"/>
      <c r="D6" s="7" t="inlineStr">
        <is>
          <t>Troca opcional (preencha)</t>
        </is>
      </c>
      <c r="E6" s="20" t="n"/>
      <c r="F6" s="7" t="inlineStr">
        <is>
          <t>De onde vem</t>
        </is>
      </c>
      <c r="G6" s="20" t="n"/>
      <c r="H6" s="20" t="n"/>
      <c r="I6" s="20" t="n"/>
      <c r="J6" s="20" t="n"/>
      <c r="K6" s="7" t="inlineStr">
        <is>
          <t>Aviso</t>
        </is>
      </c>
      <c r="L6" s="20" t="n"/>
    </row>
    <row r="7" ht="26" customHeight="1">
      <c r="A7" s="8" t="inlineStr">
        <is>
          <t>Nº de PJs</t>
        </is>
      </c>
      <c r="B7" s="17">
        <f>IF(ISNUMBER($BJ$7),MIN(6,MAX(1,INT($BJ$7))),'Campanha'!$B$21)</f>
        <v/>
      </c>
      <c r="D7" s="15" t="n"/>
      <c r="E7" s="16" t="n"/>
      <c r="F7" s="13" t="inlineStr">
        <is>
          <t>Aba Campanha (nº de jogadores; vazio = nº de PJs do Grupo).</t>
        </is>
      </c>
      <c r="K7" s="18">
        <f>IF(BN7&gt;0,"O Google leu como fórmula: digite de novo com ' na frente.",IF(AND(ISNUMBER($BJ$7),OR($BJ$7&lt;1,$BJ$7&gt;6)),"Nº de PJs fora de 1 a 6: usando o limite",""))</f>
        <v/>
      </c>
      <c r="BJ7" s="19">
        <f>IF(ISERROR($D$7),"",IF(ISBLANK($D$7),"",$D$7))</f>
        <v/>
      </c>
      <c r="BN7" s="19">
        <f>ISERROR($D$7)*1</f>
        <v/>
      </c>
    </row>
    <row r="8" ht="26" customHeight="1">
      <c r="A8" s="21" t="inlineStr">
        <is>
          <t>Faixa do encontro</t>
        </is>
      </c>
      <c r="B8" s="29">
        <f>IF(LEN(IFERROR(INDEX('Dados'!$B$7:$B$11,MATCH($BJ$8,'Dados'!$AP$6:$AP$10,0)),""))&gt;0,IFERROR(INDEX('Dados'!$B$7:$B$11,MATCH($BJ$8,'Dados'!$AP$6:$AP$10,0)),""),'Campanha'!$B$19)</f>
        <v/>
      </c>
      <c r="D8" s="42" t="n"/>
      <c r="E8" s="16" t="n"/>
      <c r="F8" s="22" t="inlineStr">
        <is>
          <t>A faixa do inimigo é a faixa do grupo (28.4 passo 1).</t>
        </is>
      </c>
      <c r="K8" s="26">
        <f>IF(BN8&gt;0,"O Google leu como fórmula: escolha de novo na lista.","")</f>
        <v/>
      </c>
      <c r="N8" s="19">
        <f>MATCH($B$8,'Dados'!$B$7:$B$11,0)</f>
        <v/>
      </c>
      <c r="BJ8" s="19">
        <f>IF(ISERROR($D$8),"",IF(ISBLANK($D$8),"",$D$8))</f>
        <v/>
      </c>
      <c r="BN8" s="19">
        <f>ISERROR($D$8)*1</f>
        <v/>
      </c>
    </row>
    <row r="9" ht="26" customHeight="1">
      <c r="A9" s="8" t="inlineStr">
        <is>
          <t>Orçamento (grupo de 4)</t>
        </is>
      </c>
      <c r="B9" s="17">
        <f>INDEX('Dados'!$C$261:$C$265,$N$8)</f>
        <v/>
      </c>
      <c r="F9" s="13" t="inlineStr">
        <is>
          <t>27.4: orçamento = o dano que o grupo entrega em 4 Ciclos.</t>
        </is>
      </c>
    </row>
    <row r="10" ht="26" customHeight="1">
      <c r="A10" s="21" t="inlineStr">
        <is>
          <t>Dano do grupo por Ciclo (4)</t>
        </is>
      </c>
      <c r="B10" s="29">
        <f>INDEX('Dados'!$B$261:$B$265,$N$8)</f>
        <v/>
      </c>
      <c r="D10" s="38" t="n"/>
      <c r="E10" s="38" t="n"/>
      <c r="F10" s="22" t="inlineStr">
        <is>
          <t>27.4 (mesa de 4 personagens, 29.1).</t>
        </is>
      </c>
      <c r="K10" s="38" t="n"/>
      <c r="L10" s="38" t="n"/>
    </row>
    <row r="11" ht="26" customHeight="1">
      <c r="A11" s="8" t="inlineStr">
        <is>
          <t>Orçamento deste grupo</t>
        </is>
      </c>
      <c r="B11" s="17">
        <f>IF($B$7=4,$B$9,INT($B$9*$B$7/4))</f>
        <v/>
      </c>
      <c r="F11" s="4">
        <f>IF($B$7=4,"Igual a 27.4 (4 personagens).","Grupo de "&amp;$B$7&amp;": 27.4 × "&amp;$B$7&amp;"/4 — Sugestão da planilha — não é regra do livro (H5)")</f>
        <v/>
      </c>
      <c r="AK11" s="19">
        <f>IF(OR(LEN($BH$105)=0,$BH$105="Qualquer"),1,IF(COUNTIFS('Tabelas'!$AE$12:$AE$118,'Dados'!$E$92,'Tabelas'!$AF$12:$AF$118,$BH$105)+IF(LEN('Dados'!$AD$92)=0,0,COUNTIFS('Tabelas'!$AE$12:$AE$118,'Dados'!$AD$92,'Tabelas'!$AF$12:$AF$118,$BH$105))&gt;0,1,0))</f>
        <v/>
      </c>
      <c r="AL11" s="19">
        <f>0+IF(AND('Dados'!$C$92="Comum",'Dados'!$D$92=$N$105),1,0)*$AK$11</f>
        <v/>
      </c>
      <c r="AM11" s="19">
        <f>0+IF(AND('Dados'!$C$92="Elite",'Dados'!$D$92=$N$105),1,0)*$AK$11</f>
        <v/>
      </c>
      <c r="AN11" s="19">
        <f>0+IF(AND('Dados'!$C$92="Boss",'Dados'!$D$92=$N$105),1,0)*$AK$11</f>
        <v/>
      </c>
      <c r="AO11" s="19">
        <f>0+IF(AND('Dados'!$C$92="Comum",'Dados'!$D$92=$N$105),1,0)</f>
        <v/>
      </c>
      <c r="AP11" s="19">
        <f>0+IF(AND('Dados'!$C$92="Elite",'Dados'!$D$92=$N$105),1,0)</f>
        <v/>
      </c>
      <c r="AQ11" s="19">
        <f>0+IF(AND('Dados'!$C$92="Boss",'Dados'!$D$92=$N$105),1,0)</f>
        <v/>
      </c>
      <c r="AT11" s="19">
        <f>IF(ISNUMBER($R$108),INDEX('Dados'!$Q$92:$Q$123,$R$108)&amp;"","")</f>
        <v/>
      </c>
      <c r="AU11" s="19">
        <f>IF(ISNUMBER($R$108),INDEX('Dados'!$U$92:$U$123,$R$108)&amp;"","")</f>
        <v/>
      </c>
      <c r="AV11" s="19">
        <f>IF(LEN($AT$11)=0,0,IF(COUNTIF('Grupo'!$T$7:$T$12,$AT$11)&gt;0,0,1))</f>
        <v/>
      </c>
      <c r="AW11" s="19">
        <f>0+IF(AND($AV$11=1,0&lt;$BE$12),IF(INDEX($BC$11:$BC$17,0+1)&lt;&gt;$AU$11,1,0),0)</f>
        <v/>
      </c>
      <c r="AX11" s="19">
        <f>IF($AW$11&gt;0,INDEX($BC$11:$BC$17,$AW$11),$AT$11)</f>
        <v/>
      </c>
      <c r="AY11" s="19">
        <f>IF($AW$11&gt;0,$S$108&amp;": "&amp;$AT$11&amp;" → "&amp;$AX$11&amp;"; ","")</f>
        <v/>
      </c>
      <c r="BA11" s="19">
        <f>IF(AND('Grupo'!$B$44="Sim",COUNTIF($AT$11:$AT$38,"Físico")=0),1,0)</f>
        <v/>
      </c>
      <c r="BB11" s="19">
        <f>$BA$11</f>
        <v/>
      </c>
      <c r="BC11" s="19">
        <f>IFERROR(INDEX('Dados'!$A$301:$A$307,MATCH(1,$BB$11:$BB$17,0)),"")</f>
        <v/>
      </c>
      <c r="BD11" s="19">
        <f>IF(AND('Grupo'!$B$44="Sim",COUNTIF($AT$11:$AT$38,"Físico")&gt;0),1,0)</f>
        <v/>
      </c>
      <c r="BE11" s="19">
        <f>SUM($BD$11:$BD$17)</f>
        <v/>
      </c>
    </row>
    <row r="12" ht="26" customHeight="1">
      <c r="A12" s="21" t="inlineStr">
        <is>
          <t>Dano por Ciclo deste grupo</t>
        </is>
      </c>
      <c r="B12" s="29">
        <f>IF($B$7=4,$B$10,INT($B$10*$B$7/4))</f>
        <v/>
      </c>
      <c r="D12" s="38" t="n"/>
      <c r="E12" s="38" t="n"/>
      <c r="F12" s="38" t="n"/>
      <c r="G12" s="38" t="n"/>
      <c r="H12" s="38" t="n"/>
      <c r="I12" s="38" t="n"/>
      <c r="J12" s="38" t="n"/>
      <c r="K12" s="38" t="n"/>
      <c r="L12" s="38" t="n"/>
      <c r="AK12" s="19">
        <f>IF(OR(LEN($BH$105)=0,$BH$105="Qualquer"),1,IF(COUNTIFS('Tabelas'!$AE$12:$AE$118,'Dados'!$E$93,'Tabelas'!$AF$12:$AF$118,$BH$105)+IF(LEN('Dados'!$AD$93)=0,0,COUNTIFS('Tabelas'!$AE$12:$AE$118,'Dados'!$AD$93,'Tabelas'!$AF$12:$AF$118,$BH$105))&gt;0,1,0))</f>
        <v/>
      </c>
      <c r="AL12" s="19">
        <f>$AL$11+IF(AND('Dados'!$C$93="Comum",'Dados'!$D$93=$N$105),1,0)*$AK$12</f>
        <v/>
      </c>
      <c r="AM12" s="19">
        <f>$AM$11+IF(AND('Dados'!$C$93="Elite",'Dados'!$D$93=$N$105),1,0)*$AK$12</f>
        <v/>
      </c>
      <c r="AN12" s="19">
        <f>$AN$11+IF(AND('Dados'!$C$93="Boss",'Dados'!$D$93=$N$105),1,0)*$AK$12</f>
        <v/>
      </c>
      <c r="AO12" s="19">
        <f>$AO$11+IF(AND('Dados'!$C$93="Comum",'Dados'!$D$93=$N$105),1,0)</f>
        <v/>
      </c>
      <c r="AP12" s="19">
        <f>$AP$11+IF(AND('Dados'!$C$93="Elite",'Dados'!$D$93=$N$105),1,0)</f>
        <v/>
      </c>
      <c r="AQ12" s="19">
        <f>$AQ$11+IF(AND('Dados'!$C$93="Boss",'Dados'!$D$93=$N$105),1,0)</f>
        <v/>
      </c>
      <c r="AT12" s="19">
        <f>IF(ISNUMBER($R$108),INDEX('Dados'!$R$92:$R$123,$R$108)&amp;"","")</f>
        <v/>
      </c>
      <c r="AU12" s="19">
        <f>IF(ISNUMBER($R$108),INDEX('Dados'!$U$92:$U$123,$R$108)&amp;"","")</f>
        <v/>
      </c>
      <c r="AV12" s="19">
        <f>IF(LEN($AT$12)=0,0,IF(COUNTIF('Grupo'!$T$7:$T$12,$AT$12)&gt;0,0,1))</f>
        <v/>
      </c>
      <c r="AW12" s="19">
        <f>$AW$11+IF(AND($AV$12=1,$AW$11&lt;$BE$12),IF(INDEX($BC$11:$BC$17,$AW$11+1)&lt;&gt;$AU$12,1,0),0)</f>
        <v/>
      </c>
      <c r="AX12" s="19">
        <f>IF($AW$12&gt;$AW$11,INDEX($BC$11:$BC$17,$AW$12),$AT$12)</f>
        <v/>
      </c>
      <c r="AY12" s="19">
        <f>IF($AW$12&gt;$AW$11,$S$108&amp;": "&amp;$AT$12&amp;" → "&amp;$AX$12&amp;"; ","")</f>
        <v/>
      </c>
      <c r="BA12" s="19">
        <f>IF(AND('Grupo'!$C$44="Sim",COUNTIF($AT$11:$AT$38,"Fogo")=0),1,0)</f>
        <v/>
      </c>
      <c r="BB12" s="19">
        <f>$BB$11+$BA$12</f>
        <v/>
      </c>
      <c r="BC12" s="19">
        <f>IFERROR(INDEX('Dados'!$A$301:$A$307,MATCH(2,$BB$11:$BB$17,0)),"")</f>
        <v/>
      </c>
      <c r="BD12" s="19">
        <f>IF(AND('Grupo'!$C$44="Sim",COUNTIF($AT$11:$AT$38,"Fogo")&gt;0),1,0)</f>
        <v/>
      </c>
      <c r="BE12" s="19">
        <f>MIN(MAX(0,3-$BE$11),$BB$17)</f>
        <v/>
      </c>
    </row>
    <row r="13">
      <c r="AK13" s="19">
        <f>IF(OR(LEN($BH$105)=0,$BH$105="Qualquer"),1,IF(COUNTIFS('Tabelas'!$AE$12:$AE$118,'Dados'!$E$94,'Tabelas'!$AF$12:$AF$118,$BH$105)+IF(LEN('Dados'!$AD$94)=0,0,COUNTIFS('Tabelas'!$AE$12:$AE$118,'Dados'!$AD$94,'Tabelas'!$AF$12:$AF$118,$BH$105))&gt;0,1,0))</f>
        <v/>
      </c>
      <c r="AL13" s="19">
        <f>$AL$12+IF(AND('Dados'!$C$94="Comum",'Dados'!$D$94=$N$105),1,0)*$AK$13</f>
        <v/>
      </c>
      <c r="AM13" s="19">
        <f>$AM$12+IF(AND('Dados'!$C$94="Elite",'Dados'!$D$94=$N$105),1,0)*$AK$13</f>
        <v/>
      </c>
      <c r="AN13" s="19">
        <f>$AN$12+IF(AND('Dados'!$C$94="Boss",'Dados'!$D$94=$N$105),1,0)*$AK$13</f>
        <v/>
      </c>
      <c r="AO13" s="19">
        <f>$AO$12+IF(AND('Dados'!$C$94="Comum",'Dados'!$D$94=$N$105),1,0)</f>
        <v/>
      </c>
      <c r="AP13" s="19">
        <f>$AP$12+IF(AND('Dados'!$C$94="Elite",'Dados'!$D$94=$N$105),1,0)</f>
        <v/>
      </c>
      <c r="AQ13" s="19">
        <f>$AQ$12+IF(AND('Dados'!$C$94="Boss",'Dados'!$D$94=$N$105),1,0)</f>
        <v/>
      </c>
      <c r="AT13" s="19">
        <f>IF(ISNUMBER($R$108),INDEX('Dados'!$S$92:$S$123,$R$108)&amp;"","")</f>
        <v/>
      </c>
      <c r="AU13" s="19">
        <f>IF(ISNUMBER($R$108),INDEX('Dados'!$U$92:$U$123,$R$108)&amp;"","")</f>
        <v/>
      </c>
      <c r="AV13" s="19">
        <f>IF(LEN($AT$13)=0,0,IF(COUNTIF('Grupo'!$T$7:$T$12,$AT$13)&gt;0,0,1))</f>
        <v/>
      </c>
      <c r="AW13" s="19">
        <f>$AW$12+IF(AND($AV$13=1,$AW$12&lt;$BE$12),IF(INDEX($BC$11:$BC$17,$AW$12+1)&lt;&gt;$AU$13,1,0),0)</f>
        <v/>
      </c>
      <c r="AX13" s="19">
        <f>IF($AW$13&gt;$AW$12,INDEX($BC$11:$BC$17,$AW$13),$AT$13)</f>
        <v/>
      </c>
      <c r="AY13" s="19">
        <f>IF($AW$13&gt;$AW$12,$S$108&amp;": "&amp;$AT$13&amp;" → "&amp;$AX$13&amp;"; ","")</f>
        <v/>
      </c>
      <c r="BA13" s="19">
        <f>IF(AND('Grupo'!$D$44="Sim",COUNTIF($AT$11:$AT$38,"Gelo")=0),1,0)</f>
        <v/>
      </c>
      <c r="BB13" s="19">
        <f>$BB$12+$BA$13</f>
        <v/>
      </c>
      <c r="BC13" s="19">
        <f>IFERROR(INDEX('Dados'!$A$301:$A$307,MATCH(3,$BB$11:$BB$17,0)),"")</f>
        <v/>
      </c>
      <c r="BD13" s="19">
        <f>IF(AND('Grupo'!$D$44="Sim",COUNTIF($AT$11:$AT$38,"Gelo")&gt;0),1,0)</f>
        <v/>
      </c>
      <c r="BE13" s="19">
        <f>$BE$11+$AW$38</f>
        <v/>
      </c>
    </row>
    <row r="14">
      <c r="A14" s="11" t="inlineStr">
        <is>
          <t>Montar em quatro passos (27.4): (1) leia a faixa; (2) gaste o orçamento escolhendo tipos; (3) escolha as Fraquezas cumprindo o contrato de 27.5; (4) confira as ações agressivas por Ciclo.</t>
        </is>
      </c>
      <c r="AK14" s="19">
        <f>IF(OR(LEN($BH$105)=0,$BH$105="Qualquer"),1,IF(COUNTIFS('Tabelas'!$AE$12:$AE$118,'Dados'!$E$95,'Tabelas'!$AF$12:$AF$118,$BH$105)+IF(LEN('Dados'!$AD$95)=0,0,COUNTIFS('Tabelas'!$AE$12:$AE$118,'Dados'!$AD$95,'Tabelas'!$AF$12:$AF$118,$BH$105))&gt;0,1,0))</f>
        <v/>
      </c>
      <c r="AL14" s="19">
        <f>$AL$13+IF(AND('Dados'!$C$95="Comum",'Dados'!$D$95=$N$105),1,0)*$AK$14</f>
        <v/>
      </c>
      <c r="AM14" s="19">
        <f>$AM$13+IF(AND('Dados'!$C$95="Elite",'Dados'!$D$95=$N$105),1,0)*$AK$14</f>
        <v/>
      </c>
      <c r="AN14" s="19">
        <f>$AN$13+IF(AND('Dados'!$C$95="Boss",'Dados'!$D$95=$N$105),1,0)*$AK$14</f>
        <v/>
      </c>
      <c r="AO14" s="19">
        <f>$AO$13+IF(AND('Dados'!$C$95="Comum",'Dados'!$D$95=$N$105),1,0)</f>
        <v/>
      </c>
      <c r="AP14" s="19">
        <f>$AP$13+IF(AND('Dados'!$C$95="Elite",'Dados'!$D$95=$N$105),1,0)</f>
        <v/>
      </c>
      <c r="AQ14" s="19">
        <f>$AQ$13+IF(AND('Dados'!$C$95="Boss",'Dados'!$D$95=$N$105),1,0)</f>
        <v/>
      </c>
      <c r="AT14" s="19">
        <f>IF(ISNUMBER($R$108),INDEX('Dados'!$T$92:$T$123,$R$108)&amp;"","")</f>
        <v/>
      </c>
      <c r="AU14" s="19">
        <f>IF(ISNUMBER($R$108),INDEX('Dados'!$U$92:$U$123,$R$108)&amp;"","")</f>
        <v/>
      </c>
      <c r="AV14" s="19">
        <f>IF(LEN($AT$14)=0,0,IF(COUNTIF('Grupo'!$T$7:$T$12,$AT$14)&gt;0,0,1))</f>
        <v/>
      </c>
      <c r="AW14" s="19">
        <f>$AW$13+IF(AND($AV$14=1,$AW$13&lt;$BE$12),IF(INDEX($BC$11:$BC$17,$AW$13+1)&lt;&gt;$AU$14,1,0),0)</f>
        <v/>
      </c>
      <c r="AX14" s="19">
        <f>IF($AW$14&gt;$AW$13,INDEX($BC$11:$BC$17,$AW$14),$AT$14)</f>
        <v/>
      </c>
      <c r="AY14" s="19">
        <f>IF($AW$14&gt;$AW$13,$S$108&amp;": "&amp;$AT$14&amp;" → "&amp;$AX$14&amp;"; ","")</f>
        <v/>
      </c>
      <c r="BA14" s="19">
        <f>IF(AND('Grupo'!$E$44="Sim",COUNTIF($AT$11:$AT$38,"Raio")=0),1,0)</f>
        <v/>
      </c>
      <c r="BB14" s="19">
        <f>$BB$13+$BA$14</f>
        <v/>
      </c>
      <c r="BC14" s="19">
        <f>IFERROR(INDEX('Dados'!$A$301:$A$307,MATCH(4,$BB$11:$BB$17,0)),"")</f>
        <v/>
      </c>
      <c r="BD14" s="19">
        <f>IF(AND('Grupo'!$E$44="Sim",COUNTIF($AT$11:$AT$38,"Raio")&gt;0),1,0)</f>
        <v/>
      </c>
    </row>
    <row r="15">
      <c r="A15" s="11" t="inlineStr">
        <is>
          <t>Criatura: inimigos da campanha (aba Inimigos) e as 32 do Bestiário; a lista procura primeiro os da campanha. Quantidade vazia = 1. Fraquezas nesta cena vazias = as da ficha.</t>
        </is>
      </c>
      <c r="AK15" s="19">
        <f>IF(OR(LEN($BH$105)=0,$BH$105="Qualquer"),1,IF(COUNTIFS('Tabelas'!$AE$12:$AE$118,'Dados'!$E$96,'Tabelas'!$AF$12:$AF$118,$BH$105)+IF(LEN('Dados'!$AD$96)=0,0,COUNTIFS('Tabelas'!$AE$12:$AE$118,'Dados'!$AD$96,'Tabelas'!$AF$12:$AF$118,$BH$105))&gt;0,1,0))</f>
        <v/>
      </c>
      <c r="AL15" s="19">
        <f>$AL$14+IF(AND('Dados'!$C$96="Comum",'Dados'!$D$96=$N$105),1,0)*$AK$15</f>
        <v/>
      </c>
      <c r="AM15" s="19">
        <f>$AM$14+IF(AND('Dados'!$C$96="Elite",'Dados'!$D$96=$N$105),1,0)*$AK$15</f>
        <v/>
      </c>
      <c r="AN15" s="19">
        <f>$AN$14+IF(AND('Dados'!$C$96="Boss",'Dados'!$D$96=$N$105),1,0)*$AK$15</f>
        <v/>
      </c>
      <c r="AO15" s="19">
        <f>$AO$14+IF(AND('Dados'!$C$96="Comum",'Dados'!$D$96=$N$105),1,0)</f>
        <v/>
      </c>
      <c r="AP15" s="19">
        <f>$AP$14+IF(AND('Dados'!$C$96="Elite",'Dados'!$D$96=$N$105),1,0)</f>
        <v/>
      </c>
      <c r="AQ15" s="19">
        <f>$AQ$14+IF(AND('Dados'!$C$96="Boss",'Dados'!$D$96=$N$105),1,0)</f>
        <v/>
      </c>
      <c r="AT15" s="19">
        <f>IF(ISNUMBER($R$109),INDEX('Dados'!$Q$92:$Q$123,$R$109)&amp;"","")</f>
        <v/>
      </c>
      <c r="AU15" s="19">
        <f>IF(ISNUMBER($R$109),INDEX('Dados'!$U$92:$U$123,$R$109)&amp;"","")</f>
        <v/>
      </c>
      <c r="AV15" s="19">
        <f>IF(LEN($AT$15)=0,0,IF(COUNTIF('Grupo'!$T$7:$T$12,$AT$15)&gt;0,0,1))</f>
        <v/>
      </c>
      <c r="AW15" s="19">
        <f>$AW$14+IF(AND($AV$15=1,$AW$14&lt;$BE$12),IF(INDEX($BC$11:$BC$17,$AW$14+1)&lt;&gt;$AU$15,1,0),0)</f>
        <v/>
      </c>
      <c r="AX15" s="19">
        <f>IF($AW$15&gt;$AW$14,INDEX($BC$11:$BC$17,$AW$15),$AT$15)</f>
        <v/>
      </c>
      <c r="AY15" s="19">
        <f>IF($AW$15&gt;$AW$14,$S$109&amp;": "&amp;$AT$15&amp;" → "&amp;$AX$15&amp;"; ","")</f>
        <v/>
      </c>
      <c r="BA15" s="19">
        <f>IF(AND('Grupo'!$F$44="Sim",COUNTIF($AT$11:$AT$38,"Vento")=0),1,0)</f>
        <v/>
      </c>
      <c r="BB15" s="19">
        <f>$BB$14+$BA$15</f>
        <v/>
      </c>
      <c r="BC15" s="19">
        <f>IFERROR(INDEX('Dados'!$A$301:$A$307,MATCH(5,$BB$11:$BB$17,0)),"")</f>
        <v/>
      </c>
      <c r="BD15" s="19">
        <f>IF(AND('Grupo'!$F$44="Sim",COUNTIF($AT$11:$AT$38,"Vento")&gt;0),1,0)</f>
        <v/>
      </c>
    </row>
    <row r="16">
      <c r="AK16" s="19">
        <f>IF(OR(LEN($BH$105)=0,$BH$105="Qualquer"),1,IF(COUNTIFS('Tabelas'!$AE$12:$AE$118,'Dados'!$E$97,'Tabelas'!$AF$12:$AF$118,$BH$105)+IF(LEN('Dados'!$AD$97)=0,0,COUNTIFS('Tabelas'!$AE$12:$AE$118,'Dados'!$AD$97,'Tabelas'!$AF$12:$AF$118,$BH$105))&gt;0,1,0))</f>
        <v/>
      </c>
      <c r="AL16" s="19">
        <f>$AL$15+IF(AND('Dados'!$C$97="Comum",'Dados'!$D$97=$N$105),1,0)*$AK$16</f>
        <v/>
      </c>
      <c r="AM16" s="19">
        <f>$AM$15+IF(AND('Dados'!$C$97="Elite",'Dados'!$D$97=$N$105),1,0)*$AK$16</f>
        <v/>
      </c>
      <c r="AN16" s="19">
        <f>$AN$15+IF(AND('Dados'!$C$97="Boss",'Dados'!$D$97=$N$105),1,0)*$AK$16</f>
        <v/>
      </c>
      <c r="AO16" s="19">
        <f>$AO$15+IF(AND('Dados'!$C$97="Comum",'Dados'!$D$97=$N$105),1,0)</f>
        <v/>
      </c>
      <c r="AP16" s="19">
        <f>$AP$15+IF(AND('Dados'!$C$97="Elite",'Dados'!$D$97=$N$105),1,0)</f>
        <v/>
      </c>
      <c r="AQ16" s="19">
        <f>$AQ$15+IF(AND('Dados'!$C$97="Boss",'Dados'!$D$97=$N$105),1,0)</f>
        <v/>
      </c>
      <c r="AT16" s="19">
        <f>IF(ISNUMBER($R$109),INDEX('Dados'!$R$92:$R$123,$R$109)&amp;"","")</f>
        <v/>
      </c>
      <c r="AU16" s="19">
        <f>IF(ISNUMBER($R$109),INDEX('Dados'!$U$92:$U$123,$R$109)&amp;"","")</f>
        <v/>
      </c>
      <c r="AV16" s="19">
        <f>IF(LEN($AT$16)=0,0,IF(COUNTIF('Grupo'!$T$7:$T$12,$AT$16)&gt;0,0,1))</f>
        <v/>
      </c>
      <c r="AW16" s="19">
        <f>$AW$15+IF(AND($AV$16=1,$AW$15&lt;$BE$12),IF(INDEX($BC$11:$BC$17,$AW$15+1)&lt;&gt;$AU$16,1,0),0)</f>
        <v/>
      </c>
      <c r="AX16" s="19">
        <f>IF($AW$16&gt;$AW$15,INDEX($BC$11:$BC$17,$AW$16),$AT$16)</f>
        <v/>
      </c>
      <c r="AY16" s="19">
        <f>IF($AW$16&gt;$AW$15,$S$109&amp;": "&amp;$AT$16&amp;" → "&amp;$AX$16&amp;"; ","")</f>
        <v/>
      </c>
      <c r="BA16" s="19">
        <f>IF(AND('Grupo'!$G$44="Sim",COUNTIF($AT$11:$AT$38,"Quântico")=0),1,0)</f>
        <v/>
      </c>
      <c r="BB16" s="19">
        <f>$BB$15+$BA$16</f>
        <v/>
      </c>
      <c r="BC16" s="19">
        <f>IFERROR(INDEX('Dados'!$A$301:$A$307,MATCH(6,$BB$11:$BB$17,0)),"")</f>
        <v/>
      </c>
      <c r="BD16" s="19">
        <f>IF(AND('Grupo'!$G$44="Sim",COUNTIF($AT$11:$AT$38,"Quântico")&gt;0),1,0)</f>
        <v/>
      </c>
    </row>
    <row r="17">
      <c r="AK17" s="19">
        <f>IF(OR(LEN($BH$105)=0,$BH$105="Qualquer"),1,IF(COUNTIFS('Tabelas'!$AE$12:$AE$118,'Dados'!$E$98,'Tabelas'!$AF$12:$AF$118,$BH$105)+IF(LEN('Dados'!$AD$98)=0,0,COUNTIFS('Tabelas'!$AE$12:$AE$118,'Dados'!$AD$98,'Tabelas'!$AF$12:$AF$118,$BH$105))&gt;0,1,0))</f>
        <v/>
      </c>
      <c r="AL17" s="19">
        <f>$AL$16+IF(AND('Dados'!$C$98="Comum",'Dados'!$D$98=$N$105),1,0)*$AK$17</f>
        <v/>
      </c>
      <c r="AM17" s="19">
        <f>$AM$16+IF(AND('Dados'!$C$98="Elite",'Dados'!$D$98=$N$105),1,0)*$AK$17</f>
        <v/>
      </c>
      <c r="AN17" s="19">
        <f>$AN$16+IF(AND('Dados'!$C$98="Boss",'Dados'!$D$98=$N$105),1,0)*$AK$17</f>
        <v/>
      </c>
      <c r="AO17" s="19">
        <f>$AO$16+IF(AND('Dados'!$C$98="Comum",'Dados'!$D$98=$N$105),1,0)</f>
        <v/>
      </c>
      <c r="AP17" s="19">
        <f>$AP$16+IF(AND('Dados'!$C$98="Elite",'Dados'!$D$98=$N$105),1,0)</f>
        <v/>
      </c>
      <c r="AQ17" s="19">
        <f>$AQ$16+IF(AND('Dados'!$C$98="Boss",'Dados'!$D$98=$N$105),1,0)</f>
        <v/>
      </c>
      <c r="AT17" s="19">
        <f>IF(ISNUMBER($R$109),INDEX('Dados'!$S$92:$S$123,$R$109)&amp;"","")</f>
        <v/>
      </c>
      <c r="AU17" s="19">
        <f>IF(ISNUMBER($R$109),INDEX('Dados'!$U$92:$U$123,$R$109)&amp;"","")</f>
        <v/>
      </c>
      <c r="AV17" s="19">
        <f>IF(LEN($AT$17)=0,0,IF(COUNTIF('Grupo'!$T$7:$T$12,$AT$17)&gt;0,0,1))</f>
        <v/>
      </c>
      <c r="AW17" s="19">
        <f>$AW$16+IF(AND($AV$17=1,$AW$16&lt;$BE$12),IF(INDEX($BC$11:$BC$17,$AW$16+1)&lt;&gt;$AU$17,1,0),0)</f>
        <v/>
      </c>
      <c r="AX17" s="19">
        <f>IF($AW$17&gt;$AW$16,INDEX($BC$11:$BC$17,$AW$17),$AT$17)</f>
        <v/>
      </c>
      <c r="AY17" s="19">
        <f>IF($AW$17&gt;$AW$16,$S$109&amp;": "&amp;$AT$17&amp;" → "&amp;$AX$17&amp;"; ","")</f>
        <v/>
      </c>
      <c r="BA17" s="19">
        <f>IF(AND('Grupo'!$H$44="Sim",COUNTIF($AT$11:$AT$38,"Imaginário")=0),1,0)</f>
        <v/>
      </c>
      <c r="BB17" s="19">
        <f>$BB$16+$BA$17</f>
        <v/>
      </c>
      <c r="BC17" s="19">
        <f>IFERROR(INDEX('Dados'!$A$301:$A$307,MATCH(7,$BB$11:$BB$17,0)),"")</f>
        <v/>
      </c>
      <c r="BD17" s="19">
        <f>IF(AND('Grupo'!$H$44="Sim",COUNTIF($AT$11:$AT$38,"Imaginário")&gt;0),1,0)</f>
        <v/>
      </c>
    </row>
    <row r="18" ht="20" customHeight="1">
      <c r="A18" s="12" t="inlineStr">
        <is>
          <t>Encontro A</t>
        </is>
      </c>
      <c r="AK18" s="19">
        <f>IF(OR(LEN($BH$105)=0,$BH$105="Qualquer"),1,IF(COUNTIFS('Tabelas'!$AE$12:$AE$118,'Dados'!$E$99,'Tabelas'!$AF$12:$AF$118,$BH$105)+IF(LEN('Dados'!$AD$99)=0,0,COUNTIFS('Tabelas'!$AE$12:$AE$118,'Dados'!$AD$99,'Tabelas'!$AF$12:$AF$118,$BH$105))&gt;0,1,0))</f>
        <v/>
      </c>
      <c r="AL18" s="19">
        <f>$AL$17+IF(AND('Dados'!$C$99="Comum",'Dados'!$D$99=$N$105),1,0)*$AK$18</f>
        <v/>
      </c>
      <c r="AM18" s="19">
        <f>$AM$17+IF(AND('Dados'!$C$99="Elite",'Dados'!$D$99=$N$105),1,0)*$AK$18</f>
        <v/>
      </c>
      <c r="AN18" s="19">
        <f>$AN$17+IF(AND('Dados'!$C$99="Boss",'Dados'!$D$99=$N$105),1,0)*$AK$18</f>
        <v/>
      </c>
      <c r="AO18" s="19">
        <f>$AO$17+IF(AND('Dados'!$C$99="Comum",'Dados'!$D$99=$N$105),1,0)</f>
        <v/>
      </c>
      <c r="AP18" s="19">
        <f>$AP$17+IF(AND('Dados'!$C$99="Elite",'Dados'!$D$99=$N$105),1,0)</f>
        <v/>
      </c>
      <c r="AQ18" s="19">
        <f>$AQ$17+IF(AND('Dados'!$C$99="Boss",'Dados'!$D$99=$N$105),1,0)</f>
        <v/>
      </c>
      <c r="AT18" s="19">
        <f>IF(ISNUMBER($R$109),INDEX('Dados'!$T$92:$T$123,$R$109)&amp;"","")</f>
        <v/>
      </c>
      <c r="AU18" s="19">
        <f>IF(ISNUMBER($R$109),INDEX('Dados'!$U$92:$U$123,$R$109)&amp;"","")</f>
        <v/>
      </c>
      <c r="AV18" s="19">
        <f>IF(LEN($AT$18)=0,0,IF(COUNTIF('Grupo'!$T$7:$T$12,$AT$18)&gt;0,0,1))</f>
        <v/>
      </c>
      <c r="AW18" s="19">
        <f>$AW$17+IF(AND($AV$18=1,$AW$17&lt;$BE$12),IF(INDEX($BC$11:$BC$17,$AW$17+1)&lt;&gt;$AU$18,1,0),0)</f>
        <v/>
      </c>
      <c r="AX18" s="19">
        <f>IF($AW$18&gt;$AW$17,INDEX($BC$11:$BC$17,$AW$18),$AT$18)</f>
        <v/>
      </c>
      <c r="AY18" s="19">
        <f>IF($AW$18&gt;$AW$17,$S$109&amp;": "&amp;$AT$18&amp;" → "&amp;$AX$18&amp;"; ","")</f>
        <v/>
      </c>
    </row>
    <row r="19" ht="26" customHeight="1">
      <c r="A19" s="8" t="inlineStr">
        <is>
          <t>Nome do encontro</t>
        </is>
      </c>
      <c r="B19" s="3" t="n"/>
      <c r="C19" s="24" t="n"/>
      <c r="D19" s="24" t="n"/>
      <c r="E19" s="16" t="n"/>
      <c r="F19" s="14" t="inlineStr">
        <is>
          <t>Ambiente</t>
        </is>
      </c>
      <c r="G19" s="3" t="n"/>
      <c r="H19" s="24" t="n"/>
      <c r="I19" s="24" t="n"/>
      <c r="J19" s="16" t="n"/>
      <c r="K19" s="18">
        <f>IF(BN19&gt;0,"O Google leu como fórmula: digite de novo com ' na frente.","")</f>
        <v/>
      </c>
      <c r="AK19" s="19">
        <f>IF(OR(LEN($BH$105)=0,$BH$105="Qualquer"),1,IF(COUNTIFS('Tabelas'!$AE$12:$AE$118,'Dados'!$E$100,'Tabelas'!$AF$12:$AF$118,$BH$105)+IF(LEN('Dados'!$AD$100)=0,0,COUNTIFS('Tabelas'!$AE$12:$AE$118,'Dados'!$AD$100,'Tabelas'!$AF$12:$AF$118,$BH$105))&gt;0,1,0))</f>
        <v/>
      </c>
      <c r="AL19" s="19">
        <f>$AL$18+IF(AND('Dados'!$C$100="Comum",'Dados'!$D$100=$N$105),1,0)*$AK$19</f>
        <v/>
      </c>
      <c r="AM19" s="19">
        <f>$AM$18+IF(AND('Dados'!$C$100="Elite",'Dados'!$D$100=$N$105),1,0)*$AK$19</f>
        <v/>
      </c>
      <c r="AN19" s="19">
        <f>$AN$18+IF(AND('Dados'!$C$100="Boss",'Dados'!$D$100=$N$105),1,0)*$AK$19</f>
        <v/>
      </c>
      <c r="AO19" s="19">
        <f>$AO$18+IF(AND('Dados'!$C$100="Comum",'Dados'!$D$100=$N$105),1,0)</f>
        <v/>
      </c>
      <c r="AP19" s="19">
        <f>$AP$18+IF(AND('Dados'!$C$100="Elite",'Dados'!$D$100=$N$105),1,0)</f>
        <v/>
      </c>
      <c r="AQ19" s="19">
        <f>$AQ$18+IF(AND('Dados'!$C$100="Boss",'Dados'!$D$100=$N$105),1,0)</f>
        <v/>
      </c>
      <c r="AT19" s="19">
        <f>IF(ISNUMBER($R$110),INDEX('Dados'!$Q$92:$Q$123,$R$110)&amp;"","")</f>
        <v/>
      </c>
      <c r="AU19" s="19">
        <f>IF(ISNUMBER($R$110),INDEX('Dados'!$U$92:$U$123,$R$110)&amp;"","")</f>
        <v/>
      </c>
      <c r="AV19" s="19">
        <f>IF(LEN($AT$19)=0,0,IF(COUNTIF('Grupo'!$T$7:$T$12,$AT$19)&gt;0,0,1))</f>
        <v/>
      </c>
      <c r="AW19" s="19">
        <f>$AW$18+IF(AND($AV$19=1,$AW$18&lt;$BE$12),IF(INDEX($BC$11:$BC$17,$AW$18+1)&lt;&gt;$AU$19,1,0),0)</f>
        <v/>
      </c>
      <c r="AX19" s="19">
        <f>IF($AW$19&gt;$AW$18,INDEX($BC$11:$BC$17,$AW$19),$AT$19)</f>
        <v/>
      </c>
      <c r="AY19" s="19">
        <f>IF($AW$19&gt;$AW$18,$S$110&amp;": "&amp;$AT$19&amp;" → "&amp;$AX$19&amp;"; ","")</f>
        <v/>
      </c>
      <c r="BN19" s="19">
        <f>ISERROR($B$19)*1+ISERROR($G$19)*1</f>
        <v/>
      </c>
    </row>
    <row r="20" ht="26" customHeight="1">
      <c r="A20" s="7" t="inlineStr">
        <is>
          <t>Criatura (preencha)</t>
        </is>
      </c>
      <c r="B20" s="20" t="n"/>
      <c r="C20" s="7" t="inlineStr">
        <is>
          <t>Quantidade</t>
        </is>
      </c>
      <c r="D20" s="7" t="inlineStr">
        <is>
          <t>Fraqueza nesta cena 1</t>
        </is>
      </c>
      <c r="E20" s="7" t="inlineStr">
        <is>
          <t>Fraqueza nesta cena 2</t>
        </is>
      </c>
      <c r="F20" s="7" t="inlineStr">
        <is>
          <t>Fraqueza nesta cena 3</t>
        </is>
      </c>
      <c r="G20" s="7" t="inlineStr">
        <is>
          <t>Fraqueza nesta cena 4</t>
        </is>
      </c>
      <c r="H20" s="7" t="inlineStr">
        <is>
          <t>Tipo</t>
        </is>
      </c>
      <c r="I20" s="7" t="inlineStr">
        <is>
          <t>PV</t>
        </is>
      </c>
      <c r="J20" s="7" t="inlineStr">
        <is>
          <t>Custo</t>
        </is>
      </c>
      <c r="K20" s="7" t="inlineStr">
        <is>
          <t>Aviso</t>
        </is>
      </c>
      <c r="L20" s="20" t="n"/>
      <c r="AK20" s="19">
        <f>IF(OR(LEN($BH$105)=0,$BH$105="Qualquer"),1,IF(COUNTIFS('Tabelas'!$AE$12:$AE$118,'Dados'!$E$101,'Tabelas'!$AF$12:$AF$118,$BH$105)+IF(LEN('Dados'!$AD$101)=0,0,COUNTIFS('Tabelas'!$AE$12:$AE$118,'Dados'!$AD$101,'Tabelas'!$AF$12:$AF$118,$BH$105))&gt;0,1,0))</f>
        <v/>
      </c>
      <c r="AL20" s="19">
        <f>$AL$19+IF(AND('Dados'!$C$101="Comum",'Dados'!$D$101=$N$105),1,0)*$AK$20</f>
        <v/>
      </c>
      <c r="AM20" s="19">
        <f>$AM$19+IF(AND('Dados'!$C$101="Elite",'Dados'!$D$101=$N$105),1,0)*$AK$20</f>
        <v/>
      </c>
      <c r="AN20" s="19">
        <f>$AN$19+IF(AND('Dados'!$C$101="Boss",'Dados'!$D$101=$N$105),1,0)*$AK$20</f>
        <v/>
      </c>
      <c r="AO20" s="19">
        <f>$AO$19+IF(AND('Dados'!$C$101="Comum",'Dados'!$D$101=$N$105),1,0)</f>
        <v/>
      </c>
      <c r="AP20" s="19">
        <f>$AP$19+IF(AND('Dados'!$C$101="Elite",'Dados'!$D$101=$N$105),1,0)</f>
        <v/>
      </c>
      <c r="AQ20" s="19">
        <f>$AQ$19+IF(AND('Dados'!$C$101="Boss",'Dados'!$D$101=$N$105),1,0)</f>
        <v/>
      </c>
      <c r="AT20" s="19">
        <f>IF(ISNUMBER($R$110),INDEX('Dados'!$R$92:$R$123,$R$110)&amp;"","")</f>
        <v/>
      </c>
      <c r="AU20" s="19">
        <f>IF(ISNUMBER($R$110),INDEX('Dados'!$U$92:$U$123,$R$110)&amp;"","")</f>
        <v/>
      </c>
      <c r="AV20" s="19">
        <f>IF(LEN($AT$20)=0,0,IF(COUNTIF('Grupo'!$T$7:$T$12,$AT$20)&gt;0,0,1))</f>
        <v/>
      </c>
      <c r="AW20" s="19">
        <f>$AW$19+IF(AND($AV$20=1,$AW$19&lt;$BE$12),IF(INDEX($BC$11:$BC$17,$AW$19+1)&lt;&gt;$AU$20,1,0),0)</f>
        <v/>
      </c>
      <c r="AX20" s="19">
        <f>IF($AW$20&gt;$AW$19,INDEX($BC$11:$BC$17,$AW$20),$AT$20)</f>
        <v/>
      </c>
      <c r="AY20" s="19">
        <f>IF($AW$20&gt;$AW$19,$S$110&amp;": "&amp;$AT$20&amp;" → "&amp;$AX$20&amp;"; ","")</f>
        <v/>
      </c>
    </row>
    <row r="21" ht="26" customHeight="1">
      <c r="A21" s="30" t="n"/>
      <c r="B21" s="16" t="n"/>
      <c r="C21" s="15" t="n"/>
      <c r="D21" s="36" t="n"/>
      <c r="E21" s="36" t="n"/>
      <c r="F21" s="36" t="n"/>
      <c r="G21" s="36" t="n"/>
      <c r="H21" s="17">
        <f>IF(ISNUMBER($N$21),INDEX('Inimigos'!$O$11:$O$54,$N$21)&amp;"","")</f>
        <v/>
      </c>
      <c r="I21" s="17">
        <f>IF(ISNUMBER($N$21),INDEX('Inimigos'!$Q$11:$Q$54,$N$21),"")</f>
        <v/>
      </c>
      <c r="J21" s="17">
        <f>IF(ISNUMBER($N$21),$W$21,"")</f>
        <v/>
      </c>
      <c r="K21" s="18">
        <f>IF(BN21&gt;0,"O Google leu como fórmula: escolha de novo ou digite com ' na frente.",IF(LEN($BG$21)=0,"",IF(NOT(ISNUMBER($N$21)),"Criatura fora da lista (Inimigos e Bestiário)",IF(AND(ISNUMBER($BI$21),OR($BI$21&lt;0,$BI$21&gt;10)),"Quantidade fora de 0 a 10: usando o limite",IF((IF(AND(LEN($BJ$21)&gt;0,$BJ$21=$BK$21),1,0)+IF(AND(LEN($BJ$21)&gt;0,$BJ$21=$BL$21),1,0)+IF(AND(LEN($BJ$21)&gt;0,$BJ$21=$BM$21),1,0)+IF(AND(LEN($BK$21)&gt;0,$BK$21=$BL$21),1,0)+IF(AND(LEN($BK$21)&gt;0,$BK$21=$BM$21),1,0)+IF(AND(LEN($BL$21)&gt;0,$BL$21=$BM$21),1,0))&gt;0,"Fraqueza repetida nesta cena",IF(AND($AF$21&gt;0,$AF$21&lt;&gt;(IF(LEN(INDEX('Inimigos'!$AA$11:$AA$54,$N$21)&amp;"")&gt;0,1,0)+IF(LEN(INDEX('Inimigos'!$AB$11:$AB$54,$N$21)&amp;"")&gt;0,1,0)+IF(LEN(INDEX('Inimigos'!$AC$11:$AC$54,$N$21)&amp;"")&gt;0,1,0)+IF(LEN(INDEX('Inimigos'!$AD$11:$AD$54,$N$21)&amp;"")&gt;0,1,0))),"O nº de Fraquezas é regra (28.2 regra 7): troque, não acrescente nem tire",IF(AND(LEN($T$21)&gt;0,COUNTIF($P$21:$S$21,$T$21)&gt;0),"Fraqueza igual à Resistência da ficha","")))))))</f>
        <v/>
      </c>
      <c r="N21" s="19">
        <f>IF(LEN($BG$21)=0,"",IFERROR(MATCH($BG$21,'Inimigos'!$N$11:$N$54,0),""))</f>
        <v/>
      </c>
      <c r="O21" s="19">
        <f>IF(ISNUMBER($N$21),IF(ISNUMBER($BI$21),MIN(10,MAX(0,INT($BI$21))),1),0)</f>
        <v/>
      </c>
      <c r="P21" s="19">
        <f>IF($O$21=0,"",IF(OR(LEN($BJ$21)&gt;0,LEN($BK$21)&gt;0,LEN($BL$21)&gt;0,LEN($BM$21)&gt;0),$BJ$21&amp;"",INDEX('Inimigos'!$AA$11:$AA$54,$N$21)&amp;""))</f>
        <v/>
      </c>
      <c r="Q21" s="19">
        <f>IF($O$21=0,"",IF(OR(LEN($BJ$21)&gt;0,LEN($BK$21)&gt;0,LEN($BL$21)&gt;0,LEN($BM$21)&gt;0),$BK$21&amp;"",INDEX('Inimigos'!$AB$11:$AB$54,$N$21)&amp;""))</f>
        <v/>
      </c>
      <c r="R21" s="19">
        <f>IF($O$21=0,"",IF(OR(LEN($BJ$21)&gt;0,LEN($BK$21)&gt;0,LEN($BL$21)&gt;0,LEN($BM$21)&gt;0),$BL$21&amp;"",INDEX('Inimigos'!$AC$11:$AC$54,$N$21)&amp;""))</f>
        <v/>
      </c>
      <c r="S21" s="19">
        <f>IF($O$21=0,"",IF(OR(LEN($BJ$21)&gt;0,LEN($BK$21)&gt;0,LEN($BL$21)&gt;0,LEN($BM$21)&gt;0),$BM$21&amp;"",INDEX('Inimigos'!$AD$11:$AD$54,$N$21)&amp;""))</f>
        <v/>
      </c>
      <c r="T21" s="19">
        <f>IF($O$21=0,"",INDEX('Inimigos'!$AE$11:$AE$54,$N$21)&amp;"")</f>
        <v/>
      </c>
      <c r="U21" s="19">
        <f>IF(ISNUMBER($N$21),INDEX('Inimigos'!$O$11:$O$54,$N$21)&amp;"","")</f>
        <v/>
      </c>
      <c r="V21" s="19">
        <f>IF(ISNUMBER($N$21),INDEX('Inimigos'!$BF$11:$BF$54,$N$21),"")</f>
        <v/>
      </c>
      <c r="W21" s="19">
        <f>IF($O$21=0,0,INDEX('Inimigos'!$AI$11:$AI$54,$N$21)*$O$21)</f>
        <v/>
      </c>
      <c r="X21" s="19">
        <f>IF($O$21=0,0,INDEX('Inimigos'!$AH$11:$AH$54,$N$21)*$O$21)</f>
        <v/>
      </c>
      <c r="Y21" s="19">
        <f>$O$21</f>
        <v/>
      </c>
      <c r="Z21" s="19">
        <f>IF(AND($O$21&gt;0,LEN($T$21)&gt;0),IF(COUNTIF('Grupo'!$T$7:$T$12,$T$21)&gt;=2,1,0),0)</f>
        <v/>
      </c>
      <c r="AA21" s="19">
        <f>IF(AND($O$21&gt;0,OR($AE$21="Pretor Vazio-Nove",$AE$21="O Dramaturgo de Mil Faces")),1,0)</f>
        <v/>
      </c>
      <c r="AB21" s="19">
        <f>IF(AND($O$21&gt;0,$AE$21="O Germe de Pavor"),1,0)</f>
        <v/>
      </c>
      <c r="AC21" s="19">
        <f>IF(AND($O$21&gt;0,$V$21&lt;&gt;$N$8),1,0)</f>
        <v/>
      </c>
      <c r="AD21" s="19">
        <f>IF($O$21&gt;0,$V$21,0)</f>
        <v/>
      </c>
      <c r="AE21" s="19">
        <f>IF(ISNUMBER($N$21),INDEX('Inimigos'!$N$11:$N$54,$N$21)&amp;"","")</f>
        <v/>
      </c>
      <c r="AF21" s="19">
        <f>IF(LEN($BJ$21)&gt;0,1,0)+IF(LEN($BK$21)&gt;0,1,0)+IF(LEN($BL$21)&gt;0,1,0)+IF(LEN($BM$21)&gt;0,1,0)</f>
        <v/>
      </c>
      <c r="AG21" s="19">
        <f>$O$21*IF($AE$21="Escória de Stellaron",1.5,1)</f>
        <v/>
      </c>
      <c r="AK21" s="19">
        <f>IF(OR(LEN($BH$105)=0,$BH$105="Qualquer"),1,IF(COUNTIFS('Tabelas'!$AE$12:$AE$118,'Dados'!$E$102,'Tabelas'!$AF$12:$AF$118,$BH$105)+IF(LEN('Dados'!$AD$102)=0,0,COUNTIFS('Tabelas'!$AE$12:$AE$118,'Dados'!$AD$102,'Tabelas'!$AF$12:$AF$118,$BH$105))&gt;0,1,0))</f>
        <v/>
      </c>
      <c r="AL21" s="19">
        <f>$AL$20+IF(AND('Dados'!$C$102="Comum",'Dados'!$D$102=$N$105),1,0)*$AK$21</f>
        <v/>
      </c>
      <c r="AM21" s="19">
        <f>$AM$20+IF(AND('Dados'!$C$102="Elite",'Dados'!$D$102=$N$105),1,0)*$AK$21</f>
        <v/>
      </c>
      <c r="AN21" s="19">
        <f>$AN$20+IF(AND('Dados'!$C$102="Boss",'Dados'!$D$102=$N$105),1,0)*$AK$21</f>
        <v/>
      </c>
      <c r="AO21" s="19">
        <f>$AO$20+IF(AND('Dados'!$C$102="Comum",'Dados'!$D$102=$N$105),1,0)</f>
        <v/>
      </c>
      <c r="AP21" s="19">
        <f>$AP$20+IF(AND('Dados'!$C$102="Elite",'Dados'!$D$102=$N$105),1,0)</f>
        <v/>
      </c>
      <c r="AQ21" s="19">
        <f>$AQ$20+IF(AND('Dados'!$C$102="Boss",'Dados'!$D$102=$N$105),1,0)</f>
        <v/>
      </c>
      <c r="AT21" s="19">
        <f>IF(ISNUMBER($R$110),INDEX('Dados'!$S$92:$S$123,$R$110)&amp;"","")</f>
        <v/>
      </c>
      <c r="AU21" s="19">
        <f>IF(ISNUMBER($R$110),INDEX('Dados'!$U$92:$U$123,$R$110)&amp;"","")</f>
        <v/>
      </c>
      <c r="AV21" s="19">
        <f>IF(LEN($AT$21)=0,0,IF(COUNTIF('Grupo'!$T$7:$T$12,$AT$21)&gt;0,0,1))</f>
        <v/>
      </c>
      <c r="AW21" s="19">
        <f>$AW$20+IF(AND($AV$21=1,$AW$20&lt;$BE$12),IF(INDEX($BC$11:$BC$17,$AW$20+1)&lt;&gt;$AU$21,1,0),0)</f>
        <v/>
      </c>
      <c r="AX21" s="19">
        <f>IF($AW$21&gt;$AW$20,INDEX($BC$11:$BC$17,$AW$21),$AT$21)</f>
        <v/>
      </c>
      <c r="AY21" s="19">
        <f>IF($AW$21&gt;$AW$20,$S$110&amp;": "&amp;$AT$21&amp;" → "&amp;$AX$21&amp;"; ","")</f>
        <v/>
      </c>
      <c r="BG21" s="19">
        <f>IF(ISERROR($A$21),"",IF(ISBLANK($A$21),"",$A$21))</f>
        <v/>
      </c>
      <c r="BI21" s="19">
        <f>IF(ISERROR($C$21),"",IF(ISBLANK($C$21),"",$C$21))</f>
        <v/>
      </c>
      <c r="BJ21" s="19">
        <f>IF(ISERROR($D$21),"",IF(ISBLANK($D$21),"",$D$21))</f>
        <v/>
      </c>
      <c r="BK21" s="19">
        <f>IF(ISERROR($E$21),"",IF(ISBLANK($E$21),"",$E$21))</f>
        <v/>
      </c>
      <c r="BL21" s="19">
        <f>IF(ISERROR($F$21),"",IF(ISBLANK($F$21),"",$F$21))</f>
        <v/>
      </c>
      <c r="BM21" s="19">
        <f>IF(ISERROR($G$21),"",IF(ISBLANK($G$21),"",$G$21))</f>
        <v/>
      </c>
      <c r="BN21" s="19">
        <f>ISERROR($A$21)*1+ISERROR($C$21)*1+ISERROR($D$21)*1+ISERROR($E$21)*1+ISERROR($F$21)*1+ISERROR($G$21)*1</f>
        <v/>
      </c>
    </row>
    <row r="22" ht="26" customHeight="1">
      <c r="A22" s="31" t="n"/>
      <c r="B22" s="16" t="n"/>
      <c r="C22" s="34" t="n"/>
      <c r="D22" s="42" t="n"/>
      <c r="E22" s="42" t="n"/>
      <c r="F22" s="42" t="n"/>
      <c r="G22" s="42" t="n"/>
      <c r="H22" s="29">
        <f>IF(ISNUMBER($N$22),INDEX('Inimigos'!$O$11:$O$54,$N$22)&amp;"","")</f>
        <v/>
      </c>
      <c r="I22" s="29">
        <f>IF(ISNUMBER($N$22),INDEX('Inimigos'!$Q$11:$Q$54,$N$22),"")</f>
        <v/>
      </c>
      <c r="J22" s="29">
        <f>IF(ISNUMBER($N$22),$W$22,"")</f>
        <v/>
      </c>
      <c r="K22" s="26">
        <f>IF(BN22&gt;0,"O Google leu como fórmula: escolha de novo ou digite com ' na frente.",IF(LEN($BG$22)=0,"",IF(NOT(ISNUMBER($N$22)),"Criatura fora da lista (Inimigos e Bestiário)",IF(AND(ISNUMBER($BI$22),OR($BI$22&lt;0,$BI$22&gt;10)),"Quantidade fora de 0 a 10: usando o limite",IF((IF(AND(LEN($BJ$22)&gt;0,$BJ$22=$BK$22),1,0)+IF(AND(LEN($BJ$22)&gt;0,$BJ$22=$BL$22),1,0)+IF(AND(LEN($BJ$22)&gt;0,$BJ$22=$BM$22),1,0)+IF(AND(LEN($BK$22)&gt;0,$BK$22=$BL$22),1,0)+IF(AND(LEN($BK$22)&gt;0,$BK$22=$BM$22),1,0)+IF(AND(LEN($BL$22)&gt;0,$BL$22=$BM$22),1,0))&gt;0,"Fraqueza repetida nesta cena",IF(AND($AF$22&gt;0,$AF$22&lt;&gt;(IF(LEN(INDEX('Inimigos'!$AA$11:$AA$54,$N$22)&amp;"")&gt;0,1,0)+IF(LEN(INDEX('Inimigos'!$AB$11:$AB$54,$N$22)&amp;"")&gt;0,1,0)+IF(LEN(INDEX('Inimigos'!$AC$11:$AC$54,$N$22)&amp;"")&gt;0,1,0)+IF(LEN(INDEX('Inimigos'!$AD$11:$AD$54,$N$22)&amp;"")&gt;0,1,0))),"O nº de Fraquezas é regra (28.2 regra 7): troque, não acrescente nem tire",IF(AND(LEN($T$22)&gt;0,COUNTIF($P$22:$S$22,$T$22)&gt;0),"Fraqueza igual à Resistência da ficha","")))))))</f>
        <v/>
      </c>
      <c r="N22" s="19">
        <f>IF(LEN($BG$22)=0,"",IFERROR(MATCH($BG$22,'Inimigos'!$N$11:$N$54,0),""))</f>
        <v/>
      </c>
      <c r="O22" s="19">
        <f>IF(ISNUMBER($N$22),IF(ISNUMBER($BI$22),MIN(10,MAX(0,INT($BI$22))),1),0)</f>
        <v/>
      </c>
      <c r="P22" s="19">
        <f>IF($O$22=0,"",IF(OR(LEN($BJ$22)&gt;0,LEN($BK$22)&gt;0,LEN($BL$22)&gt;0,LEN($BM$22)&gt;0),$BJ$22&amp;"",INDEX('Inimigos'!$AA$11:$AA$54,$N$22)&amp;""))</f>
        <v/>
      </c>
      <c r="Q22" s="19">
        <f>IF($O$22=0,"",IF(OR(LEN($BJ$22)&gt;0,LEN($BK$22)&gt;0,LEN($BL$22)&gt;0,LEN($BM$22)&gt;0),$BK$22&amp;"",INDEX('Inimigos'!$AB$11:$AB$54,$N$22)&amp;""))</f>
        <v/>
      </c>
      <c r="R22" s="19">
        <f>IF($O$22=0,"",IF(OR(LEN($BJ$22)&gt;0,LEN($BK$22)&gt;0,LEN($BL$22)&gt;0,LEN($BM$22)&gt;0),$BL$22&amp;"",INDEX('Inimigos'!$AC$11:$AC$54,$N$22)&amp;""))</f>
        <v/>
      </c>
      <c r="S22" s="19">
        <f>IF($O$22=0,"",IF(OR(LEN($BJ$22)&gt;0,LEN($BK$22)&gt;0,LEN($BL$22)&gt;0,LEN($BM$22)&gt;0),$BM$22&amp;"",INDEX('Inimigos'!$AD$11:$AD$54,$N$22)&amp;""))</f>
        <v/>
      </c>
      <c r="T22" s="19">
        <f>IF($O$22=0,"",INDEX('Inimigos'!$AE$11:$AE$54,$N$22)&amp;"")</f>
        <v/>
      </c>
      <c r="U22" s="19">
        <f>IF(ISNUMBER($N$22),INDEX('Inimigos'!$O$11:$O$54,$N$22)&amp;"","")</f>
        <v/>
      </c>
      <c r="V22" s="19">
        <f>IF(ISNUMBER($N$22),INDEX('Inimigos'!$BF$11:$BF$54,$N$22),"")</f>
        <v/>
      </c>
      <c r="W22" s="19">
        <f>IF($O$22=0,0,INDEX('Inimigos'!$AI$11:$AI$54,$N$22)*$O$22)</f>
        <v/>
      </c>
      <c r="X22" s="19">
        <f>IF($O$22=0,0,INDEX('Inimigos'!$AH$11:$AH$54,$N$22)*$O$22)</f>
        <v/>
      </c>
      <c r="Y22" s="19">
        <f>$Y$21+$O$22</f>
        <v/>
      </c>
      <c r="Z22" s="19">
        <f>IF(AND($O$22&gt;0,LEN($T$22)&gt;0),IF(COUNTIF('Grupo'!$T$7:$T$12,$T$22)&gt;=2,1,0),0)</f>
        <v/>
      </c>
      <c r="AA22" s="19">
        <f>IF(AND($O$22&gt;0,OR($AE$22="Pretor Vazio-Nove",$AE$22="O Dramaturgo de Mil Faces")),1,0)</f>
        <v/>
      </c>
      <c r="AB22" s="19">
        <f>IF(AND($O$22&gt;0,$AE$22="O Germe de Pavor"),1,0)</f>
        <v/>
      </c>
      <c r="AC22" s="19">
        <f>IF(AND($O$22&gt;0,$V$22&lt;&gt;$N$8),1,0)</f>
        <v/>
      </c>
      <c r="AD22" s="19">
        <f>IF($O$22&gt;0,$V$22,0)</f>
        <v/>
      </c>
      <c r="AE22" s="19">
        <f>IF(ISNUMBER($N$22),INDEX('Inimigos'!$N$11:$N$54,$N$22)&amp;"","")</f>
        <v/>
      </c>
      <c r="AF22" s="19">
        <f>IF(LEN($BJ$22)&gt;0,1,0)+IF(LEN($BK$22)&gt;0,1,0)+IF(LEN($BL$22)&gt;0,1,0)+IF(LEN($BM$22)&gt;0,1,0)</f>
        <v/>
      </c>
      <c r="AG22" s="19">
        <f>$O$22*IF($AE$22="Escória de Stellaron",1.5,1)</f>
        <v/>
      </c>
      <c r="AK22" s="19">
        <f>IF(OR(LEN($BH$105)=0,$BH$105="Qualquer"),1,IF(COUNTIFS('Tabelas'!$AE$12:$AE$118,'Dados'!$E$103,'Tabelas'!$AF$12:$AF$118,$BH$105)+IF(LEN('Dados'!$AD$103)=0,0,COUNTIFS('Tabelas'!$AE$12:$AE$118,'Dados'!$AD$103,'Tabelas'!$AF$12:$AF$118,$BH$105))&gt;0,1,0))</f>
        <v/>
      </c>
      <c r="AL22" s="19">
        <f>$AL$21+IF(AND('Dados'!$C$103="Comum",'Dados'!$D$103=$N$105),1,0)*$AK$22</f>
        <v/>
      </c>
      <c r="AM22" s="19">
        <f>$AM$21+IF(AND('Dados'!$C$103="Elite",'Dados'!$D$103=$N$105),1,0)*$AK$22</f>
        <v/>
      </c>
      <c r="AN22" s="19">
        <f>$AN$21+IF(AND('Dados'!$C$103="Boss",'Dados'!$D$103=$N$105),1,0)*$AK$22</f>
        <v/>
      </c>
      <c r="AO22" s="19">
        <f>$AO$21+IF(AND('Dados'!$C$103="Comum",'Dados'!$D$103=$N$105),1,0)</f>
        <v/>
      </c>
      <c r="AP22" s="19">
        <f>$AP$21+IF(AND('Dados'!$C$103="Elite",'Dados'!$D$103=$N$105),1,0)</f>
        <v/>
      </c>
      <c r="AQ22" s="19">
        <f>$AQ$21+IF(AND('Dados'!$C$103="Boss",'Dados'!$D$103=$N$105),1,0)</f>
        <v/>
      </c>
      <c r="AT22" s="19">
        <f>IF(ISNUMBER($R$110),INDEX('Dados'!$T$92:$T$123,$R$110)&amp;"","")</f>
        <v/>
      </c>
      <c r="AU22" s="19">
        <f>IF(ISNUMBER($R$110),INDEX('Dados'!$U$92:$U$123,$R$110)&amp;"","")</f>
        <v/>
      </c>
      <c r="AV22" s="19">
        <f>IF(LEN($AT$22)=0,0,IF(COUNTIF('Grupo'!$T$7:$T$12,$AT$22)&gt;0,0,1))</f>
        <v/>
      </c>
      <c r="AW22" s="19">
        <f>$AW$21+IF(AND($AV$22=1,$AW$21&lt;$BE$12),IF(INDEX($BC$11:$BC$17,$AW$21+1)&lt;&gt;$AU$22,1,0),0)</f>
        <v/>
      </c>
      <c r="AX22" s="19">
        <f>IF($AW$22&gt;$AW$21,INDEX($BC$11:$BC$17,$AW$22),$AT$22)</f>
        <v/>
      </c>
      <c r="AY22" s="19">
        <f>IF($AW$22&gt;$AW$21,$S$110&amp;": "&amp;$AT$22&amp;" → "&amp;$AX$22&amp;"; ","")</f>
        <v/>
      </c>
      <c r="BG22" s="19">
        <f>IF(ISERROR($A$22),"",IF(ISBLANK($A$22),"",$A$22))</f>
        <v/>
      </c>
      <c r="BI22" s="19">
        <f>IF(ISERROR($C$22),"",IF(ISBLANK($C$22),"",$C$22))</f>
        <v/>
      </c>
      <c r="BJ22" s="19">
        <f>IF(ISERROR($D$22),"",IF(ISBLANK($D$22),"",$D$22))</f>
        <v/>
      </c>
      <c r="BK22" s="19">
        <f>IF(ISERROR($E$22),"",IF(ISBLANK($E$22),"",$E$22))</f>
        <v/>
      </c>
      <c r="BL22" s="19">
        <f>IF(ISERROR($F$22),"",IF(ISBLANK($F$22),"",$F$22))</f>
        <v/>
      </c>
      <c r="BM22" s="19">
        <f>IF(ISERROR($G$22),"",IF(ISBLANK($G$22),"",$G$22))</f>
        <v/>
      </c>
      <c r="BN22" s="19">
        <f>ISERROR($A$22)*1+ISERROR($C$22)*1+ISERROR($D$22)*1+ISERROR($E$22)*1+ISERROR($F$22)*1+ISERROR($G$22)*1</f>
        <v/>
      </c>
    </row>
    <row r="23" ht="26" customHeight="1">
      <c r="A23" s="30" t="n"/>
      <c r="B23" s="16" t="n"/>
      <c r="C23" s="15" t="n"/>
      <c r="D23" s="36" t="n"/>
      <c r="E23" s="36" t="n"/>
      <c r="F23" s="36" t="n"/>
      <c r="G23" s="36" t="n"/>
      <c r="H23" s="17">
        <f>IF(ISNUMBER($N$23),INDEX('Inimigos'!$O$11:$O$54,$N$23)&amp;"","")</f>
        <v/>
      </c>
      <c r="I23" s="17">
        <f>IF(ISNUMBER($N$23),INDEX('Inimigos'!$Q$11:$Q$54,$N$23),"")</f>
        <v/>
      </c>
      <c r="J23" s="17">
        <f>IF(ISNUMBER($N$23),$W$23,"")</f>
        <v/>
      </c>
      <c r="K23" s="18">
        <f>IF(BN23&gt;0,"O Google leu como fórmula: escolha de novo ou digite com ' na frente.",IF(LEN($BG$23)=0,"",IF(NOT(ISNUMBER($N$23)),"Criatura fora da lista (Inimigos e Bestiário)",IF(AND(ISNUMBER($BI$23),OR($BI$23&lt;0,$BI$23&gt;10)),"Quantidade fora de 0 a 10: usando o limite",IF((IF(AND(LEN($BJ$23)&gt;0,$BJ$23=$BK$23),1,0)+IF(AND(LEN($BJ$23)&gt;0,$BJ$23=$BL$23),1,0)+IF(AND(LEN($BJ$23)&gt;0,$BJ$23=$BM$23),1,0)+IF(AND(LEN($BK$23)&gt;0,$BK$23=$BL$23),1,0)+IF(AND(LEN($BK$23)&gt;0,$BK$23=$BM$23),1,0)+IF(AND(LEN($BL$23)&gt;0,$BL$23=$BM$23),1,0))&gt;0,"Fraqueza repetida nesta cena",IF(AND($AF$23&gt;0,$AF$23&lt;&gt;(IF(LEN(INDEX('Inimigos'!$AA$11:$AA$54,$N$23)&amp;"")&gt;0,1,0)+IF(LEN(INDEX('Inimigos'!$AB$11:$AB$54,$N$23)&amp;"")&gt;0,1,0)+IF(LEN(INDEX('Inimigos'!$AC$11:$AC$54,$N$23)&amp;"")&gt;0,1,0)+IF(LEN(INDEX('Inimigos'!$AD$11:$AD$54,$N$23)&amp;"")&gt;0,1,0))),"O nº de Fraquezas é regra (28.2 regra 7): troque, não acrescente nem tire",IF(AND(LEN($T$23)&gt;0,COUNTIF($P$23:$S$23,$T$23)&gt;0),"Fraqueza igual à Resistência da ficha","")))))))</f>
        <v/>
      </c>
      <c r="N23" s="19">
        <f>IF(LEN($BG$23)=0,"",IFERROR(MATCH($BG$23,'Inimigos'!$N$11:$N$54,0),""))</f>
        <v/>
      </c>
      <c r="O23" s="19">
        <f>IF(ISNUMBER($N$23),IF(ISNUMBER($BI$23),MIN(10,MAX(0,INT($BI$23))),1),0)</f>
        <v/>
      </c>
      <c r="P23" s="19">
        <f>IF($O$23=0,"",IF(OR(LEN($BJ$23)&gt;0,LEN($BK$23)&gt;0,LEN($BL$23)&gt;0,LEN($BM$23)&gt;0),$BJ$23&amp;"",INDEX('Inimigos'!$AA$11:$AA$54,$N$23)&amp;""))</f>
        <v/>
      </c>
      <c r="Q23" s="19">
        <f>IF($O$23=0,"",IF(OR(LEN($BJ$23)&gt;0,LEN($BK$23)&gt;0,LEN($BL$23)&gt;0,LEN($BM$23)&gt;0),$BK$23&amp;"",INDEX('Inimigos'!$AB$11:$AB$54,$N$23)&amp;""))</f>
        <v/>
      </c>
      <c r="R23" s="19">
        <f>IF($O$23=0,"",IF(OR(LEN($BJ$23)&gt;0,LEN($BK$23)&gt;0,LEN($BL$23)&gt;0,LEN($BM$23)&gt;0),$BL$23&amp;"",INDEX('Inimigos'!$AC$11:$AC$54,$N$23)&amp;""))</f>
        <v/>
      </c>
      <c r="S23" s="19">
        <f>IF($O$23=0,"",IF(OR(LEN($BJ$23)&gt;0,LEN($BK$23)&gt;0,LEN($BL$23)&gt;0,LEN($BM$23)&gt;0),$BM$23&amp;"",INDEX('Inimigos'!$AD$11:$AD$54,$N$23)&amp;""))</f>
        <v/>
      </c>
      <c r="T23" s="19">
        <f>IF($O$23=0,"",INDEX('Inimigos'!$AE$11:$AE$54,$N$23)&amp;"")</f>
        <v/>
      </c>
      <c r="U23" s="19">
        <f>IF(ISNUMBER($N$23),INDEX('Inimigos'!$O$11:$O$54,$N$23)&amp;"","")</f>
        <v/>
      </c>
      <c r="V23" s="19">
        <f>IF(ISNUMBER($N$23),INDEX('Inimigos'!$BF$11:$BF$54,$N$23),"")</f>
        <v/>
      </c>
      <c r="W23" s="19">
        <f>IF($O$23=0,0,INDEX('Inimigos'!$AI$11:$AI$54,$N$23)*$O$23)</f>
        <v/>
      </c>
      <c r="X23" s="19">
        <f>IF($O$23=0,0,INDEX('Inimigos'!$AH$11:$AH$54,$N$23)*$O$23)</f>
        <v/>
      </c>
      <c r="Y23" s="19">
        <f>$Y$22+$O$23</f>
        <v/>
      </c>
      <c r="Z23" s="19">
        <f>IF(AND($O$23&gt;0,LEN($T$23)&gt;0),IF(COUNTIF('Grupo'!$T$7:$T$12,$T$23)&gt;=2,1,0),0)</f>
        <v/>
      </c>
      <c r="AA23" s="19">
        <f>IF(AND($O$23&gt;0,OR($AE$23="Pretor Vazio-Nove",$AE$23="O Dramaturgo de Mil Faces")),1,0)</f>
        <v/>
      </c>
      <c r="AB23" s="19">
        <f>IF(AND($O$23&gt;0,$AE$23="O Germe de Pavor"),1,0)</f>
        <v/>
      </c>
      <c r="AC23" s="19">
        <f>IF(AND($O$23&gt;0,$V$23&lt;&gt;$N$8),1,0)</f>
        <v/>
      </c>
      <c r="AD23" s="19">
        <f>IF($O$23&gt;0,$V$23,0)</f>
        <v/>
      </c>
      <c r="AE23" s="19">
        <f>IF(ISNUMBER($N$23),INDEX('Inimigos'!$N$11:$N$54,$N$23)&amp;"","")</f>
        <v/>
      </c>
      <c r="AF23" s="19">
        <f>IF(LEN($BJ$23)&gt;0,1,0)+IF(LEN($BK$23)&gt;0,1,0)+IF(LEN($BL$23)&gt;0,1,0)+IF(LEN($BM$23)&gt;0,1,0)</f>
        <v/>
      </c>
      <c r="AG23" s="19">
        <f>$O$23*IF($AE$23="Escória de Stellaron",1.5,1)</f>
        <v/>
      </c>
      <c r="AK23" s="19">
        <f>IF(OR(LEN($BH$105)=0,$BH$105="Qualquer"),1,IF(COUNTIFS('Tabelas'!$AE$12:$AE$118,'Dados'!$E$104,'Tabelas'!$AF$12:$AF$118,$BH$105)+IF(LEN('Dados'!$AD$104)=0,0,COUNTIFS('Tabelas'!$AE$12:$AE$118,'Dados'!$AD$104,'Tabelas'!$AF$12:$AF$118,$BH$105))&gt;0,1,0))</f>
        <v/>
      </c>
      <c r="AL23" s="19">
        <f>$AL$22+IF(AND('Dados'!$C$104="Comum",'Dados'!$D$104=$N$105),1,0)*$AK$23</f>
        <v/>
      </c>
      <c r="AM23" s="19">
        <f>$AM$22+IF(AND('Dados'!$C$104="Elite",'Dados'!$D$104=$N$105),1,0)*$AK$23</f>
        <v/>
      </c>
      <c r="AN23" s="19">
        <f>$AN$22+IF(AND('Dados'!$C$104="Boss",'Dados'!$D$104=$N$105),1,0)*$AK$23</f>
        <v/>
      </c>
      <c r="AO23" s="19">
        <f>$AO$22+IF(AND('Dados'!$C$104="Comum",'Dados'!$D$104=$N$105),1,0)</f>
        <v/>
      </c>
      <c r="AP23" s="19">
        <f>$AP$22+IF(AND('Dados'!$C$104="Elite",'Dados'!$D$104=$N$105),1,0)</f>
        <v/>
      </c>
      <c r="AQ23" s="19">
        <f>$AQ$22+IF(AND('Dados'!$C$104="Boss",'Dados'!$D$104=$N$105),1,0)</f>
        <v/>
      </c>
      <c r="AT23" s="19">
        <f>IF(ISNUMBER($R$111),INDEX('Dados'!$Q$92:$Q$123,$R$111)&amp;"","")</f>
        <v/>
      </c>
      <c r="AU23" s="19">
        <f>IF(ISNUMBER($R$111),INDEX('Dados'!$U$92:$U$123,$R$111)&amp;"","")</f>
        <v/>
      </c>
      <c r="AV23" s="19">
        <f>IF(LEN($AT$23)=0,0,IF(COUNTIF('Grupo'!$T$7:$T$12,$AT$23)&gt;0,0,1))</f>
        <v/>
      </c>
      <c r="AW23" s="19">
        <f>$AW$22+IF(AND($AV$23=1,$AW$22&lt;$BE$12),IF(INDEX($BC$11:$BC$17,$AW$22+1)&lt;&gt;$AU$23,1,0),0)</f>
        <v/>
      </c>
      <c r="AX23" s="19">
        <f>IF($AW$23&gt;$AW$22,INDEX($BC$11:$BC$17,$AW$23),$AT$23)</f>
        <v/>
      </c>
      <c r="AY23" s="19">
        <f>IF($AW$23&gt;$AW$22,$S$111&amp;": "&amp;$AT$23&amp;" → "&amp;$AX$23&amp;"; ","")</f>
        <v/>
      </c>
      <c r="BG23" s="19">
        <f>IF(ISERROR($A$23),"",IF(ISBLANK($A$23),"",$A$23))</f>
        <v/>
      </c>
      <c r="BI23" s="19">
        <f>IF(ISERROR($C$23),"",IF(ISBLANK($C$23),"",$C$23))</f>
        <v/>
      </c>
      <c r="BJ23" s="19">
        <f>IF(ISERROR($D$23),"",IF(ISBLANK($D$23),"",$D$23))</f>
        <v/>
      </c>
      <c r="BK23" s="19">
        <f>IF(ISERROR($E$23),"",IF(ISBLANK($E$23),"",$E$23))</f>
        <v/>
      </c>
      <c r="BL23" s="19">
        <f>IF(ISERROR($F$23),"",IF(ISBLANK($F$23),"",$F$23))</f>
        <v/>
      </c>
      <c r="BM23" s="19">
        <f>IF(ISERROR($G$23),"",IF(ISBLANK($G$23),"",$G$23))</f>
        <v/>
      </c>
      <c r="BN23" s="19">
        <f>ISERROR($A$23)*1+ISERROR($C$23)*1+ISERROR($D$23)*1+ISERROR($E$23)*1+ISERROR($F$23)*1+ISERROR($G$23)*1</f>
        <v/>
      </c>
    </row>
    <row r="24" ht="26" customHeight="1">
      <c r="A24" s="31" t="n"/>
      <c r="B24" s="16" t="n"/>
      <c r="C24" s="34" t="n"/>
      <c r="D24" s="42" t="n"/>
      <c r="E24" s="42" t="n"/>
      <c r="F24" s="42" t="n"/>
      <c r="G24" s="42" t="n"/>
      <c r="H24" s="29">
        <f>IF(ISNUMBER($N$24),INDEX('Inimigos'!$O$11:$O$54,$N$24)&amp;"","")</f>
        <v/>
      </c>
      <c r="I24" s="29">
        <f>IF(ISNUMBER($N$24),INDEX('Inimigos'!$Q$11:$Q$54,$N$24),"")</f>
        <v/>
      </c>
      <c r="J24" s="29">
        <f>IF(ISNUMBER($N$24),$W$24,"")</f>
        <v/>
      </c>
      <c r="K24" s="26">
        <f>IF(BN24&gt;0,"O Google leu como fórmula: escolha de novo ou digite com ' na frente.",IF(LEN($BG$24)=0,"",IF(NOT(ISNUMBER($N$24)),"Criatura fora da lista (Inimigos e Bestiário)",IF(AND(ISNUMBER($BI$24),OR($BI$24&lt;0,$BI$24&gt;10)),"Quantidade fora de 0 a 10: usando o limite",IF((IF(AND(LEN($BJ$24)&gt;0,$BJ$24=$BK$24),1,0)+IF(AND(LEN($BJ$24)&gt;0,$BJ$24=$BL$24),1,0)+IF(AND(LEN($BJ$24)&gt;0,$BJ$24=$BM$24),1,0)+IF(AND(LEN($BK$24)&gt;0,$BK$24=$BL$24),1,0)+IF(AND(LEN($BK$24)&gt;0,$BK$24=$BM$24),1,0)+IF(AND(LEN($BL$24)&gt;0,$BL$24=$BM$24),1,0))&gt;0,"Fraqueza repetida nesta cena",IF(AND($AF$24&gt;0,$AF$24&lt;&gt;(IF(LEN(INDEX('Inimigos'!$AA$11:$AA$54,$N$24)&amp;"")&gt;0,1,0)+IF(LEN(INDEX('Inimigos'!$AB$11:$AB$54,$N$24)&amp;"")&gt;0,1,0)+IF(LEN(INDEX('Inimigos'!$AC$11:$AC$54,$N$24)&amp;"")&gt;0,1,0)+IF(LEN(INDEX('Inimigos'!$AD$11:$AD$54,$N$24)&amp;"")&gt;0,1,0))),"O nº de Fraquezas é regra (28.2 regra 7): troque, não acrescente nem tire",IF(AND(LEN($T$24)&gt;0,COUNTIF($P$24:$S$24,$T$24)&gt;0),"Fraqueza igual à Resistência da ficha","")))))))</f>
        <v/>
      </c>
      <c r="N24" s="19">
        <f>IF(LEN($BG$24)=0,"",IFERROR(MATCH($BG$24,'Inimigos'!$N$11:$N$54,0),""))</f>
        <v/>
      </c>
      <c r="O24" s="19">
        <f>IF(ISNUMBER($N$24),IF(ISNUMBER($BI$24),MIN(10,MAX(0,INT($BI$24))),1),0)</f>
        <v/>
      </c>
      <c r="P24" s="19">
        <f>IF($O$24=0,"",IF(OR(LEN($BJ$24)&gt;0,LEN($BK$24)&gt;0,LEN($BL$24)&gt;0,LEN($BM$24)&gt;0),$BJ$24&amp;"",INDEX('Inimigos'!$AA$11:$AA$54,$N$24)&amp;""))</f>
        <v/>
      </c>
      <c r="Q24" s="19">
        <f>IF($O$24=0,"",IF(OR(LEN($BJ$24)&gt;0,LEN($BK$24)&gt;0,LEN($BL$24)&gt;0,LEN($BM$24)&gt;0),$BK$24&amp;"",INDEX('Inimigos'!$AB$11:$AB$54,$N$24)&amp;""))</f>
        <v/>
      </c>
      <c r="R24" s="19">
        <f>IF($O$24=0,"",IF(OR(LEN($BJ$24)&gt;0,LEN($BK$24)&gt;0,LEN($BL$24)&gt;0,LEN($BM$24)&gt;0),$BL$24&amp;"",INDEX('Inimigos'!$AC$11:$AC$54,$N$24)&amp;""))</f>
        <v/>
      </c>
      <c r="S24" s="19">
        <f>IF($O$24=0,"",IF(OR(LEN($BJ$24)&gt;0,LEN($BK$24)&gt;0,LEN($BL$24)&gt;0,LEN($BM$24)&gt;0),$BM$24&amp;"",INDEX('Inimigos'!$AD$11:$AD$54,$N$24)&amp;""))</f>
        <v/>
      </c>
      <c r="T24" s="19">
        <f>IF($O$24=0,"",INDEX('Inimigos'!$AE$11:$AE$54,$N$24)&amp;"")</f>
        <v/>
      </c>
      <c r="U24" s="19">
        <f>IF(ISNUMBER($N$24),INDEX('Inimigos'!$O$11:$O$54,$N$24)&amp;"","")</f>
        <v/>
      </c>
      <c r="V24" s="19">
        <f>IF(ISNUMBER($N$24),INDEX('Inimigos'!$BF$11:$BF$54,$N$24),"")</f>
        <v/>
      </c>
      <c r="W24" s="19">
        <f>IF($O$24=0,0,INDEX('Inimigos'!$AI$11:$AI$54,$N$24)*$O$24)</f>
        <v/>
      </c>
      <c r="X24" s="19">
        <f>IF($O$24=0,0,INDEX('Inimigos'!$AH$11:$AH$54,$N$24)*$O$24)</f>
        <v/>
      </c>
      <c r="Y24" s="19">
        <f>$Y$23+$O$24</f>
        <v/>
      </c>
      <c r="Z24" s="19">
        <f>IF(AND($O$24&gt;0,LEN($T$24)&gt;0),IF(COUNTIF('Grupo'!$T$7:$T$12,$T$24)&gt;=2,1,0),0)</f>
        <v/>
      </c>
      <c r="AA24" s="19">
        <f>IF(AND($O$24&gt;0,OR($AE$24="Pretor Vazio-Nove",$AE$24="O Dramaturgo de Mil Faces")),1,0)</f>
        <v/>
      </c>
      <c r="AB24" s="19">
        <f>IF(AND($O$24&gt;0,$AE$24="O Germe de Pavor"),1,0)</f>
        <v/>
      </c>
      <c r="AC24" s="19">
        <f>IF(AND($O$24&gt;0,$V$24&lt;&gt;$N$8),1,0)</f>
        <v/>
      </c>
      <c r="AD24" s="19">
        <f>IF($O$24&gt;0,$V$24,0)</f>
        <v/>
      </c>
      <c r="AE24" s="19">
        <f>IF(ISNUMBER($N$24),INDEX('Inimigos'!$N$11:$N$54,$N$24)&amp;"","")</f>
        <v/>
      </c>
      <c r="AF24" s="19">
        <f>IF(LEN($BJ$24)&gt;0,1,0)+IF(LEN($BK$24)&gt;0,1,0)+IF(LEN($BL$24)&gt;0,1,0)+IF(LEN($BM$24)&gt;0,1,0)</f>
        <v/>
      </c>
      <c r="AG24" s="19">
        <f>$O$24*IF($AE$24="Escória de Stellaron",1.5,1)</f>
        <v/>
      </c>
      <c r="AK24" s="19">
        <f>IF(OR(LEN($BH$105)=0,$BH$105="Qualquer"),1,IF(COUNTIFS('Tabelas'!$AE$12:$AE$118,'Dados'!$E$105,'Tabelas'!$AF$12:$AF$118,$BH$105)+IF(LEN('Dados'!$AD$105)=0,0,COUNTIFS('Tabelas'!$AE$12:$AE$118,'Dados'!$AD$105,'Tabelas'!$AF$12:$AF$118,$BH$105))&gt;0,1,0))</f>
        <v/>
      </c>
      <c r="AL24" s="19">
        <f>$AL$23+IF(AND('Dados'!$C$105="Comum",'Dados'!$D$105=$N$105),1,0)*$AK$24</f>
        <v/>
      </c>
      <c r="AM24" s="19">
        <f>$AM$23+IF(AND('Dados'!$C$105="Elite",'Dados'!$D$105=$N$105),1,0)*$AK$24</f>
        <v/>
      </c>
      <c r="AN24" s="19">
        <f>$AN$23+IF(AND('Dados'!$C$105="Boss",'Dados'!$D$105=$N$105),1,0)*$AK$24</f>
        <v/>
      </c>
      <c r="AO24" s="19">
        <f>$AO$23+IF(AND('Dados'!$C$105="Comum",'Dados'!$D$105=$N$105),1,0)</f>
        <v/>
      </c>
      <c r="AP24" s="19">
        <f>$AP$23+IF(AND('Dados'!$C$105="Elite",'Dados'!$D$105=$N$105),1,0)</f>
        <v/>
      </c>
      <c r="AQ24" s="19">
        <f>$AQ$23+IF(AND('Dados'!$C$105="Boss",'Dados'!$D$105=$N$105),1,0)</f>
        <v/>
      </c>
      <c r="AT24" s="19">
        <f>IF(ISNUMBER($R$111),INDEX('Dados'!$R$92:$R$123,$R$111)&amp;"","")</f>
        <v/>
      </c>
      <c r="AU24" s="19">
        <f>IF(ISNUMBER($R$111),INDEX('Dados'!$U$92:$U$123,$R$111)&amp;"","")</f>
        <v/>
      </c>
      <c r="AV24" s="19">
        <f>IF(LEN($AT$24)=0,0,IF(COUNTIF('Grupo'!$T$7:$T$12,$AT$24)&gt;0,0,1))</f>
        <v/>
      </c>
      <c r="AW24" s="19">
        <f>$AW$23+IF(AND($AV$24=1,$AW$23&lt;$BE$12),IF(INDEX($BC$11:$BC$17,$AW$23+1)&lt;&gt;$AU$24,1,0),0)</f>
        <v/>
      </c>
      <c r="AX24" s="19">
        <f>IF($AW$24&gt;$AW$23,INDEX($BC$11:$BC$17,$AW$24),$AT$24)</f>
        <v/>
      </c>
      <c r="AY24" s="19">
        <f>IF($AW$24&gt;$AW$23,$S$111&amp;": "&amp;$AT$24&amp;" → "&amp;$AX$24&amp;"; ","")</f>
        <v/>
      </c>
      <c r="BG24" s="19">
        <f>IF(ISERROR($A$24),"",IF(ISBLANK($A$24),"",$A$24))</f>
        <v/>
      </c>
      <c r="BI24" s="19">
        <f>IF(ISERROR($C$24),"",IF(ISBLANK($C$24),"",$C$24))</f>
        <v/>
      </c>
      <c r="BJ24" s="19">
        <f>IF(ISERROR($D$24),"",IF(ISBLANK($D$24),"",$D$24))</f>
        <v/>
      </c>
      <c r="BK24" s="19">
        <f>IF(ISERROR($E$24),"",IF(ISBLANK($E$24),"",$E$24))</f>
        <v/>
      </c>
      <c r="BL24" s="19">
        <f>IF(ISERROR($F$24),"",IF(ISBLANK($F$24),"",$F$24))</f>
        <v/>
      </c>
      <c r="BM24" s="19">
        <f>IF(ISERROR($G$24),"",IF(ISBLANK($G$24),"",$G$24))</f>
        <v/>
      </c>
      <c r="BN24" s="19">
        <f>ISERROR($A$24)*1+ISERROR($C$24)*1+ISERROR($D$24)*1+ISERROR($E$24)*1+ISERROR($F$24)*1+ISERROR($G$24)*1</f>
        <v/>
      </c>
    </row>
    <row r="25" ht="26" customHeight="1">
      <c r="A25" s="30" t="n"/>
      <c r="B25" s="16" t="n"/>
      <c r="C25" s="15" t="n"/>
      <c r="D25" s="36" t="n"/>
      <c r="E25" s="36" t="n"/>
      <c r="F25" s="36" t="n"/>
      <c r="G25" s="36" t="n"/>
      <c r="H25" s="17">
        <f>IF(ISNUMBER($N$25),INDEX('Inimigos'!$O$11:$O$54,$N$25)&amp;"","")</f>
        <v/>
      </c>
      <c r="I25" s="17">
        <f>IF(ISNUMBER($N$25),INDEX('Inimigos'!$Q$11:$Q$54,$N$25),"")</f>
        <v/>
      </c>
      <c r="J25" s="17">
        <f>IF(ISNUMBER($N$25),$W$25,"")</f>
        <v/>
      </c>
      <c r="K25" s="18">
        <f>IF(BN25&gt;0,"O Google leu como fórmula: escolha de novo ou digite com ' na frente.",IF(LEN($BG$25)=0,"",IF(NOT(ISNUMBER($N$25)),"Criatura fora da lista (Inimigos e Bestiário)",IF(AND(ISNUMBER($BI$25),OR($BI$25&lt;0,$BI$25&gt;10)),"Quantidade fora de 0 a 10: usando o limite",IF((IF(AND(LEN($BJ$25)&gt;0,$BJ$25=$BK$25),1,0)+IF(AND(LEN($BJ$25)&gt;0,$BJ$25=$BL$25),1,0)+IF(AND(LEN($BJ$25)&gt;0,$BJ$25=$BM$25),1,0)+IF(AND(LEN($BK$25)&gt;0,$BK$25=$BL$25),1,0)+IF(AND(LEN($BK$25)&gt;0,$BK$25=$BM$25),1,0)+IF(AND(LEN($BL$25)&gt;0,$BL$25=$BM$25),1,0))&gt;0,"Fraqueza repetida nesta cena",IF(AND($AF$25&gt;0,$AF$25&lt;&gt;(IF(LEN(INDEX('Inimigos'!$AA$11:$AA$54,$N$25)&amp;"")&gt;0,1,0)+IF(LEN(INDEX('Inimigos'!$AB$11:$AB$54,$N$25)&amp;"")&gt;0,1,0)+IF(LEN(INDEX('Inimigos'!$AC$11:$AC$54,$N$25)&amp;"")&gt;0,1,0)+IF(LEN(INDEX('Inimigos'!$AD$11:$AD$54,$N$25)&amp;"")&gt;0,1,0))),"O nº de Fraquezas é regra (28.2 regra 7): troque, não acrescente nem tire",IF(AND(LEN($T$25)&gt;0,COUNTIF($P$25:$S$25,$T$25)&gt;0),"Fraqueza igual à Resistência da ficha","")))))))</f>
        <v/>
      </c>
      <c r="N25" s="19">
        <f>IF(LEN($BG$25)=0,"",IFERROR(MATCH($BG$25,'Inimigos'!$N$11:$N$54,0),""))</f>
        <v/>
      </c>
      <c r="O25" s="19">
        <f>IF(ISNUMBER($N$25),IF(ISNUMBER($BI$25),MIN(10,MAX(0,INT($BI$25))),1),0)</f>
        <v/>
      </c>
      <c r="P25" s="19">
        <f>IF($O$25=0,"",IF(OR(LEN($BJ$25)&gt;0,LEN($BK$25)&gt;0,LEN($BL$25)&gt;0,LEN($BM$25)&gt;0),$BJ$25&amp;"",INDEX('Inimigos'!$AA$11:$AA$54,$N$25)&amp;""))</f>
        <v/>
      </c>
      <c r="Q25" s="19">
        <f>IF($O$25=0,"",IF(OR(LEN($BJ$25)&gt;0,LEN($BK$25)&gt;0,LEN($BL$25)&gt;0,LEN($BM$25)&gt;0),$BK$25&amp;"",INDEX('Inimigos'!$AB$11:$AB$54,$N$25)&amp;""))</f>
        <v/>
      </c>
      <c r="R25" s="19">
        <f>IF($O$25=0,"",IF(OR(LEN($BJ$25)&gt;0,LEN($BK$25)&gt;0,LEN($BL$25)&gt;0,LEN($BM$25)&gt;0),$BL$25&amp;"",INDEX('Inimigos'!$AC$11:$AC$54,$N$25)&amp;""))</f>
        <v/>
      </c>
      <c r="S25" s="19">
        <f>IF($O$25=0,"",IF(OR(LEN($BJ$25)&gt;0,LEN($BK$25)&gt;0,LEN($BL$25)&gt;0,LEN($BM$25)&gt;0),$BM$25&amp;"",INDEX('Inimigos'!$AD$11:$AD$54,$N$25)&amp;""))</f>
        <v/>
      </c>
      <c r="T25" s="19">
        <f>IF($O$25=0,"",INDEX('Inimigos'!$AE$11:$AE$54,$N$25)&amp;"")</f>
        <v/>
      </c>
      <c r="U25" s="19">
        <f>IF(ISNUMBER($N$25),INDEX('Inimigos'!$O$11:$O$54,$N$25)&amp;"","")</f>
        <v/>
      </c>
      <c r="V25" s="19">
        <f>IF(ISNUMBER($N$25),INDEX('Inimigos'!$BF$11:$BF$54,$N$25),"")</f>
        <v/>
      </c>
      <c r="W25" s="19">
        <f>IF($O$25=0,0,INDEX('Inimigos'!$AI$11:$AI$54,$N$25)*$O$25)</f>
        <v/>
      </c>
      <c r="X25" s="19">
        <f>IF($O$25=0,0,INDEX('Inimigos'!$AH$11:$AH$54,$N$25)*$O$25)</f>
        <v/>
      </c>
      <c r="Y25" s="19">
        <f>$Y$24+$O$25</f>
        <v/>
      </c>
      <c r="Z25" s="19">
        <f>IF(AND($O$25&gt;0,LEN($T$25)&gt;0),IF(COUNTIF('Grupo'!$T$7:$T$12,$T$25)&gt;=2,1,0),0)</f>
        <v/>
      </c>
      <c r="AA25" s="19">
        <f>IF(AND($O$25&gt;0,OR($AE$25="Pretor Vazio-Nove",$AE$25="O Dramaturgo de Mil Faces")),1,0)</f>
        <v/>
      </c>
      <c r="AB25" s="19">
        <f>IF(AND($O$25&gt;0,$AE$25="O Germe de Pavor"),1,0)</f>
        <v/>
      </c>
      <c r="AC25" s="19">
        <f>IF(AND($O$25&gt;0,$V$25&lt;&gt;$N$8),1,0)</f>
        <v/>
      </c>
      <c r="AD25" s="19">
        <f>IF($O$25&gt;0,$V$25,0)</f>
        <v/>
      </c>
      <c r="AE25" s="19">
        <f>IF(ISNUMBER($N$25),INDEX('Inimigos'!$N$11:$N$54,$N$25)&amp;"","")</f>
        <v/>
      </c>
      <c r="AF25" s="19">
        <f>IF(LEN($BJ$25)&gt;0,1,0)+IF(LEN($BK$25)&gt;0,1,0)+IF(LEN($BL$25)&gt;0,1,0)+IF(LEN($BM$25)&gt;0,1,0)</f>
        <v/>
      </c>
      <c r="AG25" s="19">
        <f>$O$25*IF($AE$25="Escória de Stellaron",1.5,1)</f>
        <v/>
      </c>
      <c r="AK25" s="19">
        <f>IF(OR(LEN($BH$105)=0,$BH$105="Qualquer"),1,IF(COUNTIFS('Tabelas'!$AE$12:$AE$118,'Dados'!$E$106,'Tabelas'!$AF$12:$AF$118,$BH$105)+IF(LEN('Dados'!$AD$106)=0,0,COUNTIFS('Tabelas'!$AE$12:$AE$118,'Dados'!$AD$106,'Tabelas'!$AF$12:$AF$118,$BH$105))&gt;0,1,0))</f>
        <v/>
      </c>
      <c r="AL25" s="19">
        <f>$AL$24+IF(AND('Dados'!$C$106="Comum",'Dados'!$D$106=$N$105),1,0)*$AK$25</f>
        <v/>
      </c>
      <c r="AM25" s="19">
        <f>$AM$24+IF(AND('Dados'!$C$106="Elite",'Dados'!$D$106=$N$105),1,0)*$AK$25</f>
        <v/>
      </c>
      <c r="AN25" s="19">
        <f>$AN$24+IF(AND('Dados'!$C$106="Boss",'Dados'!$D$106=$N$105),1,0)*$AK$25</f>
        <v/>
      </c>
      <c r="AO25" s="19">
        <f>$AO$24+IF(AND('Dados'!$C$106="Comum",'Dados'!$D$106=$N$105),1,0)</f>
        <v/>
      </c>
      <c r="AP25" s="19">
        <f>$AP$24+IF(AND('Dados'!$C$106="Elite",'Dados'!$D$106=$N$105),1,0)</f>
        <v/>
      </c>
      <c r="AQ25" s="19">
        <f>$AQ$24+IF(AND('Dados'!$C$106="Boss",'Dados'!$D$106=$N$105),1,0)</f>
        <v/>
      </c>
      <c r="AT25" s="19">
        <f>IF(ISNUMBER($R$111),INDEX('Dados'!$S$92:$S$123,$R$111)&amp;"","")</f>
        <v/>
      </c>
      <c r="AU25" s="19">
        <f>IF(ISNUMBER($R$111),INDEX('Dados'!$U$92:$U$123,$R$111)&amp;"","")</f>
        <v/>
      </c>
      <c r="AV25" s="19">
        <f>IF(LEN($AT$25)=0,0,IF(COUNTIF('Grupo'!$T$7:$T$12,$AT$25)&gt;0,0,1))</f>
        <v/>
      </c>
      <c r="AW25" s="19">
        <f>$AW$24+IF(AND($AV$25=1,$AW$24&lt;$BE$12),IF(INDEX($BC$11:$BC$17,$AW$24+1)&lt;&gt;$AU$25,1,0),0)</f>
        <v/>
      </c>
      <c r="AX25" s="19">
        <f>IF($AW$25&gt;$AW$24,INDEX($BC$11:$BC$17,$AW$25),$AT$25)</f>
        <v/>
      </c>
      <c r="AY25" s="19">
        <f>IF($AW$25&gt;$AW$24,$S$111&amp;": "&amp;$AT$25&amp;" → "&amp;$AX$25&amp;"; ","")</f>
        <v/>
      </c>
      <c r="BG25" s="19">
        <f>IF(ISERROR($A$25),"",IF(ISBLANK($A$25),"",$A$25))</f>
        <v/>
      </c>
      <c r="BI25" s="19">
        <f>IF(ISERROR($C$25),"",IF(ISBLANK($C$25),"",$C$25))</f>
        <v/>
      </c>
      <c r="BJ25" s="19">
        <f>IF(ISERROR($D$25),"",IF(ISBLANK($D$25),"",$D$25))</f>
        <v/>
      </c>
      <c r="BK25" s="19">
        <f>IF(ISERROR($E$25),"",IF(ISBLANK($E$25),"",$E$25))</f>
        <v/>
      </c>
      <c r="BL25" s="19">
        <f>IF(ISERROR($F$25),"",IF(ISBLANK($F$25),"",$F$25))</f>
        <v/>
      </c>
      <c r="BM25" s="19">
        <f>IF(ISERROR($G$25),"",IF(ISBLANK($G$25),"",$G$25))</f>
        <v/>
      </c>
      <c r="BN25" s="19">
        <f>ISERROR($A$25)*1+ISERROR($C$25)*1+ISERROR($D$25)*1+ISERROR($E$25)*1+ISERROR($F$25)*1+ISERROR($G$25)*1</f>
        <v/>
      </c>
    </row>
    <row r="26" ht="26" customHeight="1">
      <c r="A26" s="31" t="n"/>
      <c r="B26" s="16" t="n"/>
      <c r="C26" s="34" t="n"/>
      <c r="D26" s="42" t="n"/>
      <c r="E26" s="42" t="n"/>
      <c r="F26" s="42" t="n"/>
      <c r="G26" s="42" t="n"/>
      <c r="H26" s="29">
        <f>IF(ISNUMBER($N$26),INDEX('Inimigos'!$O$11:$O$54,$N$26)&amp;"","")</f>
        <v/>
      </c>
      <c r="I26" s="29">
        <f>IF(ISNUMBER($N$26),INDEX('Inimigos'!$Q$11:$Q$54,$N$26),"")</f>
        <v/>
      </c>
      <c r="J26" s="29">
        <f>IF(ISNUMBER($N$26),$W$26,"")</f>
        <v/>
      </c>
      <c r="K26" s="26">
        <f>IF(BN26&gt;0,"O Google leu como fórmula: escolha de novo ou digite com ' na frente.",IF(LEN($BG$26)=0,"",IF(NOT(ISNUMBER($N$26)),"Criatura fora da lista (Inimigos e Bestiário)",IF(AND(ISNUMBER($BI$26),OR($BI$26&lt;0,$BI$26&gt;10)),"Quantidade fora de 0 a 10: usando o limite",IF((IF(AND(LEN($BJ$26)&gt;0,$BJ$26=$BK$26),1,0)+IF(AND(LEN($BJ$26)&gt;0,$BJ$26=$BL$26),1,0)+IF(AND(LEN($BJ$26)&gt;0,$BJ$26=$BM$26),1,0)+IF(AND(LEN($BK$26)&gt;0,$BK$26=$BL$26),1,0)+IF(AND(LEN($BK$26)&gt;0,$BK$26=$BM$26),1,0)+IF(AND(LEN($BL$26)&gt;0,$BL$26=$BM$26),1,0))&gt;0,"Fraqueza repetida nesta cena",IF(AND($AF$26&gt;0,$AF$26&lt;&gt;(IF(LEN(INDEX('Inimigos'!$AA$11:$AA$54,$N$26)&amp;"")&gt;0,1,0)+IF(LEN(INDEX('Inimigos'!$AB$11:$AB$54,$N$26)&amp;"")&gt;0,1,0)+IF(LEN(INDEX('Inimigos'!$AC$11:$AC$54,$N$26)&amp;"")&gt;0,1,0)+IF(LEN(INDEX('Inimigos'!$AD$11:$AD$54,$N$26)&amp;"")&gt;0,1,0))),"O nº de Fraquezas é regra (28.2 regra 7): troque, não acrescente nem tire",IF(AND(LEN($T$26)&gt;0,COUNTIF($P$26:$S$26,$T$26)&gt;0),"Fraqueza igual à Resistência da ficha","")))))))</f>
        <v/>
      </c>
      <c r="N26" s="19">
        <f>IF(LEN($BG$26)=0,"",IFERROR(MATCH($BG$26,'Inimigos'!$N$11:$N$54,0),""))</f>
        <v/>
      </c>
      <c r="O26" s="19">
        <f>IF(ISNUMBER($N$26),IF(ISNUMBER($BI$26),MIN(10,MAX(0,INT($BI$26))),1),0)</f>
        <v/>
      </c>
      <c r="P26" s="19">
        <f>IF($O$26=0,"",IF(OR(LEN($BJ$26)&gt;0,LEN($BK$26)&gt;0,LEN($BL$26)&gt;0,LEN($BM$26)&gt;0),$BJ$26&amp;"",INDEX('Inimigos'!$AA$11:$AA$54,$N$26)&amp;""))</f>
        <v/>
      </c>
      <c r="Q26" s="19">
        <f>IF($O$26=0,"",IF(OR(LEN($BJ$26)&gt;0,LEN($BK$26)&gt;0,LEN($BL$26)&gt;0,LEN($BM$26)&gt;0),$BK$26&amp;"",INDEX('Inimigos'!$AB$11:$AB$54,$N$26)&amp;""))</f>
        <v/>
      </c>
      <c r="R26" s="19">
        <f>IF($O$26=0,"",IF(OR(LEN($BJ$26)&gt;0,LEN($BK$26)&gt;0,LEN($BL$26)&gt;0,LEN($BM$26)&gt;0),$BL$26&amp;"",INDEX('Inimigos'!$AC$11:$AC$54,$N$26)&amp;""))</f>
        <v/>
      </c>
      <c r="S26" s="19">
        <f>IF($O$26=0,"",IF(OR(LEN($BJ$26)&gt;0,LEN($BK$26)&gt;0,LEN($BL$26)&gt;0,LEN($BM$26)&gt;0),$BM$26&amp;"",INDEX('Inimigos'!$AD$11:$AD$54,$N$26)&amp;""))</f>
        <v/>
      </c>
      <c r="T26" s="19">
        <f>IF($O$26=0,"",INDEX('Inimigos'!$AE$11:$AE$54,$N$26)&amp;"")</f>
        <v/>
      </c>
      <c r="U26" s="19">
        <f>IF(ISNUMBER($N$26),INDEX('Inimigos'!$O$11:$O$54,$N$26)&amp;"","")</f>
        <v/>
      </c>
      <c r="V26" s="19">
        <f>IF(ISNUMBER($N$26),INDEX('Inimigos'!$BF$11:$BF$54,$N$26),"")</f>
        <v/>
      </c>
      <c r="W26" s="19">
        <f>IF($O$26=0,0,INDEX('Inimigos'!$AI$11:$AI$54,$N$26)*$O$26)</f>
        <v/>
      </c>
      <c r="X26" s="19">
        <f>IF($O$26=0,0,INDEX('Inimigos'!$AH$11:$AH$54,$N$26)*$O$26)</f>
        <v/>
      </c>
      <c r="Y26" s="19">
        <f>$Y$25+$O$26</f>
        <v/>
      </c>
      <c r="Z26" s="19">
        <f>IF(AND($O$26&gt;0,LEN($T$26)&gt;0),IF(COUNTIF('Grupo'!$T$7:$T$12,$T$26)&gt;=2,1,0),0)</f>
        <v/>
      </c>
      <c r="AA26" s="19">
        <f>IF(AND($O$26&gt;0,OR($AE$26="Pretor Vazio-Nove",$AE$26="O Dramaturgo de Mil Faces")),1,0)</f>
        <v/>
      </c>
      <c r="AB26" s="19">
        <f>IF(AND($O$26&gt;0,$AE$26="O Germe de Pavor"),1,0)</f>
        <v/>
      </c>
      <c r="AC26" s="19">
        <f>IF(AND($O$26&gt;0,$V$26&lt;&gt;$N$8),1,0)</f>
        <v/>
      </c>
      <c r="AD26" s="19">
        <f>IF($O$26&gt;0,$V$26,0)</f>
        <v/>
      </c>
      <c r="AE26" s="19">
        <f>IF(ISNUMBER($N$26),INDEX('Inimigos'!$N$11:$N$54,$N$26)&amp;"","")</f>
        <v/>
      </c>
      <c r="AF26" s="19">
        <f>IF(LEN($BJ$26)&gt;0,1,0)+IF(LEN($BK$26)&gt;0,1,0)+IF(LEN($BL$26)&gt;0,1,0)+IF(LEN($BM$26)&gt;0,1,0)</f>
        <v/>
      </c>
      <c r="AG26" s="19">
        <f>$O$26*IF($AE$26="Escória de Stellaron",1.5,1)</f>
        <v/>
      </c>
      <c r="AK26" s="19">
        <f>IF(OR(LEN($BH$105)=0,$BH$105="Qualquer"),1,IF(COUNTIFS('Tabelas'!$AE$12:$AE$118,'Dados'!$E$107,'Tabelas'!$AF$12:$AF$118,$BH$105)+IF(LEN('Dados'!$AD$107)=0,0,COUNTIFS('Tabelas'!$AE$12:$AE$118,'Dados'!$AD$107,'Tabelas'!$AF$12:$AF$118,$BH$105))&gt;0,1,0))</f>
        <v/>
      </c>
      <c r="AL26" s="19">
        <f>$AL$25+IF(AND('Dados'!$C$107="Comum",'Dados'!$D$107=$N$105),1,0)*$AK$26</f>
        <v/>
      </c>
      <c r="AM26" s="19">
        <f>$AM$25+IF(AND('Dados'!$C$107="Elite",'Dados'!$D$107=$N$105),1,0)*$AK$26</f>
        <v/>
      </c>
      <c r="AN26" s="19">
        <f>$AN$25+IF(AND('Dados'!$C$107="Boss",'Dados'!$D$107=$N$105),1,0)*$AK$26</f>
        <v/>
      </c>
      <c r="AO26" s="19">
        <f>$AO$25+IF(AND('Dados'!$C$107="Comum",'Dados'!$D$107=$N$105),1,0)</f>
        <v/>
      </c>
      <c r="AP26" s="19">
        <f>$AP$25+IF(AND('Dados'!$C$107="Elite",'Dados'!$D$107=$N$105),1,0)</f>
        <v/>
      </c>
      <c r="AQ26" s="19">
        <f>$AQ$25+IF(AND('Dados'!$C$107="Boss",'Dados'!$D$107=$N$105),1,0)</f>
        <v/>
      </c>
      <c r="AT26" s="19">
        <f>IF(ISNUMBER($R$111),INDEX('Dados'!$T$92:$T$123,$R$111)&amp;"","")</f>
        <v/>
      </c>
      <c r="AU26" s="19">
        <f>IF(ISNUMBER($R$111),INDEX('Dados'!$U$92:$U$123,$R$111)&amp;"","")</f>
        <v/>
      </c>
      <c r="AV26" s="19">
        <f>IF(LEN($AT$26)=0,0,IF(COUNTIF('Grupo'!$T$7:$T$12,$AT$26)&gt;0,0,1))</f>
        <v/>
      </c>
      <c r="AW26" s="19">
        <f>$AW$25+IF(AND($AV$26=1,$AW$25&lt;$BE$12),IF(INDEX($BC$11:$BC$17,$AW$25+1)&lt;&gt;$AU$26,1,0),0)</f>
        <v/>
      </c>
      <c r="AX26" s="19">
        <f>IF($AW$26&gt;$AW$25,INDEX($BC$11:$BC$17,$AW$26),$AT$26)</f>
        <v/>
      </c>
      <c r="AY26" s="19">
        <f>IF($AW$26&gt;$AW$25,$S$111&amp;": "&amp;$AT$26&amp;" → "&amp;$AX$26&amp;"; ","")</f>
        <v/>
      </c>
      <c r="BG26" s="19">
        <f>IF(ISERROR($A$26),"",IF(ISBLANK($A$26),"",$A$26))</f>
        <v/>
      </c>
      <c r="BI26" s="19">
        <f>IF(ISERROR($C$26),"",IF(ISBLANK($C$26),"",$C$26))</f>
        <v/>
      </c>
      <c r="BJ26" s="19">
        <f>IF(ISERROR($D$26),"",IF(ISBLANK($D$26),"",$D$26))</f>
        <v/>
      </c>
      <c r="BK26" s="19">
        <f>IF(ISERROR($E$26),"",IF(ISBLANK($E$26),"",$E$26))</f>
        <v/>
      </c>
      <c r="BL26" s="19">
        <f>IF(ISERROR($F$26),"",IF(ISBLANK($F$26),"",$F$26))</f>
        <v/>
      </c>
      <c r="BM26" s="19">
        <f>IF(ISERROR($G$26),"",IF(ISBLANK($G$26),"",$G$26))</f>
        <v/>
      </c>
      <c r="BN26" s="19">
        <f>ISERROR($A$26)*1+ISERROR($C$26)*1+ISERROR($D$26)*1+ISERROR($E$26)*1+ISERROR($F$26)*1+ISERROR($G$26)*1</f>
        <v/>
      </c>
    </row>
    <row r="27" ht="26" customHeight="1">
      <c r="A27" s="30" t="n"/>
      <c r="B27" s="16" t="n"/>
      <c r="C27" s="15" t="n"/>
      <c r="D27" s="36" t="n"/>
      <c r="E27" s="36" t="n"/>
      <c r="F27" s="36" t="n"/>
      <c r="G27" s="36" t="n"/>
      <c r="H27" s="17">
        <f>IF(ISNUMBER($N$27),INDEX('Inimigos'!$O$11:$O$54,$N$27)&amp;"","")</f>
        <v/>
      </c>
      <c r="I27" s="17">
        <f>IF(ISNUMBER($N$27),INDEX('Inimigos'!$Q$11:$Q$54,$N$27),"")</f>
        <v/>
      </c>
      <c r="J27" s="17">
        <f>IF(ISNUMBER($N$27),$W$27,"")</f>
        <v/>
      </c>
      <c r="K27" s="18">
        <f>IF(BN27&gt;0,"O Google leu como fórmula: escolha de novo ou digite com ' na frente.",IF(LEN($BG$27)=0,"",IF(NOT(ISNUMBER($N$27)),"Criatura fora da lista (Inimigos e Bestiário)",IF(AND(ISNUMBER($BI$27),OR($BI$27&lt;0,$BI$27&gt;10)),"Quantidade fora de 0 a 10: usando o limite",IF((IF(AND(LEN($BJ$27)&gt;0,$BJ$27=$BK$27),1,0)+IF(AND(LEN($BJ$27)&gt;0,$BJ$27=$BL$27),1,0)+IF(AND(LEN($BJ$27)&gt;0,$BJ$27=$BM$27),1,0)+IF(AND(LEN($BK$27)&gt;0,$BK$27=$BL$27),1,0)+IF(AND(LEN($BK$27)&gt;0,$BK$27=$BM$27),1,0)+IF(AND(LEN($BL$27)&gt;0,$BL$27=$BM$27),1,0))&gt;0,"Fraqueza repetida nesta cena",IF(AND($AF$27&gt;0,$AF$27&lt;&gt;(IF(LEN(INDEX('Inimigos'!$AA$11:$AA$54,$N$27)&amp;"")&gt;0,1,0)+IF(LEN(INDEX('Inimigos'!$AB$11:$AB$54,$N$27)&amp;"")&gt;0,1,0)+IF(LEN(INDEX('Inimigos'!$AC$11:$AC$54,$N$27)&amp;"")&gt;0,1,0)+IF(LEN(INDEX('Inimigos'!$AD$11:$AD$54,$N$27)&amp;"")&gt;0,1,0))),"O nº de Fraquezas é regra (28.2 regra 7): troque, não acrescente nem tire",IF(AND(LEN($T$27)&gt;0,COUNTIF($P$27:$S$27,$T$27)&gt;0),"Fraqueza igual à Resistência da ficha","")))))))</f>
        <v/>
      </c>
      <c r="N27" s="19">
        <f>IF(LEN($BG$27)=0,"",IFERROR(MATCH($BG$27,'Inimigos'!$N$11:$N$54,0),""))</f>
        <v/>
      </c>
      <c r="O27" s="19">
        <f>IF(ISNUMBER($N$27),IF(ISNUMBER($BI$27),MIN(10,MAX(0,INT($BI$27))),1),0)</f>
        <v/>
      </c>
      <c r="P27" s="19">
        <f>IF($O$27=0,"",IF(OR(LEN($BJ$27)&gt;0,LEN($BK$27)&gt;0,LEN($BL$27)&gt;0,LEN($BM$27)&gt;0),$BJ$27&amp;"",INDEX('Inimigos'!$AA$11:$AA$54,$N$27)&amp;""))</f>
        <v/>
      </c>
      <c r="Q27" s="19">
        <f>IF($O$27=0,"",IF(OR(LEN($BJ$27)&gt;0,LEN($BK$27)&gt;0,LEN($BL$27)&gt;0,LEN($BM$27)&gt;0),$BK$27&amp;"",INDEX('Inimigos'!$AB$11:$AB$54,$N$27)&amp;""))</f>
        <v/>
      </c>
      <c r="R27" s="19">
        <f>IF($O$27=0,"",IF(OR(LEN($BJ$27)&gt;0,LEN($BK$27)&gt;0,LEN($BL$27)&gt;0,LEN($BM$27)&gt;0),$BL$27&amp;"",INDEX('Inimigos'!$AC$11:$AC$54,$N$27)&amp;""))</f>
        <v/>
      </c>
      <c r="S27" s="19">
        <f>IF($O$27=0,"",IF(OR(LEN($BJ$27)&gt;0,LEN($BK$27)&gt;0,LEN($BL$27)&gt;0,LEN($BM$27)&gt;0),$BM$27&amp;"",INDEX('Inimigos'!$AD$11:$AD$54,$N$27)&amp;""))</f>
        <v/>
      </c>
      <c r="T27" s="19">
        <f>IF($O$27=0,"",INDEX('Inimigos'!$AE$11:$AE$54,$N$27)&amp;"")</f>
        <v/>
      </c>
      <c r="U27" s="19">
        <f>IF(ISNUMBER($N$27),INDEX('Inimigos'!$O$11:$O$54,$N$27)&amp;"","")</f>
        <v/>
      </c>
      <c r="V27" s="19">
        <f>IF(ISNUMBER($N$27),INDEX('Inimigos'!$BF$11:$BF$54,$N$27),"")</f>
        <v/>
      </c>
      <c r="W27" s="19">
        <f>IF($O$27=0,0,INDEX('Inimigos'!$AI$11:$AI$54,$N$27)*$O$27)</f>
        <v/>
      </c>
      <c r="X27" s="19">
        <f>IF($O$27=0,0,INDEX('Inimigos'!$AH$11:$AH$54,$N$27)*$O$27)</f>
        <v/>
      </c>
      <c r="Y27" s="19">
        <f>$Y$26+$O$27</f>
        <v/>
      </c>
      <c r="Z27" s="19">
        <f>IF(AND($O$27&gt;0,LEN($T$27)&gt;0),IF(COUNTIF('Grupo'!$T$7:$T$12,$T$27)&gt;=2,1,0),0)</f>
        <v/>
      </c>
      <c r="AA27" s="19">
        <f>IF(AND($O$27&gt;0,OR($AE$27="Pretor Vazio-Nove",$AE$27="O Dramaturgo de Mil Faces")),1,0)</f>
        <v/>
      </c>
      <c r="AB27" s="19">
        <f>IF(AND($O$27&gt;0,$AE$27="O Germe de Pavor"),1,0)</f>
        <v/>
      </c>
      <c r="AC27" s="19">
        <f>IF(AND($O$27&gt;0,$V$27&lt;&gt;$N$8),1,0)</f>
        <v/>
      </c>
      <c r="AD27" s="19">
        <f>IF($O$27&gt;0,$V$27,0)</f>
        <v/>
      </c>
      <c r="AE27" s="19">
        <f>IF(ISNUMBER($N$27),INDEX('Inimigos'!$N$11:$N$54,$N$27)&amp;"","")</f>
        <v/>
      </c>
      <c r="AF27" s="19">
        <f>IF(LEN($BJ$27)&gt;0,1,0)+IF(LEN($BK$27)&gt;0,1,0)+IF(LEN($BL$27)&gt;0,1,0)+IF(LEN($BM$27)&gt;0,1,0)</f>
        <v/>
      </c>
      <c r="AG27" s="19">
        <f>$O$27*IF($AE$27="Escória de Stellaron",1.5,1)</f>
        <v/>
      </c>
      <c r="AK27" s="19">
        <f>IF(OR(LEN($BH$105)=0,$BH$105="Qualquer"),1,IF(COUNTIFS('Tabelas'!$AE$12:$AE$118,'Dados'!$E$108,'Tabelas'!$AF$12:$AF$118,$BH$105)+IF(LEN('Dados'!$AD$108)=0,0,COUNTIFS('Tabelas'!$AE$12:$AE$118,'Dados'!$AD$108,'Tabelas'!$AF$12:$AF$118,$BH$105))&gt;0,1,0))</f>
        <v/>
      </c>
      <c r="AL27" s="19">
        <f>$AL$26+IF(AND('Dados'!$C$108="Comum",'Dados'!$D$108=$N$105),1,0)*$AK$27</f>
        <v/>
      </c>
      <c r="AM27" s="19">
        <f>$AM$26+IF(AND('Dados'!$C$108="Elite",'Dados'!$D$108=$N$105),1,0)*$AK$27</f>
        <v/>
      </c>
      <c r="AN27" s="19">
        <f>$AN$26+IF(AND('Dados'!$C$108="Boss",'Dados'!$D$108=$N$105),1,0)*$AK$27</f>
        <v/>
      </c>
      <c r="AO27" s="19">
        <f>$AO$26+IF(AND('Dados'!$C$108="Comum",'Dados'!$D$108=$N$105),1,0)</f>
        <v/>
      </c>
      <c r="AP27" s="19">
        <f>$AP$26+IF(AND('Dados'!$C$108="Elite",'Dados'!$D$108=$N$105),1,0)</f>
        <v/>
      </c>
      <c r="AQ27" s="19">
        <f>$AQ$26+IF(AND('Dados'!$C$108="Boss",'Dados'!$D$108=$N$105),1,0)</f>
        <v/>
      </c>
      <c r="AT27" s="19">
        <f>IF(ISNUMBER($R$112),INDEX('Dados'!$Q$92:$Q$123,$R$112)&amp;"","")</f>
        <v/>
      </c>
      <c r="AU27" s="19">
        <f>IF(ISNUMBER($R$112),INDEX('Dados'!$U$92:$U$123,$R$112)&amp;"","")</f>
        <v/>
      </c>
      <c r="AV27" s="19">
        <f>IF(LEN($AT$27)=0,0,IF(COUNTIF('Grupo'!$T$7:$T$12,$AT$27)&gt;0,0,1))</f>
        <v/>
      </c>
      <c r="AW27" s="19">
        <f>$AW$26+IF(AND($AV$27=1,$AW$26&lt;$BE$12),IF(INDEX($BC$11:$BC$17,$AW$26+1)&lt;&gt;$AU$27,1,0),0)</f>
        <v/>
      </c>
      <c r="AX27" s="19">
        <f>IF($AW$27&gt;$AW$26,INDEX($BC$11:$BC$17,$AW$27),$AT$27)</f>
        <v/>
      </c>
      <c r="AY27" s="19">
        <f>IF($AW$27&gt;$AW$26,$S$112&amp;": "&amp;$AT$27&amp;" → "&amp;$AX$27&amp;"; ","")</f>
        <v/>
      </c>
      <c r="BG27" s="19">
        <f>IF(ISERROR($A$27),"",IF(ISBLANK($A$27),"",$A$27))</f>
        <v/>
      </c>
      <c r="BI27" s="19">
        <f>IF(ISERROR($C$27),"",IF(ISBLANK($C$27),"",$C$27))</f>
        <v/>
      </c>
      <c r="BJ27" s="19">
        <f>IF(ISERROR($D$27),"",IF(ISBLANK($D$27),"",$D$27))</f>
        <v/>
      </c>
      <c r="BK27" s="19">
        <f>IF(ISERROR($E$27),"",IF(ISBLANK($E$27),"",$E$27))</f>
        <v/>
      </c>
      <c r="BL27" s="19">
        <f>IF(ISERROR($F$27),"",IF(ISBLANK($F$27),"",$F$27))</f>
        <v/>
      </c>
      <c r="BM27" s="19">
        <f>IF(ISERROR($G$27),"",IF(ISBLANK($G$27),"",$G$27))</f>
        <v/>
      </c>
      <c r="BN27" s="19">
        <f>ISERROR($A$27)*1+ISERROR($C$27)*1+ISERROR($D$27)*1+ISERROR($E$27)*1+ISERROR($F$27)*1+ISERROR($G$27)*1</f>
        <v/>
      </c>
    </row>
    <row r="28" ht="26" customHeight="1">
      <c r="A28" s="31" t="n"/>
      <c r="B28" s="16" t="n"/>
      <c r="C28" s="34" t="n"/>
      <c r="D28" s="42" t="n"/>
      <c r="E28" s="42" t="n"/>
      <c r="F28" s="42" t="n"/>
      <c r="G28" s="42" t="n"/>
      <c r="H28" s="29">
        <f>IF(ISNUMBER($N$28),INDEX('Inimigos'!$O$11:$O$54,$N$28)&amp;"","")</f>
        <v/>
      </c>
      <c r="I28" s="29">
        <f>IF(ISNUMBER($N$28),INDEX('Inimigos'!$Q$11:$Q$54,$N$28),"")</f>
        <v/>
      </c>
      <c r="J28" s="29">
        <f>IF(ISNUMBER($N$28),$W$28,"")</f>
        <v/>
      </c>
      <c r="K28" s="26">
        <f>IF(BN28&gt;0,"O Google leu como fórmula: escolha de novo ou digite com ' na frente.",IF(LEN($BG$28)=0,"",IF(NOT(ISNUMBER($N$28)),"Criatura fora da lista (Inimigos e Bestiário)",IF(AND(ISNUMBER($BI$28),OR($BI$28&lt;0,$BI$28&gt;10)),"Quantidade fora de 0 a 10: usando o limite",IF((IF(AND(LEN($BJ$28)&gt;0,$BJ$28=$BK$28),1,0)+IF(AND(LEN($BJ$28)&gt;0,$BJ$28=$BL$28),1,0)+IF(AND(LEN($BJ$28)&gt;0,$BJ$28=$BM$28),1,0)+IF(AND(LEN($BK$28)&gt;0,$BK$28=$BL$28),1,0)+IF(AND(LEN($BK$28)&gt;0,$BK$28=$BM$28),1,0)+IF(AND(LEN($BL$28)&gt;0,$BL$28=$BM$28),1,0))&gt;0,"Fraqueza repetida nesta cena",IF(AND($AF$28&gt;0,$AF$28&lt;&gt;(IF(LEN(INDEX('Inimigos'!$AA$11:$AA$54,$N$28)&amp;"")&gt;0,1,0)+IF(LEN(INDEX('Inimigos'!$AB$11:$AB$54,$N$28)&amp;"")&gt;0,1,0)+IF(LEN(INDEX('Inimigos'!$AC$11:$AC$54,$N$28)&amp;"")&gt;0,1,0)+IF(LEN(INDEX('Inimigos'!$AD$11:$AD$54,$N$28)&amp;"")&gt;0,1,0))),"O nº de Fraquezas é regra (28.2 regra 7): troque, não acrescente nem tire",IF(AND(LEN($T$28)&gt;0,COUNTIF($P$28:$S$28,$T$28)&gt;0),"Fraqueza igual à Resistência da ficha","")))))))</f>
        <v/>
      </c>
      <c r="N28" s="19">
        <f>IF(LEN($BG$28)=0,"",IFERROR(MATCH($BG$28,'Inimigos'!$N$11:$N$54,0),""))</f>
        <v/>
      </c>
      <c r="O28" s="19">
        <f>IF(ISNUMBER($N$28),IF(ISNUMBER($BI$28),MIN(10,MAX(0,INT($BI$28))),1),0)</f>
        <v/>
      </c>
      <c r="P28" s="19">
        <f>IF($O$28=0,"",IF(OR(LEN($BJ$28)&gt;0,LEN($BK$28)&gt;0,LEN($BL$28)&gt;0,LEN($BM$28)&gt;0),$BJ$28&amp;"",INDEX('Inimigos'!$AA$11:$AA$54,$N$28)&amp;""))</f>
        <v/>
      </c>
      <c r="Q28" s="19">
        <f>IF($O$28=0,"",IF(OR(LEN($BJ$28)&gt;0,LEN($BK$28)&gt;0,LEN($BL$28)&gt;0,LEN($BM$28)&gt;0),$BK$28&amp;"",INDEX('Inimigos'!$AB$11:$AB$54,$N$28)&amp;""))</f>
        <v/>
      </c>
      <c r="R28" s="19">
        <f>IF($O$28=0,"",IF(OR(LEN($BJ$28)&gt;0,LEN($BK$28)&gt;0,LEN($BL$28)&gt;0,LEN($BM$28)&gt;0),$BL$28&amp;"",INDEX('Inimigos'!$AC$11:$AC$54,$N$28)&amp;""))</f>
        <v/>
      </c>
      <c r="S28" s="19">
        <f>IF($O$28=0,"",IF(OR(LEN($BJ$28)&gt;0,LEN($BK$28)&gt;0,LEN($BL$28)&gt;0,LEN($BM$28)&gt;0),$BM$28&amp;"",INDEX('Inimigos'!$AD$11:$AD$54,$N$28)&amp;""))</f>
        <v/>
      </c>
      <c r="T28" s="19">
        <f>IF($O$28=0,"",INDEX('Inimigos'!$AE$11:$AE$54,$N$28)&amp;"")</f>
        <v/>
      </c>
      <c r="U28" s="19">
        <f>IF(ISNUMBER($N$28),INDEX('Inimigos'!$O$11:$O$54,$N$28)&amp;"","")</f>
        <v/>
      </c>
      <c r="V28" s="19">
        <f>IF(ISNUMBER($N$28),INDEX('Inimigos'!$BF$11:$BF$54,$N$28),"")</f>
        <v/>
      </c>
      <c r="W28" s="19">
        <f>IF($O$28=0,0,INDEX('Inimigos'!$AI$11:$AI$54,$N$28)*$O$28)</f>
        <v/>
      </c>
      <c r="X28" s="19">
        <f>IF($O$28=0,0,INDEX('Inimigos'!$AH$11:$AH$54,$N$28)*$O$28)</f>
        <v/>
      </c>
      <c r="Y28" s="19">
        <f>$Y$27+$O$28</f>
        <v/>
      </c>
      <c r="Z28" s="19">
        <f>IF(AND($O$28&gt;0,LEN($T$28)&gt;0),IF(COUNTIF('Grupo'!$T$7:$T$12,$T$28)&gt;=2,1,0),0)</f>
        <v/>
      </c>
      <c r="AA28" s="19">
        <f>IF(AND($O$28&gt;0,OR($AE$28="Pretor Vazio-Nove",$AE$28="O Dramaturgo de Mil Faces")),1,0)</f>
        <v/>
      </c>
      <c r="AB28" s="19">
        <f>IF(AND($O$28&gt;0,$AE$28="O Germe de Pavor"),1,0)</f>
        <v/>
      </c>
      <c r="AC28" s="19">
        <f>IF(AND($O$28&gt;0,$V$28&lt;&gt;$N$8),1,0)</f>
        <v/>
      </c>
      <c r="AD28" s="19">
        <f>IF($O$28&gt;0,$V$28,0)</f>
        <v/>
      </c>
      <c r="AE28" s="19">
        <f>IF(ISNUMBER($N$28),INDEX('Inimigos'!$N$11:$N$54,$N$28)&amp;"","")</f>
        <v/>
      </c>
      <c r="AF28" s="19">
        <f>IF(LEN($BJ$28)&gt;0,1,0)+IF(LEN($BK$28)&gt;0,1,0)+IF(LEN($BL$28)&gt;0,1,0)+IF(LEN($BM$28)&gt;0,1,0)</f>
        <v/>
      </c>
      <c r="AG28" s="19">
        <f>$O$28*IF($AE$28="Escória de Stellaron",1.5,1)</f>
        <v/>
      </c>
      <c r="AK28" s="19">
        <f>IF(OR(LEN($BH$105)=0,$BH$105="Qualquer"),1,IF(COUNTIFS('Tabelas'!$AE$12:$AE$118,'Dados'!$E$109,'Tabelas'!$AF$12:$AF$118,$BH$105)+IF(LEN('Dados'!$AD$109)=0,0,COUNTIFS('Tabelas'!$AE$12:$AE$118,'Dados'!$AD$109,'Tabelas'!$AF$12:$AF$118,$BH$105))&gt;0,1,0))</f>
        <v/>
      </c>
      <c r="AL28" s="19">
        <f>$AL$27+IF(AND('Dados'!$C$109="Comum",'Dados'!$D$109=$N$105),1,0)*$AK$28</f>
        <v/>
      </c>
      <c r="AM28" s="19">
        <f>$AM$27+IF(AND('Dados'!$C$109="Elite",'Dados'!$D$109=$N$105),1,0)*$AK$28</f>
        <v/>
      </c>
      <c r="AN28" s="19">
        <f>$AN$27+IF(AND('Dados'!$C$109="Boss",'Dados'!$D$109=$N$105),1,0)*$AK$28</f>
        <v/>
      </c>
      <c r="AO28" s="19">
        <f>$AO$27+IF(AND('Dados'!$C$109="Comum",'Dados'!$D$109=$N$105),1,0)</f>
        <v/>
      </c>
      <c r="AP28" s="19">
        <f>$AP$27+IF(AND('Dados'!$C$109="Elite",'Dados'!$D$109=$N$105),1,0)</f>
        <v/>
      </c>
      <c r="AQ28" s="19">
        <f>$AQ$27+IF(AND('Dados'!$C$109="Boss",'Dados'!$D$109=$N$105),1,0)</f>
        <v/>
      </c>
      <c r="AT28" s="19">
        <f>IF(ISNUMBER($R$112),INDEX('Dados'!$R$92:$R$123,$R$112)&amp;"","")</f>
        <v/>
      </c>
      <c r="AU28" s="19">
        <f>IF(ISNUMBER($R$112),INDEX('Dados'!$U$92:$U$123,$R$112)&amp;"","")</f>
        <v/>
      </c>
      <c r="AV28" s="19">
        <f>IF(LEN($AT$28)=0,0,IF(COUNTIF('Grupo'!$T$7:$T$12,$AT$28)&gt;0,0,1))</f>
        <v/>
      </c>
      <c r="AW28" s="19">
        <f>$AW$27+IF(AND($AV$28=1,$AW$27&lt;$BE$12),IF(INDEX($BC$11:$BC$17,$AW$27+1)&lt;&gt;$AU$28,1,0),0)</f>
        <v/>
      </c>
      <c r="AX28" s="19">
        <f>IF($AW$28&gt;$AW$27,INDEX($BC$11:$BC$17,$AW$28),$AT$28)</f>
        <v/>
      </c>
      <c r="AY28" s="19">
        <f>IF($AW$28&gt;$AW$27,$S$112&amp;": "&amp;$AT$28&amp;" → "&amp;$AX$28&amp;"; ","")</f>
        <v/>
      </c>
      <c r="BG28" s="19">
        <f>IF(ISERROR($A$28),"",IF(ISBLANK($A$28),"",$A$28))</f>
        <v/>
      </c>
      <c r="BI28" s="19">
        <f>IF(ISERROR($C$28),"",IF(ISBLANK($C$28),"",$C$28))</f>
        <v/>
      </c>
      <c r="BJ28" s="19">
        <f>IF(ISERROR($D$28),"",IF(ISBLANK($D$28),"",$D$28))</f>
        <v/>
      </c>
      <c r="BK28" s="19">
        <f>IF(ISERROR($E$28),"",IF(ISBLANK($E$28),"",$E$28))</f>
        <v/>
      </c>
      <c r="BL28" s="19">
        <f>IF(ISERROR($F$28),"",IF(ISBLANK($F$28),"",$F$28))</f>
        <v/>
      </c>
      <c r="BM28" s="19">
        <f>IF(ISERROR($G$28),"",IF(ISBLANK($G$28),"",$G$28))</f>
        <v/>
      </c>
      <c r="BN28" s="19">
        <f>ISERROR($A$28)*1+ISERROR($C$28)*1+ISERROR($D$28)*1+ISERROR($E$28)*1+ISERROR($F$28)*1+ISERROR($G$28)*1</f>
        <v/>
      </c>
    </row>
    <row r="29" ht="26" customHeight="1">
      <c r="A29" s="7" t="inlineStr">
        <is>
          <t>Criatura</t>
        </is>
      </c>
      <c r="B29" s="7" t="inlineStr">
        <is>
          <t>Faixa</t>
        </is>
      </c>
      <c r="C29" s="7" t="inlineStr">
        <is>
          <t>Fraquezas efetivas</t>
        </is>
      </c>
      <c r="D29" s="20" t="n"/>
      <c r="E29" s="20" t="n"/>
      <c r="F29" s="20" t="n"/>
      <c r="G29" s="7" t="inlineStr">
        <is>
          <t>Resistência</t>
        </is>
      </c>
      <c r="H29" s="7" t="inlineStr">
        <is>
          <t>Ações agressivas</t>
        </is>
      </c>
      <c r="I29" s="7" t="inlineStr">
        <is>
          <t>Execução</t>
        </is>
      </c>
      <c r="J29" s="20" t="n"/>
      <c r="K29" s="7" t="inlineStr">
        <is>
          <t>Aviso</t>
        </is>
      </c>
      <c r="L29" s="20" t="n"/>
      <c r="AK29" s="19">
        <f>IF(OR(LEN($BH$105)=0,$BH$105="Qualquer"),1,IF(COUNTIFS('Tabelas'!$AE$12:$AE$118,'Dados'!$E$110,'Tabelas'!$AF$12:$AF$118,$BH$105)+IF(LEN('Dados'!$AD$110)=0,0,COUNTIFS('Tabelas'!$AE$12:$AE$118,'Dados'!$AD$110,'Tabelas'!$AF$12:$AF$118,$BH$105))&gt;0,1,0))</f>
        <v/>
      </c>
      <c r="AL29" s="19">
        <f>$AL$28+IF(AND('Dados'!$C$110="Comum",'Dados'!$D$110=$N$105),1,0)*$AK$29</f>
        <v/>
      </c>
      <c r="AM29" s="19">
        <f>$AM$28+IF(AND('Dados'!$C$110="Elite",'Dados'!$D$110=$N$105),1,0)*$AK$29</f>
        <v/>
      </c>
      <c r="AN29" s="19">
        <f>$AN$28+IF(AND('Dados'!$C$110="Boss",'Dados'!$D$110=$N$105),1,0)*$AK$29</f>
        <v/>
      </c>
      <c r="AO29" s="19">
        <f>$AO$28+IF(AND('Dados'!$C$110="Comum",'Dados'!$D$110=$N$105),1,0)</f>
        <v/>
      </c>
      <c r="AP29" s="19">
        <f>$AP$28+IF(AND('Dados'!$C$110="Elite",'Dados'!$D$110=$N$105),1,0)</f>
        <v/>
      </c>
      <c r="AQ29" s="19">
        <f>$AQ$28+IF(AND('Dados'!$C$110="Boss",'Dados'!$D$110=$N$105),1,0)</f>
        <v/>
      </c>
      <c r="AT29" s="19">
        <f>IF(ISNUMBER($R$112),INDEX('Dados'!$S$92:$S$123,$R$112)&amp;"","")</f>
        <v/>
      </c>
      <c r="AU29" s="19">
        <f>IF(ISNUMBER($R$112),INDEX('Dados'!$U$92:$U$123,$R$112)&amp;"","")</f>
        <v/>
      </c>
      <c r="AV29" s="19">
        <f>IF(LEN($AT$29)=0,0,IF(COUNTIF('Grupo'!$T$7:$T$12,$AT$29)&gt;0,0,1))</f>
        <v/>
      </c>
      <c r="AW29" s="19">
        <f>$AW$28+IF(AND($AV$29=1,$AW$28&lt;$BE$12),IF(INDEX($BC$11:$BC$17,$AW$28+1)&lt;&gt;$AU$29,1,0),0)</f>
        <v/>
      </c>
      <c r="AX29" s="19">
        <f>IF($AW$29&gt;$AW$28,INDEX($BC$11:$BC$17,$AW$29),$AT$29)</f>
        <v/>
      </c>
      <c r="AY29" s="19">
        <f>IF($AW$29&gt;$AW$28,$S$112&amp;": "&amp;$AT$29&amp;" → "&amp;$AX$29&amp;"; ","")</f>
        <v/>
      </c>
    </row>
    <row r="30" ht="26" customHeight="1">
      <c r="A30" s="32">
        <f>IF(LEN($BG$21)&gt;0,$BG$21,"1 · (vazia)")</f>
        <v/>
      </c>
      <c r="B30" s="17">
        <f>IF(ISNUMBER($N$21),INDEX('Inimigos'!$P$11:$P$54,$N$21)&amp;"","")</f>
        <v/>
      </c>
      <c r="C30" s="4">
        <f>$P$21&amp;IF(LEN($Q$21)&gt;0,", "&amp;$Q$21,"")&amp;IF(LEN($R$21)&gt;0,", "&amp;$R$21,"")&amp;IF(LEN($S$21)&gt;0,", "&amp;$S$21,"")</f>
        <v/>
      </c>
      <c r="G30" s="17">
        <f>IF(ISNUMBER($N$21),IF(LEN($T$21)&gt;0,$T$21,"—"),"")</f>
        <v/>
      </c>
      <c r="H30" s="17">
        <f>IF(ISNUMBER($N$21),$X$21,"")</f>
        <v/>
      </c>
      <c r="I30" s="4">
        <f>IF(ISNUMBER($N$21),IF(INDEX('Inimigos'!$AF$11:$AF$54,$N$21)&amp;""="Pode","Pode Executar (ser racional)",IF(INDEX('Inimigos'!$AF$11:$AF$54,$N$21)&amp;""="Não","Não Executa","Execução não declarada")),"")</f>
        <v/>
      </c>
      <c r="K30" s="18">
        <f>IF($O$21=0,"",IF($AC$21=1,"Faixa diferente da do grupo (28.4 passo 1: a faixa do inimigo é a do grupo)",IF($Z$21=1,"Resistência no Elemento de dois personagens (27.5)","")))</f>
        <v/>
      </c>
      <c r="AK30" s="19">
        <f>IF(OR(LEN($BH$105)=0,$BH$105="Qualquer"),1,IF(COUNTIFS('Tabelas'!$AE$12:$AE$118,'Dados'!$E$111,'Tabelas'!$AF$12:$AF$118,$BH$105)+IF(LEN('Dados'!$AD$111)=0,0,COUNTIFS('Tabelas'!$AE$12:$AE$118,'Dados'!$AD$111,'Tabelas'!$AF$12:$AF$118,$BH$105))&gt;0,1,0))</f>
        <v/>
      </c>
      <c r="AL30" s="19">
        <f>$AL$29+IF(AND('Dados'!$C$111="Comum",'Dados'!$D$111=$N$105),1,0)*$AK$30</f>
        <v/>
      </c>
      <c r="AM30" s="19">
        <f>$AM$29+IF(AND('Dados'!$C$111="Elite",'Dados'!$D$111=$N$105),1,0)*$AK$30</f>
        <v/>
      </c>
      <c r="AN30" s="19">
        <f>$AN$29+IF(AND('Dados'!$C$111="Boss",'Dados'!$D$111=$N$105),1,0)*$AK$30</f>
        <v/>
      </c>
      <c r="AO30" s="19">
        <f>$AO$29+IF(AND('Dados'!$C$111="Comum",'Dados'!$D$111=$N$105),1,0)</f>
        <v/>
      </c>
      <c r="AP30" s="19">
        <f>$AP$29+IF(AND('Dados'!$C$111="Elite",'Dados'!$D$111=$N$105),1,0)</f>
        <v/>
      </c>
      <c r="AQ30" s="19">
        <f>$AQ$29+IF(AND('Dados'!$C$111="Boss",'Dados'!$D$111=$N$105),1,0)</f>
        <v/>
      </c>
      <c r="AT30" s="19">
        <f>IF(ISNUMBER($R$112),INDEX('Dados'!$T$92:$T$123,$R$112)&amp;"","")</f>
        <v/>
      </c>
      <c r="AU30" s="19">
        <f>IF(ISNUMBER($R$112),INDEX('Dados'!$U$92:$U$123,$R$112)&amp;"","")</f>
        <v/>
      </c>
      <c r="AV30" s="19">
        <f>IF(LEN($AT$30)=0,0,IF(COUNTIF('Grupo'!$T$7:$T$12,$AT$30)&gt;0,0,1))</f>
        <v/>
      </c>
      <c r="AW30" s="19">
        <f>$AW$29+IF(AND($AV$30=1,$AW$29&lt;$BE$12),IF(INDEX($BC$11:$BC$17,$AW$29+1)&lt;&gt;$AU$30,1,0),0)</f>
        <v/>
      </c>
      <c r="AX30" s="19">
        <f>IF($AW$30&gt;$AW$29,INDEX($BC$11:$BC$17,$AW$30),$AT$30)</f>
        <v/>
      </c>
      <c r="AY30" s="19">
        <f>IF($AW$30&gt;$AW$29,$S$112&amp;": "&amp;$AT$30&amp;" → "&amp;$AX$30&amp;"; ","")</f>
        <v/>
      </c>
    </row>
    <row r="31" ht="26" customHeight="1">
      <c r="A31" s="33">
        <f>IF(LEN($BG$22)&gt;0,$BG$22,"2 · (vazia)")</f>
        <v/>
      </c>
      <c r="B31" s="29">
        <f>IF(ISNUMBER($N$22),INDEX('Inimigos'!$P$11:$P$54,$N$22)&amp;"","")</f>
        <v/>
      </c>
      <c r="C31" s="9">
        <f>$P$22&amp;IF(LEN($Q$22)&gt;0,", "&amp;$Q$22,"")&amp;IF(LEN($R$22)&gt;0,", "&amp;$R$22,"")&amp;IF(LEN($S$22)&gt;0,", "&amp;$S$22,"")</f>
        <v/>
      </c>
      <c r="G31" s="29">
        <f>IF(ISNUMBER($N$22),IF(LEN($T$22)&gt;0,$T$22,"—"),"")</f>
        <v/>
      </c>
      <c r="H31" s="29">
        <f>IF(ISNUMBER($N$22),$X$22,"")</f>
        <v/>
      </c>
      <c r="I31" s="9">
        <f>IF(ISNUMBER($N$22),IF(INDEX('Inimigos'!$AF$11:$AF$54,$N$22)&amp;""="Pode","Pode Executar (ser racional)",IF(INDEX('Inimigos'!$AF$11:$AF$54,$N$22)&amp;""="Não","Não Executa","Execução não declarada")),"")</f>
        <v/>
      </c>
      <c r="K31" s="26">
        <f>IF($O$22=0,"",IF($AC$22=1,"Faixa diferente da do grupo (28.4 passo 1: a faixa do inimigo é a do grupo)",IF($Z$22=1,"Resistência no Elemento de dois personagens (27.5)","")))</f>
        <v/>
      </c>
      <c r="AK31" s="19">
        <f>IF(OR(LEN($BH$105)=0,$BH$105="Qualquer"),1,IF(COUNTIFS('Tabelas'!$AE$12:$AE$118,'Dados'!$E$112,'Tabelas'!$AF$12:$AF$118,$BH$105)+IF(LEN('Dados'!$AD$112)=0,0,COUNTIFS('Tabelas'!$AE$12:$AE$118,'Dados'!$AD$112,'Tabelas'!$AF$12:$AF$118,$BH$105))&gt;0,1,0))</f>
        <v/>
      </c>
      <c r="AL31" s="19">
        <f>$AL$30+IF(AND('Dados'!$C$112="Comum",'Dados'!$D$112=$N$105),1,0)*$AK$31</f>
        <v/>
      </c>
      <c r="AM31" s="19">
        <f>$AM$30+IF(AND('Dados'!$C$112="Elite",'Dados'!$D$112=$N$105),1,0)*$AK$31</f>
        <v/>
      </c>
      <c r="AN31" s="19">
        <f>$AN$30+IF(AND('Dados'!$C$112="Boss",'Dados'!$D$112=$N$105),1,0)*$AK$31</f>
        <v/>
      </c>
      <c r="AO31" s="19">
        <f>$AO$30+IF(AND('Dados'!$C$112="Comum",'Dados'!$D$112=$N$105),1,0)</f>
        <v/>
      </c>
      <c r="AP31" s="19">
        <f>$AP$30+IF(AND('Dados'!$C$112="Elite",'Dados'!$D$112=$N$105),1,0)</f>
        <v/>
      </c>
      <c r="AQ31" s="19">
        <f>$AQ$30+IF(AND('Dados'!$C$112="Boss",'Dados'!$D$112=$N$105),1,0)</f>
        <v/>
      </c>
      <c r="AT31" s="19">
        <f>IF(ISNUMBER($R$113),INDEX('Dados'!$Q$92:$Q$123,$R$113)&amp;"","")</f>
        <v/>
      </c>
      <c r="AU31" s="19">
        <f>IF(ISNUMBER($R$113),INDEX('Dados'!$U$92:$U$123,$R$113)&amp;"","")</f>
        <v/>
      </c>
      <c r="AV31" s="19">
        <f>IF(LEN($AT$31)=0,0,IF(COUNTIF('Grupo'!$T$7:$T$12,$AT$31)&gt;0,0,1))</f>
        <v/>
      </c>
      <c r="AW31" s="19">
        <f>$AW$30+IF(AND($AV$31=1,$AW$30&lt;$BE$12),IF(INDEX($BC$11:$BC$17,$AW$30+1)&lt;&gt;$AU$31,1,0),0)</f>
        <v/>
      </c>
      <c r="AX31" s="19">
        <f>IF($AW$31&gt;$AW$30,INDEX($BC$11:$BC$17,$AW$31),$AT$31)</f>
        <v/>
      </c>
      <c r="AY31" s="19">
        <f>IF($AW$31&gt;$AW$30,$S$113&amp;": "&amp;$AT$31&amp;" → "&amp;$AX$31&amp;"; ","")</f>
        <v/>
      </c>
    </row>
    <row r="32" ht="26" customHeight="1">
      <c r="A32" s="32">
        <f>IF(LEN($BG$23)&gt;0,$BG$23,"3 · (vazia)")</f>
        <v/>
      </c>
      <c r="B32" s="17">
        <f>IF(ISNUMBER($N$23),INDEX('Inimigos'!$P$11:$P$54,$N$23)&amp;"","")</f>
        <v/>
      </c>
      <c r="C32" s="4">
        <f>$P$23&amp;IF(LEN($Q$23)&gt;0,", "&amp;$Q$23,"")&amp;IF(LEN($R$23)&gt;0,", "&amp;$R$23,"")&amp;IF(LEN($S$23)&gt;0,", "&amp;$S$23,"")</f>
        <v/>
      </c>
      <c r="G32" s="17">
        <f>IF(ISNUMBER($N$23),IF(LEN($T$23)&gt;0,$T$23,"—"),"")</f>
        <v/>
      </c>
      <c r="H32" s="17">
        <f>IF(ISNUMBER($N$23),$X$23,"")</f>
        <v/>
      </c>
      <c r="I32" s="4">
        <f>IF(ISNUMBER($N$23),IF(INDEX('Inimigos'!$AF$11:$AF$54,$N$23)&amp;""="Pode","Pode Executar (ser racional)",IF(INDEX('Inimigos'!$AF$11:$AF$54,$N$23)&amp;""="Não","Não Executa","Execução não declarada")),"")</f>
        <v/>
      </c>
      <c r="K32" s="18">
        <f>IF($O$23=0,"",IF($AC$23=1,"Faixa diferente da do grupo (28.4 passo 1: a faixa do inimigo é a do grupo)",IF($Z$23=1,"Resistência no Elemento de dois personagens (27.5)","")))</f>
        <v/>
      </c>
      <c r="AK32" s="19">
        <f>IF(OR(LEN($BH$105)=0,$BH$105="Qualquer"),1,IF(COUNTIFS('Tabelas'!$AE$12:$AE$118,'Dados'!$E$113,'Tabelas'!$AF$12:$AF$118,$BH$105)+IF(LEN('Dados'!$AD$113)=0,0,COUNTIFS('Tabelas'!$AE$12:$AE$118,'Dados'!$AD$113,'Tabelas'!$AF$12:$AF$118,$BH$105))&gt;0,1,0))</f>
        <v/>
      </c>
      <c r="AL32" s="19">
        <f>$AL$31+IF(AND('Dados'!$C$113="Comum",'Dados'!$D$113=$N$105),1,0)*$AK$32</f>
        <v/>
      </c>
      <c r="AM32" s="19">
        <f>$AM$31+IF(AND('Dados'!$C$113="Elite",'Dados'!$D$113=$N$105),1,0)*$AK$32</f>
        <v/>
      </c>
      <c r="AN32" s="19">
        <f>$AN$31+IF(AND('Dados'!$C$113="Boss",'Dados'!$D$113=$N$105),1,0)*$AK$32</f>
        <v/>
      </c>
      <c r="AO32" s="19">
        <f>$AO$31+IF(AND('Dados'!$C$113="Comum",'Dados'!$D$113=$N$105),1,0)</f>
        <v/>
      </c>
      <c r="AP32" s="19">
        <f>$AP$31+IF(AND('Dados'!$C$113="Elite",'Dados'!$D$113=$N$105),1,0)</f>
        <v/>
      </c>
      <c r="AQ32" s="19">
        <f>$AQ$31+IF(AND('Dados'!$C$113="Boss",'Dados'!$D$113=$N$105),1,0)</f>
        <v/>
      </c>
      <c r="AT32" s="19">
        <f>IF(ISNUMBER($R$113),INDEX('Dados'!$R$92:$R$123,$R$113)&amp;"","")</f>
        <v/>
      </c>
      <c r="AU32" s="19">
        <f>IF(ISNUMBER($R$113),INDEX('Dados'!$U$92:$U$123,$R$113)&amp;"","")</f>
        <v/>
      </c>
      <c r="AV32" s="19">
        <f>IF(LEN($AT$32)=0,0,IF(COUNTIF('Grupo'!$T$7:$T$12,$AT$32)&gt;0,0,1))</f>
        <v/>
      </c>
      <c r="AW32" s="19">
        <f>$AW$31+IF(AND($AV$32=1,$AW$31&lt;$BE$12),IF(INDEX($BC$11:$BC$17,$AW$31+1)&lt;&gt;$AU$32,1,0),0)</f>
        <v/>
      </c>
      <c r="AX32" s="19">
        <f>IF($AW$32&gt;$AW$31,INDEX($BC$11:$BC$17,$AW$32),$AT$32)</f>
        <v/>
      </c>
      <c r="AY32" s="19">
        <f>IF($AW$32&gt;$AW$31,$S$113&amp;": "&amp;$AT$32&amp;" → "&amp;$AX$32&amp;"; ","")</f>
        <v/>
      </c>
    </row>
    <row r="33" ht="26" customHeight="1">
      <c r="A33" s="33">
        <f>IF(LEN($BG$24)&gt;0,$BG$24,"4 · (vazia)")</f>
        <v/>
      </c>
      <c r="B33" s="29">
        <f>IF(ISNUMBER($N$24),INDEX('Inimigos'!$P$11:$P$54,$N$24)&amp;"","")</f>
        <v/>
      </c>
      <c r="C33" s="9">
        <f>$P$24&amp;IF(LEN($Q$24)&gt;0,", "&amp;$Q$24,"")&amp;IF(LEN($R$24)&gt;0,", "&amp;$R$24,"")&amp;IF(LEN($S$24)&gt;0,", "&amp;$S$24,"")</f>
        <v/>
      </c>
      <c r="G33" s="29">
        <f>IF(ISNUMBER($N$24),IF(LEN($T$24)&gt;0,$T$24,"—"),"")</f>
        <v/>
      </c>
      <c r="H33" s="29">
        <f>IF(ISNUMBER($N$24),$X$24,"")</f>
        <v/>
      </c>
      <c r="I33" s="9">
        <f>IF(ISNUMBER($N$24),IF(INDEX('Inimigos'!$AF$11:$AF$54,$N$24)&amp;""="Pode","Pode Executar (ser racional)",IF(INDEX('Inimigos'!$AF$11:$AF$54,$N$24)&amp;""="Não","Não Executa","Execução não declarada")),"")</f>
        <v/>
      </c>
      <c r="K33" s="26">
        <f>IF($O$24=0,"",IF($AC$24=1,"Faixa diferente da do grupo (28.4 passo 1: a faixa do inimigo é a do grupo)",IF($Z$24=1,"Resistência no Elemento de dois personagens (27.5)","")))</f>
        <v/>
      </c>
      <c r="AK33" s="19">
        <f>IF(OR(LEN($BH$105)=0,$BH$105="Qualquer"),1,IF(COUNTIFS('Tabelas'!$AE$12:$AE$118,'Dados'!$E$114,'Tabelas'!$AF$12:$AF$118,$BH$105)+IF(LEN('Dados'!$AD$114)=0,0,COUNTIFS('Tabelas'!$AE$12:$AE$118,'Dados'!$AD$114,'Tabelas'!$AF$12:$AF$118,$BH$105))&gt;0,1,0))</f>
        <v/>
      </c>
      <c r="AL33" s="19">
        <f>$AL$32+IF(AND('Dados'!$C$114="Comum",'Dados'!$D$114=$N$105),1,0)*$AK$33</f>
        <v/>
      </c>
      <c r="AM33" s="19">
        <f>$AM$32+IF(AND('Dados'!$C$114="Elite",'Dados'!$D$114=$N$105),1,0)*$AK$33</f>
        <v/>
      </c>
      <c r="AN33" s="19">
        <f>$AN$32+IF(AND('Dados'!$C$114="Boss",'Dados'!$D$114=$N$105),1,0)*$AK$33</f>
        <v/>
      </c>
      <c r="AO33" s="19">
        <f>$AO$32+IF(AND('Dados'!$C$114="Comum",'Dados'!$D$114=$N$105),1,0)</f>
        <v/>
      </c>
      <c r="AP33" s="19">
        <f>$AP$32+IF(AND('Dados'!$C$114="Elite",'Dados'!$D$114=$N$105),1,0)</f>
        <v/>
      </c>
      <c r="AQ33" s="19">
        <f>$AQ$32+IF(AND('Dados'!$C$114="Boss",'Dados'!$D$114=$N$105),1,0)</f>
        <v/>
      </c>
      <c r="AT33" s="19">
        <f>IF(ISNUMBER($R$113),INDEX('Dados'!$S$92:$S$123,$R$113)&amp;"","")</f>
        <v/>
      </c>
      <c r="AU33" s="19">
        <f>IF(ISNUMBER($R$113),INDEX('Dados'!$U$92:$U$123,$R$113)&amp;"","")</f>
        <v/>
      </c>
      <c r="AV33" s="19">
        <f>IF(LEN($AT$33)=0,0,IF(COUNTIF('Grupo'!$T$7:$T$12,$AT$33)&gt;0,0,1))</f>
        <v/>
      </c>
      <c r="AW33" s="19">
        <f>$AW$32+IF(AND($AV$33=1,$AW$32&lt;$BE$12),IF(INDEX($BC$11:$BC$17,$AW$32+1)&lt;&gt;$AU$33,1,0),0)</f>
        <v/>
      </c>
      <c r="AX33" s="19">
        <f>IF($AW$33&gt;$AW$32,INDEX($BC$11:$BC$17,$AW$33),$AT$33)</f>
        <v/>
      </c>
      <c r="AY33" s="19">
        <f>IF($AW$33&gt;$AW$32,$S$113&amp;": "&amp;$AT$33&amp;" → "&amp;$AX$33&amp;"; ","")</f>
        <v/>
      </c>
    </row>
    <row r="34" ht="26" customHeight="1">
      <c r="A34" s="32">
        <f>IF(LEN($BG$25)&gt;0,$BG$25,"5 · (vazia)")</f>
        <v/>
      </c>
      <c r="B34" s="17">
        <f>IF(ISNUMBER($N$25),INDEX('Inimigos'!$P$11:$P$54,$N$25)&amp;"","")</f>
        <v/>
      </c>
      <c r="C34" s="4">
        <f>$P$25&amp;IF(LEN($Q$25)&gt;0,", "&amp;$Q$25,"")&amp;IF(LEN($R$25)&gt;0,", "&amp;$R$25,"")&amp;IF(LEN($S$25)&gt;0,", "&amp;$S$25,"")</f>
        <v/>
      </c>
      <c r="G34" s="17">
        <f>IF(ISNUMBER($N$25),IF(LEN($T$25)&gt;0,$T$25,"—"),"")</f>
        <v/>
      </c>
      <c r="H34" s="17">
        <f>IF(ISNUMBER($N$25),$X$25,"")</f>
        <v/>
      </c>
      <c r="I34" s="4">
        <f>IF(ISNUMBER($N$25),IF(INDEX('Inimigos'!$AF$11:$AF$54,$N$25)&amp;""="Pode","Pode Executar (ser racional)",IF(INDEX('Inimigos'!$AF$11:$AF$54,$N$25)&amp;""="Não","Não Executa","Execução não declarada")),"")</f>
        <v/>
      </c>
      <c r="K34" s="18">
        <f>IF($O$25=0,"",IF($AC$25=1,"Faixa diferente da do grupo (28.4 passo 1: a faixa do inimigo é a do grupo)",IF($Z$25=1,"Resistência no Elemento de dois personagens (27.5)","")))</f>
        <v/>
      </c>
      <c r="AK34" s="19">
        <f>IF(OR(LEN($BH$105)=0,$BH$105="Qualquer"),1,IF(COUNTIFS('Tabelas'!$AE$12:$AE$118,'Dados'!$E$115,'Tabelas'!$AF$12:$AF$118,$BH$105)+IF(LEN('Dados'!$AD$115)=0,0,COUNTIFS('Tabelas'!$AE$12:$AE$118,'Dados'!$AD$115,'Tabelas'!$AF$12:$AF$118,$BH$105))&gt;0,1,0))</f>
        <v/>
      </c>
      <c r="AL34" s="19">
        <f>$AL$33+IF(AND('Dados'!$C$115="Comum",'Dados'!$D$115=$N$105),1,0)*$AK$34</f>
        <v/>
      </c>
      <c r="AM34" s="19">
        <f>$AM$33+IF(AND('Dados'!$C$115="Elite",'Dados'!$D$115=$N$105),1,0)*$AK$34</f>
        <v/>
      </c>
      <c r="AN34" s="19">
        <f>$AN$33+IF(AND('Dados'!$C$115="Boss",'Dados'!$D$115=$N$105),1,0)*$AK$34</f>
        <v/>
      </c>
      <c r="AO34" s="19">
        <f>$AO$33+IF(AND('Dados'!$C$115="Comum",'Dados'!$D$115=$N$105),1,0)</f>
        <v/>
      </c>
      <c r="AP34" s="19">
        <f>$AP$33+IF(AND('Dados'!$C$115="Elite",'Dados'!$D$115=$N$105),1,0)</f>
        <v/>
      </c>
      <c r="AQ34" s="19">
        <f>$AQ$33+IF(AND('Dados'!$C$115="Boss",'Dados'!$D$115=$N$105),1,0)</f>
        <v/>
      </c>
      <c r="AT34" s="19">
        <f>IF(ISNUMBER($R$113),INDEX('Dados'!$T$92:$T$123,$R$113)&amp;"","")</f>
        <v/>
      </c>
      <c r="AU34" s="19">
        <f>IF(ISNUMBER($R$113),INDEX('Dados'!$U$92:$U$123,$R$113)&amp;"","")</f>
        <v/>
      </c>
      <c r="AV34" s="19">
        <f>IF(LEN($AT$34)=0,0,IF(COUNTIF('Grupo'!$T$7:$T$12,$AT$34)&gt;0,0,1))</f>
        <v/>
      </c>
      <c r="AW34" s="19">
        <f>$AW$33+IF(AND($AV$34=1,$AW$33&lt;$BE$12),IF(INDEX($BC$11:$BC$17,$AW$33+1)&lt;&gt;$AU$34,1,0),0)</f>
        <v/>
      </c>
      <c r="AX34" s="19">
        <f>IF($AW$34&gt;$AW$33,INDEX($BC$11:$BC$17,$AW$34),$AT$34)</f>
        <v/>
      </c>
      <c r="AY34" s="19">
        <f>IF($AW$34&gt;$AW$33,$S$113&amp;": "&amp;$AT$34&amp;" → "&amp;$AX$34&amp;"; ","")</f>
        <v/>
      </c>
    </row>
    <row r="35" ht="26" customHeight="1">
      <c r="A35" s="33">
        <f>IF(LEN($BG$26)&gt;0,$BG$26,"6 · (vazia)")</f>
        <v/>
      </c>
      <c r="B35" s="29">
        <f>IF(ISNUMBER($N$26),INDEX('Inimigos'!$P$11:$P$54,$N$26)&amp;"","")</f>
        <v/>
      </c>
      <c r="C35" s="9">
        <f>$P$26&amp;IF(LEN($Q$26)&gt;0,", "&amp;$Q$26,"")&amp;IF(LEN($R$26)&gt;0,", "&amp;$R$26,"")&amp;IF(LEN($S$26)&gt;0,", "&amp;$S$26,"")</f>
        <v/>
      </c>
      <c r="G35" s="29">
        <f>IF(ISNUMBER($N$26),IF(LEN($T$26)&gt;0,$T$26,"—"),"")</f>
        <v/>
      </c>
      <c r="H35" s="29">
        <f>IF(ISNUMBER($N$26),$X$26,"")</f>
        <v/>
      </c>
      <c r="I35" s="9">
        <f>IF(ISNUMBER($N$26),IF(INDEX('Inimigos'!$AF$11:$AF$54,$N$26)&amp;""="Pode","Pode Executar (ser racional)",IF(INDEX('Inimigos'!$AF$11:$AF$54,$N$26)&amp;""="Não","Não Executa","Execução não declarada")),"")</f>
        <v/>
      </c>
      <c r="K35" s="26">
        <f>IF($O$26=0,"",IF($AC$26=1,"Faixa diferente da do grupo (28.4 passo 1: a faixa do inimigo é a do grupo)",IF($Z$26=1,"Resistência no Elemento de dois personagens (27.5)","")))</f>
        <v/>
      </c>
      <c r="AK35" s="19">
        <f>IF(OR(LEN($BH$105)=0,$BH$105="Qualquer"),1,IF(COUNTIFS('Tabelas'!$AE$12:$AE$118,'Dados'!$E$116,'Tabelas'!$AF$12:$AF$118,$BH$105)+IF(LEN('Dados'!$AD$116)=0,0,COUNTIFS('Tabelas'!$AE$12:$AE$118,'Dados'!$AD$116,'Tabelas'!$AF$12:$AF$118,$BH$105))&gt;0,1,0))</f>
        <v/>
      </c>
      <c r="AL35" s="19">
        <f>$AL$34+IF(AND('Dados'!$C$116="Comum",'Dados'!$D$116=$N$105),1,0)*$AK$35</f>
        <v/>
      </c>
      <c r="AM35" s="19">
        <f>$AM$34+IF(AND('Dados'!$C$116="Elite",'Dados'!$D$116=$N$105),1,0)*$AK$35</f>
        <v/>
      </c>
      <c r="AN35" s="19">
        <f>$AN$34+IF(AND('Dados'!$C$116="Boss",'Dados'!$D$116=$N$105),1,0)*$AK$35</f>
        <v/>
      </c>
      <c r="AO35" s="19">
        <f>$AO$34+IF(AND('Dados'!$C$116="Comum",'Dados'!$D$116=$N$105),1,0)</f>
        <v/>
      </c>
      <c r="AP35" s="19">
        <f>$AP$34+IF(AND('Dados'!$C$116="Elite",'Dados'!$D$116=$N$105),1,0)</f>
        <v/>
      </c>
      <c r="AQ35" s="19">
        <f>$AQ$34+IF(AND('Dados'!$C$116="Boss",'Dados'!$D$116=$N$105),1,0)</f>
        <v/>
      </c>
      <c r="AT35" s="19">
        <f>IF(ISNUMBER($R$114),INDEX('Dados'!$Q$92:$Q$123,$R$114)&amp;"","")</f>
        <v/>
      </c>
      <c r="AU35" s="19">
        <f>IF(ISNUMBER($R$114),INDEX('Dados'!$U$92:$U$123,$R$114)&amp;"","")</f>
        <v/>
      </c>
      <c r="AV35" s="19">
        <f>IF(LEN($AT$35)=0,0,IF(COUNTIF('Grupo'!$T$7:$T$12,$AT$35)&gt;0,0,1))</f>
        <v/>
      </c>
      <c r="AW35" s="19">
        <f>$AW$34+IF(AND($AV$35=1,$AW$34&lt;$BE$12),IF(INDEX($BC$11:$BC$17,$AW$34+1)&lt;&gt;$AU$35,1,0),0)</f>
        <v/>
      </c>
      <c r="AX35" s="19">
        <f>IF($AW$35&gt;$AW$34,INDEX($BC$11:$BC$17,$AW$35),$AT$35)</f>
        <v/>
      </c>
      <c r="AY35" s="19">
        <f>IF($AW$35&gt;$AW$34,$S$114&amp;": "&amp;$AT$35&amp;" → "&amp;$AX$35&amp;"; ","")</f>
        <v/>
      </c>
    </row>
    <row r="36" ht="26" customHeight="1">
      <c r="A36" s="32">
        <f>IF(LEN($BG$27)&gt;0,$BG$27,"7 · (vazia)")</f>
        <v/>
      </c>
      <c r="B36" s="17">
        <f>IF(ISNUMBER($N$27),INDEX('Inimigos'!$P$11:$P$54,$N$27)&amp;"","")</f>
        <v/>
      </c>
      <c r="C36" s="4">
        <f>$P$27&amp;IF(LEN($Q$27)&gt;0,", "&amp;$Q$27,"")&amp;IF(LEN($R$27)&gt;0,", "&amp;$R$27,"")&amp;IF(LEN($S$27)&gt;0,", "&amp;$S$27,"")</f>
        <v/>
      </c>
      <c r="G36" s="17">
        <f>IF(ISNUMBER($N$27),IF(LEN($T$27)&gt;0,$T$27,"—"),"")</f>
        <v/>
      </c>
      <c r="H36" s="17">
        <f>IF(ISNUMBER($N$27),$X$27,"")</f>
        <v/>
      </c>
      <c r="I36" s="4">
        <f>IF(ISNUMBER($N$27),IF(INDEX('Inimigos'!$AF$11:$AF$54,$N$27)&amp;""="Pode","Pode Executar (ser racional)",IF(INDEX('Inimigos'!$AF$11:$AF$54,$N$27)&amp;""="Não","Não Executa","Execução não declarada")),"")</f>
        <v/>
      </c>
      <c r="K36" s="18">
        <f>IF($O$27=0,"",IF($AC$27=1,"Faixa diferente da do grupo (28.4 passo 1: a faixa do inimigo é a do grupo)",IF($Z$27=1,"Resistência no Elemento de dois personagens (27.5)","")))</f>
        <v/>
      </c>
      <c r="AK36" s="19">
        <f>IF(OR(LEN($BH$105)=0,$BH$105="Qualquer"),1,IF(COUNTIFS('Tabelas'!$AE$12:$AE$118,'Dados'!$E$117,'Tabelas'!$AF$12:$AF$118,$BH$105)+IF(LEN('Dados'!$AD$117)=0,0,COUNTIFS('Tabelas'!$AE$12:$AE$118,'Dados'!$AD$117,'Tabelas'!$AF$12:$AF$118,$BH$105))&gt;0,1,0))</f>
        <v/>
      </c>
      <c r="AL36" s="19">
        <f>$AL$35+IF(AND('Dados'!$C$117="Comum",'Dados'!$D$117=$N$105),1,0)*$AK$36</f>
        <v/>
      </c>
      <c r="AM36" s="19">
        <f>$AM$35+IF(AND('Dados'!$C$117="Elite",'Dados'!$D$117=$N$105),1,0)*$AK$36</f>
        <v/>
      </c>
      <c r="AN36" s="19">
        <f>$AN$35+IF(AND('Dados'!$C$117="Boss",'Dados'!$D$117=$N$105),1,0)*$AK$36</f>
        <v/>
      </c>
      <c r="AO36" s="19">
        <f>$AO$35+IF(AND('Dados'!$C$117="Comum",'Dados'!$D$117=$N$105),1,0)</f>
        <v/>
      </c>
      <c r="AP36" s="19">
        <f>$AP$35+IF(AND('Dados'!$C$117="Elite",'Dados'!$D$117=$N$105),1,0)</f>
        <v/>
      </c>
      <c r="AQ36" s="19">
        <f>$AQ$35+IF(AND('Dados'!$C$117="Boss",'Dados'!$D$117=$N$105),1,0)</f>
        <v/>
      </c>
      <c r="AT36" s="19">
        <f>IF(ISNUMBER($R$114),INDEX('Dados'!$R$92:$R$123,$R$114)&amp;"","")</f>
        <v/>
      </c>
      <c r="AU36" s="19">
        <f>IF(ISNUMBER($R$114),INDEX('Dados'!$U$92:$U$123,$R$114)&amp;"","")</f>
        <v/>
      </c>
      <c r="AV36" s="19">
        <f>IF(LEN($AT$36)=0,0,IF(COUNTIF('Grupo'!$T$7:$T$12,$AT$36)&gt;0,0,1))</f>
        <v/>
      </c>
      <c r="AW36" s="19">
        <f>$AW$35+IF(AND($AV$36=1,$AW$35&lt;$BE$12),IF(INDEX($BC$11:$BC$17,$AW$35+1)&lt;&gt;$AU$36,1,0),0)</f>
        <v/>
      </c>
      <c r="AX36" s="19">
        <f>IF($AW$36&gt;$AW$35,INDEX($BC$11:$BC$17,$AW$36),$AT$36)</f>
        <v/>
      </c>
      <c r="AY36" s="19">
        <f>IF($AW$36&gt;$AW$35,$S$114&amp;": "&amp;$AT$36&amp;" → "&amp;$AX$36&amp;"; ","")</f>
        <v/>
      </c>
    </row>
    <row r="37" ht="26" customHeight="1">
      <c r="A37" s="33">
        <f>IF(LEN($BG$28)&gt;0,$BG$28,"8 · (vazia)")</f>
        <v/>
      </c>
      <c r="B37" s="29">
        <f>IF(ISNUMBER($N$28),INDEX('Inimigos'!$P$11:$P$54,$N$28)&amp;"","")</f>
        <v/>
      </c>
      <c r="C37" s="9">
        <f>$P$28&amp;IF(LEN($Q$28)&gt;0,", "&amp;$Q$28,"")&amp;IF(LEN($R$28)&gt;0,", "&amp;$R$28,"")&amp;IF(LEN($S$28)&gt;0,", "&amp;$S$28,"")</f>
        <v/>
      </c>
      <c r="G37" s="29">
        <f>IF(ISNUMBER($N$28),IF(LEN($T$28)&gt;0,$T$28,"—"),"")</f>
        <v/>
      </c>
      <c r="H37" s="29">
        <f>IF(ISNUMBER($N$28),$X$28,"")</f>
        <v/>
      </c>
      <c r="I37" s="9">
        <f>IF(ISNUMBER($N$28),IF(INDEX('Inimigos'!$AF$11:$AF$54,$N$28)&amp;""="Pode","Pode Executar (ser racional)",IF(INDEX('Inimigos'!$AF$11:$AF$54,$N$28)&amp;""="Não","Não Executa","Execução não declarada")),"")</f>
        <v/>
      </c>
      <c r="K37" s="26">
        <f>IF($O$28=0,"",IF($AC$28=1,"Faixa diferente da do grupo (28.4 passo 1: a faixa do inimigo é a do grupo)",IF($Z$28=1,"Resistência no Elemento de dois personagens (27.5)","")))</f>
        <v/>
      </c>
      <c r="AK37" s="19">
        <f>IF(OR(LEN($BH$105)=0,$BH$105="Qualquer"),1,IF(COUNTIFS('Tabelas'!$AE$12:$AE$118,'Dados'!$E$118,'Tabelas'!$AF$12:$AF$118,$BH$105)+IF(LEN('Dados'!$AD$118)=0,0,COUNTIFS('Tabelas'!$AE$12:$AE$118,'Dados'!$AD$118,'Tabelas'!$AF$12:$AF$118,$BH$105))&gt;0,1,0))</f>
        <v/>
      </c>
      <c r="AL37" s="19">
        <f>$AL$36+IF(AND('Dados'!$C$118="Comum",'Dados'!$D$118=$N$105),1,0)*$AK$37</f>
        <v/>
      </c>
      <c r="AM37" s="19">
        <f>$AM$36+IF(AND('Dados'!$C$118="Elite",'Dados'!$D$118=$N$105),1,0)*$AK$37</f>
        <v/>
      </c>
      <c r="AN37" s="19">
        <f>$AN$36+IF(AND('Dados'!$C$118="Boss",'Dados'!$D$118=$N$105),1,0)*$AK$37</f>
        <v/>
      </c>
      <c r="AO37" s="19">
        <f>$AO$36+IF(AND('Dados'!$C$118="Comum",'Dados'!$D$118=$N$105),1,0)</f>
        <v/>
      </c>
      <c r="AP37" s="19">
        <f>$AP$36+IF(AND('Dados'!$C$118="Elite",'Dados'!$D$118=$N$105),1,0)</f>
        <v/>
      </c>
      <c r="AQ37" s="19">
        <f>$AQ$36+IF(AND('Dados'!$C$118="Boss",'Dados'!$D$118=$N$105),1,0)</f>
        <v/>
      </c>
      <c r="AT37" s="19">
        <f>IF(ISNUMBER($R$114),INDEX('Dados'!$S$92:$S$123,$R$114)&amp;"","")</f>
        <v/>
      </c>
      <c r="AU37" s="19">
        <f>IF(ISNUMBER($R$114),INDEX('Dados'!$U$92:$U$123,$R$114)&amp;"","")</f>
        <v/>
      </c>
      <c r="AV37" s="19">
        <f>IF(LEN($AT$37)=0,0,IF(COUNTIF('Grupo'!$T$7:$T$12,$AT$37)&gt;0,0,1))</f>
        <v/>
      </c>
      <c r="AW37" s="19">
        <f>$AW$36+IF(AND($AV$37=1,$AW$36&lt;$BE$12),IF(INDEX($BC$11:$BC$17,$AW$36+1)&lt;&gt;$AU$37,1,0),0)</f>
        <v/>
      </c>
      <c r="AX37" s="19">
        <f>IF($AW$37&gt;$AW$36,INDEX($BC$11:$BC$17,$AW$37),$AT$37)</f>
        <v/>
      </c>
      <c r="AY37" s="19">
        <f>IF($AW$37&gt;$AW$36,$S$114&amp;": "&amp;$AT$37&amp;" → "&amp;$AX$37&amp;"; ","")</f>
        <v/>
      </c>
    </row>
    <row r="38" ht="26" customHeight="1">
      <c r="A38" s="8" t="inlineStr">
        <is>
          <t>Custo total</t>
        </is>
      </c>
      <c r="B38" s="17">
        <f>SUM($W$21:$W$28)</f>
        <v/>
      </c>
      <c r="C38" s="14" t="inlineStr">
        <is>
          <t>% do orçamento</t>
        </is>
      </c>
      <c r="D38" s="17">
        <f>IF($B$11&gt;0,INT((200*$B$38+$B$11)/(2*$B$11)),"")</f>
        <v/>
      </c>
      <c r="E38" s="14" t="inlineStr">
        <is>
          <t>Ciclos estimados</t>
        </is>
      </c>
      <c r="F38" s="17">
        <f>IF(OR($B$38=0,$B$12=0),"",INT((20*$B$38+20*IF($I$41&lt;3,1,0)*$B$12+$B$12)/(2*$B$12))/10)</f>
        <v/>
      </c>
      <c r="G38" s="4">
        <f>IF($B$38=0,"",IF(($B$38/$B$11)&lt;=0.6,"Cena de passagem — cerca de 2 Ciclos (27.4)",IF(($B$38/$B$11)&lt;=1.15,"Encontro típico — 3 a 5 Ciclos (27.4)",IF(($B$38/$B$11)&lt;=1.6,"Pesado","Dois orçamentos num só encontro: passa de 6 Ciclos (27.4)"))))</f>
        <v/>
      </c>
      <c r="K38" s="4">
        <f>IF($B$38=0,"","Ciclos e leitura: Sugestão da planilha — não é regra do livro (H6, H7)")</f>
        <v/>
      </c>
      <c r="AK38" s="19">
        <f>IF(OR(LEN($BH$105)=0,$BH$105="Qualquer"),1,IF(COUNTIFS('Tabelas'!$AE$12:$AE$118,'Dados'!$E$119,'Tabelas'!$AF$12:$AF$118,$BH$105)+IF(LEN('Dados'!$AD$119)=0,0,COUNTIFS('Tabelas'!$AE$12:$AE$118,'Dados'!$AD$119,'Tabelas'!$AF$12:$AF$118,$BH$105))&gt;0,1,0))</f>
        <v/>
      </c>
      <c r="AL38" s="19">
        <f>$AL$37+IF(AND('Dados'!$C$119="Comum",'Dados'!$D$119=$N$105),1,0)*$AK$38</f>
        <v/>
      </c>
      <c r="AM38" s="19">
        <f>$AM$37+IF(AND('Dados'!$C$119="Elite",'Dados'!$D$119=$N$105),1,0)*$AK$38</f>
        <v/>
      </c>
      <c r="AN38" s="19">
        <f>$AN$37+IF(AND('Dados'!$C$119="Boss",'Dados'!$D$119=$N$105),1,0)*$AK$38</f>
        <v/>
      </c>
      <c r="AO38" s="19">
        <f>$AO$37+IF(AND('Dados'!$C$119="Comum",'Dados'!$D$119=$N$105),1,0)</f>
        <v/>
      </c>
      <c r="AP38" s="19">
        <f>$AP$37+IF(AND('Dados'!$C$119="Elite",'Dados'!$D$119=$N$105),1,0)</f>
        <v/>
      </c>
      <c r="AQ38" s="19">
        <f>$AQ$37+IF(AND('Dados'!$C$119="Boss",'Dados'!$D$119=$N$105),1,0)</f>
        <v/>
      </c>
      <c r="AT38" s="19">
        <f>IF(ISNUMBER($R$114),INDEX('Dados'!$T$92:$T$123,$R$114)&amp;"","")</f>
        <v/>
      </c>
      <c r="AU38" s="19">
        <f>IF(ISNUMBER($R$114),INDEX('Dados'!$U$92:$U$123,$R$114)&amp;"","")</f>
        <v/>
      </c>
      <c r="AV38" s="19">
        <f>IF(LEN($AT$38)=0,0,IF(COUNTIF('Grupo'!$T$7:$T$12,$AT$38)&gt;0,0,1))</f>
        <v/>
      </c>
      <c r="AW38" s="19">
        <f>$AW$37+IF(AND($AV$38=1,$AW$37&lt;$BE$12),IF(INDEX($BC$11:$BC$17,$AW$37+1)&lt;&gt;$AU$38,1,0),0)</f>
        <v/>
      </c>
      <c r="AX38" s="19">
        <f>IF($AW$38&gt;$AW$37,INDEX($BC$11:$BC$17,$AW$38),$AT$38)</f>
        <v/>
      </c>
      <c r="AY38" s="19">
        <f>IF($AW$38&gt;$AW$37,$S$114&amp;": "&amp;$AT$38&amp;" → "&amp;$AX$38&amp;"; ","")</f>
        <v/>
      </c>
    </row>
    <row r="39">
      <c r="A39" s="21" t="inlineStr">
        <is>
          <t>Composição</t>
        </is>
      </c>
      <c r="B39" s="9">
        <f>IF($B$38=0,"",IF(IF(AND(SUMIF($U$21:$U$28,"Boss",$O$21:$O$28)=1,SUMIF($U$21:$U$28,"Elite",$O$21:$O$28)=0,SUMIF($U$21:$U$28,"Comum",$AG$21:$AG$28)=1),"1 Boss + 1 Comum — uma ameaça com nome, um estorvo. O combate é um duelo com interrupção (3 a 5 Ciclos, 27.4)",IF(AND(SUMIF($U$21:$U$28,"Boss",$O$21:$O$28)=0,SUMIF($U$21:$U$28,"Elite",$O$21:$O$28)=1,SUMIF($U$21:$U$28,"Comum",$AG$21:$AG$28)=4),"1 Elite + 4 Comuns — um comandante e a tropa dele. O grupo escolhe entre limpar os lados ou ir no chefe (3 a 4 Ciclos, 27.4)",IF(AND(SUMIF($U$21:$U$28,"Boss",$O$21:$O$28)=0,SUMIF($U$21:$U$28,"Elite",$O$21:$O$28)=3,SUMIF($U$21:$U$28,"Comum",$AG$21:$AG$28)=0),"3 Elites — três problemas simultâneos. É a mais pesada das quatro em dano recebido (3 a 4 Ciclos, 27.4)",IF(AND(SUMIF($U$21:$U$28,"Boss",$O$21:$O$28)=0,SUMIF($U$21:$U$28,"Elite",$O$21:$O$28)=0,SUMIF($U$21:$U$28,"Comum",$AG$21:$AG$28)=7),"7 Comuns — pelotão. Morre rápido e ainda assim morde (2 a 3 Ciclos, 27.4)",""))))="",SUMIF($U$21:$U$28,"Boss",$O$21:$O$28)&amp;" Boss, "&amp;SUMIF($U$21:$U$28,"Elite",$O$21:$O$28)&amp;" Elite, "&amp;SUMIF($U$21:$U$28,"Comum",$AG$21:$AG$28)&amp;" Comum: não é uma das quatro composições de 27.4",IF(AND(SUMIF($U$21:$U$28,"Boss",$O$21:$O$28)=1,SUMIF($U$21:$U$28,"Elite",$O$21:$O$28)=0,SUMIF($U$21:$U$28,"Comum",$AG$21:$AG$28)=1),"1 Boss + 1 Comum — uma ameaça com nome, um estorvo. O combate é um duelo com interrupção (3 a 5 Ciclos, 27.4)",IF(AND(SUMIF($U$21:$U$28,"Boss",$O$21:$O$28)=0,SUMIF($U$21:$U$28,"Elite",$O$21:$O$28)=1,SUMIF($U$21:$U$28,"Comum",$AG$21:$AG$28)=4),"1 Elite + 4 Comuns — um comandante e a tropa dele. O grupo escolhe entre limpar os lados ou ir no chefe (3 a 4 Ciclos, 27.4)",IF(AND(SUMIF($U$21:$U$28,"Boss",$O$21:$O$28)=0,SUMIF($U$21:$U$28,"Elite",$O$21:$O$28)=3,SUMIF($U$21:$U$28,"Comum",$AG$21:$AG$28)=0),"3 Elites — três problemas simultâneos. É a mais pesada das quatro em dano recebido (3 a 4 Ciclos, 27.4)",IF(AND(SUMIF($U$21:$U$28,"Boss",$O$21:$O$28)=0,SUMIF($U$21:$U$28,"Elite",$O$21:$O$28)=0,SUMIF($U$21:$U$28,"Comum",$AG$21:$AG$28)=7),"7 Comuns — pelotão. Morre rápido e ainda assim morde (2 a 3 Ciclos, 27.4)",""))))))</f>
        <v/>
      </c>
      <c r="AK39" s="19">
        <f>IF(OR(LEN($BH$105)=0,$BH$105="Qualquer"),1,IF(COUNTIFS('Tabelas'!$AE$12:$AE$118,'Dados'!$E$120,'Tabelas'!$AF$12:$AF$118,$BH$105)+IF(LEN('Dados'!$AD$120)=0,0,COUNTIFS('Tabelas'!$AE$12:$AE$118,'Dados'!$AD$120,'Tabelas'!$AF$12:$AF$118,$BH$105))&gt;0,1,0))</f>
        <v/>
      </c>
      <c r="AL39" s="19">
        <f>$AL$38+IF(AND('Dados'!$C$120="Comum",'Dados'!$D$120=$N$105),1,0)*$AK$39</f>
        <v/>
      </c>
      <c r="AM39" s="19">
        <f>$AM$38+IF(AND('Dados'!$C$120="Elite",'Dados'!$D$120=$N$105),1,0)*$AK$39</f>
        <v/>
      </c>
      <c r="AN39" s="19">
        <f>$AN$38+IF(AND('Dados'!$C$120="Boss",'Dados'!$D$120=$N$105),1,0)*$AK$39</f>
        <v/>
      </c>
      <c r="AO39" s="19">
        <f>$AO$38+IF(AND('Dados'!$C$120="Comum",'Dados'!$D$120=$N$105),1,0)</f>
        <v/>
      </c>
      <c r="AP39" s="19">
        <f>$AP$38+IF(AND('Dados'!$C$120="Elite",'Dados'!$D$120=$N$105),1,0)</f>
        <v/>
      </c>
      <c r="AQ39" s="19">
        <f>$AQ$38+IF(AND('Dados'!$C$120="Boss",'Dados'!$D$120=$N$105),1,0)</f>
        <v/>
      </c>
    </row>
    <row r="40">
      <c r="A40" s="7" t="inlineStr">
        <is>
          <t>Contrato (27.5)</t>
        </is>
      </c>
      <c r="B40" s="7" t="inlineStr">
        <is>
          <t>Físico</t>
        </is>
      </c>
      <c r="C40" s="7" t="inlineStr">
        <is>
          <t>Fogo</t>
        </is>
      </c>
      <c r="D40" s="7" t="inlineStr">
        <is>
          <t>Gelo</t>
        </is>
      </c>
      <c r="E40" s="7" t="inlineStr">
        <is>
          <t>Raio</t>
        </is>
      </c>
      <c r="F40" s="7" t="inlineStr">
        <is>
          <t>Vento</t>
        </is>
      </c>
      <c r="G40" s="7" t="inlineStr">
        <is>
          <t>Quântico</t>
        </is>
      </c>
      <c r="H40" s="7" t="inlineStr">
        <is>
          <t>Imaginário</t>
        </is>
      </c>
      <c r="I40" s="7" t="inlineStr">
        <is>
          <t>Cobertos</t>
        </is>
      </c>
      <c r="J40" s="7" t="inlineStr">
        <is>
          <t>Contrato</t>
        </is>
      </c>
      <c r="K40" s="7" t="inlineStr">
        <is>
          <t>Aviso</t>
        </is>
      </c>
      <c r="L40" s="20" t="n"/>
      <c r="AK40" s="19">
        <f>IF(OR(LEN($BH$105)=0,$BH$105="Qualquer"),1,IF(COUNTIFS('Tabelas'!$AE$12:$AE$118,'Dados'!$E$121,'Tabelas'!$AF$12:$AF$118,$BH$105)+IF(LEN('Dados'!$AD$121)=0,0,COUNTIFS('Tabelas'!$AE$12:$AE$118,'Dados'!$AD$121,'Tabelas'!$AF$12:$AF$118,$BH$105))&gt;0,1,0))</f>
        <v/>
      </c>
      <c r="AL40" s="19">
        <f>$AL$39+IF(AND('Dados'!$C$121="Comum",'Dados'!$D$121=$N$105),1,0)*$AK$40</f>
        <v/>
      </c>
      <c r="AM40" s="19">
        <f>$AM$39+IF(AND('Dados'!$C$121="Elite",'Dados'!$D$121=$N$105),1,0)*$AK$40</f>
        <v/>
      </c>
      <c r="AN40" s="19">
        <f>$AN$39+IF(AND('Dados'!$C$121="Boss",'Dados'!$D$121=$N$105),1,0)*$AK$40</f>
        <v/>
      </c>
      <c r="AO40" s="19">
        <f>$AO$39+IF(AND('Dados'!$C$121="Comum",'Dados'!$D$121=$N$105),1,0)</f>
        <v/>
      </c>
      <c r="AP40" s="19">
        <f>$AP$39+IF(AND('Dados'!$C$121="Elite",'Dados'!$D$121=$N$105),1,0)</f>
        <v/>
      </c>
      <c r="AQ40" s="19">
        <f>$AQ$39+IF(AND('Dados'!$C$121="Boss",'Dados'!$D$121=$N$105),1,0)</f>
        <v/>
      </c>
    </row>
    <row r="41" ht="37" customHeight="1">
      <c r="A41" s="8" t="inlineStr">
        <is>
          <t>Fraqueza na cena?</t>
        </is>
      </c>
      <c r="B41" s="17">
        <f>IF('Grupo'!$B$44="Sim",IF(COUNTIF($P$21:$S$28,"Físico")&gt;0,"Sim","Não"),"—")</f>
        <v/>
      </c>
      <c r="C41" s="17">
        <f>IF('Grupo'!$C$44="Sim",IF(COUNTIF($P$21:$S$28,"Fogo")&gt;0,"Sim","Não"),"—")</f>
        <v/>
      </c>
      <c r="D41" s="17">
        <f>IF('Grupo'!$D$44="Sim",IF(COUNTIF($P$21:$S$28,"Gelo")&gt;0,"Sim","Não"),"—")</f>
        <v/>
      </c>
      <c r="E41" s="17">
        <f>IF('Grupo'!$E$44="Sim",IF(COUNTIF($P$21:$S$28,"Raio")&gt;0,"Sim","Não"),"—")</f>
        <v/>
      </c>
      <c r="F41" s="17">
        <f>IF('Grupo'!$F$44="Sim",IF(COUNTIF($P$21:$S$28,"Vento")&gt;0,"Sim","Não"),"—")</f>
        <v/>
      </c>
      <c r="G41" s="17">
        <f>IF('Grupo'!$G$44="Sim",IF(COUNTIF($P$21:$S$28,"Quântico")&gt;0,"Sim","Não"),"—")</f>
        <v/>
      </c>
      <c r="H41" s="17">
        <f>IF('Grupo'!$H$44="Sim",IF(COUNTIF($P$21:$S$28,"Imaginário")&gt;0,"Sim","Não"),"—")</f>
        <v/>
      </c>
      <c r="I41" s="17">
        <f>COUNTIF(B41:H41,"Sim")</f>
        <v/>
      </c>
      <c r="J41" s="17">
        <f>IF($B$38=0,"",IF($I$41&gt;=3,"Cumprido","Não cumprido"))</f>
        <v/>
      </c>
      <c r="K41" s="18">
        <f>IF(OR($B$38=0,$I$41&gt;=3),"","Contrato não cumprido: encontro deliberadamente mais duro, cerca de 1 Ciclo a mais (27.5)")</f>
        <v/>
      </c>
      <c r="AK41" s="19">
        <f>IF(OR(LEN($BH$105)=0,$BH$105="Qualquer"),1,IF(COUNTIFS('Tabelas'!$AE$12:$AE$118,'Dados'!$E$122,'Tabelas'!$AF$12:$AF$118,$BH$105)+IF(LEN('Dados'!$AD$122)=0,0,COUNTIFS('Tabelas'!$AE$12:$AE$118,'Dados'!$AD$122,'Tabelas'!$AF$12:$AF$118,$BH$105))&gt;0,1,0))</f>
        <v/>
      </c>
      <c r="AL41" s="19">
        <f>$AL$40+IF(AND('Dados'!$C$122="Comum",'Dados'!$D$122=$N$105),1,0)*$AK$41</f>
        <v/>
      </c>
      <c r="AM41" s="19">
        <f>$AM$40+IF(AND('Dados'!$C$122="Elite",'Dados'!$D$122=$N$105),1,0)*$AK$41</f>
        <v/>
      </c>
      <c r="AN41" s="19">
        <f>$AN$40+IF(AND('Dados'!$C$122="Boss",'Dados'!$D$122=$N$105),1,0)*$AK$41</f>
        <v/>
      </c>
      <c r="AO41" s="19">
        <f>$AO$40+IF(AND('Dados'!$C$122="Comum",'Dados'!$D$122=$N$105),1,0)</f>
        <v/>
      </c>
      <c r="AP41" s="19">
        <f>$AP$40+IF(AND('Dados'!$C$122="Elite",'Dados'!$D$122=$N$105),1,0)</f>
        <v/>
      </c>
      <c r="AQ41" s="19">
        <f>$AQ$40+IF(AND('Dados'!$C$122="Boss",'Dados'!$D$122=$N$105),1,0)</f>
        <v/>
      </c>
    </row>
    <row r="42">
      <c r="A42" s="21" t="inlineStr">
        <is>
          <t>Se não cumprir</t>
        </is>
      </c>
      <c r="B42" s="9">
        <f>IF(OR($B$38=0,$I$41&gt;=3),"","Três saídas (27.5): distribua as Fraquezas entre vários inimigos; deixe o grupo criar a Fraqueza (Implante de Fraqueza, 08); aceite o Ciclo extra e avise a mesa.")</f>
        <v/>
      </c>
      <c r="AK42" s="19">
        <f>IF(OR(LEN($BH$105)=0,$BH$105="Qualquer"),1,IF(COUNTIFS('Tabelas'!$AE$12:$AE$118,'Dados'!$E$123,'Tabelas'!$AF$12:$AF$118,$BH$105)+IF(LEN('Dados'!$AD$123)=0,0,COUNTIFS('Tabelas'!$AE$12:$AE$118,'Dados'!$AD$123,'Tabelas'!$AF$12:$AF$118,$BH$105))&gt;0,1,0))</f>
        <v/>
      </c>
      <c r="AL42" s="19">
        <f>$AL$41+IF(AND('Dados'!$C$123="Comum",'Dados'!$D$123=$N$105),1,0)*$AK$42</f>
        <v/>
      </c>
      <c r="AM42" s="19">
        <f>$AM$41+IF(AND('Dados'!$C$123="Elite",'Dados'!$D$123=$N$105),1,0)*$AK$42</f>
        <v/>
      </c>
      <c r="AN42" s="19">
        <f>$AN$41+IF(AND('Dados'!$C$123="Boss",'Dados'!$D$123=$N$105),1,0)*$AK$42</f>
        <v/>
      </c>
      <c r="AO42" s="19">
        <f>$AO$41+IF(AND('Dados'!$C$123="Comum",'Dados'!$D$123=$N$105),1,0)</f>
        <v/>
      </c>
      <c r="AP42" s="19">
        <f>$AP$41+IF(AND('Dados'!$C$123="Elite",'Dados'!$D$123=$N$105),1,0)</f>
        <v/>
      </c>
      <c r="AQ42" s="19">
        <f>$AQ$41+IF(AND('Dados'!$C$123="Boss",'Dados'!$D$123=$N$105),1,0)</f>
        <v/>
      </c>
    </row>
    <row r="43">
      <c r="A43" s="8" t="inlineStr">
        <is>
          <t>Regra irmã e DT</t>
        </is>
      </c>
      <c r="B43" s="4">
        <f>IF($B$38=0,"",IF(SUM($Z$21:$Z$28)&gt;0,"Há Resistência no Elemento de dois personagens: troque-a (27.5)","Nenhuma Resistência aponta para o Elemento de dois personagens (27.5)"))</f>
        <v/>
      </c>
      <c r="G43" s="4">
        <f>IF($B$38=0,"","DT para descobrir Fraqueza: "&amp;INDEX('Dados'!$B$293:$B$297,MAX(1,MAX($AD$21:$AD$28)))&amp;" (20.2, faixa do mais forte)"&amp;IF(COUNTIF('Grupo'!$R$7:$R$12,"Intellitron")&gt;0,"; Intellitron: Vantagem e 2 por sucesso",""))</f>
        <v/>
      </c>
    </row>
    <row r="44">
      <c r="A44" s="21" t="inlineStr">
        <is>
          <t>Avisos de ficha</t>
        </is>
      </c>
      <c r="B44" s="26">
        <f>IF(AND(SUM($AA$21:$AA$28)&gt;0,SUM($O$21:$O$28)&gt;1),"Pretor Vazio-Nove e Dramaturgo: monte sozinho, os reforços são o que ele tem em vez de acompanhantes (28.7, 28.8)",IF(AND(SUM($AB$21:$AB$28)&gt;0,SUMIF($U$21:$U$28,"Comum",$AG$21:$AG$28)&gt;0),"O Germe de Pavor vem sozinho: o Parto falso traz os Comuns (28.11)",""))</f>
        <v/>
      </c>
    </row>
    <row r="45"/>
    <row r="46" ht="20" customHeight="1">
      <c r="A46" s="12" t="inlineStr">
        <is>
          <t>Encontro B</t>
        </is>
      </c>
    </row>
    <row r="47" ht="26" customHeight="1">
      <c r="A47" s="8" t="inlineStr">
        <is>
          <t>Nome do encontro</t>
        </is>
      </c>
      <c r="B47" s="3" t="n"/>
      <c r="C47" s="24" t="n"/>
      <c r="D47" s="24" t="n"/>
      <c r="E47" s="16" t="n"/>
      <c r="F47" s="14" t="inlineStr">
        <is>
          <t>Ambiente</t>
        </is>
      </c>
      <c r="G47" s="3" t="n"/>
      <c r="H47" s="24" t="n"/>
      <c r="I47" s="24" t="n"/>
      <c r="J47" s="16" t="n"/>
      <c r="K47" s="18">
        <f>IF(BN47&gt;0,"O Google leu como fórmula: digite de novo com ' na frente.","")</f>
        <v/>
      </c>
      <c r="BN47" s="19">
        <f>ISERROR($B$47)*1+ISERROR($G$47)*1</f>
        <v/>
      </c>
    </row>
    <row r="48" ht="26" customHeight="1">
      <c r="A48" s="7" t="inlineStr">
        <is>
          <t>Criatura (preencha)</t>
        </is>
      </c>
      <c r="B48" s="20" t="n"/>
      <c r="C48" s="7" t="inlineStr">
        <is>
          <t>Quantidade</t>
        </is>
      </c>
      <c r="D48" s="7" t="inlineStr">
        <is>
          <t>Fraqueza nesta cena 1</t>
        </is>
      </c>
      <c r="E48" s="7" t="inlineStr">
        <is>
          <t>Fraqueza nesta cena 2</t>
        </is>
      </c>
      <c r="F48" s="7" t="inlineStr">
        <is>
          <t>Fraqueza nesta cena 3</t>
        </is>
      </c>
      <c r="G48" s="7" t="inlineStr">
        <is>
          <t>Fraqueza nesta cena 4</t>
        </is>
      </c>
      <c r="H48" s="7" t="inlineStr">
        <is>
          <t>Tipo</t>
        </is>
      </c>
      <c r="I48" s="7" t="inlineStr">
        <is>
          <t>PV</t>
        </is>
      </c>
      <c r="J48" s="7" t="inlineStr">
        <is>
          <t>Custo</t>
        </is>
      </c>
      <c r="K48" s="7" t="inlineStr">
        <is>
          <t>Aviso</t>
        </is>
      </c>
      <c r="L48" s="20" t="n"/>
    </row>
    <row r="49" ht="26" customHeight="1">
      <c r="A49" s="30" t="n"/>
      <c r="B49" s="16" t="n"/>
      <c r="C49" s="15" t="n"/>
      <c r="D49" s="36" t="n"/>
      <c r="E49" s="36" t="n"/>
      <c r="F49" s="36" t="n"/>
      <c r="G49" s="36" t="n"/>
      <c r="H49" s="17">
        <f>IF(ISNUMBER($N$49),INDEX('Inimigos'!$O$11:$O$54,$N$49)&amp;"","")</f>
        <v/>
      </c>
      <c r="I49" s="17">
        <f>IF(ISNUMBER($N$49),INDEX('Inimigos'!$Q$11:$Q$54,$N$49),"")</f>
        <v/>
      </c>
      <c r="J49" s="17">
        <f>IF(ISNUMBER($N$49),$W$49,"")</f>
        <v/>
      </c>
      <c r="K49" s="18">
        <f>IF(BN49&gt;0,"O Google leu como fórmula: escolha de novo ou digite com ' na frente.",IF(LEN($BG$49)=0,"",IF(NOT(ISNUMBER($N$49)),"Criatura fora da lista (Inimigos e Bestiário)",IF(AND(ISNUMBER($BI$49),OR($BI$49&lt;0,$BI$49&gt;10)),"Quantidade fora de 0 a 10: usando o limite",IF((IF(AND(LEN($BJ$49)&gt;0,$BJ$49=$BK$49),1,0)+IF(AND(LEN($BJ$49)&gt;0,$BJ$49=$BL$49),1,0)+IF(AND(LEN($BJ$49)&gt;0,$BJ$49=$BM$49),1,0)+IF(AND(LEN($BK$49)&gt;0,$BK$49=$BL$49),1,0)+IF(AND(LEN($BK$49)&gt;0,$BK$49=$BM$49),1,0)+IF(AND(LEN($BL$49)&gt;0,$BL$49=$BM$49),1,0))&gt;0,"Fraqueza repetida nesta cena",IF(AND($AF$49&gt;0,$AF$49&lt;&gt;(IF(LEN(INDEX('Inimigos'!$AA$11:$AA$54,$N$49)&amp;"")&gt;0,1,0)+IF(LEN(INDEX('Inimigos'!$AB$11:$AB$54,$N$49)&amp;"")&gt;0,1,0)+IF(LEN(INDEX('Inimigos'!$AC$11:$AC$54,$N$49)&amp;"")&gt;0,1,0)+IF(LEN(INDEX('Inimigos'!$AD$11:$AD$54,$N$49)&amp;"")&gt;0,1,0))),"O nº de Fraquezas é regra (28.2 regra 7): troque, não acrescente nem tire",IF(AND(LEN($T$49)&gt;0,COUNTIF($P$49:$S$49,$T$49)&gt;0),"Fraqueza igual à Resistência da ficha","")))))))</f>
        <v/>
      </c>
      <c r="N49" s="19">
        <f>IF(LEN($BG$49)=0,"",IFERROR(MATCH($BG$49,'Inimigos'!$N$11:$N$54,0),""))</f>
        <v/>
      </c>
      <c r="O49" s="19">
        <f>IF(ISNUMBER($N$49),IF(ISNUMBER($BI$49),MIN(10,MAX(0,INT($BI$49))),1),0)</f>
        <v/>
      </c>
      <c r="P49" s="19">
        <f>IF($O$49=0,"",IF(OR(LEN($BJ$49)&gt;0,LEN($BK$49)&gt;0,LEN($BL$49)&gt;0,LEN($BM$49)&gt;0),$BJ$49&amp;"",INDEX('Inimigos'!$AA$11:$AA$54,$N$49)&amp;""))</f>
        <v/>
      </c>
      <c r="Q49" s="19">
        <f>IF($O$49=0,"",IF(OR(LEN($BJ$49)&gt;0,LEN($BK$49)&gt;0,LEN($BL$49)&gt;0,LEN($BM$49)&gt;0),$BK$49&amp;"",INDEX('Inimigos'!$AB$11:$AB$54,$N$49)&amp;""))</f>
        <v/>
      </c>
      <c r="R49" s="19">
        <f>IF($O$49=0,"",IF(OR(LEN($BJ$49)&gt;0,LEN($BK$49)&gt;0,LEN($BL$49)&gt;0,LEN($BM$49)&gt;0),$BL$49&amp;"",INDEX('Inimigos'!$AC$11:$AC$54,$N$49)&amp;""))</f>
        <v/>
      </c>
      <c r="S49" s="19">
        <f>IF($O$49=0,"",IF(OR(LEN($BJ$49)&gt;0,LEN($BK$49)&gt;0,LEN($BL$49)&gt;0,LEN($BM$49)&gt;0),$BM$49&amp;"",INDEX('Inimigos'!$AD$11:$AD$54,$N$49)&amp;""))</f>
        <v/>
      </c>
      <c r="T49" s="19">
        <f>IF($O$49=0,"",INDEX('Inimigos'!$AE$11:$AE$54,$N$49)&amp;"")</f>
        <v/>
      </c>
      <c r="U49" s="19">
        <f>IF(ISNUMBER($N$49),INDEX('Inimigos'!$O$11:$O$54,$N$49)&amp;"","")</f>
        <v/>
      </c>
      <c r="V49" s="19">
        <f>IF(ISNUMBER($N$49),INDEX('Inimigos'!$BF$11:$BF$54,$N$49),"")</f>
        <v/>
      </c>
      <c r="W49" s="19">
        <f>IF($O$49=0,0,INDEX('Inimigos'!$AI$11:$AI$54,$N$49)*$O$49)</f>
        <v/>
      </c>
      <c r="X49" s="19">
        <f>IF($O$49=0,0,INDEX('Inimigos'!$AH$11:$AH$54,$N$49)*$O$49)</f>
        <v/>
      </c>
      <c r="Y49" s="19">
        <f>$O$49</f>
        <v/>
      </c>
      <c r="Z49" s="19">
        <f>IF(AND($O$49&gt;0,LEN($T$49)&gt;0),IF(COUNTIF('Grupo'!$T$7:$T$12,$T$49)&gt;=2,1,0),0)</f>
        <v/>
      </c>
      <c r="AA49" s="19">
        <f>IF(AND($O$49&gt;0,OR($AE$49="Pretor Vazio-Nove",$AE$49="O Dramaturgo de Mil Faces")),1,0)</f>
        <v/>
      </c>
      <c r="AB49" s="19">
        <f>IF(AND($O$49&gt;0,$AE$49="O Germe de Pavor"),1,0)</f>
        <v/>
      </c>
      <c r="AC49" s="19">
        <f>IF(AND($O$49&gt;0,$V$49&lt;&gt;$N$8),1,0)</f>
        <v/>
      </c>
      <c r="AD49" s="19">
        <f>IF($O$49&gt;0,$V$49,0)</f>
        <v/>
      </c>
      <c r="AE49" s="19">
        <f>IF(ISNUMBER($N$49),INDEX('Inimigos'!$N$11:$N$54,$N$49)&amp;"","")</f>
        <v/>
      </c>
      <c r="AF49" s="19">
        <f>IF(LEN($BJ$49)&gt;0,1,0)+IF(LEN($BK$49)&gt;0,1,0)+IF(LEN($BL$49)&gt;0,1,0)+IF(LEN($BM$49)&gt;0,1,0)</f>
        <v/>
      </c>
      <c r="AG49" s="19">
        <f>$O$49*IF($AE$49="Escória de Stellaron",1.5,1)</f>
        <v/>
      </c>
      <c r="BG49" s="19">
        <f>IF(ISERROR($A$49),"",IF(ISBLANK($A$49),"",$A$49))</f>
        <v/>
      </c>
      <c r="BI49" s="19">
        <f>IF(ISERROR($C$49),"",IF(ISBLANK($C$49),"",$C$49))</f>
        <v/>
      </c>
      <c r="BJ49" s="19">
        <f>IF(ISERROR($D$49),"",IF(ISBLANK($D$49),"",$D$49))</f>
        <v/>
      </c>
      <c r="BK49" s="19">
        <f>IF(ISERROR($E$49),"",IF(ISBLANK($E$49),"",$E$49))</f>
        <v/>
      </c>
      <c r="BL49" s="19">
        <f>IF(ISERROR($F$49),"",IF(ISBLANK($F$49),"",$F$49))</f>
        <v/>
      </c>
      <c r="BM49" s="19">
        <f>IF(ISERROR($G$49),"",IF(ISBLANK($G$49),"",$G$49))</f>
        <v/>
      </c>
      <c r="BN49" s="19">
        <f>ISERROR($A$49)*1+ISERROR($C$49)*1+ISERROR($D$49)*1+ISERROR($E$49)*1+ISERROR($F$49)*1+ISERROR($G$49)*1</f>
        <v/>
      </c>
    </row>
    <row r="50" ht="26" customHeight="1">
      <c r="A50" s="31" t="n"/>
      <c r="B50" s="16" t="n"/>
      <c r="C50" s="34" t="n"/>
      <c r="D50" s="42" t="n"/>
      <c r="E50" s="42" t="n"/>
      <c r="F50" s="42" t="n"/>
      <c r="G50" s="42" t="n"/>
      <c r="H50" s="29">
        <f>IF(ISNUMBER($N$50),INDEX('Inimigos'!$O$11:$O$54,$N$50)&amp;"","")</f>
        <v/>
      </c>
      <c r="I50" s="29">
        <f>IF(ISNUMBER($N$50),INDEX('Inimigos'!$Q$11:$Q$54,$N$50),"")</f>
        <v/>
      </c>
      <c r="J50" s="29">
        <f>IF(ISNUMBER($N$50),$W$50,"")</f>
        <v/>
      </c>
      <c r="K50" s="26">
        <f>IF(BN50&gt;0,"O Google leu como fórmula: escolha de novo ou digite com ' na frente.",IF(LEN($BG$50)=0,"",IF(NOT(ISNUMBER($N$50)),"Criatura fora da lista (Inimigos e Bestiário)",IF(AND(ISNUMBER($BI$50),OR($BI$50&lt;0,$BI$50&gt;10)),"Quantidade fora de 0 a 10: usando o limite",IF((IF(AND(LEN($BJ$50)&gt;0,$BJ$50=$BK$50),1,0)+IF(AND(LEN($BJ$50)&gt;0,$BJ$50=$BL$50),1,0)+IF(AND(LEN($BJ$50)&gt;0,$BJ$50=$BM$50),1,0)+IF(AND(LEN($BK$50)&gt;0,$BK$50=$BL$50),1,0)+IF(AND(LEN($BK$50)&gt;0,$BK$50=$BM$50),1,0)+IF(AND(LEN($BL$50)&gt;0,$BL$50=$BM$50),1,0))&gt;0,"Fraqueza repetida nesta cena",IF(AND($AF$50&gt;0,$AF$50&lt;&gt;(IF(LEN(INDEX('Inimigos'!$AA$11:$AA$54,$N$50)&amp;"")&gt;0,1,0)+IF(LEN(INDEX('Inimigos'!$AB$11:$AB$54,$N$50)&amp;"")&gt;0,1,0)+IF(LEN(INDEX('Inimigos'!$AC$11:$AC$54,$N$50)&amp;"")&gt;0,1,0)+IF(LEN(INDEX('Inimigos'!$AD$11:$AD$54,$N$50)&amp;"")&gt;0,1,0))),"O nº de Fraquezas é regra (28.2 regra 7): troque, não acrescente nem tire",IF(AND(LEN($T$50)&gt;0,COUNTIF($P$50:$S$50,$T$50)&gt;0),"Fraqueza igual à Resistência da ficha","")))))))</f>
        <v/>
      </c>
      <c r="N50" s="19">
        <f>IF(LEN($BG$50)=0,"",IFERROR(MATCH($BG$50,'Inimigos'!$N$11:$N$54,0),""))</f>
        <v/>
      </c>
      <c r="O50" s="19">
        <f>IF(ISNUMBER($N$50),IF(ISNUMBER($BI$50),MIN(10,MAX(0,INT($BI$50))),1),0)</f>
        <v/>
      </c>
      <c r="P50" s="19">
        <f>IF($O$50=0,"",IF(OR(LEN($BJ$50)&gt;0,LEN($BK$50)&gt;0,LEN($BL$50)&gt;0,LEN($BM$50)&gt;0),$BJ$50&amp;"",INDEX('Inimigos'!$AA$11:$AA$54,$N$50)&amp;""))</f>
        <v/>
      </c>
      <c r="Q50" s="19">
        <f>IF($O$50=0,"",IF(OR(LEN($BJ$50)&gt;0,LEN($BK$50)&gt;0,LEN($BL$50)&gt;0,LEN($BM$50)&gt;0),$BK$50&amp;"",INDEX('Inimigos'!$AB$11:$AB$54,$N$50)&amp;""))</f>
        <v/>
      </c>
      <c r="R50" s="19">
        <f>IF($O$50=0,"",IF(OR(LEN($BJ$50)&gt;0,LEN($BK$50)&gt;0,LEN($BL$50)&gt;0,LEN($BM$50)&gt;0),$BL$50&amp;"",INDEX('Inimigos'!$AC$11:$AC$54,$N$50)&amp;""))</f>
        <v/>
      </c>
      <c r="S50" s="19">
        <f>IF($O$50=0,"",IF(OR(LEN($BJ$50)&gt;0,LEN($BK$50)&gt;0,LEN($BL$50)&gt;0,LEN($BM$50)&gt;0),$BM$50&amp;"",INDEX('Inimigos'!$AD$11:$AD$54,$N$50)&amp;""))</f>
        <v/>
      </c>
      <c r="T50" s="19">
        <f>IF($O$50=0,"",INDEX('Inimigos'!$AE$11:$AE$54,$N$50)&amp;"")</f>
        <v/>
      </c>
      <c r="U50" s="19">
        <f>IF(ISNUMBER($N$50),INDEX('Inimigos'!$O$11:$O$54,$N$50)&amp;"","")</f>
        <v/>
      </c>
      <c r="V50" s="19">
        <f>IF(ISNUMBER($N$50),INDEX('Inimigos'!$BF$11:$BF$54,$N$50),"")</f>
        <v/>
      </c>
      <c r="W50" s="19">
        <f>IF($O$50=0,0,INDEX('Inimigos'!$AI$11:$AI$54,$N$50)*$O$50)</f>
        <v/>
      </c>
      <c r="X50" s="19">
        <f>IF($O$50=0,0,INDEX('Inimigos'!$AH$11:$AH$54,$N$50)*$O$50)</f>
        <v/>
      </c>
      <c r="Y50" s="19">
        <f>$Y$49+$O$50</f>
        <v/>
      </c>
      <c r="Z50" s="19">
        <f>IF(AND($O$50&gt;0,LEN($T$50)&gt;0),IF(COUNTIF('Grupo'!$T$7:$T$12,$T$50)&gt;=2,1,0),0)</f>
        <v/>
      </c>
      <c r="AA50" s="19">
        <f>IF(AND($O$50&gt;0,OR($AE$50="Pretor Vazio-Nove",$AE$50="O Dramaturgo de Mil Faces")),1,0)</f>
        <v/>
      </c>
      <c r="AB50" s="19">
        <f>IF(AND($O$50&gt;0,$AE$50="O Germe de Pavor"),1,0)</f>
        <v/>
      </c>
      <c r="AC50" s="19">
        <f>IF(AND($O$50&gt;0,$V$50&lt;&gt;$N$8),1,0)</f>
        <v/>
      </c>
      <c r="AD50" s="19">
        <f>IF($O$50&gt;0,$V$50,0)</f>
        <v/>
      </c>
      <c r="AE50" s="19">
        <f>IF(ISNUMBER($N$50),INDEX('Inimigos'!$N$11:$N$54,$N$50)&amp;"","")</f>
        <v/>
      </c>
      <c r="AF50" s="19">
        <f>IF(LEN($BJ$50)&gt;0,1,0)+IF(LEN($BK$50)&gt;0,1,0)+IF(LEN($BL$50)&gt;0,1,0)+IF(LEN($BM$50)&gt;0,1,0)</f>
        <v/>
      </c>
      <c r="AG50" s="19">
        <f>$O$50*IF($AE$50="Escória de Stellaron",1.5,1)</f>
        <v/>
      </c>
      <c r="BG50" s="19">
        <f>IF(ISERROR($A$50),"",IF(ISBLANK($A$50),"",$A$50))</f>
        <v/>
      </c>
      <c r="BI50" s="19">
        <f>IF(ISERROR($C$50),"",IF(ISBLANK($C$50),"",$C$50))</f>
        <v/>
      </c>
      <c r="BJ50" s="19">
        <f>IF(ISERROR($D$50),"",IF(ISBLANK($D$50),"",$D$50))</f>
        <v/>
      </c>
      <c r="BK50" s="19">
        <f>IF(ISERROR($E$50),"",IF(ISBLANK($E$50),"",$E$50))</f>
        <v/>
      </c>
      <c r="BL50" s="19">
        <f>IF(ISERROR($F$50),"",IF(ISBLANK($F$50),"",$F$50))</f>
        <v/>
      </c>
      <c r="BM50" s="19">
        <f>IF(ISERROR($G$50),"",IF(ISBLANK($G$50),"",$G$50))</f>
        <v/>
      </c>
      <c r="BN50" s="19">
        <f>ISERROR($A$50)*1+ISERROR($C$50)*1+ISERROR($D$50)*1+ISERROR($E$50)*1+ISERROR($F$50)*1+ISERROR($G$50)*1</f>
        <v/>
      </c>
    </row>
    <row r="51" ht="26" customHeight="1">
      <c r="A51" s="30" t="n"/>
      <c r="B51" s="16" t="n"/>
      <c r="C51" s="15" t="n"/>
      <c r="D51" s="36" t="n"/>
      <c r="E51" s="36" t="n"/>
      <c r="F51" s="36" t="n"/>
      <c r="G51" s="36" t="n"/>
      <c r="H51" s="17">
        <f>IF(ISNUMBER($N$51),INDEX('Inimigos'!$O$11:$O$54,$N$51)&amp;"","")</f>
        <v/>
      </c>
      <c r="I51" s="17">
        <f>IF(ISNUMBER($N$51),INDEX('Inimigos'!$Q$11:$Q$54,$N$51),"")</f>
        <v/>
      </c>
      <c r="J51" s="17">
        <f>IF(ISNUMBER($N$51),$W$51,"")</f>
        <v/>
      </c>
      <c r="K51" s="18">
        <f>IF(BN51&gt;0,"O Google leu como fórmula: escolha de novo ou digite com ' na frente.",IF(LEN($BG$51)=0,"",IF(NOT(ISNUMBER($N$51)),"Criatura fora da lista (Inimigos e Bestiário)",IF(AND(ISNUMBER($BI$51),OR($BI$51&lt;0,$BI$51&gt;10)),"Quantidade fora de 0 a 10: usando o limite",IF((IF(AND(LEN($BJ$51)&gt;0,$BJ$51=$BK$51),1,0)+IF(AND(LEN($BJ$51)&gt;0,$BJ$51=$BL$51),1,0)+IF(AND(LEN($BJ$51)&gt;0,$BJ$51=$BM$51),1,0)+IF(AND(LEN($BK$51)&gt;0,$BK$51=$BL$51),1,0)+IF(AND(LEN($BK$51)&gt;0,$BK$51=$BM$51),1,0)+IF(AND(LEN($BL$51)&gt;0,$BL$51=$BM$51),1,0))&gt;0,"Fraqueza repetida nesta cena",IF(AND($AF$51&gt;0,$AF$51&lt;&gt;(IF(LEN(INDEX('Inimigos'!$AA$11:$AA$54,$N$51)&amp;"")&gt;0,1,0)+IF(LEN(INDEX('Inimigos'!$AB$11:$AB$54,$N$51)&amp;"")&gt;0,1,0)+IF(LEN(INDEX('Inimigos'!$AC$11:$AC$54,$N$51)&amp;"")&gt;0,1,0)+IF(LEN(INDEX('Inimigos'!$AD$11:$AD$54,$N$51)&amp;"")&gt;0,1,0))),"O nº de Fraquezas é regra (28.2 regra 7): troque, não acrescente nem tire",IF(AND(LEN($T$51)&gt;0,COUNTIF($P$51:$S$51,$T$51)&gt;0),"Fraqueza igual à Resistência da ficha","")))))))</f>
        <v/>
      </c>
      <c r="N51" s="19">
        <f>IF(LEN($BG$51)=0,"",IFERROR(MATCH($BG$51,'Inimigos'!$N$11:$N$54,0),""))</f>
        <v/>
      </c>
      <c r="O51" s="19">
        <f>IF(ISNUMBER($N$51),IF(ISNUMBER($BI$51),MIN(10,MAX(0,INT($BI$51))),1),0)</f>
        <v/>
      </c>
      <c r="P51" s="19">
        <f>IF($O$51=0,"",IF(OR(LEN($BJ$51)&gt;0,LEN($BK$51)&gt;0,LEN($BL$51)&gt;0,LEN($BM$51)&gt;0),$BJ$51&amp;"",INDEX('Inimigos'!$AA$11:$AA$54,$N$51)&amp;""))</f>
        <v/>
      </c>
      <c r="Q51" s="19">
        <f>IF($O$51=0,"",IF(OR(LEN($BJ$51)&gt;0,LEN($BK$51)&gt;0,LEN($BL$51)&gt;0,LEN($BM$51)&gt;0),$BK$51&amp;"",INDEX('Inimigos'!$AB$11:$AB$54,$N$51)&amp;""))</f>
        <v/>
      </c>
      <c r="R51" s="19">
        <f>IF($O$51=0,"",IF(OR(LEN($BJ$51)&gt;0,LEN($BK$51)&gt;0,LEN($BL$51)&gt;0,LEN($BM$51)&gt;0),$BL$51&amp;"",INDEX('Inimigos'!$AC$11:$AC$54,$N$51)&amp;""))</f>
        <v/>
      </c>
      <c r="S51" s="19">
        <f>IF($O$51=0,"",IF(OR(LEN($BJ$51)&gt;0,LEN($BK$51)&gt;0,LEN($BL$51)&gt;0,LEN($BM$51)&gt;0),$BM$51&amp;"",INDEX('Inimigos'!$AD$11:$AD$54,$N$51)&amp;""))</f>
        <v/>
      </c>
      <c r="T51" s="19">
        <f>IF($O$51=0,"",INDEX('Inimigos'!$AE$11:$AE$54,$N$51)&amp;"")</f>
        <v/>
      </c>
      <c r="U51" s="19">
        <f>IF(ISNUMBER($N$51),INDEX('Inimigos'!$O$11:$O$54,$N$51)&amp;"","")</f>
        <v/>
      </c>
      <c r="V51" s="19">
        <f>IF(ISNUMBER($N$51),INDEX('Inimigos'!$BF$11:$BF$54,$N$51),"")</f>
        <v/>
      </c>
      <c r="W51" s="19">
        <f>IF($O$51=0,0,INDEX('Inimigos'!$AI$11:$AI$54,$N$51)*$O$51)</f>
        <v/>
      </c>
      <c r="X51" s="19">
        <f>IF($O$51=0,0,INDEX('Inimigos'!$AH$11:$AH$54,$N$51)*$O$51)</f>
        <v/>
      </c>
      <c r="Y51" s="19">
        <f>$Y$50+$O$51</f>
        <v/>
      </c>
      <c r="Z51" s="19">
        <f>IF(AND($O$51&gt;0,LEN($T$51)&gt;0),IF(COUNTIF('Grupo'!$T$7:$T$12,$T$51)&gt;=2,1,0),0)</f>
        <v/>
      </c>
      <c r="AA51" s="19">
        <f>IF(AND($O$51&gt;0,OR($AE$51="Pretor Vazio-Nove",$AE$51="O Dramaturgo de Mil Faces")),1,0)</f>
        <v/>
      </c>
      <c r="AB51" s="19">
        <f>IF(AND($O$51&gt;0,$AE$51="O Germe de Pavor"),1,0)</f>
        <v/>
      </c>
      <c r="AC51" s="19">
        <f>IF(AND($O$51&gt;0,$V$51&lt;&gt;$N$8),1,0)</f>
        <v/>
      </c>
      <c r="AD51" s="19">
        <f>IF($O$51&gt;0,$V$51,0)</f>
        <v/>
      </c>
      <c r="AE51" s="19">
        <f>IF(ISNUMBER($N$51),INDEX('Inimigos'!$N$11:$N$54,$N$51)&amp;"","")</f>
        <v/>
      </c>
      <c r="AF51" s="19">
        <f>IF(LEN($BJ$51)&gt;0,1,0)+IF(LEN($BK$51)&gt;0,1,0)+IF(LEN($BL$51)&gt;0,1,0)+IF(LEN($BM$51)&gt;0,1,0)</f>
        <v/>
      </c>
      <c r="AG51" s="19">
        <f>$O$51*IF($AE$51="Escória de Stellaron",1.5,1)</f>
        <v/>
      </c>
      <c r="BG51" s="19">
        <f>IF(ISERROR($A$51),"",IF(ISBLANK($A$51),"",$A$51))</f>
        <v/>
      </c>
      <c r="BI51" s="19">
        <f>IF(ISERROR($C$51),"",IF(ISBLANK($C$51),"",$C$51))</f>
        <v/>
      </c>
      <c r="BJ51" s="19">
        <f>IF(ISERROR($D$51),"",IF(ISBLANK($D$51),"",$D$51))</f>
        <v/>
      </c>
      <c r="BK51" s="19">
        <f>IF(ISERROR($E$51),"",IF(ISBLANK($E$51),"",$E$51))</f>
        <v/>
      </c>
      <c r="BL51" s="19">
        <f>IF(ISERROR($F$51),"",IF(ISBLANK($F$51),"",$F$51))</f>
        <v/>
      </c>
      <c r="BM51" s="19">
        <f>IF(ISERROR($G$51),"",IF(ISBLANK($G$51),"",$G$51))</f>
        <v/>
      </c>
      <c r="BN51" s="19">
        <f>ISERROR($A$51)*1+ISERROR($C$51)*1+ISERROR($D$51)*1+ISERROR($E$51)*1+ISERROR($F$51)*1+ISERROR($G$51)*1</f>
        <v/>
      </c>
    </row>
    <row r="52" ht="26" customHeight="1">
      <c r="A52" s="31" t="n"/>
      <c r="B52" s="16" t="n"/>
      <c r="C52" s="34" t="n"/>
      <c r="D52" s="42" t="n"/>
      <c r="E52" s="42" t="n"/>
      <c r="F52" s="42" t="n"/>
      <c r="G52" s="42" t="n"/>
      <c r="H52" s="29">
        <f>IF(ISNUMBER($N$52),INDEX('Inimigos'!$O$11:$O$54,$N$52)&amp;"","")</f>
        <v/>
      </c>
      <c r="I52" s="29">
        <f>IF(ISNUMBER($N$52),INDEX('Inimigos'!$Q$11:$Q$54,$N$52),"")</f>
        <v/>
      </c>
      <c r="J52" s="29">
        <f>IF(ISNUMBER($N$52),$W$52,"")</f>
        <v/>
      </c>
      <c r="K52" s="26">
        <f>IF(BN52&gt;0,"O Google leu como fórmula: escolha de novo ou digite com ' na frente.",IF(LEN($BG$52)=0,"",IF(NOT(ISNUMBER($N$52)),"Criatura fora da lista (Inimigos e Bestiário)",IF(AND(ISNUMBER($BI$52),OR($BI$52&lt;0,$BI$52&gt;10)),"Quantidade fora de 0 a 10: usando o limite",IF((IF(AND(LEN($BJ$52)&gt;0,$BJ$52=$BK$52),1,0)+IF(AND(LEN($BJ$52)&gt;0,$BJ$52=$BL$52),1,0)+IF(AND(LEN($BJ$52)&gt;0,$BJ$52=$BM$52),1,0)+IF(AND(LEN($BK$52)&gt;0,$BK$52=$BL$52),1,0)+IF(AND(LEN($BK$52)&gt;0,$BK$52=$BM$52),1,0)+IF(AND(LEN($BL$52)&gt;0,$BL$52=$BM$52),1,0))&gt;0,"Fraqueza repetida nesta cena",IF(AND($AF$52&gt;0,$AF$52&lt;&gt;(IF(LEN(INDEX('Inimigos'!$AA$11:$AA$54,$N$52)&amp;"")&gt;0,1,0)+IF(LEN(INDEX('Inimigos'!$AB$11:$AB$54,$N$52)&amp;"")&gt;0,1,0)+IF(LEN(INDEX('Inimigos'!$AC$11:$AC$54,$N$52)&amp;"")&gt;0,1,0)+IF(LEN(INDEX('Inimigos'!$AD$11:$AD$54,$N$52)&amp;"")&gt;0,1,0))),"O nº de Fraquezas é regra (28.2 regra 7): troque, não acrescente nem tire",IF(AND(LEN($T$52)&gt;0,COUNTIF($P$52:$S$52,$T$52)&gt;0),"Fraqueza igual à Resistência da ficha","")))))))</f>
        <v/>
      </c>
      <c r="N52" s="19">
        <f>IF(LEN($BG$52)=0,"",IFERROR(MATCH($BG$52,'Inimigos'!$N$11:$N$54,0),""))</f>
        <v/>
      </c>
      <c r="O52" s="19">
        <f>IF(ISNUMBER($N$52),IF(ISNUMBER($BI$52),MIN(10,MAX(0,INT($BI$52))),1),0)</f>
        <v/>
      </c>
      <c r="P52" s="19">
        <f>IF($O$52=0,"",IF(OR(LEN($BJ$52)&gt;0,LEN($BK$52)&gt;0,LEN($BL$52)&gt;0,LEN($BM$52)&gt;0),$BJ$52&amp;"",INDEX('Inimigos'!$AA$11:$AA$54,$N$52)&amp;""))</f>
        <v/>
      </c>
      <c r="Q52" s="19">
        <f>IF($O$52=0,"",IF(OR(LEN($BJ$52)&gt;0,LEN($BK$52)&gt;0,LEN($BL$52)&gt;0,LEN($BM$52)&gt;0),$BK$52&amp;"",INDEX('Inimigos'!$AB$11:$AB$54,$N$52)&amp;""))</f>
        <v/>
      </c>
      <c r="R52" s="19">
        <f>IF($O$52=0,"",IF(OR(LEN($BJ$52)&gt;0,LEN($BK$52)&gt;0,LEN($BL$52)&gt;0,LEN($BM$52)&gt;0),$BL$52&amp;"",INDEX('Inimigos'!$AC$11:$AC$54,$N$52)&amp;""))</f>
        <v/>
      </c>
      <c r="S52" s="19">
        <f>IF($O$52=0,"",IF(OR(LEN($BJ$52)&gt;0,LEN($BK$52)&gt;0,LEN($BL$52)&gt;0,LEN($BM$52)&gt;0),$BM$52&amp;"",INDEX('Inimigos'!$AD$11:$AD$54,$N$52)&amp;""))</f>
        <v/>
      </c>
      <c r="T52" s="19">
        <f>IF($O$52=0,"",INDEX('Inimigos'!$AE$11:$AE$54,$N$52)&amp;"")</f>
        <v/>
      </c>
      <c r="U52" s="19">
        <f>IF(ISNUMBER($N$52),INDEX('Inimigos'!$O$11:$O$54,$N$52)&amp;"","")</f>
        <v/>
      </c>
      <c r="V52" s="19">
        <f>IF(ISNUMBER($N$52),INDEX('Inimigos'!$BF$11:$BF$54,$N$52),"")</f>
        <v/>
      </c>
      <c r="W52" s="19">
        <f>IF($O$52=0,0,INDEX('Inimigos'!$AI$11:$AI$54,$N$52)*$O$52)</f>
        <v/>
      </c>
      <c r="X52" s="19">
        <f>IF($O$52=0,0,INDEX('Inimigos'!$AH$11:$AH$54,$N$52)*$O$52)</f>
        <v/>
      </c>
      <c r="Y52" s="19">
        <f>$Y$51+$O$52</f>
        <v/>
      </c>
      <c r="Z52" s="19">
        <f>IF(AND($O$52&gt;0,LEN($T$52)&gt;0),IF(COUNTIF('Grupo'!$T$7:$T$12,$T$52)&gt;=2,1,0),0)</f>
        <v/>
      </c>
      <c r="AA52" s="19">
        <f>IF(AND($O$52&gt;0,OR($AE$52="Pretor Vazio-Nove",$AE$52="O Dramaturgo de Mil Faces")),1,0)</f>
        <v/>
      </c>
      <c r="AB52" s="19">
        <f>IF(AND($O$52&gt;0,$AE$52="O Germe de Pavor"),1,0)</f>
        <v/>
      </c>
      <c r="AC52" s="19">
        <f>IF(AND($O$52&gt;0,$V$52&lt;&gt;$N$8),1,0)</f>
        <v/>
      </c>
      <c r="AD52" s="19">
        <f>IF($O$52&gt;0,$V$52,0)</f>
        <v/>
      </c>
      <c r="AE52" s="19">
        <f>IF(ISNUMBER($N$52),INDEX('Inimigos'!$N$11:$N$54,$N$52)&amp;"","")</f>
        <v/>
      </c>
      <c r="AF52" s="19">
        <f>IF(LEN($BJ$52)&gt;0,1,0)+IF(LEN($BK$52)&gt;0,1,0)+IF(LEN($BL$52)&gt;0,1,0)+IF(LEN($BM$52)&gt;0,1,0)</f>
        <v/>
      </c>
      <c r="AG52" s="19">
        <f>$O$52*IF($AE$52="Escória de Stellaron",1.5,1)</f>
        <v/>
      </c>
      <c r="BG52" s="19">
        <f>IF(ISERROR($A$52),"",IF(ISBLANK($A$52),"",$A$52))</f>
        <v/>
      </c>
      <c r="BI52" s="19">
        <f>IF(ISERROR($C$52),"",IF(ISBLANK($C$52),"",$C$52))</f>
        <v/>
      </c>
      <c r="BJ52" s="19">
        <f>IF(ISERROR($D$52),"",IF(ISBLANK($D$52),"",$D$52))</f>
        <v/>
      </c>
      <c r="BK52" s="19">
        <f>IF(ISERROR($E$52),"",IF(ISBLANK($E$52),"",$E$52))</f>
        <v/>
      </c>
      <c r="BL52" s="19">
        <f>IF(ISERROR($F$52),"",IF(ISBLANK($F$52),"",$F$52))</f>
        <v/>
      </c>
      <c r="BM52" s="19">
        <f>IF(ISERROR($G$52),"",IF(ISBLANK($G$52),"",$G$52))</f>
        <v/>
      </c>
      <c r="BN52" s="19">
        <f>ISERROR($A$52)*1+ISERROR($C$52)*1+ISERROR($D$52)*1+ISERROR($E$52)*1+ISERROR($F$52)*1+ISERROR($G$52)*1</f>
        <v/>
      </c>
    </row>
    <row r="53" ht="26" customHeight="1">
      <c r="A53" s="30" t="n"/>
      <c r="B53" s="16" t="n"/>
      <c r="C53" s="15" t="n"/>
      <c r="D53" s="36" t="n"/>
      <c r="E53" s="36" t="n"/>
      <c r="F53" s="36" t="n"/>
      <c r="G53" s="36" t="n"/>
      <c r="H53" s="17">
        <f>IF(ISNUMBER($N$53),INDEX('Inimigos'!$O$11:$O$54,$N$53)&amp;"","")</f>
        <v/>
      </c>
      <c r="I53" s="17">
        <f>IF(ISNUMBER($N$53),INDEX('Inimigos'!$Q$11:$Q$54,$N$53),"")</f>
        <v/>
      </c>
      <c r="J53" s="17">
        <f>IF(ISNUMBER($N$53),$W$53,"")</f>
        <v/>
      </c>
      <c r="K53" s="18">
        <f>IF(BN53&gt;0,"O Google leu como fórmula: escolha de novo ou digite com ' na frente.",IF(LEN($BG$53)=0,"",IF(NOT(ISNUMBER($N$53)),"Criatura fora da lista (Inimigos e Bestiário)",IF(AND(ISNUMBER($BI$53),OR($BI$53&lt;0,$BI$53&gt;10)),"Quantidade fora de 0 a 10: usando o limite",IF((IF(AND(LEN($BJ$53)&gt;0,$BJ$53=$BK$53),1,0)+IF(AND(LEN($BJ$53)&gt;0,$BJ$53=$BL$53),1,0)+IF(AND(LEN($BJ$53)&gt;0,$BJ$53=$BM$53),1,0)+IF(AND(LEN($BK$53)&gt;0,$BK$53=$BL$53),1,0)+IF(AND(LEN($BK$53)&gt;0,$BK$53=$BM$53),1,0)+IF(AND(LEN($BL$53)&gt;0,$BL$53=$BM$53),1,0))&gt;0,"Fraqueza repetida nesta cena",IF(AND($AF$53&gt;0,$AF$53&lt;&gt;(IF(LEN(INDEX('Inimigos'!$AA$11:$AA$54,$N$53)&amp;"")&gt;0,1,0)+IF(LEN(INDEX('Inimigos'!$AB$11:$AB$54,$N$53)&amp;"")&gt;0,1,0)+IF(LEN(INDEX('Inimigos'!$AC$11:$AC$54,$N$53)&amp;"")&gt;0,1,0)+IF(LEN(INDEX('Inimigos'!$AD$11:$AD$54,$N$53)&amp;"")&gt;0,1,0))),"O nº de Fraquezas é regra (28.2 regra 7): troque, não acrescente nem tire",IF(AND(LEN($T$53)&gt;0,COUNTIF($P$53:$S$53,$T$53)&gt;0),"Fraqueza igual à Resistência da ficha","")))))))</f>
        <v/>
      </c>
      <c r="N53" s="19">
        <f>IF(LEN($BG$53)=0,"",IFERROR(MATCH($BG$53,'Inimigos'!$N$11:$N$54,0),""))</f>
        <v/>
      </c>
      <c r="O53" s="19">
        <f>IF(ISNUMBER($N$53),IF(ISNUMBER($BI$53),MIN(10,MAX(0,INT($BI$53))),1),0)</f>
        <v/>
      </c>
      <c r="P53" s="19">
        <f>IF($O$53=0,"",IF(OR(LEN($BJ$53)&gt;0,LEN($BK$53)&gt;0,LEN($BL$53)&gt;0,LEN($BM$53)&gt;0),$BJ$53&amp;"",INDEX('Inimigos'!$AA$11:$AA$54,$N$53)&amp;""))</f>
        <v/>
      </c>
      <c r="Q53" s="19">
        <f>IF($O$53=0,"",IF(OR(LEN($BJ$53)&gt;0,LEN($BK$53)&gt;0,LEN($BL$53)&gt;0,LEN($BM$53)&gt;0),$BK$53&amp;"",INDEX('Inimigos'!$AB$11:$AB$54,$N$53)&amp;""))</f>
        <v/>
      </c>
      <c r="R53" s="19">
        <f>IF($O$53=0,"",IF(OR(LEN($BJ$53)&gt;0,LEN($BK$53)&gt;0,LEN($BL$53)&gt;0,LEN($BM$53)&gt;0),$BL$53&amp;"",INDEX('Inimigos'!$AC$11:$AC$54,$N$53)&amp;""))</f>
        <v/>
      </c>
      <c r="S53" s="19">
        <f>IF($O$53=0,"",IF(OR(LEN($BJ$53)&gt;0,LEN($BK$53)&gt;0,LEN($BL$53)&gt;0,LEN($BM$53)&gt;0),$BM$53&amp;"",INDEX('Inimigos'!$AD$11:$AD$54,$N$53)&amp;""))</f>
        <v/>
      </c>
      <c r="T53" s="19">
        <f>IF($O$53=0,"",INDEX('Inimigos'!$AE$11:$AE$54,$N$53)&amp;"")</f>
        <v/>
      </c>
      <c r="U53" s="19">
        <f>IF(ISNUMBER($N$53),INDEX('Inimigos'!$O$11:$O$54,$N$53)&amp;"","")</f>
        <v/>
      </c>
      <c r="V53" s="19">
        <f>IF(ISNUMBER($N$53),INDEX('Inimigos'!$BF$11:$BF$54,$N$53),"")</f>
        <v/>
      </c>
      <c r="W53" s="19">
        <f>IF($O$53=0,0,INDEX('Inimigos'!$AI$11:$AI$54,$N$53)*$O$53)</f>
        <v/>
      </c>
      <c r="X53" s="19">
        <f>IF($O$53=0,0,INDEX('Inimigos'!$AH$11:$AH$54,$N$53)*$O$53)</f>
        <v/>
      </c>
      <c r="Y53" s="19">
        <f>$Y$52+$O$53</f>
        <v/>
      </c>
      <c r="Z53" s="19">
        <f>IF(AND($O$53&gt;0,LEN($T$53)&gt;0),IF(COUNTIF('Grupo'!$T$7:$T$12,$T$53)&gt;=2,1,0),0)</f>
        <v/>
      </c>
      <c r="AA53" s="19">
        <f>IF(AND($O$53&gt;0,OR($AE$53="Pretor Vazio-Nove",$AE$53="O Dramaturgo de Mil Faces")),1,0)</f>
        <v/>
      </c>
      <c r="AB53" s="19">
        <f>IF(AND($O$53&gt;0,$AE$53="O Germe de Pavor"),1,0)</f>
        <v/>
      </c>
      <c r="AC53" s="19">
        <f>IF(AND($O$53&gt;0,$V$53&lt;&gt;$N$8),1,0)</f>
        <v/>
      </c>
      <c r="AD53" s="19">
        <f>IF($O$53&gt;0,$V$53,0)</f>
        <v/>
      </c>
      <c r="AE53" s="19">
        <f>IF(ISNUMBER($N$53),INDEX('Inimigos'!$N$11:$N$54,$N$53)&amp;"","")</f>
        <v/>
      </c>
      <c r="AF53" s="19">
        <f>IF(LEN($BJ$53)&gt;0,1,0)+IF(LEN($BK$53)&gt;0,1,0)+IF(LEN($BL$53)&gt;0,1,0)+IF(LEN($BM$53)&gt;0,1,0)</f>
        <v/>
      </c>
      <c r="AG53" s="19">
        <f>$O$53*IF($AE$53="Escória de Stellaron",1.5,1)</f>
        <v/>
      </c>
      <c r="BG53" s="19">
        <f>IF(ISERROR($A$53),"",IF(ISBLANK($A$53),"",$A$53))</f>
        <v/>
      </c>
      <c r="BI53" s="19">
        <f>IF(ISERROR($C$53),"",IF(ISBLANK($C$53),"",$C$53))</f>
        <v/>
      </c>
      <c r="BJ53" s="19">
        <f>IF(ISERROR($D$53),"",IF(ISBLANK($D$53),"",$D$53))</f>
        <v/>
      </c>
      <c r="BK53" s="19">
        <f>IF(ISERROR($E$53),"",IF(ISBLANK($E$53),"",$E$53))</f>
        <v/>
      </c>
      <c r="BL53" s="19">
        <f>IF(ISERROR($F$53),"",IF(ISBLANK($F$53),"",$F$53))</f>
        <v/>
      </c>
      <c r="BM53" s="19">
        <f>IF(ISERROR($G$53),"",IF(ISBLANK($G$53),"",$G$53))</f>
        <v/>
      </c>
      <c r="BN53" s="19">
        <f>ISERROR($A$53)*1+ISERROR($C$53)*1+ISERROR($D$53)*1+ISERROR($E$53)*1+ISERROR($F$53)*1+ISERROR($G$53)*1</f>
        <v/>
      </c>
    </row>
    <row r="54" ht="26" customHeight="1">
      <c r="A54" s="31" t="n"/>
      <c r="B54" s="16" t="n"/>
      <c r="C54" s="34" t="n"/>
      <c r="D54" s="42" t="n"/>
      <c r="E54" s="42" t="n"/>
      <c r="F54" s="42" t="n"/>
      <c r="G54" s="42" t="n"/>
      <c r="H54" s="29">
        <f>IF(ISNUMBER($N$54),INDEX('Inimigos'!$O$11:$O$54,$N$54)&amp;"","")</f>
        <v/>
      </c>
      <c r="I54" s="29">
        <f>IF(ISNUMBER($N$54),INDEX('Inimigos'!$Q$11:$Q$54,$N$54),"")</f>
        <v/>
      </c>
      <c r="J54" s="29">
        <f>IF(ISNUMBER($N$54),$W$54,"")</f>
        <v/>
      </c>
      <c r="K54" s="26">
        <f>IF(BN54&gt;0,"O Google leu como fórmula: escolha de novo ou digite com ' na frente.",IF(LEN($BG$54)=0,"",IF(NOT(ISNUMBER($N$54)),"Criatura fora da lista (Inimigos e Bestiário)",IF(AND(ISNUMBER($BI$54),OR($BI$54&lt;0,$BI$54&gt;10)),"Quantidade fora de 0 a 10: usando o limite",IF((IF(AND(LEN($BJ$54)&gt;0,$BJ$54=$BK$54),1,0)+IF(AND(LEN($BJ$54)&gt;0,$BJ$54=$BL$54),1,0)+IF(AND(LEN($BJ$54)&gt;0,$BJ$54=$BM$54),1,0)+IF(AND(LEN($BK$54)&gt;0,$BK$54=$BL$54),1,0)+IF(AND(LEN($BK$54)&gt;0,$BK$54=$BM$54),1,0)+IF(AND(LEN($BL$54)&gt;0,$BL$54=$BM$54),1,0))&gt;0,"Fraqueza repetida nesta cena",IF(AND($AF$54&gt;0,$AF$54&lt;&gt;(IF(LEN(INDEX('Inimigos'!$AA$11:$AA$54,$N$54)&amp;"")&gt;0,1,0)+IF(LEN(INDEX('Inimigos'!$AB$11:$AB$54,$N$54)&amp;"")&gt;0,1,0)+IF(LEN(INDEX('Inimigos'!$AC$11:$AC$54,$N$54)&amp;"")&gt;0,1,0)+IF(LEN(INDEX('Inimigos'!$AD$11:$AD$54,$N$54)&amp;"")&gt;0,1,0))),"O nº de Fraquezas é regra (28.2 regra 7): troque, não acrescente nem tire",IF(AND(LEN($T$54)&gt;0,COUNTIF($P$54:$S$54,$T$54)&gt;0),"Fraqueza igual à Resistência da ficha","")))))))</f>
        <v/>
      </c>
      <c r="N54" s="19">
        <f>IF(LEN($BG$54)=0,"",IFERROR(MATCH($BG$54,'Inimigos'!$N$11:$N$54,0),""))</f>
        <v/>
      </c>
      <c r="O54" s="19">
        <f>IF(ISNUMBER($N$54),IF(ISNUMBER($BI$54),MIN(10,MAX(0,INT($BI$54))),1),0)</f>
        <v/>
      </c>
      <c r="P54" s="19">
        <f>IF($O$54=0,"",IF(OR(LEN($BJ$54)&gt;0,LEN($BK$54)&gt;0,LEN($BL$54)&gt;0,LEN($BM$54)&gt;0),$BJ$54&amp;"",INDEX('Inimigos'!$AA$11:$AA$54,$N$54)&amp;""))</f>
        <v/>
      </c>
      <c r="Q54" s="19">
        <f>IF($O$54=0,"",IF(OR(LEN($BJ$54)&gt;0,LEN($BK$54)&gt;0,LEN($BL$54)&gt;0,LEN($BM$54)&gt;0),$BK$54&amp;"",INDEX('Inimigos'!$AB$11:$AB$54,$N$54)&amp;""))</f>
        <v/>
      </c>
      <c r="R54" s="19">
        <f>IF($O$54=0,"",IF(OR(LEN($BJ$54)&gt;0,LEN($BK$54)&gt;0,LEN($BL$54)&gt;0,LEN($BM$54)&gt;0),$BL$54&amp;"",INDEX('Inimigos'!$AC$11:$AC$54,$N$54)&amp;""))</f>
        <v/>
      </c>
      <c r="S54" s="19">
        <f>IF($O$54=0,"",IF(OR(LEN($BJ$54)&gt;0,LEN($BK$54)&gt;0,LEN($BL$54)&gt;0,LEN($BM$54)&gt;0),$BM$54&amp;"",INDEX('Inimigos'!$AD$11:$AD$54,$N$54)&amp;""))</f>
        <v/>
      </c>
      <c r="T54" s="19">
        <f>IF($O$54=0,"",INDEX('Inimigos'!$AE$11:$AE$54,$N$54)&amp;"")</f>
        <v/>
      </c>
      <c r="U54" s="19">
        <f>IF(ISNUMBER($N$54),INDEX('Inimigos'!$O$11:$O$54,$N$54)&amp;"","")</f>
        <v/>
      </c>
      <c r="V54" s="19">
        <f>IF(ISNUMBER($N$54),INDEX('Inimigos'!$BF$11:$BF$54,$N$54),"")</f>
        <v/>
      </c>
      <c r="W54" s="19">
        <f>IF($O$54=0,0,INDEX('Inimigos'!$AI$11:$AI$54,$N$54)*$O$54)</f>
        <v/>
      </c>
      <c r="X54" s="19">
        <f>IF($O$54=0,0,INDEX('Inimigos'!$AH$11:$AH$54,$N$54)*$O$54)</f>
        <v/>
      </c>
      <c r="Y54" s="19">
        <f>$Y$53+$O$54</f>
        <v/>
      </c>
      <c r="Z54" s="19">
        <f>IF(AND($O$54&gt;0,LEN($T$54)&gt;0),IF(COUNTIF('Grupo'!$T$7:$T$12,$T$54)&gt;=2,1,0),0)</f>
        <v/>
      </c>
      <c r="AA54" s="19">
        <f>IF(AND($O$54&gt;0,OR($AE$54="Pretor Vazio-Nove",$AE$54="O Dramaturgo de Mil Faces")),1,0)</f>
        <v/>
      </c>
      <c r="AB54" s="19">
        <f>IF(AND($O$54&gt;0,$AE$54="O Germe de Pavor"),1,0)</f>
        <v/>
      </c>
      <c r="AC54" s="19">
        <f>IF(AND($O$54&gt;0,$V$54&lt;&gt;$N$8),1,0)</f>
        <v/>
      </c>
      <c r="AD54" s="19">
        <f>IF($O$54&gt;0,$V$54,0)</f>
        <v/>
      </c>
      <c r="AE54" s="19">
        <f>IF(ISNUMBER($N$54),INDEX('Inimigos'!$N$11:$N$54,$N$54)&amp;"","")</f>
        <v/>
      </c>
      <c r="AF54" s="19">
        <f>IF(LEN($BJ$54)&gt;0,1,0)+IF(LEN($BK$54)&gt;0,1,0)+IF(LEN($BL$54)&gt;0,1,0)+IF(LEN($BM$54)&gt;0,1,0)</f>
        <v/>
      </c>
      <c r="AG54" s="19">
        <f>$O$54*IF($AE$54="Escória de Stellaron",1.5,1)</f>
        <v/>
      </c>
      <c r="BG54" s="19">
        <f>IF(ISERROR($A$54),"",IF(ISBLANK($A$54),"",$A$54))</f>
        <v/>
      </c>
      <c r="BI54" s="19">
        <f>IF(ISERROR($C$54),"",IF(ISBLANK($C$54),"",$C$54))</f>
        <v/>
      </c>
      <c r="BJ54" s="19">
        <f>IF(ISERROR($D$54),"",IF(ISBLANK($D$54),"",$D$54))</f>
        <v/>
      </c>
      <c r="BK54" s="19">
        <f>IF(ISERROR($E$54),"",IF(ISBLANK($E$54),"",$E$54))</f>
        <v/>
      </c>
      <c r="BL54" s="19">
        <f>IF(ISERROR($F$54),"",IF(ISBLANK($F$54),"",$F$54))</f>
        <v/>
      </c>
      <c r="BM54" s="19">
        <f>IF(ISERROR($G$54),"",IF(ISBLANK($G$54),"",$G$54))</f>
        <v/>
      </c>
      <c r="BN54" s="19">
        <f>ISERROR($A$54)*1+ISERROR($C$54)*1+ISERROR($D$54)*1+ISERROR($E$54)*1+ISERROR($F$54)*1+ISERROR($G$54)*1</f>
        <v/>
      </c>
    </row>
    <row r="55" ht="26" customHeight="1">
      <c r="A55" s="30" t="n"/>
      <c r="B55" s="16" t="n"/>
      <c r="C55" s="15" t="n"/>
      <c r="D55" s="36" t="n"/>
      <c r="E55" s="36" t="n"/>
      <c r="F55" s="36" t="n"/>
      <c r="G55" s="36" t="n"/>
      <c r="H55" s="17">
        <f>IF(ISNUMBER($N$55),INDEX('Inimigos'!$O$11:$O$54,$N$55)&amp;"","")</f>
        <v/>
      </c>
      <c r="I55" s="17">
        <f>IF(ISNUMBER($N$55),INDEX('Inimigos'!$Q$11:$Q$54,$N$55),"")</f>
        <v/>
      </c>
      <c r="J55" s="17">
        <f>IF(ISNUMBER($N$55),$W$55,"")</f>
        <v/>
      </c>
      <c r="K55" s="18">
        <f>IF(BN55&gt;0,"O Google leu como fórmula: escolha de novo ou digite com ' na frente.",IF(LEN($BG$55)=0,"",IF(NOT(ISNUMBER($N$55)),"Criatura fora da lista (Inimigos e Bestiário)",IF(AND(ISNUMBER($BI$55),OR($BI$55&lt;0,$BI$55&gt;10)),"Quantidade fora de 0 a 10: usando o limite",IF((IF(AND(LEN($BJ$55)&gt;0,$BJ$55=$BK$55),1,0)+IF(AND(LEN($BJ$55)&gt;0,$BJ$55=$BL$55),1,0)+IF(AND(LEN($BJ$55)&gt;0,$BJ$55=$BM$55),1,0)+IF(AND(LEN($BK$55)&gt;0,$BK$55=$BL$55),1,0)+IF(AND(LEN($BK$55)&gt;0,$BK$55=$BM$55),1,0)+IF(AND(LEN($BL$55)&gt;0,$BL$55=$BM$55),1,0))&gt;0,"Fraqueza repetida nesta cena",IF(AND($AF$55&gt;0,$AF$55&lt;&gt;(IF(LEN(INDEX('Inimigos'!$AA$11:$AA$54,$N$55)&amp;"")&gt;0,1,0)+IF(LEN(INDEX('Inimigos'!$AB$11:$AB$54,$N$55)&amp;"")&gt;0,1,0)+IF(LEN(INDEX('Inimigos'!$AC$11:$AC$54,$N$55)&amp;"")&gt;0,1,0)+IF(LEN(INDEX('Inimigos'!$AD$11:$AD$54,$N$55)&amp;"")&gt;0,1,0))),"O nº de Fraquezas é regra (28.2 regra 7): troque, não acrescente nem tire",IF(AND(LEN($T$55)&gt;0,COUNTIF($P$55:$S$55,$T$55)&gt;0),"Fraqueza igual à Resistência da ficha","")))))))</f>
        <v/>
      </c>
      <c r="N55" s="19">
        <f>IF(LEN($BG$55)=0,"",IFERROR(MATCH($BG$55,'Inimigos'!$N$11:$N$54,0),""))</f>
        <v/>
      </c>
      <c r="O55" s="19">
        <f>IF(ISNUMBER($N$55),IF(ISNUMBER($BI$55),MIN(10,MAX(0,INT($BI$55))),1),0)</f>
        <v/>
      </c>
      <c r="P55" s="19">
        <f>IF($O$55=0,"",IF(OR(LEN($BJ$55)&gt;0,LEN($BK$55)&gt;0,LEN($BL$55)&gt;0,LEN($BM$55)&gt;0),$BJ$55&amp;"",INDEX('Inimigos'!$AA$11:$AA$54,$N$55)&amp;""))</f>
        <v/>
      </c>
      <c r="Q55" s="19">
        <f>IF($O$55=0,"",IF(OR(LEN($BJ$55)&gt;0,LEN($BK$55)&gt;0,LEN($BL$55)&gt;0,LEN($BM$55)&gt;0),$BK$55&amp;"",INDEX('Inimigos'!$AB$11:$AB$54,$N$55)&amp;""))</f>
        <v/>
      </c>
      <c r="R55" s="19">
        <f>IF($O$55=0,"",IF(OR(LEN($BJ$55)&gt;0,LEN($BK$55)&gt;0,LEN($BL$55)&gt;0,LEN($BM$55)&gt;0),$BL$55&amp;"",INDEX('Inimigos'!$AC$11:$AC$54,$N$55)&amp;""))</f>
        <v/>
      </c>
      <c r="S55" s="19">
        <f>IF($O$55=0,"",IF(OR(LEN($BJ$55)&gt;0,LEN($BK$55)&gt;0,LEN($BL$55)&gt;0,LEN($BM$55)&gt;0),$BM$55&amp;"",INDEX('Inimigos'!$AD$11:$AD$54,$N$55)&amp;""))</f>
        <v/>
      </c>
      <c r="T55" s="19">
        <f>IF($O$55=0,"",INDEX('Inimigos'!$AE$11:$AE$54,$N$55)&amp;"")</f>
        <v/>
      </c>
      <c r="U55" s="19">
        <f>IF(ISNUMBER($N$55),INDEX('Inimigos'!$O$11:$O$54,$N$55)&amp;"","")</f>
        <v/>
      </c>
      <c r="V55" s="19">
        <f>IF(ISNUMBER($N$55),INDEX('Inimigos'!$BF$11:$BF$54,$N$55),"")</f>
        <v/>
      </c>
      <c r="W55" s="19">
        <f>IF($O$55=0,0,INDEX('Inimigos'!$AI$11:$AI$54,$N$55)*$O$55)</f>
        <v/>
      </c>
      <c r="X55" s="19">
        <f>IF($O$55=0,0,INDEX('Inimigos'!$AH$11:$AH$54,$N$55)*$O$55)</f>
        <v/>
      </c>
      <c r="Y55" s="19">
        <f>$Y$54+$O$55</f>
        <v/>
      </c>
      <c r="Z55" s="19">
        <f>IF(AND($O$55&gt;0,LEN($T$55)&gt;0),IF(COUNTIF('Grupo'!$T$7:$T$12,$T$55)&gt;=2,1,0),0)</f>
        <v/>
      </c>
      <c r="AA55" s="19">
        <f>IF(AND($O$55&gt;0,OR($AE$55="Pretor Vazio-Nove",$AE$55="O Dramaturgo de Mil Faces")),1,0)</f>
        <v/>
      </c>
      <c r="AB55" s="19">
        <f>IF(AND($O$55&gt;0,$AE$55="O Germe de Pavor"),1,0)</f>
        <v/>
      </c>
      <c r="AC55" s="19">
        <f>IF(AND($O$55&gt;0,$V$55&lt;&gt;$N$8),1,0)</f>
        <v/>
      </c>
      <c r="AD55" s="19">
        <f>IF($O$55&gt;0,$V$55,0)</f>
        <v/>
      </c>
      <c r="AE55" s="19">
        <f>IF(ISNUMBER($N$55),INDEX('Inimigos'!$N$11:$N$54,$N$55)&amp;"","")</f>
        <v/>
      </c>
      <c r="AF55" s="19">
        <f>IF(LEN($BJ$55)&gt;0,1,0)+IF(LEN($BK$55)&gt;0,1,0)+IF(LEN($BL$55)&gt;0,1,0)+IF(LEN($BM$55)&gt;0,1,0)</f>
        <v/>
      </c>
      <c r="AG55" s="19">
        <f>$O$55*IF($AE$55="Escória de Stellaron",1.5,1)</f>
        <v/>
      </c>
      <c r="BG55" s="19">
        <f>IF(ISERROR($A$55),"",IF(ISBLANK($A$55),"",$A$55))</f>
        <v/>
      </c>
      <c r="BI55" s="19">
        <f>IF(ISERROR($C$55),"",IF(ISBLANK($C$55),"",$C$55))</f>
        <v/>
      </c>
      <c r="BJ55" s="19">
        <f>IF(ISERROR($D$55),"",IF(ISBLANK($D$55),"",$D$55))</f>
        <v/>
      </c>
      <c r="BK55" s="19">
        <f>IF(ISERROR($E$55),"",IF(ISBLANK($E$55),"",$E$55))</f>
        <v/>
      </c>
      <c r="BL55" s="19">
        <f>IF(ISERROR($F$55),"",IF(ISBLANK($F$55),"",$F$55))</f>
        <v/>
      </c>
      <c r="BM55" s="19">
        <f>IF(ISERROR($G$55),"",IF(ISBLANK($G$55),"",$G$55))</f>
        <v/>
      </c>
      <c r="BN55" s="19">
        <f>ISERROR($A$55)*1+ISERROR($C$55)*1+ISERROR($D$55)*1+ISERROR($E$55)*1+ISERROR($F$55)*1+ISERROR($G$55)*1</f>
        <v/>
      </c>
    </row>
    <row r="56" ht="26" customHeight="1">
      <c r="A56" s="31" t="n"/>
      <c r="B56" s="16" t="n"/>
      <c r="C56" s="34" t="n"/>
      <c r="D56" s="42" t="n"/>
      <c r="E56" s="42" t="n"/>
      <c r="F56" s="42" t="n"/>
      <c r="G56" s="42" t="n"/>
      <c r="H56" s="29">
        <f>IF(ISNUMBER($N$56),INDEX('Inimigos'!$O$11:$O$54,$N$56)&amp;"","")</f>
        <v/>
      </c>
      <c r="I56" s="29">
        <f>IF(ISNUMBER($N$56),INDEX('Inimigos'!$Q$11:$Q$54,$N$56),"")</f>
        <v/>
      </c>
      <c r="J56" s="29">
        <f>IF(ISNUMBER($N$56),$W$56,"")</f>
        <v/>
      </c>
      <c r="K56" s="26">
        <f>IF(BN56&gt;0,"O Google leu como fórmula: escolha de novo ou digite com ' na frente.",IF(LEN($BG$56)=0,"",IF(NOT(ISNUMBER($N$56)),"Criatura fora da lista (Inimigos e Bestiário)",IF(AND(ISNUMBER($BI$56),OR($BI$56&lt;0,$BI$56&gt;10)),"Quantidade fora de 0 a 10: usando o limite",IF((IF(AND(LEN($BJ$56)&gt;0,$BJ$56=$BK$56),1,0)+IF(AND(LEN($BJ$56)&gt;0,$BJ$56=$BL$56),1,0)+IF(AND(LEN($BJ$56)&gt;0,$BJ$56=$BM$56),1,0)+IF(AND(LEN($BK$56)&gt;0,$BK$56=$BL$56),1,0)+IF(AND(LEN($BK$56)&gt;0,$BK$56=$BM$56),1,0)+IF(AND(LEN($BL$56)&gt;0,$BL$56=$BM$56),1,0))&gt;0,"Fraqueza repetida nesta cena",IF(AND($AF$56&gt;0,$AF$56&lt;&gt;(IF(LEN(INDEX('Inimigos'!$AA$11:$AA$54,$N$56)&amp;"")&gt;0,1,0)+IF(LEN(INDEX('Inimigos'!$AB$11:$AB$54,$N$56)&amp;"")&gt;0,1,0)+IF(LEN(INDEX('Inimigos'!$AC$11:$AC$54,$N$56)&amp;"")&gt;0,1,0)+IF(LEN(INDEX('Inimigos'!$AD$11:$AD$54,$N$56)&amp;"")&gt;0,1,0))),"O nº de Fraquezas é regra (28.2 regra 7): troque, não acrescente nem tire",IF(AND(LEN($T$56)&gt;0,COUNTIF($P$56:$S$56,$T$56)&gt;0),"Fraqueza igual à Resistência da ficha","")))))))</f>
        <v/>
      </c>
      <c r="N56" s="19">
        <f>IF(LEN($BG$56)=0,"",IFERROR(MATCH($BG$56,'Inimigos'!$N$11:$N$54,0),""))</f>
        <v/>
      </c>
      <c r="O56" s="19">
        <f>IF(ISNUMBER($N$56),IF(ISNUMBER($BI$56),MIN(10,MAX(0,INT($BI$56))),1),0)</f>
        <v/>
      </c>
      <c r="P56" s="19">
        <f>IF($O$56=0,"",IF(OR(LEN($BJ$56)&gt;0,LEN($BK$56)&gt;0,LEN($BL$56)&gt;0,LEN($BM$56)&gt;0),$BJ$56&amp;"",INDEX('Inimigos'!$AA$11:$AA$54,$N$56)&amp;""))</f>
        <v/>
      </c>
      <c r="Q56" s="19">
        <f>IF($O$56=0,"",IF(OR(LEN($BJ$56)&gt;0,LEN($BK$56)&gt;0,LEN($BL$56)&gt;0,LEN($BM$56)&gt;0),$BK$56&amp;"",INDEX('Inimigos'!$AB$11:$AB$54,$N$56)&amp;""))</f>
        <v/>
      </c>
      <c r="R56" s="19">
        <f>IF($O$56=0,"",IF(OR(LEN($BJ$56)&gt;0,LEN($BK$56)&gt;0,LEN($BL$56)&gt;0,LEN($BM$56)&gt;0),$BL$56&amp;"",INDEX('Inimigos'!$AC$11:$AC$54,$N$56)&amp;""))</f>
        <v/>
      </c>
      <c r="S56" s="19">
        <f>IF($O$56=0,"",IF(OR(LEN($BJ$56)&gt;0,LEN($BK$56)&gt;0,LEN($BL$56)&gt;0,LEN($BM$56)&gt;0),$BM$56&amp;"",INDEX('Inimigos'!$AD$11:$AD$54,$N$56)&amp;""))</f>
        <v/>
      </c>
      <c r="T56" s="19">
        <f>IF($O$56=0,"",INDEX('Inimigos'!$AE$11:$AE$54,$N$56)&amp;"")</f>
        <v/>
      </c>
      <c r="U56" s="19">
        <f>IF(ISNUMBER($N$56),INDEX('Inimigos'!$O$11:$O$54,$N$56)&amp;"","")</f>
        <v/>
      </c>
      <c r="V56" s="19">
        <f>IF(ISNUMBER($N$56),INDEX('Inimigos'!$BF$11:$BF$54,$N$56),"")</f>
        <v/>
      </c>
      <c r="W56" s="19">
        <f>IF($O$56=0,0,INDEX('Inimigos'!$AI$11:$AI$54,$N$56)*$O$56)</f>
        <v/>
      </c>
      <c r="X56" s="19">
        <f>IF($O$56=0,0,INDEX('Inimigos'!$AH$11:$AH$54,$N$56)*$O$56)</f>
        <v/>
      </c>
      <c r="Y56" s="19">
        <f>$Y$55+$O$56</f>
        <v/>
      </c>
      <c r="Z56" s="19">
        <f>IF(AND($O$56&gt;0,LEN($T$56)&gt;0),IF(COUNTIF('Grupo'!$T$7:$T$12,$T$56)&gt;=2,1,0),0)</f>
        <v/>
      </c>
      <c r="AA56" s="19">
        <f>IF(AND($O$56&gt;0,OR($AE$56="Pretor Vazio-Nove",$AE$56="O Dramaturgo de Mil Faces")),1,0)</f>
        <v/>
      </c>
      <c r="AB56" s="19">
        <f>IF(AND($O$56&gt;0,$AE$56="O Germe de Pavor"),1,0)</f>
        <v/>
      </c>
      <c r="AC56" s="19">
        <f>IF(AND($O$56&gt;0,$V$56&lt;&gt;$N$8),1,0)</f>
        <v/>
      </c>
      <c r="AD56" s="19">
        <f>IF($O$56&gt;0,$V$56,0)</f>
        <v/>
      </c>
      <c r="AE56" s="19">
        <f>IF(ISNUMBER($N$56),INDEX('Inimigos'!$N$11:$N$54,$N$56)&amp;"","")</f>
        <v/>
      </c>
      <c r="AF56" s="19">
        <f>IF(LEN($BJ$56)&gt;0,1,0)+IF(LEN($BK$56)&gt;0,1,0)+IF(LEN($BL$56)&gt;0,1,0)+IF(LEN($BM$56)&gt;0,1,0)</f>
        <v/>
      </c>
      <c r="AG56" s="19">
        <f>$O$56*IF($AE$56="Escória de Stellaron",1.5,1)</f>
        <v/>
      </c>
      <c r="BG56" s="19">
        <f>IF(ISERROR($A$56),"",IF(ISBLANK($A$56),"",$A$56))</f>
        <v/>
      </c>
      <c r="BI56" s="19">
        <f>IF(ISERROR($C$56),"",IF(ISBLANK($C$56),"",$C$56))</f>
        <v/>
      </c>
      <c r="BJ56" s="19">
        <f>IF(ISERROR($D$56),"",IF(ISBLANK($D$56),"",$D$56))</f>
        <v/>
      </c>
      <c r="BK56" s="19">
        <f>IF(ISERROR($E$56),"",IF(ISBLANK($E$56),"",$E$56))</f>
        <v/>
      </c>
      <c r="BL56" s="19">
        <f>IF(ISERROR($F$56),"",IF(ISBLANK($F$56),"",$F$56))</f>
        <v/>
      </c>
      <c r="BM56" s="19">
        <f>IF(ISERROR($G$56),"",IF(ISBLANK($G$56),"",$G$56))</f>
        <v/>
      </c>
      <c r="BN56" s="19">
        <f>ISERROR($A$56)*1+ISERROR($C$56)*1+ISERROR($D$56)*1+ISERROR($E$56)*1+ISERROR($F$56)*1+ISERROR($G$56)*1</f>
        <v/>
      </c>
    </row>
    <row r="57" ht="26" customHeight="1">
      <c r="A57" s="7" t="inlineStr">
        <is>
          <t>Criatura</t>
        </is>
      </c>
      <c r="B57" s="7" t="inlineStr">
        <is>
          <t>Faixa</t>
        </is>
      </c>
      <c r="C57" s="7" t="inlineStr">
        <is>
          <t>Fraquezas efetivas</t>
        </is>
      </c>
      <c r="D57" s="20" t="n"/>
      <c r="E57" s="20" t="n"/>
      <c r="F57" s="20" t="n"/>
      <c r="G57" s="7" t="inlineStr">
        <is>
          <t>Resistência</t>
        </is>
      </c>
      <c r="H57" s="7" t="inlineStr">
        <is>
          <t>Ações agressivas</t>
        </is>
      </c>
      <c r="I57" s="7" t="inlineStr">
        <is>
          <t>Execução</t>
        </is>
      </c>
      <c r="J57" s="20" t="n"/>
      <c r="K57" s="7" t="inlineStr">
        <is>
          <t>Aviso</t>
        </is>
      </c>
      <c r="L57" s="20" t="n"/>
    </row>
    <row r="58" ht="26" customHeight="1">
      <c r="A58" s="32">
        <f>IF(LEN($BG$49)&gt;0,$BG$49,"1 · (vazia)")</f>
        <v/>
      </c>
      <c r="B58" s="17">
        <f>IF(ISNUMBER($N$49),INDEX('Inimigos'!$P$11:$P$54,$N$49)&amp;"","")</f>
        <v/>
      </c>
      <c r="C58" s="4">
        <f>$P$49&amp;IF(LEN($Q$49)&gt;0,", "&amp;$Q$49,"")&amp;IF(LEN($R$49)&gt;0,", "&amp;$R$49,"")&amp;IF(LEN($S$49)&gt;0,", "&amp;$S$49,"")</f>
        <v/>
      </c>
      <c r="G58" s="17">
        <f>IF(ISNUMBER($N$49),IF(LEN($T$49)&gt;0,$T$49,"—"),"")</f>
        <v/>
      </c>
      <c r="H58" s="17">
        <f>IF(ISNUMBER($N$49),$X$49,"")</f>
        <v/>
      </c>
      <c r="I58" s="4">
        <f>IF(ISNUMBER($N$49),IF(INDEX('Inimigos'!$AF$11:$AF$54,$N$49)&amp;""="Pode","Pode Executar (ser racional)",IF(INDEX('Inimigos'!$AF$11:$AF$54,$N$49)&amp;""="Não","Não Executa","Execução não declarada")),"")</f>
        <v/>
      </c>
      <c r="K58" s="18">
        <f>IF($O$49=0,"",IF($AC$49=1,"Faixa diferente da do grupo (28.4 passo 1: a faixa do inimigo é a do grupo)",IF($Z$49=1,"Resistência no Elemento de dois personagens (27.5)","")))</f>
        <v/>
      </c>
    </row>
    <row r="59" ht="26" customHeight="1">
      <c r="A59" s="33">
        <f>IF(LEN($BG$50)&gt;0,$BG$50,"2 · (vazia)")</f>
        <v/>
      </c>
      <c r="B59" s="29">
        <f>IF(ISNUMBER($N$50),INDEX('Inimigos'!$P$11:$P$54,$N$50)&amp;"","")</f>
        <v/>
      </c>
      <c r="C59" s="9">
        <f>$P$50&amp;IF(LEN($Q$50)&gt;0,", "&amp;$Q$50,"")&amp;IF(LEN($R$50)&gt;0,", "&amp;$R$50,"")&amp;IF(LEN($S$50)&gt;0,", "&amp;$S$50,"")</f>
        <v/>
      </c>
      <c r="G59" s="29">
        <f>IF(ISNUMBER($N$50),IF(LEN($T$50)&gt;0,$T$50,"—"),"")</f>
        <v/>
      </c>
      <c r="H59" s="29">
        <f>IF(ISNUMBER($N$50),$X$50,"")</f>
        <v/>
      </c>
      <c r="I59" s="9">
        <f>IF(ISNUMBER($N$50),IF(INDEX('Inimigos'!$AF$11:$AF$54,$N$50)&amp;""="Pode","Pode Executar (ser racional)",IF(INDEX('Inimigos'!$AF$11:$AF$54,$N$50)&amp;""="Não","Não Executa","Execução não declarada")),"")</f>
        <v/>
      </c>
      <c r="K59" s="26">
        <f>IF($O$50=0,"",IF($AC$50=1,"Faixa diferente da do grupo (28.4 passo 1: a faixa do inimigo é a do grupo)",IF($Z$50=1,"Resistência no Elemento de dois personagens (27.5)","")))</f>
        <v/>
      </c>
    </row>
    <row r="60" ht="26" customHeight="1">
      <c r="A60" s="32">
        <f>IF(LEN($BG$51)&gt;0,$BG$51,"3 · (vazia)")</f>
        <v/>
      </c>
      <c r="B60" s="17">
        <f>IF(ISNUMBER($N$51),INDEX('Inimigos'!$P$11:$P$54,$N$51)&amp;"","")</f>
        <v/>
      </c>
      <c r="C60" s="4">
        <f>$P$51&amp;IF(LEN($Q$51)&gt;0,", "&amp;$Q$51,"")&amp;IF(LEN($R$51)&gt;0,", "&amp;$R$51,"")&amp;IF(LEN($S$51)&gt;0,", "&amp;$S$51,"")</f>
        <v/>
      </c>
      <c r="G60" s="17">
        <f>IF(ISNUMBER($N$51),IF(LEN($T$51)&gt;0,$T$51,"—"),"")</f>
        <v/>
      </c>
      <c r="H60" s="17">
        <f>IF(ISNUMBER($N$51),$X$51,"")</f>
        <v/>
      </c>
      <c r="I60" s="4">
        <f>IF(ISNUMBER($N$51),IF(INDEX('Inimigos'!$AF$11:$AF$54,$N$51)&amp;""="Pode","Pode Executar (ser racional)",IF(INDEX('Inimigos'!$AF$11:$AF$54,$N$51)&amp;""="Não","Não Executa","Execução não declarada")),"")</f>
        <v/>
      </c>
      <c r="K60" s="18">
        <f>IF($O$51=0,"",IF($AC$51=1,"Faixa diferente da do grupo (28.4 passo 1: a faixa do inimigo é a do grupo)",IF($Z$51=1,"Resistência no Elemento de dois personagens (27.5)","")))</f>
        <v/>
      </c>
    </row>
    <row r="61" ht="26" customHeight="1">
      <c r="A61" s="33">
        <f>IF(LEN($BG$52)&gt;0,$BG$52,"4 · (vazia)")</f>
        <v/>
      </c>
      <c r="B61" s="29">
        <f>IF(ISNUMBER($N$52),INDEX('Inimigos'!$P$11:$P$54,$N$52)&amp;"","")</f>
        <v/>
      </c>
      <c r="C61" s="9">
        <f>$P$52&amp;IF(LEN($Q$52)&gt;0,", "&amp;$Q$52,"")&amp;IF(LEN($R$52)&gt;0,", "&amp;$R$52,"")&amp;IF(LEN($S$52)&gt;0,", "&amp;$S$52,"")</f>
        <v/>
      </c>
      <c r="G61" s="29">
        <f>IF(ISNUMBER($N$52),IF(LEN($T$52)&gt;0,$T$52,"—"),"")</f>
        <v/>
      </c>
      <c r="H61" s="29">
        <f>IF(ISNUMBER($N$52),$X$52,"")</f>
        <v/>
      </c>
      <c r="I61" s="9">
        <f>IF(ISNUMBER($N$52),IF(INDEX('Inimigos'!$AF$11:$AF$54,$N$52)&amp;""="Pode","Pode Executar (ser racional)",IF(INDEX('Inimigos'!$AF$11:$AF$54,$N$52)&amp;""="Não","Não Executa","Execução não declarada")),"")</f>
        <v/>
      </c>
      <c r="K61" s="26">
        <f>IF($O$52=0,"",IF($AC$52=1,"Faixa diferente da do grupo (28.4 passo 1: a faixa do inimigo é a do grupo)",IF($Z$52=1,"Resistência no Elemento de dois personagens (27.5)","")))</f>
        <v/>
      </c>
    </row>
    <row r="62" ht="26" customHeight="1">
      <c r="A62" s="32">
        <f>IF(LEN($BG$53)&gt;0,$BG$53,"5 · (vazia)")</f>
        <v/>
      </c>
      <c r="B62" s="17">
        <f>IF(ISNUMBER($N$53),INDEX('Inimigos'!$P$11:$P$54,$N$53)&amp;"","")</f>
        <v/>
      </c>
      <c r="C62" s="4">
        <f>$P$53&amp;IF(LEN($Q$53)&gt;0,", "&amp;$Q$53,"")&amp;IF(LEN($R$53)&gt;0,", "&amp;$R$53,"")&amp;IF(LEN($S$53)&gt;0,", "&amp;$S$53,"")</f>
        <v/>
      </c>
      <c r="G62" s="17">
        <f>IF(ISNUMBER($N$53),IF(LEN($T$53)&gt;0,$T$53,"—"),"")</f>
        <v/>
      </c>
      <c r="H62" s="17">
        <f>IF(ISNUMBER($N$53),$X$53,"")</f>
        <v/>
      </c>
      <c r="I62" s="4">
        <f>IF(ISNUMBER($N$53),IF(INDEX('Inimigos'!$AF$11:$AF$54,$N$53)&amp;""="Pode","Pode Executar (ser racional)",IF(INDEX('Inimigos'!$AF$11:$AF$54,$N$53)&amp;""="Não","Não Executa","Execução não declarada")),"")</f>
        <v/>
      </c>
      <c r="K62" s="18">
        <f>IF($O$53=0,"",IF($AC$53=1,"Faixa diferente da do grupo (28.4 passo 1: a faixa do inimigo é a do grupo)",IF($Z$53=1,"Resistência no Elemento de dois personagens (27.5)","")))</f>
        <v/>
      </c>
    </row>
    <row r="63" ht="26" customHeight="1">
      <c r="A63" s="33">
        <f>IF(LEN($BG$54)&gt;0,$BG$54,"6 · (vazia)")</f>
        <v/>
      </c>
      <c r="B63" s="29">
        <f>IF(ISNUMBER($N$54),INDEX('Inimigos'!$P$11:$P$54,$N$54)&amp;"","")</f>
        <v/>
      </c>
      <c r="C63" s="9">
        <f>$P$54&amp;IF(LEN($Q$54)&gt;0,", "&amp;$Q$54,"")&amp;IF(LEN($R$54)&gt;0,", "&amp;$R$54,"")&amp;IF(LEN($S$54)&gt;0,", "&amp;$S$54,"")</f>
        <v/>
      </c>
      <c r="G63" s="29">
        <f>IF(ISNUMBER($N$54),IF(LEN($T$54)&gt;0,$T$54,"—"),"")</f>
        <v/>
      </c>
      <c r="H63" s="29">
        <f>IF(ISNUMBER($N$54),$X$54,"")</f>
        <v/>
      </c>
      <c r="I63" s="9">
        <f>IF(ISNUMBER($N$54),IF(INDEX('Inimigos'!$AF$11:$AF$54,$N$54)&amp;""="Pode","Pode Executar (ser racional)",IF(INDEX('Inimigos'!$AF$11:$AF$54,$N$54)&amp;""="Não","Não Executa","Execução não declarada")),"")</f>
        <v/>
      </c>
      <c r="K63" s="26">
        <f>IF($O$54=0,"",IF($AC$54=1,"Faixa diferente da do grupo (28.4 passo 1: a faixa do inimigo é a do grupo)",IF($Z$54=1,"Resistência no Elemento de dois personagens (27.5)","")))</f>
        <v/>
      </c>
    </row>
    <row r="64" ht="26" customHeight="1">
      <c r="A64" s="32">
        <f>IF(LEN($BG$55)&gt;0,$BG$55,"7 · (vazia)")</f>
        <v/>
      </c>
      <c r="B64" s="17">
        <f>IF(ISNUMBER($N$55),INDEX('Inimigos'!$P$11:$P$54,$N$55)&amp;"","")</f>
        <v/>
      </c>
      <c r="C64" s="4">
        <f>$P$55&amp;IF(LEN($Q$55)&gt;0,", "&amp;$Q$55,"")&amp;IF(LEN($R$55)&gt;0,", "&amp;$R$55,"")&amp;IF(LEN($S$55)&gt;0,", "&amp;$S$55,"")</f>
        <v/>
      </c>
      <c r="G64" s="17">
        <f>IF(ISNUMBER($N$55),IF(LEN($T$55)&gt;0,$T$55,"—"),"")</f>
        <v/>
      </c>
      <c r="H64" s="17">
        <f>IF(ISNUMBER($N$55),$X$55,"")</f>
        <v/>
      </c>
      <c r="I64" s="4">
        <f>IF(ISNUMBER($N$55),IF(INDEX('Inimigos'!$AF$11:$AF$54,$N$55)&amp;""="Pode","Pode Executar (ser racional)",IF(INDEX('Inimigos'!$AF$11:$AF$54,$N$55)&amp;""="Não","Não Executa","Execução não declarada")),"")</f>
        <v/>
      </c>
      <c r="K64" s="18">
        <f>IF($O$55=0,"",IF($AC$55=1,"Faixa diferente da do grupo (28.4 passo 1: a faixa do inimigo é a do grupo)",IF($Z$55=1,"Resistência no Elemento de dois personagens (27.5)","")))</f>
        <v/>
      </c>
    </row>
    <row r="65" ht="26" customHeight="1">
      <c r="A65" s="33">
        <f>IF(LEN($BG$56)&gt;0,$BG$56,"8 · (vazia)")</f>
        <v/>
      </c>
      <c r="B65" s="29">
        <f>IF(ISNUMBER($N$56),INDEX('Inimigos'!$P$11:$P$54,$N$56)&amp;"","")</f>
        <v/>
      </c>
      <c r="C65" s="9">
        <f>$P$56&amp;IF(LEN($Q$56)&gt;0,", "&amp;$Q$56,"")&amp;IF(LEN($R$56)&gt;0,", "&amp;$R$56,"")&amp;IF(LEN($S$56)&gt;0,", "&amp;$S$56,"")</f>
        <v/>
      </c>
      <c r="G65" s="29">
        <f>IF(ISNUMBER($N$56),IF(LEN($T$56)&gt;0,$T$56,"—"),"")</f>
        <v/>
      </c>
      <c r="H65" s="29">
        <f>IF(ISNUMBER($N$56),$X$56,"")</f>
        <v/>
      </c>
      <c r="I65" s="9">
        <f>IF(ISNUMBER($N$56),IF(INDEX('Inimigos'!$AF$11:$AF$54,$N$56)&amp;""="Pode","Pode Executar (ser racional)",IF(INDEX('Inimigos'!$AF$11:$AF$54,$N$56)&amp;""="Não","Não Executa","Execução não declarada")),"")</f>
        <v/>
      </c>
      <c r="K65" s="26">
        <f>IF($O$56=0,"",IF($AC$56=1,"Faixa diferente da do grupo (28.4 passo 1: a faixa do inimigo é a do grupo)",IF($Z$56=1,"Resistência no Elemento de dois personagens (27.5)","")))</f>
        <v/>
      </c>
    </row>
    <row r="66" ht="26" customHeight="1">
      <c r="A66" s="8" t="inlineStr">
        <is>
          <t>Custo total</t>
        </is>
      </c>
      <c r="B66" s="17">
        <f>SUM($W$49:$W$56)</f>
        <v/>
      </c>
      <c r="C66" s="14" t="inlineStr">
        <is>
          <t>% do orçamento</t>
        </is>
      </c>
      <c r="D66" s="17">
        <f>IF($B$11&gt;0,INT((200*$B$66+$B$11)/(2*$B$11)),"")</f>
        <v/>
      </c>
      <c r="E66" s="14" t="inlineStr">
        <is>
          <t>Ciclos estimados</t>
        </is>
      </c>
      <c r="F66" s="17">
        <f>IF(OR($B$66=0,$B$12=0),"",INT((20*$B$66+20*IF($I$69&lt;3,1,0)*$B$12+$B$12)/(2*$B$12))/10)</f>
        <v/>
      </c>
      <c r="G66" s="4">
        <f>IF($B$66=0,"",IF(($B$66/$B$11)&lt;=0.6,"Cena de passagem — cerca de 2 Ciclos (27.4)",IF(($B$66/$B$11)&lt;=1.15,"Encontro típico — 3 a 5 Ciclos (27.4)",IF(($B$66/$B$11)&lt;=1.6,"Pesado","Dois orçamentos num só encontro: passa de 6 Ciclos (27.4)"))))</f>
        <v/>
      </c>
      <c r="K66" s="4">
        <f>IF($B$66=0,"","Ciclos e leitura: Sugestão da planilha — não é regra do livro (H6, H7)")</f>
        <v/>
      </c>
    </row>
    <row r="67">
      <c r="A67" s="21" t="inlineStr">
        <is>
          <t>Composição</t>
        </is>
      </c>
      <c r="B67" s="9">
        <f>IF($B$66=0,"",IF(IF(AND(SUMIF($U$49:$U$56,"Boss",$O$49:$O$56)=1,SUMIF($U$49:$U$56,"Elite",$O$49:$O$56)=0,SUMIF($U$49:$U$56,"Comum",$AG$49:$AG$56)=1),"1 Boss + 1 Comum — uma ameaça com nome, um estorvo. O combate é um duelo com interrupção (3 a 5 Ciclos, 27.4)",IF(AND(SUMIF($U$49:$U$56,"Boss",$O$49:$O$56)=0,SUMIF($U$49:$U$56,"Elite",$O$49:$O$56)=1,SUMIF($U$49:$U$56,"Comum",$AG$49:$AG$56)=4),"1 Elite + 4 Comuns — um comandante e a tropa dele. O grupo escolhe entre limpar os lados ou ir no chefe (3 a 4 Ciclos, 27.4)",IF(AND(SUMIF($U$49:$U$56,"Boss",$O$49:$O$56)=0,SUMIF($U$49:$U$56,"Elite",$O$49:$O$56)=3,SUMIF($U$49:$U$56,"Comum",$AG$49:$AG$56)=0),"3 Elites — três problemas simultâneos. É a mais pesada das quatro em dano recebido (3 a 4 Ciclos, 27.4)",IF(AND(SUMIF($U$49:$U$56,"Boss",$O$49:$O$56)=0,SUMIF($U$49:$U$56,"Elite",$O$49:$O$56)=0,SUMIF($U$49:$U$56,"Comum",$AG$49:$AG$56)=7),"7 Comuns — pelotão. Morre rápido e ainda assim morde (2 a 3 Ciclos, 27.4)",""))))="",SUMIF($U$49:$U$56,"Boss",$O$49:$O$56)&amp;" Boss, "&amp;SUMIF($U$49:$U$56,"Elite",$O$49:$O$56)&amp;" Elite, "&amp;SUMIF($U$49:$U$56,"Comum",$AG$49:$AG$56)&amp;" Comum: não é uma das quatro composições de 27.4",IF(AND(SUMIF($U$49:$U$56,"Boss",$O$49:$O$56)=1,SUMIF($U$49:$U$56,"Elite",$O$49:$O$56)=0,SUMIF($U$49:$U$56,"Comum",$AG$49:$AG$56)=1),"1 Boss + 1 Comum — uma ameaça com nome, um estorvo. O combate é um duelo com interrupção (3 a 5 Ciclos, 27.4)",IF(AND(SUMIF($U$49:$U$56,"Boss",$O$49:$O$56)=0,SUMIF($U$49:$U$56,"Elite",$O$49:$O$56)=1,SUMIF($U$49:$U$56,"Comum",$AG$49:$AG$56)=4),"1 Elite + 4 Comuns — um comandante e a tropa dele. O grupo escolhe entre limpar os lados ou ir no chefe (3 a 4 Ciclos, 27.4)",IF(AND(SUMIF($U$49:$U$56,"Boss",$O$49:$O$56)=0,SUMIF($U$49:$U$56,"Elite",$O$49:$O$56)=3,SUMIF($U$49:$U$56,"Comum",$AG$49:$AG$56)=0),"3 Elites — três problemas simultâneos. É a mais pesada das quatro em dano recebido (3 a 4 Ciclos, 27.4)",IF(AND(SUMIF($U$49:$U$56,"Boss",$O$49:$O$56)=0,SUMIF($U$49:$U$56,"Elite",$O$49:$O$56)=0,SUMIF($U$49:$U$56,"Comum",$AG$49:$AG$56)=7),"7 Comuns — pelotão. Morre rápido e ainda assim morde (2 a 3 Ciclos, 27.4)",""))))))</f>
        <v/>
      </c>
    </row>
    <row r="68">
      <c r="A68" s="7" t="inlineStr">
        <is>
          <t>Contrato (27.5)</t>
        </is>
      </c>
      <c r="B68" s="7" t="inlineStr">
        <is>
          <t>Físico</t>
        </is>
      </c>
      <c r="C68" s="7" t="inlineStr">
        <is>
          <t>Fogo</t>
        </is>
      </c>
      <c r="D68" s="7" t="inlineStr">
        <is>
          <t>Gelo</t>
        </is>
      </c>
      <c r="E68" s="7" t="inlineStr">
        <is>
          <t>Raio</t>
        </is>
      </c>
      <c r="F68" s="7" t="inlineStr">
        <is>
          <t>Vento</t>
        </is>
      </c>
      <c r="G68" s="7" t="inlineStr">
        <is>
          <t>Quântico</t>
        </is>
      </c>
      <c r="H68" s="7" t="inlineStr">
        <is>
          <t>Imaginário</t>
        </is>
      </c>
      <c r="I68" s="7" t="inlineStr">
        <is>
          <t>Cobertos</t>
        </is>
      </c>
      <c r="J68" s="7" t="inlineStr">
        <is>
          <t>Contrato</t>
        </is>
      </c>
      <c r="K68" s="7" t="inlineStr">
        <is>
          <t>Aviso</t>
        </is>
      </c>
      <c r="L68" s="20" t="n"/>
    </row>
    <row r="69" ht="37" customHeight="1">
      <c r="A69" s="8" t="inlineStr">
        <is>
          <t>Fraqueza na cena?</t>
        </is>
      </c>
      <c r="B69" s="17">
        <f>IF('Grupo'!$B$44="Sim",IF(COUNTIF($P$49:$S$56,"Físico")&gt;0,"Sim","Não"),"—")</f>
        <v/>
      </c>
      <c r="C69" s="17">
        <f>IF('Grupo'!$C$44="Sim",IF(COUNTIF($P$49:$S$56,"Fogo")&gt;0,"Sim","Não"),"—")</f>
        <v/>
      </c>
      <c r="D69" s="17">
        <f>IF('Grupo'!$D$44="Sim",IF(COUNTIF($P$49:$S$56,"Gelo")&gt;0,"Sim","Não"),"—")</f>
        <v/>
      </c>
      <c r="E69" s="17">
        <f>IF('Grupo'!$E$44="Sim",IF(COUNTIF($P$49:$S$56,"Raio")&gt;0,"Sim","Não"),"—")</f>
        <v/>
      </c>
      <c r="F69" s="17">
        <f>IF('Grupo'!$F$44="Sim",IF(COUNTIF($P$49:$S$56,"Vento")&gt;0,"Sim","Não"),"—")</f>
        <v/>
      </c>
      <c r="G69" s="17">
        <f>IF('Grupo'!$G$44="Sim",IF(COUNTIF($P$49:$S$56,"Quântico")&gt;0,"Sim","Não"),"—")</f>
        <v/>
      </c>
      <c r="H69" s="17">
        <f>IF('Grupo'!$H$44="Sim",IF(COUNTIF($P$49:$S$56,"Imaginário")&gt;0,"Sim","Não"),"—")</f>
        <v/>
      </c>
      <c r="I69" s="17">
        <f>COUNTIF(B69:H69,"Sim")</f>
        <v/>
      </c>
      <c r="J69" s="17">
        <f>IF($B$66=0,"",IF($I$69&gt;=3,"Cumprido","Não cumprido"))</f>
        <v/>
      </c>
      <c r="K69" s="18">
        <f>IF(OR($B$66=0,$I$69&gt;=3),"","Contrato não cumprido: encontro deliberadamente mais duro, cerca de 1 Ciclo a mais (27.5)")</f>
        <v/>
      </c>
    </row>
    <row r="70">
      <c r="A70" s="21" t="inlineStr">
        <is>
          <t>Se não cumprir</t>
        </is>
      </c>
      <c r="B70" s="9">
        <f>IF(OR($B$66=0,$I$69&gt;=3),"","Três saídas (27.5): distribua as Fraquezas entre vários inimigos; deixe o grupo criar a Fraqueza (Implante de Fraqueza, 08); aceite o Ciclo extra e avise a mesa.")</f>
        <v/>
      </c>
    </row>
    <row r="71">
      <c r="A71" s="8" t="inlineStr">
        <is>
          <t>Regra irmã e DT</t>
        </is>
      </c>
      <c r="B71" s="4">
        <f>IF($B$66=0,"",IF(SUM($Z$49:$Z$56)&gt;0,"Há Resistência no Elemento de dois personagens: troque-a (27.5)","Nenhuma Resistência aponta para o Elemento de dois personagens (27.5)"))</f>
        <v/>
      </c>
      <c r="G71" s="4">
        <f>IF($B$66=0,"","DT para descobrir Fraqueza: "&amp;INDEX('Dados'!$B$293:$B$297,MAX(1,MAX($AD$49:$AD$56)))&amp;" (20.2, faixa do mais forte)"&amp;IF(COUNTIF('Grupo'!$R$7:$R$12,"Intellitron")&gt;0,"; Intellitron: Vantagem e 2 por sucesso",""))</f>
        <v/>
      </c>
    </row>
    <row r="72">
      <c r="A72" s="21" t="inlineStr">
        <is>
          <t>Avisos de ficha</t>
        </is>
      </c>
      <c r="B72" s="26">
        <f>IF(AND(SUM($AA$49:$AA$56)&gt;0,SUM($O$49:$O$56)&gt;1),"Pretor Vazio-Nove e Dramaturgo: monte sozinho, os reforços são o que ele tem em vez de acompanhantes (28.7, 28.8)",IF(AND(SUM($AB$49:$AB$56)&gt;0,SUMIF($U$49:$U$56,"Comum",$AG$49:$AG$56)&gt;0),"O Germe de Pavor vem sozinho: o Parto falso traz os Comuns (28.11)",""))</f>
        <v/>
      </c>
    </row>
    <row r="73"/>
    <row r="74" ht="20" customHeight="1">
      <c r="A74" s="12" t="inlineStr">
        <is>
          <t>Encontro C</t>
        </is>
      </c>
    </row>
    <row r="75" ht="26" customHeight="1">
      <c r="A75" s="8" t="inlineStr">
        <is>
          <t>Nome do encontro</t>
        </is>
      </c>
      <c r="B75" s="3" t="n"/>
      <c r="C75" s="24" t="n"/>
      <c r="D75" s="24" t="n"/>
      <c r="E75" s="16" t="n"/>
      <c r="F75" s="14" t="inlineStr">
        <is>
          <t>Ambiente</t>
        </is>
      </c>
      <c r="G75" s="3" t="n"/>
      <c r="H75" s="24" t="n"/>
      <c r="I75" s="24" t="n"/>
      <c r="J75" s="16" t="n"/>
      <c r="K75" s="18">
        <f>IF(BN75&gt;0,"O Google leu como fórmula: digite de novo com ' na frente.","")</f>
        <v/>
      </c>
      <c r="BN75" s="19">
        <f>ISERROR($B$75)*1+ISERROR($G$75)*1</f>
        <v/>
      </c>
    </row>
    <row r="76" ht="26" customHeight="1">
      <c r="A76" s="7" t="inlineStr">
        <is>
          <t>Criatura (preencha)</t>
        </is>
      </c>
      <c r="B76" s="20" t="n"/>
      <c r="C76" s="7" t="inlineStr">
        <is>
          <t>Quantidade</t>
        </is>
      </c>
      <c r="D76" s="7" t="inlineStr">
        <is>
          <t>Fraqueza nesta cena 1</t>
        </is>
      </c>
      <c r="E76" s="7" t="inlineStr">
        <is>
          <t>Fraqueza nesta cena 2</t>
        </is>
      </c>
      <c r="F76" s="7" t="inlineStr">
        <is>
          <t>Fraqueza nesta cena 3</t>
        </is>
      </c>
      <c r="G76" s="7" t="inlineStr">
        <is>
          <t>Fraqueza nesta cena 4</t>
        </is>
      </c>
      <c r="H76" s="7" t="inlineStr">
        <is>
          <t>Tipo</t>
        </is>
      </c>
      <c r="I76" s="7" t="inlineStr">
        <is>
          <t>PV</t>
        </is>
      </c>
      <c r="J76" s="7" t="inlineStr">
        <is>
          <t>Custo</t>
        </is>
      </c>
      <c r="K76" s="7" t="inlineStr">
        <is>
          <t>Aviso</t>
        </is>
      </c>
      <c r="L76" s="20" t="n"/>
    </row>
    <row r="77" ht="26" customHeight="1">
      <c r="A77" s="30" t="n"/>
      <c r="B77" s="16" t="n"/>
      <c r="C77" s="15" t="n"/>
      <c r="D77" s="36" t="n"/>
      <c r="E77" s="36" t="n"/>
      <c r="F77" s="36" t="n"/>
      <c r="G77" s="36" t="n"/>
      <c r="H77" s="17">
        <f>IF(ISNUMBER($N$77),INDEX('Inimigos'!$O$11:$O$54,$N$77)&amp;"","")</f>
        <v/>
      </c>
      <c r="I77" s="17">
        <f>IF(ISNUMBER($N$77),INDEX('Inimigos'!$Q$11:$Q$54,$N$77),"")</f>
        <v/>
      </c>
      <c r="J77" s="17">
        <f>IF(ISNUMBER($N$77),$W$77,"")</f>
        <v/>
      </c>
      <c r="K77" s="18">
        <f>IF(BN77&gt;0,"O Google leu como fórmula: escolha de novo ou digite com ' na frente.",IF(LEN($BG$77)=0,"",IF(NOT(ISNUMBER($N$77)),"Criatura fora da lista (Inimigos e Bestiário)",IF(AND(ISNUMBER($BI$77),OR($BI$77&lt;0,$BI$77&gt;10)),"Quantidade fora de 0 a 10: usando o limite",IF((IF(AND(LEN($BJ$77)&gt;0,$BJ$77=$BK$77),1,0)+IF(AND(LEN($BJ$77)&gt;0,$BJ$77=$BL$77),1,0)+IF(AND(LEN($BJ$77)&gt;0,$BJ$77=$BM$77),1,0)+IF(AND(LEN($BK$77)&gt;0,$BK$77=$BL$77),1,0)+IF(AND(LEN($BK$77)&gt;0,$BK$77=$BM$77),1,0)+IF(AND(LEN($BL$77)&gt;0,$BL$77=$BM$77),1,0))&gt;0,"Fraqueza repetida nesta cena",IF(AND($AF$77&gt;0,$AF$77&lt;&gt;(IF(LEN(INDEX('Inimigos'!$AA$11:$AA$54,$N$77)&amp;"")&gt;0,1,0)+IF(LEN(INDEX('Inimigos'!$AB$11:$AB$54,$N$77)&amp;"")&gt;0,1,0)+IF(LEN(INDEX('Inimigos'!$AC$11:$AC$54,$N$77)&amp;"")&gt;0,1,0)+IF(LEN(INDEX('Inimigos'!$AD$11:$AD$54,$N$77)&amp;"")&gt;0,1,0))),"O nº de Fraquezas é regra (28.2 regra 7): troque, não acrescente nem tire",IF(AND(LEN($T$77)&gt;0,COUNTIF($P$77:$S$77,$T$77)&gt;0),"Fraqueza igual à Resistência da ficha","")))))))</f>
        <v/>
      </c>
      <c r="N77" s="19">
        <f>IF(LEN($BG$77)=0,"",IFERROR(MATCH($BG$77,'Inimigos'!$N$11:$N$54,0),""))</f>
        <v/>
      </c>
      <c r="O77" s="19">
        <f>IF(ISNUMBER($N$77),IF(ISNUMBER($BI$77),MIN(10,MAX(0,INT($BI$77))),1),0)</f>
        <v/>
      </c>
      <c r="P77" s="19">
        <f>IF($O$77=0,"",IF(OR(LEN($BJ$77)&gt;0,LEN($BK$77)&gt;0,LEN($BL$77)&gt;0,LEN($BM$77)&gt;0),$BJ$77&amp;"",INDEX('Inimigos'!$AA$11:$AA$54,$N$77)&amp;""))</f>
        <v/>
      </c>
      <c r="Q77" s="19">
        <f>IF($O$77=0,"",IF(OR(LEN($BJ$77)&gt;0,LEN($BK$77)&gt;0,LEN($BL$77)&gt;0,LEN($BM$77)&gt;0),$BK$77&amp;"",INDEX('Inimigos'!$AB$11:$AB$54,$N$77)&amp;""))</f>
        <v/>
      </c>
      <c r="R77" s="19">
        <f>IF($O$77=0,"",IF(OR(LEN($BJ$77)&gt;0,LEN($BK$77)&gt;0,LEN($BL$77)&gt;0,LEN($BM$77)&gt;0),$BL$77&amp;"",INDEX('Inimigos'!$AC$11:$AC$54,$N$77)&amp;""))</f>
        <v/>
      </c>
      <c r="S77" s="19">
        <f>IF($O$77=0,"",IF(OR(LEN($BJ$77)&gt;0,LEN($BK$77)&gt;0,LEN($BL$77)&gt;0,LEN($BM$77)&gt;0),$BM$77&amp;"",INDEX('Inimigos'!$AD$11:$AD$54,$N$77)&amp;""))</f>
        <v/>
      </c>
      <c r="T77" s="19">
        <f>IF($O$77=0,"",INDEX('Inimigos'!$AE$11:$AE$54,$N$77)&amp;"")</f>
        <v/>
      </c>
      <c r="U77" s="19">
        <f>IF(ISNUMBER($N$77),INDEX('Inimigos'!$O$11:$O$54,$N$77)&amp;"","")</f>
        <v/>
      </c>
      <c r="V77" s="19">
        <f>IF(ISNUMBER($N$77),INDEX('Inimigos'!$BF$11:$BF$54,$N$77),"")</f>
        <v/>
      </c>
      <c r="W77" s="19">
        <f>IF($O$77=0,0,INDEX('Inimigos'!$AI$11:$AI$54,$N$77)*$O$77)</f>
        <v/>
      </c>
      <c r="X77" s="19">
        <f>IF($O$77=0,0,INDEX('Inimigos'!$AH$11:$AH$54,$N$77)*$O$77)</f>
        <v/>
      </c>
      <c r="Y77" s="19">
        <f>$O$77</f>
        <v/>
      </c>
      <c r="Z77" s="19">
        <f>IF(AND($O$77&gt;0,LEN($T$77)&gt;0),IF(COUNTIF('Grupo'!$T$7:$T$12,$T$77)&gt;=2,1,0),0)</f>
        <v/>
      </c>
      <c r="AA77" s="19">
        <f>IF(AND($O$77&gt;0,OR($AE$77="Pretor Vazio-Nove",$AE$77="O Dramaturgo de Mil Faces")),1,0)</f>
        <v/>
      </c>
      <c r="AB77" s="19">
        <f>IF(AND($O$77&gt;0,$AE$77="O Germe de Pavor"),1,0)</f>
        <v/>
      </c>
      <c r="AC77" s="19">
        <f>IF(AND($O$77&gt;0,$V$77&lt;&gt;$N$8),1,0)</f>
        <v/>
      </c>
      <c r="AD77" s="19">
        <f>IF($O$77&gt;0,$V$77,0)</f>
        <v/>
      </c>
      <c r="AE77" s="19">
        <f>IF(ISNUMBER($N$77),INDEX('Inimigos'!$N$11:$N$54,$N$77)&amp;"","")</f>
        <v/>
      </c>
      <c r="AF77" s="19">
        <f>IF(LEN($BJ$77)&gt;0,1,0)+IF(LEN($BK$77)&gt;0,1,0)+IF(LEN($BL$77)&gt;0,1,0)+IF(LEN($BM$77)&gt;0,1,0)</f>
        <v/>
      </c>
      <c r="AG77" s="19">
        <f>$O$77*IF($AE$77="Escória de Stellaron",1.5,1)</f>
        <v/>
      </c>
      <c r="BG77" s="19">
        <f>IF(ISERROR($A$77),"",IF(ISBLANK($A$77),"",$A$77))</f>
        <v/>
      </c>
      <c r="BI77" s="19">
        <f>IF(ISERROR($C$77),"",IF(ISBLANK($C$77),"",$C$77))</f>
        <v/>
      </c>
      <c r="BJ77" s="19">
        <f>IF(ISERROR($D$77),"",IF(ISBLANK($D$77),"",$D$77))</f>
        <v/>
      </c>
      <c r="BK77" s="19">
        <f>IF(ISERROR($E$77),"",IF(ISBLANK($E$77),"",$E$77))</f>
        <v/>
      </c>
      <c r="BL77" s="19">
        <f>IF(ISERROR($F$77),"",IF(ISBLANK($F$77),"",$F$77))</f>
        <v/>
      </c>
      <c r="BM77" s="19">
        <f>IF(ISERROR($G$77),"",IF(ISBLANK($G$77),"",$G$77))</f>
        <v/>
      </c>
      <c r="BN77" s="19">
        <f>ISERROR($A$77)*1+ISERROR($C$77)*1+ISERROR($D$77)*1+ISERROR($E$77)*1+ISERROR($F$77)*1+ISERROR($G$77)*1</f>
        <v/>
      </c>
    </row>
    <row r="78" ht="26" customHeight="1">
      <c r="A78" s="31" t="n"/>
      <c r="B78" s="16" t="n"/>
      <c r="C78" s="34" t="n"/>
      <c r="D78" s="42" t="n"/>
      <c r="E78" s="42" t="n"/>
      <c r="F78" s="42" t="n"/>
      <c r="G78" s="42" t="n"/>
      <c r="H78" s="29">
        <f>IF(ISNUMBER($N$78),INDEX('Inimigos'!$O$11:$O$54,$N$78)&amp;"","")</f>
        <v/>
      </c>
      <c r="I78" s="29">
        <f>IF(ISNUMBER($N$78),INDEX('Inimigos'!$Q$11:$Q$54,$N$78),"")</f>
        <v/>
      </c>
      <c r="J78" s="29">
        <f>IF(ISNUMBER($N$78),$W$78,"")</f>
        <v/>
      </c>
      <c r="K78" s="26">
        <f>IF(BN78&gt;0,"O Google leu como fórmula: escolha de novo ou digite com ' na frente.",IF(LEN($BG$78)=0,"",IF(NOT(ISNUMBER($N$78)),"Criatura fora da lista (Inimigos e Bestiário)",IF(AND(ISNUMBER($BI$78),OR($BI$78&lt;0,$BI$78&gt;10)),"Quantidade fora de 0 a 10: usando o limite",IF((IF(AND(LEN($BJ$78)&gt;0,$BJ$78=$BK$78),1,0)+IF(AND(LEN($BJ$78)&gt;0,$BJ$78=$BL$78),1,0)+IF(AND(LEN($BJ$78)&gt;0,$BJ$78=$BM$78),1,0)+IF(AND(LEN($BK$78)&gt;0,$BK$78=$BL$78),1,0)+IF(AND(LEN($BK$78)&gt;0,$BK$78=$BM$78),1,0)+IF(AND(LEN($BL$78)&gt;0,$BL$78=$BM$78),1,0))&gt;0,"Fraqueza repetida nesta cena",IF(AND($AF$78&gt;0,$AF$78&lt;&gt;(IF(LEN(INDEX('Inimigos'!$AA$11:$AA$54,$N$78)&amp;"")&gt;0,1,0)+IF(LEN(INDEX('Inimigos'!$AB$11:$AB$54,$N$78)&amp;"")&gt;0,1,0)+IF(LEN(INDEX('Inimigos'!$AC$11:$AC$54,$N$78)&amp;"")&gt;0,1,0)+IF(LEN(INDEX('Inimigos'!$AD$11:$AD$54,$N$78)&amp;"")&gt;0,1,0))),"O nº de Fraquezas é regra (28.2 regra 7): troque, não acrescente nem tire",IF(AND(LEN($T$78)&gt;0,COUNTIF($P$78:$S$78,$T$78)&gt;0),"Fraqueza igual à Resistência da ficha","")))))))</f>
        <v/>
      </c>
      <c r="N78" s="19">
        <f>IF(LEN($BG$78)=0,"",IFERROR(MATCH($BG$78,'Inimigos'!$N$11:$N$54,0),""))</f>
        <v/>
      </c>
      <c r="O78" s="19">
        <f>IF(ISNUMBER($N$78),IF(ISNUMBER($BI$78),MIN(10,MAX(0,INT($BI$78))),1),0)</f>
        <v/>
      </c>
      <c r="P78" s="19">
        <f>IF($O$78=0,"",IF(OR(LEN($BJ$78)&gt;0,LEN($BK$78)&gt;0,LEN($BL$78)&gt;0,LEN($BM$78)&gt;0),$BJ$78&amp;"",INDEX('Inimigos'!$AA$11:$AA$54,$N$78)&amp;""))</f>
        <v/>
      </c>
      <c r="Q78" s="19">
        <f>IF($O$78=0,"",IF(OR(LEN($BJ$78)&gt;0,LEN($BK$78)&gt;0,LEN($BL$78)&gt;0,LEN($BM$78)&gt;0),$BK$78&amp;"",INDEX('Inimigos'!$AB$11:$AB$54,$N$78)&amp;""))</f>
        <v/>
      </c>
      <c r="R78" s="19">
        <f>IF($O$78=0,"",IF(OR(LEN($BJ$78)&gt;0,LEN($BK$78)&gt;0,LEN($BL$78)&gt;0,LEN($BM$78)&gt;0),$BL$78&amp;"",INDEX('Inimigos'!$AC$11:$AC$54,$N$78)&amp;""))</f>
        <v/>
      </c>
      <c r="S78" s="19">
        <f>IF($O$78=0,"",IF(OR(LEN($BJ$78)&gt;0,LEN($BK$78)&gt;0,LEN($BL$78)&gt;0,LEN($BM$78)&gt;0),$BM$78&amp;"",INDEX('Inimigos'!$AD$11:$AD$54,$N$78)&amp;""))</f>
        <v/>
      </c>
      <c r="T78" s="19">
        <f>IF($O$78=0,"",INDEX('Inimigos'!$AE$11:$AE$54,$N$78)&amp;"")</f>
        <v/>
      </c>
      <c r="U78" s="19">
        <f>IF(ISNUMBER($N$78),INDEX('Inimigos'!$O$11:$O$54,$N$78)&amp;"","")</f>
        <v/>
      </c>
      <c r="V78" s="19">
        <f>IF(ISNUMBER($N$78),INDEX('Inimigos'!$BF$11:$BF$54,$N$78),"")</f>
        <v/>
      </c>
      <c r="W78" s="19">
        <f>IF($O$78=0,0,INDEX('Inimigos'!$AI$11:$AI$54,$N$78)*$O$78)</f>
        <v/>
      </c>
      <c r="X78" s="19">
        <f>IF($O$78=0,0,INDEX('Inimigos'!$AH$11:$AH$54,$N$78)*$O$78)</f>
        <v/>
      </c>
      <c r="Y78" s="19">
        <f>$Y$77+$O$78</f>
        <v/>
      </c>
      <c r="Z78" s="19">
        <f>IF(AND($O$78&gt;0,LEN($T$78)&gt;0),IF(COUNTIF('Grupo'!$T$7:$T$12,$T$78)&gt;=2,1,0),0)</f>
        <v/>
      </c>
      <c r="AA78" s="19">
        <f>IF(AND($O$78&gt;0,OR($AE$78="Pretor Vazio-Nove",$AE$78="O Dramaturgo de Mil Faces")),1,0)</f>
        <v/>
      </c>
      <c r="AB78" s="19">
        <f>IF(AND($O$78&gt;0,$AE$78="O Germe de Pavor"),1,0)</f>
        <v/>
      </c>
      <c r="AC78" s="19">
        <f>IF(AND($O$78&gt;0,$V$78&lt;&gt;$N$8),1,0)</f>
        <v/>
      </c>
      <c r="AD78" s="19">
        <f>IF($O$78&gt;0,$V$78,0)</f>
        <v/>
      </c>
      <c r="AE78" s="19">
        <f>IF(ISNUMBER($N$78),INDEX('Inimigos'!$N$11:$N$54,$N$78)&amp;"","")</f>
        <v/>
      </c>
      <c r="AF78" s="19">
        <f>IF(LEN($BJ$78)&gt;0,1,0)+IF(LEN($BK$78)&gt;0,1,0)+IF(LEN($BL$78)&gt;0,1,0)+IF(LEN($BM$78)&gt;0,1,0)</f>
        <v/>
      </c>
      <c r="AG78" s="19">
        <f>$O$78*IF($AE$78="Escória de Stellaron",1.5,1)</f>
        <v/>
      </c>
      <c r="BG78" s="19">
        <f>IF(ISERROR($A$78),"",IF(ISBLANK($A$78),"",$A$78))</f>
        <v/>
      </c>
      <c r="BI78" s="19">
        <f>IF(ISERROR($C$78),"",IF(ISBLANK($C$78),"",$C$78))</f>
        <v/>
      </c>
      <c r="BJ78" s="19">
        <f>IF(ISERROR($D$78),"",IF(ISBLANK($D$78),"",$D$78))</f>
        <v/>
      </c>
      <c r="BK78" s="19">
        <f>IF(ISERROR($E$78),"",IF(ISBLANK($E$78),"",$E$78))</f>
        <v/>
      </c>
      <c r="BL78" s="19">
        <f>IF(ISERROR($F$78),"",IF(ISBLANK($F$78),"",$F$78))</f>
        <v/>
      </c>
      <c r="BM78" s="19">
        <f>IF(ISERROR($G$78),"",IF(ISBLANK($G$78),"",$G$78))</f>
        <v/>
      </c>
      <c r="BN78" s="19">
        <f>ISERROR($A$78)*1+ISERROR($C$78)*1+ISERROR($D$78)*1+ISERROR($E$78)*1+ISERROR($F$78)*1+ISERROR($G$78)*1</f>
        <v/>
      </c>
    </row>
    <row r="79" ht="26" customHeight="1">
      <c r="A79" s="30" t="n"/>
      <c r="B79" s="16" t="n"/>
      <c r="C79" s="15" t="n"/>
      <c r="D79" s="36" t="n"/>
      <c r="E79" s="36" t="n"/>
      <c r="F79" s="36" t="n"/>
      <c r="G79" s="36" t="n"/>
      <c r="H79" s="17">
        <f>IF(ISNUMBER($N$79),INDEX('Inimigos'!$O$11:$O$54,$N$79)&amp;"","")</f>
        <v/>
      </c>
      <c r="I79" s="17">
        <f>IF(ISNUMBER($N$79),INDEX('Inimigos'!$Q$11:$Q$54,$N$79),"")</f>
        <v/>
      </c>
      <c r="J79" s="17">
        <f>IF(ISNUMBER($N$79),$W$79,"")</f>
        <v/>
      </c>
      <c r="K79" s="18">
        <f>IF(BN79&gt;0,"O Google leu como fórmula: escolha de novo ou digite com ' na frente.",IF(LEN($BG$79)=0,"",IF(NOT(ISNUMBER($N$79)),"Criatura fora da lista (Inimigos e Bestiário)",IF(AND(ISNUMBER($BI$79),OR($BI$79&lt;0,$BI$79&gt;10)),"Quantidade fora de 0 a 10: usando o limite",IF((IF(AND(LEN($BJ$79)&gt;0,$BJ$79=$BK$79),1,0)+IF(AND(LEN($BJ$79)&gt;0,$BJ$79=$BL$79),1,0)+IF(AND(LEN($BJ$79)&gt;0,$BJ$79=$BM$79),1,0)+IF(AND(LEN($BK$79)&gt;0,$BK$79=$BL$79),1,0)+IF(AND(LEN($BK$79)&gt;0,$BK$79=$BM$79),1,0)+IF(AND(LEN($BL$79)&gt;0,$BL$79=$BM$79),1,0))&gt;0,"Fraqueza repetida nesta cena",IF(AND($AF$79&gt;0,$AF$79&lt;&gt;(IF(LEN(INDEX('Inimigos'!$AA$11:$AA$54,$N$79)&amp;"")&gt;0,1,0)+IF(LEN(INDEX('Inimigos'!$AB$11:$AB$54,$N$79)&amp;"")&gt;0,1,0)+IF(LEN(INDEX('Inimigos'!$AC$11:$AC$54,$N$79)&amp;"")&gt;0,1,0)+IF(LEN(INDEX('Inimigos'!$AD$11:$AD$54,$N$79)&amp;"")&gt;0,1,0))),"O nº de Fraquezas é regra (28.2 regra 7): troque, não acrescente nem tire",IF(AND(LEN($T$79)&gt;0,COUNTIF($P$79:$S$79,$T$79)&gt;0),"Fraqueza igual à Resistência da ficha","")))))))</f>
        <v/>
      </c>
      <c r="N79" s="19">
        <f>IF(LEN($BG$79)=0,"",IFERROR(MATCH($BG$79,'Inimigos'!$N$11:$N$54,0),""))</f>
        <v/>
      </c>
      <c r="O79" s="19">
        <f>IF(ISNUMBER($N$79),IF(ISNUMBER($BI$79),MIN(10,MAX(0,INT($BI$79))),1),0)</f>
        <v/>
      </c>
      <c r="P79" s="19">
        <f>IF($O$79=0,"",IF(OR(LEN($BJ$79)&gt;0,LEN($BK$79)&gt;0,LEN($BL$79)&gt;0,LEN($BM$79)&gt;0),$BJ$79&amp;"",INDEX('Inimigos'!$AA$11:$AA$54,$N$79)&amp;""))</f>
        <v/>
      </c>
      <c r="Q79" s="19">
        <f>IF($O$79=0,"",IF(OR(LEN($BJ$79)&gt;0,LEN($BK$79)&gt;0,LEN($BL$79)&gt;0,LEN($BM$79)&gt;0),$BK$79&amp;"",INDEX('Inimigos'!$AB$11:$AB$54,$N$79)&amp;""))</f>
        <v/>
      </c>
      <c r="R79" s="19">
        <f>IF($O$79=0,"",IF(OR(LEN($BJ$79)&gt;0,LEN($BK$79)&gt;0,LEN($BL$79)&gt;0,LEN($BM$79)&gt;0),$BL$79&amp;"",INDEX('Inimigos'!$AC$11:$AC$54,$N$79)&amp;""))</f>
        <v/>
      </c>
      <c r="S79" s="19">
        <f>IF($O$79=0,"",IF(OR(LEN($BJ$79)&gt;0,LEN($BK$79)&gt;0,LEN($BL$79)&gt;0,LEN($BM$79)&gt;0),$BM$79&amp;"",INDEX('Inimigos'!$AD$11:$AD$54,$N$79)&amp;""))</f>
        <v/>
      </c>
      <c r="T79" s="19">
        <f>IF($O$79=0,"",INDEX('Inimigos'!$AE$11:$AE$54,$N$79)&amp;"")</f>
        <v/>
      </c>
      <c r="U79" s="19">
        <f>IF(ISNUMBER($N$79),INDEX('Inimigos'!$O$11:$O$54,$N$79)&amp;"","")</f>
        <v/>
      </c>
      <c r="V79" s="19">
        <f>IF(ISNUMBER($N$79),INDEX('Inimigos'!$BF$11:$BF$54,$N$79),"")</f>
        <v/>
      </c>
      <c r="W79" s="19">
        <f>IF($O$79=0,0,INDEX('Inimigos'!$AI$11:$AI$54,$N$79)*$O$79)</f>
        <v/>
      </c>
      <c r="X79" s="19">
        <f>IF($O$79=0,0,INDEX('Inimigos'!$AH$11:$AH$54,$N$79)*$O$79)</f>
        <v/>
      </c>
      <c r="Y79" s="19">
        <f>$Y$78+$O$79</f>
        <v/>
      </c>
      <c r="Z79" s="19">
        <f>IF(AND($O$79&gt;0,LEN($T$79)&gt;0),IF(COUNTIF('Grupo'!$T$7:$T$12,$T$79)&gt;=2,1,0),0)</f>
        <v/>
      </c>
      <c r="AA79" s="19">
        <f>IF(AND($O$79&gt;0,OR($AE$79="Pretor Vazio-Nove",$AE$79="O Dramaturgo de Mil Faces")),1,0)</f>
        <v/>
      </c>
      <c r="AB79" s="19">
        <f>IF(AND($O$79&gt;0,$AE$79="O Germe de Pavor"),1,0)</f>
        <v/>
      </c>
      <c r="AC79" s="19">
        <f>IF(AND($O$79&gt;0,$V$79&lt;&gt;$N$8),1,0)</f>
        <v/>
      </c>
      <c r="AD79" s="19">
        <f>IF($O$79&gt;0,$V$79,0)</f>
        <v/>
      </c>
      <c r="AE79" s="19">
        <f>IF(ISNUMBER($N$79),INDEX('Inimigos'!$N$11:$N$54,$N$79)&amp;"","")</f>
        <v/>
      </c>
      <c r="AF79" s="19">
        <f>IF(LEN($BJ$79)&gt;0,1,0)+IF(LEN($BK$79)&gt;0,1,0)+IF(LEN($BL$79)&gt;0,1,0)+IF(LEN($BM$79)&gt;0,1,0)</f>
        <v/>
      </c>
      <c r="AG79" s="19">
        <f>$O$79*IF($AE$79="Escória de Stellaron",1.5,1)</f>
        <v/>
      </c>
      <c r="BG79" s="19">
        <f>IF(ISERROR($A$79),"",IF(ISBLANK($A$79),"",$A$79))</f>
        <v/>
      </c>
      <c r="BI79" s="19">
        <f>IF(ISERROR($C$79),"",IF(ISBLANK($C$79),"",$C$79))</f>
        <v/>
      </c>
      <c r="BJ79" s="19">
        <f>IF(ISERROR($D$79),"",IF(ISBLANK($D$79),"",$D$79))</f>
        <v/>
      </c>
      <c r="BK79" s="19">
        <f>IF(ISERROR($E$79),"",IF(ISBLANK($E$79),"",$E$79))</f>
        <v/>
      </c>
      <c r="BL79" s="19">
        <f>IF(ISERROR($F$79),"",IF(ISBLANK($F$79),"",$F$79))</f>
        <v/>
      </c>
      <c r="BM79" s="19">
        <f>IF(ISERROR($G$79),"",IF(ISBLANK($G$79),"",$G$79))</f>
        <v/>
      </c>
      <c r="BN79" s="19">
        <f>ISERROR($A$79)*1+ISERROR($C$79)*1+ISERROR($D$79)*1+ISERROR($E$79)*1+ISERROR($F$79)*1+ISERROR($G$79)*1</f>
        <v/>
      </c>
    </row>
    <row r="80" ht="26" customHeight="1">
      <c r="A80" s="31" t="n"/>
      <c r="B80" s="16" t="n"/>
      <c r="C80" s="34" t="n"/>
      <c r="D80" s="42" t="n"/>
      <c r="E80" s="42" t="n"/>
      <c r="F80" s="42" t="n"/>
      <c r="G80" s="42" t="n"/>
      <c r="H80" s="29">
        <f>IF(ISNUMBER($N$80),INDEX('Inimigos'!$O$11:$O$54,$N$80)&amp;"","")</f>
        <v/>
      </c>
      <c r="I80" s="29">
        <f>IF(ISNUMBER($N$80),INDEX('Inimigos'!$Q$11:$Q$54,$N$80),"")</f>
        <v/>
      </c>
      <c r="J80" s="29">
        <f>IF(ISNUMBER($N$80),$W$80,"")</f>
        <v/>
      </c>
      <c r="K80" s="26">
        <f>IF(BN80&gt;0,"O Google leu como fórmula: escolha de novo ou digite com ' na frente.",IF(LEN($BG$80)=0,"",IF(NOT(ISNUMBER($N$80)),"Criatura fora da lista (Inimigos e Bestiário)",IF(AND(ISNUMBER($BI$80),OR($BI$80&lt;0,$BI$80&gt;10)),"Quantidade fora de 0 a 10: usando o limite",IF((IF(AND(LEN($BJ$80)&gt;0,$BJ$80=$BK$80),1,0)+IF(AND(LEN($BJ$80)&gt;0,$BJ$80=$BL$80),1,0)+IF(AND(LEN($BJ$80)&gt;0,$BJ$80=$BM$80),1,0)+IF(AND(LEN($BK$80)&gt;0,$BK$80=$BL$80),1,0)+IF(AND(LEN($BK$80)&gt;0,$BK$80=$BM$80),1,0)+IF(AND(LEN($BL$80)&gt;0,$BL$80=$BM$80),1,0))&gt;0,"Fraqueza repetida nesta cena",IF(AND($AF$80&gt;0,$AF$80&lt;&gt;(IF(LEN(INDEX('Inimigos'!$AA$11:$AA$54,$N$80)&amp;"")&gt;0,1,0)+IF(LEN(INDEX('Inimigos'!$AB$11:$AB$54,$N$80)&amp;"")&gt;0,1,0)+IF(LEN(INDEX('Inimigos'!$AC$11:$AC$54,$N$80)&amp;"")&gt;0,1,0)+IF(LEN(INDEX('Inimigos'!$AD$11:$AD$54,$N$80)&amp;"")&gt;0,1,0))),"O nº de Fraquezas é regra (28.2 regra 7): troque, não acrescente nem tire",IF(AND(LEN($T$80)&gt;0,COUNTIF($P$80:$S$80,$T$80)&gt;0),"Fraqueza igual à Resistência da ficha","")))))))</f>
        <v/>
      </c>
      <c r="N80" s="19">
        <f>IF(LEN($BG$80)=0,"",IFERROR(MATCH($BG$80,'Inimigos'!$N$11:$N$54,0),""))</f>
        <v/>
      </c>
      <c r="O80" s="19">
        <f>IF(ISNUMBER($N$80),IF(ISNUMBER($BI$80),MIN(10,MAX(0,INT($BI$80))),1),0)</f>
        <v/>
      </c>
      <c r="P80" s="19">
        <f>IF($O$80=0,"",IF(OR(LEN($BJ$80)&gt;0,LEN($BK$80)&gt;0,LEN($BL$80)&gt;0,LEN($BM$80)&gt;0),$BJ$80&amp;"",INDEX('Inimigos'!$AA$11:$AA$54,$N$80)&amp;""))</f>
        <v/>
      </c>
      <c r="Q80" s="19">
        <f>IF($O$80=0,"",IF(OR(LEN($BJ$80)&gt;0,LEN($BK$80)&gt;0,LEN($BL$80)&gt;0,LEN($BM$80)&gt;0),$BK$80&amp;"",INDEX('Inimigos'!$AB$11:$AB$54,$N$80)&amp;""))</f>
        <v/>
      </c>
      <c r="R80" s="19">
        <f>IF($O$80=0,"",IF(OR(LEN($BJ$80)&gt;0,LEN($BK$80)&gt;0,LEN($BL$80)&gt;0,LEN($BM$80)&gt;0),$BL$80&amp;"",INDEX('Inimigos'!$AC$11:$AC$54,$N$80)&amp;""))</f>
        <v/>
      </c>
      <c r="S80" s="19">
        <f>IF($O$80=0,"",IF(OR(LEN($BJ$80)&gt;0,LEN($BK$80)&gt;0,LEN($BL$80)&gt;0,LEN($BM$80)&gt;0),$BM$80&amp;"",INDEX('Inimigos'!$AD$11:$AD$54,$N$80)&amp;""))</f>
        <v/>
      </c>
      <c r="T80" s="19">
        <f>IF($O$80=0,"",INDEX('Inimigos'!$AE$11:$AE$54,$N$80)&amp;"")</f>
        <v/>
      </c>
      <c r="U80" s="19">
        <f>IF(ISNUMBER($N$80),INDEX('Inimigos'!$O$11:$O$54,$N$80)&amp;"","")</f>
        <v/>
      </c>
      <c r="V80" s="19">
        <f>IF(ISNUMBER($N$80),INDEX('Inimigos'!$BF$11:$BF$54,$N$80),"")</f>
        <v/>
      </c>
      <c r="W80" s="19">
        <f>IF($O$80=0,0,INDEX('Inimigos'!$AI$11:$AI$54,$N$80)*$O$80)</f>
        <v/>
      </c>
      <c r="X80" s="19">
        <f>IF($O$80=0,0,INDEX('Inimigos'!$AH$11:$AH$54,$N$80)*$O$80)</f>
        <v/>
      </c>
      <c r="Y80" s="19">
        <f>$Y$79+$O$80</f>
        <v/>
      </c>
      <c r="Z80" s="19">
        <f>IF(AND($O$80&gt;0,LEN($T$80)&gt;0),IF(COUNTIF('Grupo'!$T$7:$T$12,$T$80)&gt;=2,1,0),0)</f>
        <v/>
      </c>
      <c r="AA80" s="19">
        <f>IF(AND($O$80&gt;0,OR($AE$80="Pretor Vazio-Nove",$AE$80="O Dramaturgo de Mil Faces")),1,0)</f>
        <v/>
      </c>
      <c r="AB80" s="19">
        <f>IF(AND($O$80&gt;0,$AE$80="O Germe de Pavor"),1,0)</f>
        <v/>
      </c>
      <c r="AC80" s="19">
        <f>IF(AND($O$80&gt;0,$V$80&lt;&gt;$N$8),1,0)</f>
        <v/>
      </c>
      <c r="AD80" s="19">
        <f>IF($O$80&gt;0,$V$80,0)</f>
        <v/>
      </c>
      <c r="AE80" s="19">
        <f>IF(ISNUMBER($N$80),INDEX('Inimigos'!$N$11:$N$54,$N$80)&amp;"","")</f>
        <v/>
      </c>
      <c r="AF80" s="19">
        <f>IF(LEN($BJ$80)&gt;0,1,0)+IF(LEN($BK$80)&gt;0,1,0)+IF(LEN($BL$80)&gt;0,1,0)+IF(LEN($BM$80)&gt;0,1,0)</f>
        <v/>
      </c>
      <c r="AG80" s="19">
        <f>$O$80*IF($AE$80="Escória de Stellaron",1.5,1)</f>
        <v/>
      </c>
      <c r="BG80" s="19">
        <f>IF(ISERROR($A$80),"",IF(ISBLANK($A$80),"",$A$80))</f>
        <v/>
      </c>
      <c r="BI80" s="19">
        <f>IF(ISERROR($C$80),"",IF(ISBLANK($C$80),"",$C$80))</f>
        <v/>
      </c>
      <c r="BJ80" s="19">
        <f>IF(ISERROR($D$80),"",IF(ISBLANK($D$80),"",$D$80))</f>
        <v/>
      </c>
      <c r="BK80" s="19">
        <f>IF(ISERROR($E$80),"",IF(ISBLANK($E$80),"",$E$80))</f>
        <v/>
      </c>
      <c r="BL80" s="19">
        <f>IF(ISERROR($F$80),"",IF(ISBLANK($F$80),"",$F$80))</f>
        <v/>
      </c>
      <c r="BM80" s="19">
        <f>IF(ISERROR($G$80),"",IF(ISBLANK($G$80),"",$G$80))</f>
        <v/>
      </c>
      <c r="BN80" s="19">
        <f>ISERROR($A$80)*1+ISERROR($C$80)*1+ISERROR($D$80)*1+ISERROR($E$80)*1+ISERROR($F$80)*1+ISERROR($G$80)*1</f>
        <v/>
      </c>
    </row>
    <row r="81" ht="26" customHeight="1">
      <c r="A81" s="30" t="n"/>
      <c r="B81" s="16" t="n"/>
      <c r="C81" s="15" t="n"/>
      <c r="D81" s="36" t="n"/>
      <c r="E81" s="36" t="n"/>
      <c r="F81" s="36" t="n"/>
      <c r="G81" s="36" t="n"/>
      <c r="H81" s="17">
        <f>IF(ISNUMBER($N$81),INDEX('Inimigos'!$O$11:$O$54,$N$81)&amp;"","")</f>
        <v/>
      </c>
      <c r="I81" s="17">
        <f>IF(ISNUMBER($N$81),INDEX('Inimigos'!$Q$11:$Q$54,$N$81),"")</f>
        <v/>
      </c>
      <c r="J81" s="17">
        <f>IF(ISNUMBER($N$81),$W$81,"")</f>
        <v/>
      </c>
      <c r="K81" s="18">
        <f>IF(BN81&gt;0,"O Google leu como fórmula: escolha de novo ou digite com ' na frente.",IF(LEN($BG$81)=0,"",IF(NOT(ISNUMBER($N$81)),"Criatura fora da lista (Inimigos e Bestiário)",IF(AND(ISNUMBER($BI$81),OR($BI$81&lt;0,$BI$81&gt;10)),"Quantidade fora de 0 a 10: usando o limite",IF((IF(AND(LEN($BJ$81)&gt;0,$BJ$81=$BK$81),1,0)+IF(AND(LEN($BJ$81)&gt;0,$BJ$81=$BL$81),1,0)+IF(AND(LEN($BJ$81)&gt;0,$BJ$81=$BM$81),1,0)+IF(AND(LEN($BK$81)&gt;0,$BK$81=$BL$81),1,0)+IF(AND(LEN($BK$81)&gt;0,$BK$81=$BM$81),1,0)+IF(AND(LEN($BL$81)&gt;0,$BL$81=$BM$81),1,0))&gt;0,"Fraqueza repetida nesta cena",IF(AND($AF$81&gt;0,$AF$81&lt;&gt;(IF(LEN(INDEX('Inimigos'!$AA$11:$AA$54,$N$81)&amp;"")&gt;0,1,0)+IF(LEN(INDEX('Inimigos'!$AB$11:$AB$54,$N$81)&amp;"")&gt;0,1,0)+IF(LEN(INDEX('Inimigos'!$AC$11:$AC$54,$N$81)&amp;"")&gt;0,1,0)+IF(LEN(INDEX('Inimigos'!$AD$11:$AD$54,$N$81)&amp;"")&gt;0,1,0))),"O nº de Fraquezas é regra (28.2 regra 7): troque, não acrescente nem tire",IF(AND(LEN($T$81)&gt;0,COUNTIF($P$81:$S$81,$T$81)&gt;0),"Fraqueza igual à Resistência da ficha","")))))))</f>
        <v/>
      </c>
      <c r="N81" s="19">
        <f>IF(LEN($BG$81)=0,"",IFERROR(MATCH($BG$81,'Inimigos'!$N$11:$N$54,0),""))</f>
        <v/>
      </c>
      <c r="O81" s="19">
        <f>IF(ISNUMBER($N$81),IF(ISNUMBER($BI$81),MIN(10,MAX(0,INT($BI$81))),1),0)</f>
        <v/>
      </c>
      <c r="P81" s="19">
        <f>IF($O$81=0,"",IF(OR(LEN($BJ$81)&gt;0,LEN($BK$81)&gt;0,LEN($BL$81)&gt;0,LEN($BM$81)&gt;0),$BJ$81&amp;"",INDEX('Inimigos'!$AA$11:$AA$54,$N$81)&amp;""))</f>
        <v/>
      </c>
      <c r="Q81" s="19">
        <f>IF($O$81=0,"",IF(OR(LEN($BJ$81)&gt;0,LEN($BK$81)&gt;0,LEN($BL$81)&gt;0,LEN($BM$81)&gt;0),$BK$81&amp;"",INDEX('Inimigos'!$AB$11:$AB$54,$N$81)&amp;""))</f>
        <v/>
      </c>
      <c r="R81" s="19">
        <f>IF($O$81=0,"",IF(OR(LEN($BJ$81)&gt;0,LEN($BK$81)&gt;0,LEN($BL$81)&gt;0,LEN($BM$81)&gt;0),$BL$81&amp;"",INDEX('Inimigos'!$AC$11:$AC$54,$N$81)&amp;""))</f>
        <v/>
      </c>
      <c r="S81" s="19">
        <f>IF($O$81=0,"",IF(OR(LEN($BJ$81)&gt;0,LEN($BK$81)&gt;0,LEN($BL$81)&gt;0,LEN($BM$81)&gt;0),$BM$81&amp;"",INDEX('Inimigos'!$AD$11:$AD$54,$N$81)&amp;""))</f>
        <v/>
      </c>
      <c r="T81" s="19">
        <f>IF($O$81=0,"",INDEX('Inimigos'!$AE$11:$AE$54,$N$81)&amp;"")</f>
        <v/>
      </c>
      <c r="U81" s="19">
        <f>IF(ISNUMBER($N$81),INDEX('Inimigos'!$O$11:$O$54,$N$81)&amp;"","")</f>
        <v/>
      </c>
      <c r="V81" s="19">
        <f>IF(ISNUMBER($N$81),INDEX('Inimigos'!$BF$11:$BF$54,$N$81),"")</f>
        <v/>
      </c>
      <c r="W81" s="19">
        <f>IF($O$81=0,0,INDEX('Inimigos'!$AI$11:$AI$54,$N$81)*$O$81)</f>
        <v/>
      </c>
      <c r="X81" s="19">
        <f>IF($O$81=0,0,INDEX('Inimigos'!$AH$11:$AH$54,$N$81)*$O$81)</f>
        <v/>
      </c>
      <c r="Y81" s="19">
        <f>$Y$80+$O$81</f>
        <v/>
      </c>
      <c r="Z81" s="19">
        <f>IF(AND($O$81&gt;0,LEN($T$81)&gt;0),IF(COUNTIF('Grupo'!$T$7:$T$12,$T$81)&gt;=2,1,0),0)</f>
        <v/>
      </c>
      <c r="AA81" s="19">
        <f>IF(AND($O$81&gt;0,OR($AE$81="Pretor Vazio-Nove",$AE$81="O Dramaturgo de Mil Faces")),1,0)</f>
        <v/>
      </c>
      <c r="AB81" s="19">
        <f>IF(AND($O$81&gt;0,$AE$81="O Germe de Pavor"),1,0)</f>
        <v/>
      </c>
      <c r="AC81" s="19">
        <f>IF(AND($O$81&gt;0,$V$81&lt;&gt;$N$8),1,0)</f>
        <v/>
      </c>
      <c r="AD81" s="19">
        <f>IF($O$81&gt;0,$V$81,0)</f>
        <v/>
      </c>
      <c r="AE81" s="19">
        <f>IF(ISNUMBER($N$81),INDEX('Inimigos'!$N$11:$N$54,$N$81)&amp;"","")</f>
        <v/>
      </c>
      <c r="AF81" s="19">
        <f>IF(LEN($BJ$81)&gt;0,1,0)+IF(LEN($BK$81)&gt;0,1,0)+IF(LEN($BL$81)&gt;0,1,0)+IF(LEN($BM$81)&gt;0,1,0)</f>
        <v/>
      </c>
      <c r="AG81" s="19">
        <f>$O$81*IF($AE$81="Escória de Stellaron",1.5,1)</f>
        <v/>
      </c>
      <c r="BG81" s="19">
        <f>IF(ISERROR($A$81),"",IF(ISBLANK($A$81),"",$A$81))</f>
        <v/>
      </c>
      <c r="BI81" s="19">
        <f>IF(ISERROR($C$81),"",IF(ISBLANK($C$81),"",$C$81))</f>
        <v/>
      </c>
      <c r="BJ81" s="19">
        <f>IF(ISERROR($D$81),"",IF(ISBLANK($D$81),"",$D$81))</f>
        <v/>
      </c>
      <c r="BK81" s="19">
        <f>IF(ISERROR($E$81),"",IF(ISBLANK($E$81),"",$E$81))</f>
        <v/>
      </c>
      <c r="BL81" s="19">
        <f>IF(ISERROR($F$81),"",IF(ISBLANK($F$81),"",$F$81))</f>
        <v/>
      </c>
      <c r="BM81" s="19">
        <f>IF(ISERROR($G$81),"",IF(ISBLANK($G$81),"",$G$81))</f>
        <v/>
      </c>
      <c r="BN81" s="19">
        <f>ISERROR($A$81)*1+ISERROR($C$81)*1+ISERROR($D$81)*1+ISERROR($E$81)*1+ISERROR($F$81)*1+ISERROR($G$81)*1</f>
        <v/>
      </c>
    </row>
    <row r="82" ht="26" customHeight="1">
      <c r="A82" s="31" t="n"/>
      <c r="B82" s="16" t="n"/>
      <c r="C82" s="34" t="n"/>
      <c r="D82" s="42" t="n"/>
      <c r="E82" s="42" t="n"/>
      <c r="F82" s="42" t="n"/>
      <c r="G82" s="42" t="n"/>
      <c r="H82" s="29">
        <f>IF(ISNUMBER($N$82),INDEX('Inimigos'!$O$11:$O$54,$N$82)&amp;"","")</f>
        <v/>
      </c>
      <c r="I82" s="29">
        <f>IF(ISNUMBER($N$82),INDEX('Inimigos'!$Q$11:$Q$54,$N$82),"")</f>
        <v/>
      </c>
      <c r="J82" s="29">
        <f>IF(ISNUMBER($N$82),$W$82,"")</f>
        <v/>
      </c>
      <c r="K82" s="26">
        <f>IF(BN82&gt;0,"O Google leu como fórmula: escolha de novo ou digite com ' na frente.",IF(LEN($BG$82)=0,"",IF(NOT(ISNUMBER($N$82)),"Criatura fora da lista (Inimigos e Bestiário)",IF(AND(ISNUMBER($BI$82),OR($BI$82&lt;0,$BI$82&gt;10)),"Quantidade fora de 0 a 10: usando o limite",IF((IF(AND(LEN($BJ$82)&gt;0,$BJ$82=$BK$82),1,0)+IF(AND(LEN($BJ$82)&gt;0,$BJ$82=$BL$82),1,0)+IF(AND(LEN($BJ$82)&gt;0,$BJ$82=$BM$82),1,0)+IF(AND(LEN($BK$82)&gt;0,$BK$82=$BL$82),1,0)+IF(AND(LEN($BK$82)&gt;0,$BK$82=$BM$82),1,0)+IF(AND(LEN($BL$82)&gt;0,$BL$82=$BM$82),1,0))&gt;0,"Fraqueza repetida nesta cena",IF(AND($AF$82&gt;0,$AF$82&lt;&gt;(IF(LEN(INDEX('Inimigos'!$AA$11:$AA$54,$N$82)&amp;"")&gt;0,1,0)+IF(LEN(INDEX('Inimigos'!$AB$11:$AB$54,$N$82)&amp;"")&gt;0,1,0)+IF(LEN(INDEX('Inimigos'!$AC$11:$AC$54,$N$82)&amp;"")&gt;0,1,0)+IF(LEN(INDEX('Inimigos'!$AD$11:$AD$54,$N$82)&amp;"")&gt;0,1,0))),"O nº de Fraquezas é regra (28.2 regra 7): troque, não acrescente nem tire",IF(AND(LEN($T$82)&gt;0,COUNTIF($P$82:$S$82,$T$82)&gt;0),"Fraqueza igual à Resistência da ficha","")))))))</f>
        <v/>
      </c>
      <c r="N82" s="19">
        <f>IF(LEN($BG$82)=0,"",IFERROR(MATCH($BG$82,'Inimigos'!$N$11:$N$54,0),""))</f>
        <v/>
      </c>
      <c r="O82" s="19">
        <f>IF(ISNUMBER($N$82),IF(ISNUMBER($BI$82),MIN(10,MAX(0,INT($BI$82))),1),0)</f>
        <v/>
      </c>
      <c r="P82" s="19">
        <f>IF($O$82=0,"",IF(OR(LEN($BJ$82)&gt;0,LEN($BK$82)&gt;0,LEN($BL$82)&gt;0,LEN($BM$82)&gt;0),$BJ$82&amp;"",INDEX('Inimigos'!$AA$11:$AA$54,$N$82)&amp;""))</f>
        <v/>
      </c>
      <c r="Q82" s="19">
        <f>IF($O$82=0,"",IF(OR(LEN($BJ$82)&gt;0,LEN($BK$82)&gt;0,LEN($BL$82)&gt;0,LEN($BM$82)&gt;0),$BK$82&amp;"",INDEX('Inimigos'!$AB$11:$AB$54,$N$82)&amp;""))</f>
        <v/>
      </c>
      <c r="R82" s="19">
        <f>IF($O$82=0,"",IF(OR(LEN($BJ$82)&gt;0,LEN($BK$82)&gt;0,LEN($BL$82)&gt;0,LEN($BM$82)&gt;0),$BL$82&amp;"",INDEX('Inimigos'!$AC$11:$AC$54,$N$82)&amp;""))</f>
        <v/>
      </c>
      <c r="S82" s="19">
        <f>IF($O$82=0,"",IF(OR(LEN($BJ$82)&gt;0,LEN($BK$82)&gt;0,LEN($BL$82)&gt;0,LEN($BM$82)&gt;0),$BM$82&amp;"",INDEX('Inimigos'!$AD$11:$AD$54,$N$82)&amp;""))</f>
        <v/>
      </c>
      <c r="T82" s="19">
        <f>IF($O$82=0,"",INDEX('Inimigos'!$AE$11:$AE$54,$N$82)&amp;"")</f>
        <v/>
      </c>
      <c r="U82" s="19">
        <f>IF(ISNUMBER($N$82),INDEX('Inimigos'!$O$11:$O$54,$N$82)&amp;"","")</f>
        <v/>
      </c>
      <c r="V82" s="19">
        <f>IF(ISNUMBER($N$82),INDEX('Inimigos'!$BF$11:$BF$54,$N$82),"")</f>
        <v/>
      </c>
      <c r="W82" s="19">
        <f>IF($O$82=0,0,INDEX('Inimigos'!$AI$11:$AI$54,$N$82)*$O$82)</f>
        <v/>
      </c>
      <c r="X82" s="19">
        <f>IF($O$82=0,0,INDEX('Inimigos'!$AH$11:$AH$54,$N$82)*$O$82)</f>
        <v/>
      </c>
      <c r="Y82" s="19">
        <f>$Y$81+$O$82</f>
        <v/>
      </c>
      <c r="Z82" s="19">
        <f>IF(AND($O$82&gt;0,LEN($T$82)&gt;0),IF(COUNTIF('Grupo'!$T$7:$T$12,$T$82)&gt;=2,1,0),0)</f>
        <v/>
      </c>
      <c r="AA82" s="19">
        <f>IF(AND($O$82&gt;0,OR($AE$82="Pretor Vazio-Nove",$AE$82="O Dramaturgo de Mil Faces")),1,0)</f>
        <v/>
      </c>
      <c r="AB82" s="19">
        <f>IF(AND($O$82&gt;0,$AE$82="O Germe de Pavor"),1,0)</f>
        <v/>
      </c>
      <c r="AC82" s="19">
        <f>IF(AND($O$82&gt;0,$V$82&lt;&gt;$N$8),1,0)</f>
        <v/>
      </c>
      <c r="AD82" s="19">
        <f>IF($O$82&gt;0,$V$82,0)</f>
        <v/>
      </c>
      <c r="AE82" s="19">
        <f>IF(ISNUMBER($N$82),INDEX('Inimigos'!$N$11:$N$54,$N$82)&amp;"","")</f>
        <v/>
      </c>
      <c r="AF82" s="19">
        <f>IF(LEN($BJ$82)&gt;0,1,0)+IF(LEN($BK$82)&gt;0,1,0)+IF(LEN($BL$82)&gt;0,1,0)+IF(LEN($BM$82)&gt;0,1,0)</f>
        <v/>
      </c>
      <c r="AG82" s="19">
        <f>$O$82*IF($AE$82="Escória de Stellaron",1.5,1)</f>
        <v/>
      </c>
      <c r="BG82" s="19">
        <f>IF(ISERROR($A$82),"",IF(ISBLANK($A$82),"",$A$82))</f>
        <v/>
      </c>
      <c r="BI82" s="19">
        <f>IF(ISERROR($C$82),"",IF(ISBLANK($C$82),"",$C$82))</f>
        <v/>
      </c>
      <c r="BJ82" s="19">
        <f>IF(ISERROR($D$82),"",IF(ISBLANK($D$82),"",$D$82))</f>
        <v/>
      </c>
      <c r="BK82" s="19">
        <f>IF(ISERROR($E$82),"",IF(ISBLANK($E$82),"",$E$82))</f>
        <v/>
      </c>
      <c r="BL82" s="19">
        <f>IF(ISERROR($F$82),"",IF(ISBLANK($F$82),"",$F$82))</f>
        <v/>
      </c>
      <c r="BM82" s="19">
        <f>IF(ISERROR($G$82),"",IF(ISBLANK($G$82),"",$G$82))</f>
        <v/>
      </c>
      <c r="BN82" s="19">
        <f>ISERROR($A$82)*1+ISERROR($C$82)*1+ISERROR($D$82)*1+ISERROR($E$82)*1+ISERROR($F$82)*1+ISERROR($G$82)*1</f>
        <v/>
      </c>
    </row>
    <row r="83" ht="26" customHeight="1">
      <c r="A83" s="30" t="n"/>
      <c r="B83" s="16" t="n"/>
      <c r="C83" s="15" t="n"/>
      <c r="D83" s="36" t="n"/>
      <c r="E83" s="36" t="n"/>
      <c r="F83" s="36" t="n"/>
      <c r="G83" s="36" t="n"/>
      <c r="H83" s="17">
        <f>IF(ISNUMBER($N$83),INDEX('Inimigos'!$O$11:$O$54,$N$83)&amp;"","")</f>
        <v/>
      </c>
      <c r="I83" s="17">
        <f>IF(ISNUMBER($N$83),INDEX('Inimigos'!$Q$11:$Q$54,$N$83),"")</f>
        <v/>
      </c>
      <c r="J83" s="17">
        <f>IF(ISNUMBER($N$83),$W$83,"")</f>
        <v/>
      </c>
      <c r="K83" s="18">
        <f>IF(BN83&gt;0,"O Google leu como fórmula: escolha de novo ou digite com ' na frente.",IF(LEN($BG$83)=0,"",IF(NOT(ISNUMBER($N$83)),"Criatura fora da lista (Inimigos e Bestiário)",IF(AND(ISNUMBER($BI$83),OR($BI$83&lt;0,$BI$83&gt;10)),"Quantidade fora de 0 a 10: usando o limite",IF((IF(AND(LEN($BJ$83)&gt;0,$BJ$83=$BK$83),1,0)+IF(AND(LEN($BJ$83)&gt;0,$BJ$83=$BL$83),1,0)+IF(AND(LEN($BJ$83)&gt;0,$BJ$83=$BM$83),1,0)+IF(AND(LEN($BK$83)&gt;0,$BK$83=$BL$83),1,0)+IF(AND(LEN($BK$83)&gt;0,$BK$83=$BM$83),1,0)+IF(AND(LEN($BL$83)&gt;0,$BL$83=$BM$83),1,0))&gt;0,"Fraqueza repetida nesta cena",IF(AND($AF$83&gt;0,$AF$83&lt;&gt;(IF(LEN(INDEX('Inimigos'!$AA$11:$AA$54,$N$83)&amp;"")&gt;0,1,0)+IF(LEN(INDEX('Inimigos'!$AB$11:$AB$54,$N$83)&amp;"")&gt;0,1,0)+IF(LEN(INDEX('Inimigos'!$AC$11:$AC$54,$N$83)&amp;"")&gt;0,1,0)+IF(LEN(INDEX('Inimigos'!$AD$11:$AD$54,$N$83)&amp;"")&gt;0,1,0))),"O nº de Fraquezas é regra (28.2 regra 7): troque, não acrescente nem tire",IF(AND(LEN($T$83)&gt;0,COUNTIF($P$83:$S$83,$T$83)&gt;0),"Fraqueza igual à Resistência da ficha","")))))))</f>
        <v/>
      </c>
      <c r="N83" s="19">
        <f>IF(LEN($BG$83)=0,"",IFERROR(MATCH($BG$83,'Inimigos'!$N$11:$N$54,0),""))</f>
        <v/>
      </c>
      <c r="O83" s="19">
        <f>IF(ISNUMBER($N$83),IF(ISNUMBER($BI$83),MIN(10,MAX(0,INT($BI$83))),1),0)</f>
        <v/>
      </c>
      <c r="P83" s="19">
        <f>IF($O$83=0,"",IF(OR(LEN($BJ$83)&gt;0,LEN($BK$83)&gt;0,LEN($BL$83)&gt;0,LEN($BM$83)&gt;0),$BJ$83&amp;"",INDEX('Inimigos'!$AA$11:$AA$54,$N$83)&amp;""))</f>
        <v/>
      </c>
      <c r="Q83" s="19">
        <f>IF($O$83=0,"",IF(OR(LEN($BJ$83)&gt;0,LEN($BK$83)&gt;0,LEN($BL$83)&gt;0,LEN($BM$83)&gt;0),$BK$83&amp;"",INDEX('Inimigos'!$AB$11:$AB$54,$N$83)&amp;""))</f>
        <v/>
      </c>
      <c r="R83" s="19">
        <f>IF($O$83=0,"",IF(OR(LEN($BJ$83)&gt;0,LEN($BK$83)&gt;0,LEN($BL$83)&gt;0,LEN($BM$83)&gt;0),$BL$83&amp;"",INDEX('Inimigos'!$AC$11:$AC$54,$N$83)&amp;""))</f>
        <v/>
      </c>
      <c r="S83" s="19">
        <f>IF($O$83=0,"",IF(OR(LEN($BJ$83)&gt;0,LEN($BK$83)&gt;0,LEN($BL$83)&gt;0,LEN($BM$83)&gt;0),$BM$83&amp;"",INDEX('Inimigos'!$AD$11:$AD$54,$N$83)&amp;""))</f>
        <v/>
      </c>
      <c r="T83" s="19">
        <f>IF($O$83=0,"",INDEX('Inimigos'!$AE$11:$AE$54,$N$83)&amp;"")</f>
        <v/>
      </c>
      <c r="U83" s="19">
        <f>IF(ISNUMBER($N$83),INDEX('Inimigos'!$O$11:$O$54,$N$83)&amp;"","")</f>
        <v/>
      </c>
      <c r="V83" s="19">
        <f>IF(ISNUMBER($N$83),INDEX('Inimigos'!$BF$11:$BF$54,$N$83),"")</f>
        <v/>
      </c>
      <c r="W83" s="19">
        <f>IF($O$83=0,0,INDEX('Inimigos'!$AI$11:$AI$54,$N$83)*$O$83)</f>
        <v/>
      </c>
      <c r="X83" s="19">
        <f>IF($O$83=0,0,INDEX('Inimigos'!$AH$11:$AH$54,$N$83)*$O$83)</f>
        <v/>
      </c>
      <c r="Y83" s="19">
        <f>$Y$82+$O$83</f>
        <v/>
      </c>
      <c r="Z83" s="19">
        <f>IF(AND($O$83&gt;0,LEN($T$83)&gt;0),IF(COUNTIF('Grupo'!$T$7:$T$12,$T$83)&gt;=2,1,0),0)</f>
        <v/>
      </c>
      <c r="AA83" s="19">
        <f>IF(AND($O$83&gt;0,OR($AE$83="Pretor Vazio-Nove",$AE$83="O Dramaturgo de Mil Faces")),1,0)</f>
        <v/>
      </c>
      <c r="AB83" s="19">
        <f>IF(AND($O$83&gt;0,$AE$83="O Germe de Pavor"),1,0)</f>
        <v/>
      </c>
      <c r="AC83" s="19">
        <f>IF(AND($O$83&gt;0,$V$83&lt;&gt;$N$8),1,0)</f>
        <v/>
      </c>
      <c r="AD83" s="19">
        <f>IF($O$83&gt;0,$V$83,0)</f>
        <v/>
      </c>
      <c r="AE83" s="19">
        <f>IF(ISNUMBER($N$83),INDEX('Inimigos'!$N$11:$N$54,$N$83)&amp;"","")</f>
        <v/>
      </c>
      <c r="AF83" s="19">
        <f>IF(LEN($BJ$83)&gt;0,1,0)+IF(LEN($BK$83)&gt;0,1,0)+IF(LEN($BL$83)&gt;0,1,0)+IF(LEN($BM$83)&gt;0,1,0)</f>
        <v/>
      </c>
      <c r="AG83" s="19">
        <f>$O$83*IF($AE$83="Escória de Stellaron",1.5,1)</f>
        <v/>
      </c>
      <c r="BG83" s="19">
        <f>IF(ISERROR($A$83),"",IF(ISBLANK($A$83),"",$A$83))</f>
        <v/>
      </c>
      <c r="BI83" s="19">
        <f>IF(ISERROR($C$83),"",IF(ISBLANK($C$83),"",$C$83))</f>
        <v/>
      </c>
      <c r="BJ83" s="19">
        <f>IF(ISERROR($D$83),"",IF(ISBLANK($D$83),"",$D$83))</f>
        <v/>
      </c>
      <c r="BK83" s="19">
        <f>IF(ISERROR($E$83),"",IF(ISBLANK($E$83),"",$E$83))</f>
        <v/>
      </c>
      <c r="BL83" s="19">
        <f>IF(ISERROR($F$83),"",IF(ISBLANK($F$83),"",$F$83))</f>
        <v/>
      </c>
      <c r="BM83" s="19">
        <f>IF(ISERROR($G$83),"",IF(ISBLANK($G$83),"",$G$83))</f>
        <v/>
      </c>
      <c r="BN83" s="19">
        <f>ISERROR($A$83)*1+ISERROR($C$83)*1+ISERROR($D$83)*1+ISERROR($E$83)*1+ISERROR($F$83)*1+ISERROR($G$83)*1</f>
        <v/>
      </c>
    </row>
    <row r="84" ht="26" customHeight="1">
      <c r="A84" s="31" t="n"/>
      <c r="B84" s="16" t="n"/>
      <c r="C84" s="34" t="n"/>
      <c r="D84" s="42" t="n"/>
      <c r="E84" s="42" t="n"/>
      <c r="F84" s="42" t="n"/>
      <c r="G84" s="42" t="n"/>
      <c r="H84" s="29">
        <f>IF(ISNUMBER($N$84),INDEX('Inimigos'!$O$11:$O$54,$N$84)&amp;"","")</f>
        <v/>
      </c>
      <c r="I84" s="29">
        <f>IF(ISNUMBER($N$84),INDEX('Inimigos'!$Q$11:$Q$54,$N$84),"")</f>
        <v/>
      </c>
      <c r="J84" s="29">
        <f>IF(ISNUMBER($N$84),$W$84,"")</f>
        <v/>
      </c>
      <c r="K84" s="26">
        <f>IF(BN84&gt;0,"O Google leu como fórmula: escolha de novo ou digite com ' na frente.",IF(LEN($BG$84)=0,"",IF(NOT(ISNUMBER($N$84)),"Criatura fora da lista (Inimigos e Bestiário)",IF(AND(ISNUMBER($BI$84),OR($BI$84&lt;0,$BI$84&gt;10)),"Quantidade fora de 0 a 10: usando o limite",IF((IF(AND(LEN($BJ$84)&gt;0,$BJ$84=$BK$84),1,0)+IF(AND(LEN($BJ$84)&gt;0,$BJ$84=$BL$84),1,0)+IF(AND(LEN($BJ$84)&gt;0,$BJ$84=$BM$84),1,0)+IF(AND(LEN($BK$84)&gt;0,$BK$84=$BL$84),1,0)+IF(AND(LEN($BK$84)&gt;0,$BK$84=$BM$84),1,0)+IF(AND(LEN($BL$84)&gt;0,$BL$84=$BM$84),1,0))&gt;0,"Fraqueza repetida nesta cena",IF(AND($AF$84&gt;0,$AF$84&lt;&gt;(IF(LEN(INDEX('Inimigos'!$AA$11:$AA$54,$N$84)&amp;"")&gt;0,1,0)+IF(LEN(INDEX('Inimigos'!$AB$11:$AB$54,$N$84)&amp;"")&gt;0,1,0)+IF(LEN(INDEX('Inimigos'!$AC$11:$AC$54,$N$84)&amp;"")&gt;0,1,0)+IF(LEN(INDEX('Inimigos'!$AD$11:$AD$54,$N$84)&amp;"")&gt;0,1,0))),"O nº de Fraquezas é regra (28.2 regra 7): troque, não acrescente nem tire",IF(AND(LEN($T$84)&gt;0,COUNTIF($P$84:$S$84,$T$84)&gt;0),"Fraqueza igual à Resistência da ficha","")))))))</f>
        <v/>
      </c>
      <c r="N84" s="19">
        <f>IF(LEN($BG$84)=0,"",IFERROR(MATCH($BG$84,'Inimigos'!$N$11:$N$54,0),""))</f>
        <v/>
      </c>
      <c r="O84" s="19">
        <f>IF(ISNUMBER($N$84),IF(ISNUMBER($BI$84),MIN(10,MAX(0,INT($BI$84))),1),0)</f>
        <v/>
      </c>
      <c r="P84" s="19">
        <f>IF($O$84=0,"",IF(OR(LEN($BJ$84)&gt;0,LEN($BK$84)&gt;0,LEN($BL$84)&gt;0,LEN($BM$84)&gt;0),$BJ$84&amp;"",INDEX('Inimigos'!$AA$11:$AA$54,$N$84)&amp;""))</f>
        <v/>
      </c>
      <c r="Q84" s="19">
        <f>IF($O$84=0,"",IF(OR(LEN($BJ$84)&gt;0,LEN($BK$84)&gt;0,LEN($BL$84)&gt;0,LEN($BM$84)&gt;0),$BK$84&amp;"",INDEX('Inimigos'!$AB$11:$AB$54,$N$84)&amp;""))</f>
        <v/>
      </c>
      <c r="R84" s="19">
        <f>IF($O$84=0,"",IF(OR(LEN($BJ$84)&gt;0,LEN($BK$84)&gt;0,LEN($BL$84)&gt;0,LEN($BM$84)&gt;0),$BL$84&amp;"",INDEX('Inimigos'!$AC$11:$AC$54,$N$84)&amp;""))</f>
        <v/>
      </c>
      <c r="S84" s="19">
        <f>IF($O$84=0,"",IF(OR(LEN($BJ$84)&gt;0,LEN($BK$84)&gt;0,LEN($BL$84)&gt;0,LEN($BM$84)&gt;0),$BM$84&amp;"",INDEX('Inimigos'!$AD$11:$AD$54,$N$84)&amp;""))</f>
        <v/>
      </c>
      <c r="T84" s="19">
        <f>IF($O$84=0,"",INDEX('Inimigos'!$AE$11:$AE$54,$N$84)&amp;"")</f>
        <v/>
      </c>
      <c r="U84" s="19">
        <f>IF(ISNUMBER($N$84),INDEX('Inimigos'!$O$11:$O$54,$N$84)&amp;"","")</f>
        <v/>
      </c>
      <c r="V84" s="19">
        <f>IF(ISNUMBER($N$84),INDEX('Inimigos'!$BF$11:$BF$54,$N$84),"")</f>
        <v/>
      </c>
      <c r="W84" s="19">
        <f>IF($O$84=0,0,INDEX('Inimigos'!$AI$11:$AI$54,$N$84)*$O$84)</f>
        <v/>
      </c>
      <c r="X84" s="19">
        <f>IF($O$84=0,0,INDEX('Inimigos'!$AH$11:$AH$54,$N$84)*$O$84)</f>
        <v/>
      </c>
      <c r="Y84" s="19">
        <f>$Y$83+$O$84</f>
        <v/>
      </c>
      <c r="Z84" s="19">
        <f>IF(AND($O$84&gt;0,LEN($T$84)&gt;0),IF(COUNTIF('Grupo'!$T$7:$T$12,$T$84)&gt;=2,1,0),0)</f>
        <v/>
      </c>
      <c r="AA84" s="19">
        <f>IF(AND($O$84&gt;0,OR($AE$84="Pretor Vazio-Nove",$AE$84="O Dramaturgo de Mil Faces")),1,0)</f>
        <v/>
      </c>
      <c r="AB84" s="19">
        <f>IF(AND($O$84&gt;0,$AE$84="O Germe de Pavor"),1,0)</f>
        <v/>
      </c>
      <c r="AC84" s="19">
        <f>IF(AND($O$84&gt;0,$V$84&lt;&gt;$N$8),1,0)</f>
        <v/>
      </c>
      <c r="AD84" s="19">
        <f>IF($O$84&gt;0,$V$84,0)</f>
        <v/>
      </c>
      <c r="AE84" s="19">
        <f>IF(ISNUMBER($N$84),INDEX('Inimigos'!$N$11:$N$54,$N$84)&amp;"","")</f>
        <v/>
      </c>
      <c r="AF84" s="19">
        <f>IF(LEN($BJ$84)&gt;0,1,0)+IF(LEN($BK$84)&gt;0,1,0)+IF(LEN($BL$84)&gt;0,1,0)+IF(LEN($BM$84)&gt;0,1,0)</f>
        <v/>
      </c>
      <c r="AG84" s="19">
        <f>$O$84*IF($AE$84="Escória de Stellaron",1.5,1)</f>
        <v/>
      </c>
      <c r="BG84" s="19">
        <f>IF(ISERROR($A$84),"",IF(ISBLANK($A$84),"",$A$84))</f>
        <v/>
      </c>
      <c r="BI84" s="19">
        <f>IF(ISERROR($C$84),"",IF(ISBLANK($C$84),"",$C$84))</f>
        <v/>
      </c>
      <c r="BJ84" s="19">
        <f>IF(ISERROR($D$84),"",IF(ISBLANK($D$84),"",$D$84))</f>
        <v/>
      </c>
      <c r="BK84" s="19">
        <f>IF(ISERROR($E$84),"",IF(ISBLANK($E$84),"",$E$84))</f>
        <v/>
      </c>
      <c r="BL84" s="19">
        <f>IF(ISERROR($F$84),"",IF(ISBLANK($F$84),"",$F$84))</f>
        <v/>
      </c>
      <c r="BM84" s="19">
        <f>IF(ISERROR($G$84),"",IF(ISBLANK($G$84),"",$G$84))</f>
        <v/>
      </c>
      <c r="BN84" s="19">
        <f>ISERROR($A$84)*1+ISERROR($C$84)*1+ISERROR($D$84)*1+ISERROR($E$84)*1+ISERROR($F$84)*1+ISERROR($G$84)*1</f>
        <v/>
      </c>
    </row>
    <row r="85" ht="26" customHeight="1">
      <c r="A85" s="7" t="inlineStr">
        <is>
          <t>Criatura</t>
        </is>
      </c>
      <c r="B85" s="7" t="inlineStr">
        <is>
          <t>Faixa</t>
        </is>
      </c>
      <c r="C85" s="7" t="inlineStr">
        <is>
          <t>Fraquezas efetivas</t>
        </is>
      </c>
      <c r="D85" s="20" t="n"/>
      <c r="E85" s="20" t="n"/>
      <c r="F85" s="20" t="n"/>
      <c r="G85" s="7" t="inlineStr">
        <is>
          <t>Resistência</t>
        </is>
      </c>
      <c r="H85" s="7" t="inlineStr">
        <is>
          <t>Ações agressivas</t>
        </is>
      </c>
      <c r="I85" s="7" t="inlineStr">
        <is>
          <t>Execução</t>
        </is>
      </c>
      <c r="J85" s="20" t="n"/>
      <c r="K85" s="7" t="inlineStr">
        <is>
          <t>Aviso</t>
        </is>
      </c>
      <c r="L85" s="20" t="n"/>
    </row>
    <row r="86" ht="26" customHeight="1">
      <c r="A86" s="32">
        <f>IF(LEN($BG$77)&gt;0,$BG$77,"1 · (vazia)")</f>
        <v/>
      </c>
      <c r="B86" s="17">
        <f>IF(ISNUMBER($N$77),INDEX('Inimigos'!$P$11:$P$54,$N$77)&amp;"","")</f>
        <v/>
      </c>
      <c r="C86" s="4">
        <f>$P$77&amp;IF(LEN($Q$77)&gt;0,", "&amp;$Q$77,"")&amp;IF(LEN($R$77)&gt;0,", "&amp;$R$77,"")&amp;IF(LEN($S$77)&gt;0,", "&amp;$S$77,"")</f>
        <v/>
      </c>
      <c r="G86" s="17">
        <f>IF(ISNUMBER($N$77),IF(LEN($T$77)&gt;0,$T$77,"—"),"")</f>
        <v/>
      </c>
      <c r="H86" s="17">
        <f>IF(ISNUMBER($N$77),$X$77,"")</f>
        <v/>
      </c>
      <c r="I86" s="4">
        <f>IF(ISNUMBER($N$77),IF(INDEX('Inimigos'!$AF$11:$AF$54,$N$77)&amp;""="Pode","Pode Executar (ser racional)",IF(INDEX('Inimigos'!$AF$11:$AF$54,$N$77)&amp;""="Não","Não Executa","Execução não declarada")),"")</f>
        <v/>
      </c>
      <c r="K86" s="18">
        <f>IF($O$77=0,"",IF($AC$77=1,"Faixa diferente da do grupo (28.4 passo 1: a faixa do inimigo é a do grupo)",IF($Z$77=1,"Resistência no Elemento de dois personagens (27.5)","")))</f>
        <v/>
      </c>
    </row>
    <row r="87" ht="26" customHeight="1">
      <c r="A87" s="33">
        <f>IF(LEN($BG$78)&gt;0,$BG$78,"2 · (vazia)")</f>
        <v/>
      </c>
      <c r="B87" s="29">
        <f>IF(ISNUMBER($N$78),INDEX('Inimigos'!$P$11:$P$54,$N$78)&amp;"","")</f>
        <v/>
      </c>
      <c r="C87" s="9">
        <f>$P$78&amp;IF(LEN($Q$78)&gt;0,", "&amp;$Q$78,"")&amp;IF(LEN($R$78)&gt;0,", "&amp;$R$78,"")&amp;IF(LEN($S$78)&gt;0,", "&amp;$S$78,"")</f>
        <v/>
      </c>
      <c r="G87" s="29">
        <f>IF(ISNUMBER($N$78),IF(LEN($T$78)&gt;0,$T$78,"—"),"")</f>
        <v/>
      </c>
      <c r="H87" s="29">
        <f>IF(ISNUMBER($N$78),$X$78,"")</f>
        <v/>
      </c>
      <c r="I87" s="9">
        <f>IF(ISNUMBER($N$78),IF(INDEX('Inimigos'!$AF$11:$AF$54,$N$78)&amp;""="Pode","Pode Executar (ser racional)",IF(INDEX('Inimigos'!$AF$11:$AF$54,$N$78)&amp;""="Não","Não Executa","Execução não declarada")),"")</f>
        <v/>
      </c>
      <c r="K87" s="26">
        <f>IF($O$78=0,"",IF($AC$78=1,"Faixa diferente da do grupo (28.4 passo 1: a faixa do inimigo é a do grupo)",IF($Z$78=1,"Resistência no Elemento de dois personagens (27.5)","")))</f>
        <v/>
      </c>
    </row>
    <row r="88" ht="26" customHeight="1">
      <c r="A88" s="32">
        <f>IF(LEN($BG$79)&gt;0,$BG$79,"3 · (vazia)")</f>
        <v/>
      </c>
      <c r="B88" s="17">
        <f>IF(ISNUMBER($N$79),INDEX('Inimigos'!$P$11:$P$54,$N$79)&amp;"","")</f>
        <v/>
      </c>
      <c r="C88" s="4">
        <f>$P$79&amp;IF(LEN($Q$79)&gt;0,", "&amp;$Q$79,"")&amp;IF(LEN($R$79)&gt;0,", "&amp;$R$79,"")&amp;IF(LEN($S$79)&gt;0,", "&amp;$S$79,"")</f>
        <v/>
      </c>
      <c r="G88" s="17">
        <f>IF(ISNUMBER($N$79),IF(LEN($T$79)&gt;0,$T$79,"—"),"")</f>
        <v/>
      </c>
      <c r="H88" s="17">
        <f>IF(ISNUMBER($N$79),$X$79,"")</f>
        <v/>
      </c>
      <c r="I88" s="4">
        <f>IF(ISNUMBER($N$79),IF(INDEX('Inimigos'!$AF$11:$AF$54,$N$79)&amp;""="Pode","Pode Executar (ser racional)",IF(INDEX('Inimigos'!$AF$11:$AF$54,$N$79)&amp;""="Não","Não Executa","Execução não declarada")),"")</f>
        <v/>
      </c>
      <c r="K88" s="18">
        <f>IF($O$79=0,"",IF($AC$79=1,"Faixa diferente da do grupo (28.4 passo 1: a faixa do inimigo é a do grupo)",IF($Z$79=1,"Resistência no Elemento de dois personagens (27.5)","")))</f>
        <v/>
      </c>
    </row>
    <row r="89" ht="26" customHeight="1">
      <c r="A89" s="33">
        <f>IF(LEN($BG$80)&gt;0,$BG$80,"4 · (vazia)")</f>
        <v/>
      </c>
      <c r="B89" s="29">
        <f>IF(ISNUMBER($N$80),INDEX('Inimigos'!$P$11:$P$54,$N$80)&amp;"","")</f>
        <v/>
      </c>
      <c r="C89" s="9">
        <f>$P$80&amp;IF(LEN($Q$80)&gt;0,", "&amp;$Q$80,"")&amp;IF(LEN($R$80)&gt;0,", "&amp;$R$80,"")&amp;IF(LEN($S$80)&gt;0,", "&amp;$S$80,"")</f>
        <v/>
      </c>
      <c r="G89" s="29">
        <f>IF(ISNUMBER($N$80),IF(LEN($T$80)&gt;0,$T$80,"—"),"")</f>
        <v/>
      </c>
      <c r="H89" s="29">
        <f>IF(ISNUMBER($N$80),$X$80,"")</f>
        <v/>
      </c>
      <c r="I89" s="9">
        <f>IF(ISNUMBER($N$80),IF(INDEX('Inimigos'!$AF$11:$AF$54,$N$80)&amp;""="Pode","Pode Executar (ser racional)",IF(INDEX('Inimigos'!$AF$11:$AF$54,$N$80)&amp;""="Não","Não Executa","Execução não declarada")),"")</f>
        <v/>
      </c>
      <c r="K89" s="26">
        <f>IF($O$80=0,"",IF($AC$80=1,"Faixa diferente da do grupo (28.4 passo 1: a faixa do inimigo é a do grupo)",IF($Z$80=1,"Resistência no Elemento de dois personagens (27.5)","")))</f>
        <v/>
      </c>
    </row>
    <row r="90" ht="26" customHeight="1">
      <c r="A90" s="32">
        <f>IF(LEN($BG$81)&gt;0,$BG$81,"5 · (vazia)")</f>
        <v/>
      </c>
      <c r="B90" s="17">
        <f>IF(ISNUMBER($N$81),INDEX('Inimigos'!$P$11:$P$54,$N$81)&amp;"","")</f>
        <v/>
      </c>
      <c r="C90" s="4">
        <f>$P$81&amp;IF(LEN($Q$81)&gt;0,", "&amp;$Q$81,"")&amp;IF(LEN($R$81)&gt;0,", "&amp;$R$81,"")&amp;IF(LEN($S$81)&gt;0,", "&amp;$S$81,"")</f>
        <v/>
      </c>
      <c r="G90" s="17">
        <f>IF(ISNUMBER($N$81),IF(LEN($T$81)&gt;0,$T$81,"—"),"")</f>
        <v/>
      </c>
      <c r="H90" s="17">
        <f>IF(ISNUMBER($N$81),$X$81,"")</f>
        <v/>
      </c>
      <c r="I90" s="4">
        <f>IF(ISNUMBER($N$81),IF(INDEX('Inimigos'!$AF$11:$AF$54,$N$81)&amp;""="Pode","Pode Executar (ser racional)",IF(INDEX('Inimigos'!$AF$11:$AF$54,$N$81)&amp;""="Não","Não Executa","Execução não declarada")),"")</f>
        <v/>
      </c>
      <c r="K90" s="18">
        <f>IF($O$81=0,"",IF($AC$81=1,"Faixa diferente da do grupo (28.4 passo 1: a faixa do inimigo é a do grupo)",IF($Z$81=1,"Resistência no Elemento de dois personagens (27.5)","")))</f>
        <v/>
      </c>
    </row>
    <row r="91" ht="26" customHeight="1">
      <c r="A91" s="33">
        <f>IF(LEN($BG$82)&gt;0,$BG$82,"6 · (vazia)")</f>
        <v/>
      </c>
      <c r="B91" s="29">
        <f>IF(ISNUMBER($N$82),INDEX('Inimigos'!$P$11:$P$54,$N$82)&amp;"","")</f>
        <v/>
      </c>
      <c r="C91" s="9">
        <f>$P$82&amp;IF(LEN($Q$82)&gt;0,", "&amp;$Q$82,"")&amp;IF(LEN($R$82)&gt;0,", "&amp;$R$82,"")&amp;IF(LEN($S$82)&gt;0,", "&amp;$S$82,"")</f>
        <v/>
      </c>
      <c r="G91" s="29">
        <f>IF(ISNUMBER($N$82),IF(LEN($T$82)&gt;0,$T$82,"—"),"")</f>
        <v/>
      </c>
      <c r="H91" s="29">
        <f>IF(ISNUMBER($N$82),$X$82,"")</f>
        <v/>
      </c>
      <c r="I91" s="9">
        <f>IF(ISNUMBER($N$82),IF(INDEX('Inimigos'!$AF$11:$AF$54,$N$82)&amp;""="Pode","Pode Executar (ser racional)",IF(INDEX('Inimigos'!$AF$11:$AF$54,$N$82)&amp;""="Não","Não Executa","Execução não declarada")),"")</f>
        <v/>
      </c>
      <c r="K91" s="26">
        <f>IF($O$82=0,"",IF($AC$82=1,"Faixa diferente da do grupo (28.4 passo 1: a faixa do inimigo é a do grupo)",IF($Z$82=1,"Resistência no Elemento de dois personagens (27.5)","")))</f>
        <v/>
      </c>
    </row>
    <row r="92" ht="26" customHeight="1">
      <c r="A92" s="32">
        <f>IF(LEN($BG$83)&gt;0,$BG$83,"7 · (vazia)")</f>
        <v/>
      </c>
      <c r="B92" s="17">
        <f>IF(ISNUMBER($N$83),INDEX('Inimigos'!$P$11:$P$54,$N$83)&amp;"","")</f>
        <v/>
      </c>
      <c r="C92" s="4">
        <f>$P$83&amp;IF(LEN($Q$83)&gt;0,", "&amp;$Q$83,"")&amp;IF(LEN($R$83)&gt;0,", "&amp;$R$83,"")&amp;IF(LEN($S$83)&gt;0,", "&amp;$S$83,"")</f>
        <v/>
      </c>
      <c r="G92" s="17">
        <f>IF(ISNUMBER($N$83),IF(LEN($T$83)&gt;0,$T$83,"—"),"")</f>
        <v/>
      </c>
      <c r="H92" s="17">
        <f>IF(ISNUMBER($N$83),$X$83,"")</f>
        <v/>
      </c>
      <c r="I92" s="4">
        <f>IF(ISNUMBER($N$83),IF(INDEX('Inimigos'!$AF$11:$AF$54,$N$83)&amp;""="Pode","Pode Executar (ser racional)",IF(INDEX('Inimigos'!$AF$11:$AF$54,$N$83)&amp;""="Não","Não Executa","Execução não declarada")),"")</f>
        <v/>
      </c>
      <c r="K92" s="18">
        <f>IF($O$83=0,"",IF($AC$83=1,"Faixa diferente da do grupo (28.4 passo 1: a faixa do inimigo é a do grupo)",IF($Z$83=1,"Resistência no Elemento de dois personagens (27.5)","")))</f>
        <v/>
      </c>
    </row>
    <row r="93" ht="26" customHeight="1">
      <c r="A93" s="33">
        <f>IF(LEN($BG$84)&gt;0,$BG$84,"8 · (vazia)")</f>
        <v/>
      </c>
      <c r="B93" s="29">
        <f>IF(ISNUMBER($N$84),INDEX('Inimigos'!$P$11:$P$54,$N$84)&amp;"","")</f>
        <v/>
      </c>
      <c r="C93" s="9">
        <f>$P$84&amp;IF(LEN($Q$84)&gt;0,", "&amp;$Q$84,"")&amp;IF(LEN($R$84)&gt;0,", "&amp;$R$84,"")&amp;IF(LEN($S$84)&gt;0,", "&amp;$S$84,"")</f>
        <v/>
      </c>
      <c r="G93" s="29">
        <f>IF(ISNUMBER($N$84),IF(LEN($T$84)&gt;0,$T$84,"—"),"")</f>
        <v/>
      </c>
      <c r="H93" s="29">
        <f>IF(ISNUMBER($N$84),$X$84,"")</f>
        <v/>
      </c>
      <c r="I93" s="9">
        <f>IF(ISNUMBER($N$84),IF(INDEX('Inimigos'!$AF$11:$AF$54,$N$84)&amp;""="Pode","Pode Executar (ser racional)",IF(INDEX('Inimigos'!$AF$11:$AF$54,$N$84)&amp;""="Não","Não Executa","Execução não declarada")),"")</f>
        <v/>
      </c>
      <c r="K93" s="26">
        <f>IF($O$84=0,"",IF($AC$84=1,"Faixa diferente da do grupo (28.4 passo 1: a faixa do inimigo é a do grupo)",IF($Z$84=1,"Resistência no Elemento de dois personagens (27.5)","")))</f>
        <v/>
      </c>
    </row>
    <row r="94" ht="26" customHeight="1">
      <c r="A94" s="8" t="inlineStr">
        <is>
          <t>Custo total</t>
        </is>
      </c>
      <c r="B94" s="17">
        <f>SUM($W$77:$W$84)</f>
        <v/>
      </c>
      <c r="C94" s="14" t="inlineStr">
        <is>
          <t>% do orçamento</t>
        </is>
      </c>
      <c r="D94" s="17">
        <f>IF($B$11&gt;0,INT((200*$B$94+$B$11)/(2*$B$11)),"")</f>
        <v/>
      </c>
      <c r="E94" s="14" t="inlineStr">
        <is>
          <t>Ciclos estimados</t>
        </is>
      </c>
      <c r="F94" s="17">
        <f>IF(OR($B$94=0,$B$12=0),"",INT((20*$B$94+20*IF($I$97&lt;3,1,0)*$B$12+$B$12)/(2*$B$12))/10)</f>
        <v/>
      </c>
      <c r="G94" s="4">
        <f>IF($B$94=0,"",IF(($B$94/$B$11)&lt;=0.6,"Cena de passagem — cerca de 2 Ciclos (27.4)",IF(($B$94/$B$11)&lt;=1.15,"Encontro típico — 3 a 5 Ciclos (27.4)",IF(($B$94/$B$11)&lt;=1.6,"Pesado","Dois orçamentos num só encontro: passa de 6 Ciclos (27.4)"))))</f>
        <v/>
      </c>
      <c r="K94" s="4">
        <f>IF($B$94=0,"","Ciclos e leitura: Sugestão da planilha — não é regra do livro (H6, H7)")</f>
        <v/>
      </c>
    </row>
    <row r="95">
      <c r="A95" s="21" t="inlineStr">
        <is>
          <t>Composição</t>
        </is>
      </c>
      <c r="B95" s="9">
        <f>IF($B$94=0,"",IF(IF(AND(SUMIF($U$77:$U$84,"Boss",$O$77:$O$84)=1,SUMIF($U$77:$U$84,"Elite",$O$77:$O$84)=0,SUMIF($U$77:$U$84,"Comum",$AG$77:$AG$84)=1),"1 Boss + 1 Comum — uma ameaça com nome, um estorvo. O combate é um duelo com interrupção (3 a 5 Ciclos, 27.4)",IF(AND(SUMIF($U$77:$U$84,"Boss",$O$77:$O$84)=0,SUMIF($U$77:$U$84,"Elite",$O$77:$O$84)=1,SUMIF($U$77:$U$84,"Comum",$AG$77:$AG$84)=4),"1 Elite + 4 Comuns — um comandante e a tropa dele. O grupo escolhe entre limpar os lados ou ir no chefe (3 a 4 Ciclos, 27.4)",IF(AND(SUMIF($U$77:$U$84,"Boss",$O$77:$O$84)=0,SUMIF($U$77:$U$84,"Elite",$O$77:$O$84)=3,SUMIF($U$77:$U$84,"Comum",$AG$77:$AG$84)=0),"3 Elites — três problemas simultâneos. É a mais pesada das quatro em dano recebido (3 a 4 Ciclos, 27.4)",IF(AND(SUMIF($U$77:$U$84,"Boss",$O$77:$O$84)=0,SUMIF($U$77:$U$84,"Elite",$O$77:$O$84)=0,SUMIF($U$77:$U$84,"Comum",$AG$77:$AG$84)=7),"7 Comuns — pelotão. Morre rápido e ainda assim morde (2 a 3 Ciclos, 27.4)",""))))="",SUMIF($U$77:$U$84,"Boss",$O$77:$O$84)&amp;" Boss, "&amp;SUMIF($U$77:$U$84,"Elite",$O$77:$O$84)&amp;" Elite, "&amp;SUMIF($U$77:$U$84,"Comum",$AG$77:$AG$84)&amp;" Comum: não é uma das quatro composições de 27.4",IF(AND(SUMIF($U$77:$U$84,"Boss",$O$77:$O$84)=1,SUMIF($U$77:$U$84,"Elite",$O$77:$O$84)=0,SUMIF($U$77:$U$84,"Comum",$AG$77:$AG$84)=1),"1 Boss + 1 Comum — uma ameaça com nome, um estorvo. O combate é um duelo com interrupção (3 a 5 Ciclos, 27.4)",IF(AND(SUMIF($U$77:$U$84,"Boss",$O$77:$O$84)=0,SUMIF($U$77:$U$84,"Elite",$O$77:$O$84)=1,SUMIF($U$77:$U$84,"Comum",$AG$77:$AG$84)=4),"1 Elite + 4 Comuns — um comandante e a tropa dele. O grupo escolhe entre limpar os lados ou ir no chefe (3 a 4 Ciclos, 27.4)",IF(AND(SUMIF($U$77:$U$84,"Boss",$O$77:$O$84)=0,SUMIF($U$77:$U$84,"Elite",$O$77:$O$84)=3,SUMIF($U$77:$U$84,"Comum",$AG$77:$AG$84)=0),"3 Elites — três problemas simultâneos. É a mais pesada das quatro em dano recebido (3 a 4 Ciclos, 27.4)",IF(AND(SUMIF($U$77:$U$84,"Boss",$O$77:$O$84)=0,SUMIF($U$77:$U$84,"Elite",$O$77:$O$84)=0,SUMIF($U$77:$U$84,"Comum",$AG$77:$AG$84)=7),"7 Comuns — pelotão. Morre rápido e ainda assim morde (2 a 3 Ciclos, 27.4)",""))))))</f>
        <v/>
      </c>
    </row>
    <row r="96">
      <c r="A96" s="7" t="inlineStr">
        <is>
          <t>Contrato (27.5)</t>
        </is>
      </c>
      <c r="B96" s="7" t="inlineStr">
        <is>
          <t>Físico</t>
        </is>
      </c>
      <c r="C96" s="7" t="inlineStr">
        <is>
          <t>Fogo</t>
        </is>
      </c>
      <c r="D96" s="7" t="inlineStr">
        <is>
          <t>Gelo</t>
        </is>
      </c>
      <c r="E96" s="7" t="inlineStr">
        <is>
          <t>Raio</t>
        </is>
      </c>
      <c r="F96" s="7" t="inlineStr">
        <is>
          <t>Vento</t>
        </is>
      </c>
      <c r="G96" s="7" t="inlineStr">
        <is>
          <t>Quântico</t>
        </is>
      </c>
      <c r="H96" s="7" t="inlineStr">
        <is>
          <t>Imaginário</t>
        </is>
      </c>
      <c r="I96" s="7" t="inlineStr">
        <is>
          <t>Cobertos</t>
        </is>
      </c>
      <c r="J96" s="7" t="inlineStr">
        <is>
          <t>Contrato</t>
        </is>
      </c>
      <c r="K96" s="7" t="inlineStr">
        <is>
          <t>Aviso</t>
        </is>
      </c>
      <c r="L96" s="20" t="n"/>
    </row>
    <row r="97" ht="37" customHeight="1">
      <c r="A97" s="8" t="inlineStr">
        <is>
          <t>Fraqueza na cena?</t>
        </is>
      </c>
      <c r="B97" s="17">
        <f>IF('Grupo'!$B$44="Sim",IF(COUNTIF($P$77:$S$84,"Físico")&gt;0,"Sim","Não"),"—")</f>
        <v/>
      </c>
      <c r="C97" s="17">
        <f>IF('Grupo'!$C$44="Sim",IF(COUNTIF($P$77:$S$84,"Fogo")&gt;0,"Sim","Não"),"—")</f>
        <v/>
      </c>
      <c r="D97" s="17">
        <f>IF('Grupo'!$D$44="Sim",IF(COUNTIF($P$77:$S$84,"Gelo")&gt;0,"Sim","Não"),"—")</f>
        <v/>
      </c>
      <c r="E97" s="17">
        <f>IF('Grupo'!$E$44="Sim",IF(COUNTIF($P$77:$S$84,"Raio")&gt;0,"Sim","Não"),"—")</f>
        <v/>
      </c>
      <c r="F97" s="17">
        <f>IF('Grupo'!$F$44="Sim",IF(COUNTIF($P$77:$S$84,"Vento")&gt;0,"Sim","Não"),"—")</f>
        <v/>
      </c>
      <c r="G97" s="17">
        <f>IF('Grupo'!$G$44="Sim",IF(COUNTIF($P$77:$S$84,"Quântico")&gt;0,"Sim","Não"),"—")</f>
        <v/>
      </c>
      <c r="H97" s="17">
        <f>IF('Grupo'!$H$44="Sim",IF(COUNTIF($P$77:$S$84,"Imaginário")&gt;0,"Sim","Não"),"—")</f>
        <v/>
      </c>
      <c r="I97" s="17">
        <f>COUNTIF(B97:H97,"Sim")</f>
        <v/>
      </c>
      <c r="J97" s="17">
        <f>IF($B$94=0,"",IF($I$97&gt;=3,"Cumprido","Não cumprido"))</f>
        <v/>
      </c>
      <c r="K97" s="18">
        <f>IF(OR($B$94=0,$I$97&gt;=3),"","Contrato não cumprido: encontro deliberadamente mais duro, cerca de 1 Ciclo a mais (27.5)")</f>
        <v/>
      </c>
    </row>
    <row r="98">
      <c r="A98" s="21" t="inlineStr">
        <is>
          <t>Se não cumprir</t>
        </is>
      </c>
      <c r="B98" s="9">
        <f>IF(OR($B$94=0,$I$97&gt;=3),"","Três saídas (27.5): distribua as Fraquezas entre vários inimigos; deixe o grupo criar a Fraqueza (Implante de Fraqueza, 08); aceite o Ciclo extra e avise a mesa.")</f>
        <v/>
      </c>
    </row>
    <row r="99">
      <c r="A99" s="8" t="inlineStr">
        <is>
          <t>Regra irmã e DT</t>
        </is>
      </c>
      <c r="B99" s="4">
        <f>IF($B$94=0,"",IF(SUM($Z$77:$Z$84)&gt;0,"Há Resistência no Elemento de dois personagens: troque-a (27.5)","Nenhuma Resistência aponta para o Elemento de dois personagens (27.5)"))</f>
        <v/>
      </c>
      <c r="G99" s="4">
        <f>IF($B$94=0,"","DT para descobrir Fraqueza: "&amp;INDEX('Dados'!$B$293:$B$297,MAX(1,MAX($AD$77:$AD$84)))&amp;" (20.2, faixa do mais forte)"&amp;IF(COUNTIF('Grupo'!$R$7:$R$12,"Intellitron")&gt;0,"; Intellitron: Vantagem e 2 por sucesso",""))</f>
        <v/>
      </c>
    </row>
    <row r="100">
      <c r="A100" s="21" t="inlineStr">
        <is>
          <t>Avisos de ficha</t>
        </is>
      </c>
      <c r="B100" s="26">
        <f>IF(AND(SUM($AA$77:$AA$84)&gt;0,SUM($O$77:$O$84)&gt;1),"Pretor Vazio-Nove e Dramaturgo: monte sozinho, os reforços são o que ele tem em vez de acompanhantes (28.7, 28.8)",IF(AND(SUM($AB$77:$AB$84)&gt;0,SUMIF($U$77:$U$84,"Comum",$AG$77:$AG$84)&gt;0),"O Germe de Pavor vem sozinho: o Parto falso traz os Comuns (28.11)",""))</f>
        <v/>
      </c>
    </row>
    <row r="101"/>
    <row r="102"/>
    <row r="103" ht="20" customHeight="1">
      <c r="A103" s="12" t="inlineStr">
        <is>
          <t>Encontro aleatório (G = 100): por ambiente e faixa, com a troca de Fraqueza sugerida</t>
        </is>
      </c>
    </row>
    <row r="104">
      <c r="A104" s="7" t="inlineStr">
        <is>
          <t>Rolagem nº</t>
        </is>
      </c>
      <c r="B104" s="7" t="inlineStr">
        <is>
          <t>Ambiente</t>
        </is>
      </c>
      <c r="C104" s="20" t="n"/>
      <c r="D104" s="20" t="n"/>
      <c r="E104" s="7" t="inlineStr">
        <is>
          <t>Faixa</t>
        </is>
      </c>
      <c r="F104" s="7" t="inlineStr">
        <is>
          <t>Composição</t>
        </is>
      </c>
      <c r="G104" s="20" t="n"/>
      <c r="H104" s="7" t="inlineStr">
        <is>
          <t>Rolagem efetiva</t>
        </is>
      </c>
      <c r="I104" s="20" t="n"/>
      <c r="K104" s="7" t="inlineStr">
        <is>
          <t>Aviso</t>
        </is>
      </c>
      <c r="L104" s="20" t="n"/>
    </row>
    <row r="105" ht="26" customHeight="1">
      <c r="A105" s="35" t="n"/>
      <c r="B105" s="3" t="n"/>
      <c r="C105" s="24" t="n"/>
      <c r="D105" s="16" t="n"/>
      <c r="E105" s="36" t="n"/>
      <c r="F105" s="3" t="n"/>
      <c r="G105" s="16" t="n"/>
      <c r="H105" s="17">
        <f>IF(ISNUMBER($BG$105),IF(AND($BG$105&gt;=1,$BG$105&lt;=1000000,INT($BG$105)=$BG$105),$BG$105,1),1)</f>
        <v/>
      </c>
      <c r="K105" s="18">
        <f>IF(BN105&gt;0,"O Google leu como fórmula: escolha de novo ou digite com ' na frente.",IF(LEN($BG$105)=0,"",IF(ISNUMBER($BG$105),IF(AND($BG$105&gt;=1,$BG$105&lt;=1000000,INT($BG$105)=$BG$105),"","Rolagem nº fora de 1 a 1.000.000: usando 1"),"Rolagem nº fora de 1 a 1.000.000: usando 1")))</f>
        <v/>
      </c>
      <c r="N105" s="19">
        <f>IF(LEN(IFERROR(INDEX('Dados'!$B$7:$B$11,MATCH($BK$105,'Dados'!$AP$6:$AP$10,0)),""))&gt;0,IFERROR(INDEX('Dados'!$B$7:$B$11,MATCH($BK$105,'Dados'!$AP$6:$AP$10,0)),""),'Campanha'!$B$19)</f>
        <v/>
      </c>
      <c r="O105" s="19">
        <f>IF(AND(COUNTIF('Dados'!$BD$6:$BD$10,$BL$105)&gt;0,$BL$105&lt;&gt;"Sortear"),MATCH($BL$105,'Dados'!$BD$6:$BD$10,0)-1,IF(4&lt;=0,0,INT($AJ$108*4/2147483647)+1))</f>
        <v/>
      </c>
      <c r="BG105" s="19">
        <f>IF(ISERROR($A$105),"",IF(ISBLANK($A$105),"",$A$105))</f>
        <v/>
      </c>
      <c r="BH105" s="19">
        <f>IF(ISERROR($B$105),"",IF(ISBLANK($B$105),"",$B$105))</f>
        <v/>
      </c>
      <c r="BK105" s="19">
        <f>IF(ISERROR($E$105),"",IF(ISBLANK($E$105),"",$E$105))</f>
        <v/>
      </c>
      <c r="BL105" s="19">
        <f>IF(ISERROR($F$105),"",IF(ISBLANK($F$105),"",$F$105))</f>
        <v/>
      </c>
      <c r="BN105" s="19">
        <f>ISERROR($A$105)*1+ISERROR($B$105)*1+ISERROR($E$105)*1+ISERROR($F$105)*1</f>
        <v/>
      </c>
    </row>
    <row r="106"/>
    <row r="107" ht="26" customHeight="1">
      <c r="A107" s="7" t="inlineStr">
        <is>
          <t>Criatura</t>
        </is>
      </c>
      <c r="B107" s="20" t="n"/>
      <c r="C107" s="7" t="inlineStr">
        <is>
          <t>Quantidade</t>
        </is>
      </c>
      <c r="D107" s="7" t="inlineStr">
        <is>
          <t>Fraqueza nesta cena 1</t>
        </is>
      </c>
      <c r="E107" s="7" t="inlineStr">
        <is>
          <t>Fraqueza nesta cena 2</t>
        </is>
      </c>
      <c r="F107" s="7" t="inlineStr">
        <is>
          <t>Fraqueza nesta cena 3</t>
        </is>
      </c>
      <c r="G107" s="7" t="inlineStr">
        <is>
          <t>Fraqueza nesta cena 4</t>
        </is>
      </c>
      <c r="H107" s="7" t="inlineStr">
        <is>
          <t>Tipo</t>
        </is>
      </c>
      <c r="I107" s="7" t="inlineStr">
        <is>
          <t>PV</t>
        </is>
      </c>
      <c r="J107" s="7" t="inlineStr">
        <is>
          <t>Custo</t>
        </is>
      </c>
      <c r="K107" s="7" t="inlineStr">
        <is>
          <t>Aviso</t>
        </is>
      </c>
      <c r="L107" s="20" t="n"/>
    </row>
    <row r="108" ht="26" customHeight="1">
      <c r="A108" s="32">
        <f>$S$108</f>
        <v/>
      </c>
      <c r="C108" s="17">
        <f>IF(ISNUMBER($R$108),1,"")</f>
        <v/>
      </c>
      <c r="D108" s="17">
        <f>$AX$11</f>
        <v/>
      </c>
      <c r="E108" s="17">
        <f>$AX$12</f>
        <v/>
      </c>
      <c r="F108" s="17">
        <f>$AX$13</f>
        <v/>
      </c>
      <c r="G108" s="17">
        <f>$AX$14</f>
        <v/>
      </c>
      <c r="H108" s="17">
        <f>IF(ISNUMBER($R$108),INDEX('Dados'!$C$92:$C$123,$R$108),"")</f>
        <v/>
      </c>
      <c r="I108" s="17">
        <f>IF(ISNUMBER($R$108),INDEX('Dados'!$G$92:$G$123,$R$108),"")</f>
        <v/>
      </c>
      <c r="J108" s="17">
        <f>IF(ISNUMBER($R$108),INDEX('Dados'!$AA$92:$AA$123,$R$108),"")</f>
        <v/>
      </c>
      <c r="K108" s="18">
        <f>IF(AND(ISNUMBER($R$108),$O$108=0),"Sem criatura deste tipo no ambiente: qualquer ambiente da faixa","")</f>
        <v/>
      </c>
      <c r="N108" s="19">
        <f>IF($O$105=1,IF(1=1,"Boss",IF(1=2,"Comum","")),IF($O$105=2,IF(1=1,"Elite",IF(1&lt;=5,"Comum","")),IF($O$105=3,IF(1&lt;=3,"Elite",""),"Comum")))</f>
        <v/>
      </c>
      <c r="O108" s="19">
        <f>IF($N$108="","",IF($N$108="Comum",INDEX($AL$11:$AL$42,32),IF($N$108="Elite",INDEX($AM$11:$AM$42,32),INDEX($AN$11:$AN$42,32))))</f>
        <v/>
      </c>
      <c r="P108" s="19">
        <f>IF($N$108="","",IF($O$108&gt;0,$O$108,IF($N$108="Comum",INDEX($AO$11:$AO$42,32),IF($N$108="Elite",INDEX($AP$11:$AP$42,32),INDEX($AQ$11:$AQ$42,32)))))</f>
        <v/>
      </c>
      <c r="Q108" s="19">
        <f>IF($N$108="","",IF($P$108&lt;=0,0,INT($AJ$109*$P$108/2147483647)+1))</f>
        <v/>
      </c>
      <c r="R108" s="19">
        <f>IF($N$108="","",IFERROR(IF($N$108="Comum",IF($O$108&gt;0,MATCH($Q$108,$AL$11:$AL$42,0),MATCH($Q$108,$AO$11:$AO$42,0)),IF($N$108="Elite",IF($O$108&gt;0,MATCH($Q$108,$AM$11:$AM$42,0),MATCH($Q$108,$AP$11:$AP$42,0)),IF($O$108&gt;0,MATCH($Q$108,$AN$11:$AN$42,0),MATCH($Q$108,$AQ$11:$AQ$42,0)))),""))</f>
        <v/>
      </c>
      <c r="S108" s="19">
        <f>IF(ISNUMBER($R$108),INDEX('Dados'!$B$92:$B$123,$R$108),"")</f>
        <v/>
      </c>
      <c r="U108" s="19">
        <f>D108</f>
        <v/>
      </c>
      <c r="V108" s="19">
        <f>E108</f>
        <v/>
      </c>
      <c r="W108" s="19">
        <f>F108</f>
        <v/>
      </c>
      <c r="X108" s="19">
        <f>G108</f>
        <v/>
      </c>
      <c r="Y108" s="19">
        <f>IF(LEN($S$108)&gt;0,1,0)</f>
        <v/>
      </c>
      <c r="AH108" s="19">
        <f>MOD(MOD(MOD((MOD('Início'!$E$15+104729*$H$105+2091609,2147483646)+1)*16807,2147483647)*16807,2147483647)*16807,2147483647)</f>
        <v/>
      </c>
      <c r="AI108" s="19">
        <f>MOD(MOD(MOD((MOD(MOD(INT($AH$108/65536)*$AH$108,2147483647)*65536+MOD($AH$108,65536)*$AH$108,2147483647))*16807,2147483647)*16807,2147483647)*16807,2147483647)</f>
        <v/>
      </c>
      <c r="AJ108" s="19">
        <f>MOD(MOD(MOD((MOD($AI$108+INT($AI$108/65536)*MOD($AI$108,65536),2147483646)+1)*16807,2147483647)*16807,2147483647)*16807,2147483647)</f>
        <v/>
      </c>
    </row>
    <row r="109" ht="26" customHeight="1">
      <c r="A109" s="33">
        <f>$S$109</f>
        <v/>
      </c>
      <c r="C109" s="29">
        <f>IF(ISNUMBER($R$109),1,"")</f>
        <v/>
      </c>
      <c r="D109" s="29">
        <f>$AX$15</f>
        <v/>
      </c>
      <c r="E109" s="29">
        <f>$AX$16</f>
        <v/>
      </c>
      <c r="F109" s="29">
        <f>$AX$17</f>
        <v/>
      </c>
      <c r="G109" s="29">
        <f>$AX$18</f>
        <v/>
      </c>
      <c r="H109" s="29">
        <f>IF(ISNUMBER($R$109),INDEX('Dados'!$C$92:$C$123,$R$109),"")</f>
        <v/>
      </c>
      <c r="I109" s="29">
        <f>IF(ISNUMBER($R$109),INDEX('Dados'!$G$92:$G$123,$R$109),"")</f>
        <v/>
      </c>
      <c r="J109" s="29">
        <f>IF(ISNUMBER($R$109),INDEX('Dados'!$AA$92:$AA$123,$R$109),"")</f>
        <v/>
      </c>
      <c r="K109" s="26">
        <f>IF(AND(ISNUMBER($R$109),$O$109=0),"Sem criatura deste tipo no ambiente: qualquer ambiente da faixa","")</f>
        <v/>
      </c>
      <c r="N109" s="19">
        <f>IF($O$105=1,IF(2=1,"Boss",IF(2=2,"Comum","")),IF($O$105=2,IF(2=1,"Elite",IF(2&lt;=5,"Comum","")),IF($O$105=3,IF(2&lt;=3,"Elite",""),"Comum")))</f>
        <v/>
      </c>
      <c r="O109" s="19">
        <f>IF($N$109="","",IF($N$109="Comum",INDEX($AL$11:$AL$42,32),IF($N$109="Elite",INDEX($AM$11:$AM$42,32),INDEX($AN$11:$AN$42,32))))</f>
        <v/>
      </c>
      <c r="P109" s="19">
        <f>IF($N$109="","",IF($O$109&gt;0,$O$109,IF($N$109="Comum",INDEX($AO$11:$AO$42,32),IF($N$109="Elite",INDEX($AP$11:$AP$42,32),INDEX($AQ$11:$AQ$42,32)))))</f>
        <v/>
      </c>
      <c r="Q109" s="19">
        <f>IF($N$109="","",IF($P$109&lt;=0,0,INT($AJ$110*$P$109/2147483647)+1))</f>
        <v/>
      </c>
      <c r="R109" s="19">
        <f>IF($N$109="","",IFERROR(IF($N$109="Comum",IF($O$109&gt;0,MATCH($Q$109,$AL$11:$AL$42,0),MATCH($Q$109,$AO$11:$AO$42,0)),IF($N$109="Elite",IF($O$109&gt;0,MATCH($Q$109,$AM$11:$AM$42,0),MATCH($Q$109,$AP$11:$AP$42,0)),IF($O$109&gt;0,MATCH($Q$109,$AN$11:$AN$42,0),MATCH($Q$109,$AQ$11:$AQ$42,0)))),""))</f>
        <v/>
      </c>
      <c r="S109" s="19">
        <f>IF(ISNUMBER($R$109),INDEX('Dados'!$B$92:$B$123,$R$109),"")</f>
        <v/>
      </c>
      <c r="U109" s="19">
        <f>D109</f>
        <v/>
      </c>
      <c r="V109" s="19">
        <f>E109</f>
        <v/>
      </c>
      <c r="W109" s="19">
        <f>F109</f>
        <v/>
      </c>
      <c r="X109" s="19">
        <f>G109</f>
        <v/>
      </c>
      <c r="Y109" s="19">
        <f>$Y$108+IF(LEN($S$109)&gt;0,1,0)</f>
        <v/>
      </c>
      <c r="AH109" s="19">
        <f>MOD(MOD(MOD((MOD('Início'!$E$15+104729*$H$105+3391318,2147483646)+1)*16807,2147483647)*16807,2147483647)*16807,2147483647)</f>
        <v/>
      </c>
      <c r="AI109" s="19">
        <f>MOD(MOD(MOD((MOD(MOD(INT($AH$109/65536)*$AH$109,2147483647)*65536+MOD($AH$109,65536)*$AH$109,2147483647))*16807,2147483647)*16807,2147483647)*16807,2147483647)</f>
        <v/>
      </c>
      <c r="AJ109" s="19">
        <f>MOD(MOD(MOD((MOD($AI$109+INT($AI$109/65536)*MOD($AI$109,65536),2147483646)+1)*16807,2147483647)*16807,2147483647)*16807,2147483647)</f>
        <v/>
      </c>
    </row>
    <row r="110" ht="26" customHeight="1">
      <c r="A110" s="32">
        <f>$S$110</f>
        <v/>
      </c>
      <c r="C110" s="17">
        <f>IF(ISNUMBER($R$110),1,"")</f>
        <v/>
      </c>
      <c r="D110" s="17">
        <f>$AX$19</f>
        <v/>
      </c>
      <c r="E110" s="17">
        <f>$AX$20</f>
        <v/>
      </c>
      <c r="F110" s="17">
        <f>$AX$21</f>
        <v/>
      </c>
      <c r="G110" s="17">
        <f>$AX$22</f>
        <v/>
      </c>
      <c r="H110" s="17">
        <f>IF(ISNUMBER($R$110),INDEX('Dados'!$C$92:$C$123,$R$110),"")</f>
        <v/>
      </c>
      <c r="I110" s="17">
        <f>IF(ISNUMBER($R$110),INDEX('Dados'!$G$92:$G$123,$R$110),"")</f>
        <v/>
      </c>
      <c r="J110" s="17">
        <f>IF(ISNUMBER($R$110),INDEX('Dados'!$AA$92:$AA$123,$R$110),"")</f>
        <v/>
      </c>
      <c r="K110" s="18">
        <f>IF(AND(ISNUMBER($R$110),$O$110=0),"Sem criatura deste tipo no ambiente: qualquer ambiente da faixa","")</f>
        <v/>
      </c>
      <c r="N110" s="19">
        <f>IF($O$105=1,IF(3=1,"Boss",IF(3=2,"Comum","")),IF($O$105=2,IF(3=1,"Elite",IF(3&lt;=5,"Comum","")),IF($O$105=3,IF(3&lt;=3,"Elite",""),"Comum")))</f>
        <v/>
      </c>
      <c r="O110" s="19">
        <f>IF($N$110="","",IF($N$110="Comum",INDEX($AL$11:$AL$42,32),IF($N$110="Elite",INDEX($AM$11:$AM$42,32),INDEX($AN$11:$AN$42,32))))</f>
        <v/>
      </c>
      <c r="P110" s="19">
        <f>IF($N$110="","",IF($O$110&gt;0,$O$110,IF($N$110="Comum",INDEX($AO$11:$AO$42,32),IF($N$110="Elite",INDEX($AP$11:$AP$42,32),INDEX($AQ$11:$AQ$42,32)))))</f>
        <v/>
      </c>
      <c r="Q110" s="19">
        <f>IF($N$110="","",IF($P$110&lt;=0,0,INT($AJ$111*$P$110/2147483647)+1))</f>
        <v/>
      </c>
      <c r="R110" s="19">
        <f>IF($N$110="","",IFERROR(IF($N$110="Comum",IF($O$110&gt;0,MATCH($Q$110,$AL$11:$AL$42,0),MATCH($Q$110,$AO$11:$AO$42,0)),IF($N$110="Elite",IF($O$110&gt;0,MATCH($Q$110,$AM$11:$AM$42,0),MATCH($Q$110,$AP$11:$AP$42,0)),IF($O$110&gt;0,MATCH($Q$110,$AN$11:$AN$42,0),MATCH($Q$110,$AQ$11:$AQ$42,0)))),""))</f>
        <v/>
      </c>
      <c r="S110" s="19">
        <f>IF(ISNUMBER($R$110),INDEX('Dados'!$B$92:$B$123,$R$110),"")</f>
        <v/>
      </c>
      <c r="U110" s="19">
        <f>D110</f>
        <v/>
      </c>
      <c r="V110" s="19">
        <f>E110</f>
        <v/>
      </c>
      <c r="W110" s="19">
        <f>F110</f>
        <v/>
      </c>
      <c r="X110" s="19">
        <f>G110</f>
        <v/>
      </c>
      <c r="Y110" s="19">
        <f>$Y$109+IF(LEN($S$110)&gt;0,1,0)</f>
        <v/>
      </c>
      <c r="AH110" s="19">
        <f>MOD(MOD(MOD((MOD('Início'!$E$15+104729*$H$105+4691027,2147483646)+1)*16807,2147483647)*16807,2147483647)*16807,2147483647)</f>
        <v/>
      </c>
      <c r="AI110" s="19">
        <f>MOD(MOD(MOD((MOD(MOD(INT($AH$110/65536)*$AH$110,2147483647)*65536+MOD($AH$110,65536)*$AH$110,2147483647))*16807,2147483647)*16807,2147483647)*16807,2147483647)</f>
        <v/>
      </c>
      <c r="AJ110" s="19">
        <f>MOD(MOD(MOD((MOD($AI$110+INT($AI$110/65536)*MOD($AI$110,65536),2147483646)+1)*16807,2147483647)*16807,2147483647)*16807,2147483647)</f>
        <v/>
      </c>
    </row>
    <row r="111" ht="26" customHeight="1">
      <c r="A111" s="33">
        <f>$S$111</f>
        <v/>
      </c>
      <c r="C111" s="29">
        <f>IF(ISNUMBER($R$111),1,"")</f>
        <v/>
      </c>
      <c r="D111" s="29">
        <f>$AX$23</f>
        <v/>
      </c>
      <c r="E111" s="29">
        <f>$AX$24</f>
        <v/>
      </c>
      <c r="F111" s="29">
        <f>$AX$25</f>
        <v/>
      </c>
      <c r="G111" s="29">
        <f>$AX$26</f>
        <v/>
      </c>
      <c r="H111" s="29">
        <f>IF(ISNUMBER($R$111),INDEX('Dados'!$C$92:$C$123,$R$111),"")</f>
        <v/>
      </c>
      <c r="I111" s="29">
        <f>IF(ISNUMBER($R$111),INDEX('Dados'!$G$92:$G$123,$R$111),"")</f>
        <v/>
      </c>
      <c r="J111" s="29">
        <f>IF(ISNUMBER($R$111),INDEX('Dados'!$AA$92:$AA$123,$R$111),"")</f>
        <v/>
      </c>
      <c r="K111" s="26">
        <f>IF(AND(ISNUMBER($R$111),$O$111=0),"Sem criatura deste tipo no ambiente: qualquer ambiente da faixa","")</f>
        <v/>
      </c>
      <c r="N111" s="19">
        <f>IF($O$105=1,IF(4=1,"Boss",IF(4=2,"Comum","")),IF($O$105=2,IF(4=1,"Elite",IF(4&lt;=5,"Comum","")),IF($O$105=3,IF(4&lt;=3,"Elite",""),"Comum")))</f>
        <v/>
      </c>
      <c r="O111" s="19">
        <f>IF($N$111="","",IF($N$111="Comum",INDEX($AL$11:$AL$42,32),IF($N$111="Elite",INDEX($AM$11:$AM$42,32),INDEX($AN$11:$AN$42,32))))</f>
        <v/>
      </c>
      <c r="P111" s="19">
        <f>IF($N$111="","",IF($O$111&gt;0,$O$111,IF($N$111="Comum",INDEX($AO$11:$AO$42,32),IF($N$111="Elite",INDEX($AP$11:$AP$42,32),INDEX($AQ$11:$AQ$42,32)))))</f>
        <v/>
      </c>
      <c r="Q111" s="19">
        <f>IF($N$111="","",IF($P$111&lt;=0,0,INT($AJ$112*$P$111/2147483647)+1))</f>
        <v/>
      </c>
      <c r="R111" s="19">
        <f>IF($N$111="","",IFERROR(IF($N$111="Comum",IF($O$111&gt;0,MATCH($Q$111,$AL$11:$AL$42,0),MATCH($Q$111,$AO$11:$AO$42,0)),IF($N$111="Elite",IF($O$111&gt;0,MATCH($Q$111,$AM$11:$AM$42,0),MATCH($Q$111,$AP$11:$AP$42,0)),IF($O$111&gt;0,MATCH($Q$111,$AN$11:$AN$42,0),MATCH($Q$111,$AQ$11:$AQ$42,0)))),""))</f>
        <v/>
      </c>
      <c r="S111" s="19">
        <f>IF(ISNUMBER($R$111),INDEX('Dados'!$B$92:$B$123,$R$111),"")</f>
        <v/>
      </c>
      <c r="U111" s="19">
        <f>D111</f>
        <v/>
      </c>
      <c r="V111" s="19">
        <f>E111</f>
        <v/>
      </c>
      <c r="W111" s="19">
        <f>F111</f>
        <v/>
      </c>
      <c r="X111" s="19">
        <f>G111</f>
        <v/>
      </c>
      <c r="Y111" s="19">
        <f>$Y$110+IF(LEN($S$111)&gt;0,1,0)</f>
        <v/>
      </c>
      <c r="AH111" s="19">
        <f>MOD(MOD(MOD((MOD('Início'!$E$15+104729*$H$105+5990736,2147483646)+1)*16807,2147483647)*16807,2147483647)*16807,2147483647)</f>
        <v/>
      </c>
      <c r="AI111" s="19">
        <f>MOD(MOD(MOD((MOD(MOD(INT($AH$111/65536)*$AH$111,2147483647)*65536+MOD($AH$111,65536)*$AH$111,2147483647))*16807,2147483647)*16807,2147483647)*16807,2147483647)</f>
        <v/>
      </c>
      <c r="AJ111" s="19">
        <f>MOD(MOD(MOD((MOD($AI$111+INT($AI$111/65536)*MOD($AI$111,65536),2147483646)+1)*16807,2147483647)*16807,2147483647)*16807,2147483647)</f>
        <v/>
      </c>
    </row>
    <row r="112" ht="26" customHeight="1">
      <c r="A112" s="32">
        <f>$S$112</f>
        <v/>
      </c>
      <c r="C112" s="17">
        <f>IF(ISNUMBER($R$112),1,"")</f>
        <v/>
      </c>
      <c r="D112" s="17">
        <f>$AX$27</f>
        <v/>
      </c>
      <c r="E112" s="17">
        <f>$AX$28</f>
        <v/>
      </c>
      <c r="F112" s="17">
        <f>$AX$29</f>
        <v/>
      </c>
      <c r="G112" s="17">
        <f>$AX$30</f>
        <v/>
      </c>
      <c r="H112" s="17">
        <f>IF(ISNUMBER($R$112),INDEX('Dados'!$C$92:$C$123,$R$112),"")</f>
        <v/>
      </c>
      <c r="I112" s="17">
        <f>IF(ISNUMBER($R$112),INDEX('Dados'!$G$92:$G$123,$R$112),"")</f>
        <v/>
      </c>
      <c r="J112" s="17">
        <f>IF(ISNUMBER($R$112),INDEX('Dados'!$AA$92:$AA$123,$R$112),"")</f>
        <v/>
      </c>
      <c r="K112" s="18">
        <f>IF(AND(ISNUMBER($R$112),$O$112=0),"Sem criatura deste tipo no ambiente: qualquer ambiente da faixa","")</f>
        <v/>
      </c>
      <c r="N112" s="19">
        <f>IF($O$105=1,IF(5=1,"Boss",IF(5=2,"Comum","")),IF($O$105=2,IF(5=1,"Elite",IF(5&lt;=5,"Comum","")),IF($O$105=3,IF(5&lt;=3,"Elite",""),"Comum")))</f>
        <v/>
      </c>
      <c r="O112" s="19">
        <f>IF($N$112="","",IF($N$112="Comum",INDEX($AL$11:$AL$42,32),IF($N$112="Elite",INDEX($AM$11:$AM$42,32),INDEX($AN$11:$AN$42,32))))</f>
        <v/>
      </c>
      <c r="P112" s="19">
        <f>IF($N$112="","",IF($O$112&gt;0,$O$112,IF($N$112="Comum",INDEX($AO$11:$AO$42,32),IF($N$112="Elite",INDEX($AP$11:$AP$42,32),INDEX($AQ$11:$AQ$42,32)))))</f>
        <v/>
      </c>
      <c r="Q112" s="19">
        <f>IF($N$112="","",IF($P$112&lt;=0,0,INT($AJ$113*$P$112/2147483647)+1))</f>
        <v/>
      </c>
      <c r="R112" s="19">
        <f>IF($N$112="","",IFERROR(IF($N$112="Comum",IF($O$112&gt;0,MATCH($Q$112,$AL$11:$AL$42,0),MATCH($Q$112,$AO$11:$AO$42,0)),IF($N$112="Elite",IF($O$112&gt;0,MATCH($Q$112,$AM$11:$AM$42,0),MATCH($Q$112,$AP$11:$AP$42,0)),IF($O$112&gt;0,MATCH($Q$112,$AN$11:$AN$42,0),MATCH($Q$112,$AQ$11:$AQ$42,0)))),""))</f>
        <v/>
      </c>
      <c r="S112" s="19">
        <f>IF(ISNUMBER($R$112),INDEX('Dados'!$B$92:$B$123,$R$112),"")</f>
        <v/>
      </c>
      <c r="U112" s="19">
        <f>D112</f>
        <v/>
      </c>
      <c r="V112" s="19">
        <f>E112</f>
        <v/>
      </c>
      <c r="W112" s="19">
        <f>F112</f>
        <v/>
      </c>
      <c r="X112" s="19">
        <f>G112</f>
        <v/>
      </c>
      <c r="Y112" s="19">
        <f>$Y$111+IF(LEN($S$112)&gt;0,1,0)</f>
        <v/>
      </c>
      <c r="AH112" s="19">
        <f>MOD(MOD(MOD((MOD('Início'!$E$15+104729*$H$105+7290445,2147483646)+1)*16807,2147483647)*16807,2147483647)*16807,2147483647)</f>
        <v/>
      </c>
      <c r="AI112" s="19">
        <f>MOD(MOD(MOD((MOD(MOD(INT($AH$112/65536)*$AH$112,2147483647)*65536+MOD($AH$112,65536)*$AH$112,2147483647))*16807,2147483647)*16807,2147483647)*16807,2147483647)</f>
        <v/>
      </c>
      <c r="AJ112" s="19">
        <f>MOD(MOD(MOD((MOD($AI$112+INT($AI$112/65536)*MOD($AI$112,65536),2147483646)+1)*16807,2147483647)*16807,2147483647)*16807,2147483647)</f>
        <v/>
      </c>
    </row>
    <row r="113" ht="26" customHeight="1">
      <c r="A113" s="33">
        <f>$S$113</f>
        <v/>
      </c>
      <c r="C113" s="29">
        <f>IF(ISNUMBER($R$113),1,"")</f>
        <v/>
      </c>
      <c r="D113" s="29">
        <f>$AX$31</f>
        <v/>
      </c>
      <c r="E113" s="29">
        <f>$AX$32</f>
        <v/>
      </c>
      <c r="F113" s="29">
        <f>$AX$33</f>
        <v/>
      </c>
      <c r="G113" s="29">
        <f>$AX$34</f>
        <v/>
      </c>
      <c r="H113" s="29">
        <f>IF(ISNUMBER($R$113),INDEX('Dados'!$C$92:$C$123,$R$113),"")</f>
        <v/>
      </c>
      <c r="I113" s="29">
        <f>IF(ISNUMBER($R$113),INDEX('Dados'!$G$92:$G$123,$R$113),"")</f>
        <v/>
      </c>
      <c r="J113" s="29">
        <f>IF(ISNUMBER($R$113),INDEX('Dados'!$AA$92:$AA$123,$R$113),"")</f>
        <v/>
      </c>
      <c r="K113" s="26">
        <f>IF(AND(ISNUMBER($R$113),$O$113=0),"Sem criatura deste tipo no ambiente: qualquer ambiente da faixa","")</f>
        <v/>
      </c>
      <c r="N113" s="19">
        <f>IF($O$105=1,IF(6=1,"Boss",IF(6=2,"Comum","")),IF($O$105=2,IF(6=1,"Elite",IF(6&lt;=5,"Comum","")),IF($O$105=3,IF(6&lt;=3,"Elite",""),"Comum")))</f>
        <v/>
      </c>
      <c r="O113" s="19">
        <f>IF($N$113="","",IF($N$113="Comum",INDEX($AL$11:$AL$42,32),IF($N$113="Elite",INDEX($AM$11:$AM$42,32),INDEX($AN$11:$AN$42,32))))</f>
        <v/>
      </c>
      <c r="P113" s="19">
        <f>IF($N$113="","",IF($O$113&gt;0,$O$113,IF($N$113="Comum",INDEX($AO$11:$AO$42,32),IF($N$113="Elite",INDEX($AP$11:$AP$42,32),INDEX($AQ$11:$AQ$42,32)))))</f>
        <v/>
      </c>
      <c r="Q113" s="19">
        <f>IF($N$113="","",IF($P$113&lt;=0,0,INT($AJ$114*$P$113/2147483647)+1))</f>
        <v/>
      </c>
      <c r="R113" s="19">
        <f>IF($N$113="","",IFERROR(IF($N$113="Comum",IF($O$113&gt;0,MATCH($Q$113,$AL$11:$AL$42,0),MATCH($Q$113,$AO$11:$AO$42,0)),IF($N$113="Elite",IF($O$113&gt;0,MATCH($Q$113,$AM$11:$AM$42,0),MATCH($Q$113,$AP$11:$AP$42,0)),IF($O$113&gt;0,MATCH($Q$113,$AN$11:$AN$42,0),MATCH($Q$113,$AQ$11:$AQ$42,0)))),""))</f>
        <v/>
      </c>
      <c r="S113" s="19">
        <f>IF(ISNUMBER($R$113),INDEX('Dados'!$B$92:$B$123,$R$113),"")</f>
        <v/>
      </c>
      <c r="U113" s="19">
        <f>D113</f>
        <v/>
      </c>
      <c r="V113" s="19">
        <f>E113</f>
        <v/>
      </c>
      <c r="W113" s="19">
        <f>F113</f>
        <v/>
      </c>
      <c r="X113" s="19">
        <f>G113</f>
        <v/>
      </c>
      <c r="Y113" s="19">
        <f>$Y$112+IF(LEN($S$113)&gt;0,1,0)</f>
        <v/>
      </c>
      <c r="AH113" s="19">
        <f>MOD(MOD(MOD((MOD('Início'!$E$15+104729*$H$105+8590154,2147483646)+1)*16807,2147483647)*16807,2147483647)*16807,2147483647)</f>
        <v/>
      </c>
      <c r="AI113" s="19">
        <f>MOD(MOD(MOD((MOD(MOD(INT($AH$113/65536)*$AH$113,2147483647)*65536+MOD($AH$113,65536)*$AH$113,2147483647))*16807,2147483647)*16807,2147483647)*16807,2147483647)</f>
        <v/>
      </c>
      <c r="AJ113" s="19">
        <f>MOD(MOD(MOD((MOD($AI$113+INT($AI$113/65536)*MOD($AI$113,65536),2147483646)+1)*16807,2147483647)*16807,2147483647)*16807,2147483647)</f>
        <v/>
      </c>
    </row>
    <row r="114" ht="26" customHeight="1">
      <c r="A114" s="32">
        <f>$S$114</f>
        <v/>
      </c>
      <c r="C114" s="17">
        <f>IF(ISNUMBER($R$114),1,"")</f>
        <v/>
      </c>
      <c r="D114" s="17">
        <f>$AX$35</f>
        <v/>
      </c>
      <c r="E114" s="17">
        <f>$AX$36</f>
        <v/>
      </c>
      <c r="F114" s="17">
        <f>$AX$37</f>
        <v/>
      </c>
      <c r="G114" s="17">
        <f>$AX$38</f>
        <v/>
      </c>
      <c r="H114" s="17">
        <f>IF(ISNUMBER($R$114),INDEX('Dados'!$C$92:$C$123,$R$114),"")</f>
        <v/>
      </c>
      <c r="I114" s="17">
        <f>IF(ISNUMBER($R$114),INDEX('Dados'!$G$92:$G$123,$R$114),"")</f>
        <v/>
      </c>
      <c r="J114" s="17">
        <f>IF(ISNUMBER($R$114),INDEX('Dados'!$AA$92:$AA$123,$R$114),"")</f>
        <v/>
      </c>
      <c r="K114" s="18">
        <f>IF(AND(ISNUMBER($R$114),$O$114=0),"Sem criatura deste tipo no ambiente: qualquer ambiente da faixa","")</f>
        <v/>
      </c>
      <c r="N114" s="19">
        <f>IF($O$105=1,IF(7=1,"Boss",IF(7=2,"Comum","")),IF($O$105=2,IF(7=1,"Elite",IF(7&lt;=5,"Comum","")),IF($O$105=3,IF(7&lt;=3,"Elite",""),"Comum")))</f>
        <v/>
      </c>
      <c r="O114" s="19">
        <f>IF($N$114="","",IF($N$114="Comum",INDEX($AL$11:$AL$42,32),IF($N$114="Elite",INDEX($AM$11:$AM$42,32),INDEX($AN$11:$AN$42,32))))</f>
        <v/>
      </c>
      <c r="P114" s="19">
        <f>IF($N$114="","",IF($O$114&gt;0,$O$114,IF($N$114="Comum",INDEX($AO$11:$AO$42,32),IF($N$114="Elite",INDEX($AP$11:$AP$42,32),INDEX($AQ$11:$AQ$42,32)))))</f>
        <v/>
      </c>
      <c r="Q114" s="19">
        <f>IF($N$114="","",IF($P$114&lt;=0,0,INT($AJ$115*$P$114/2147483647)+1))</f>
        <v/>
      </c>
      <c r="R114" s="19">
        <f>IF($N$114="","",IFERROR(IF($N$114="Comum",IF($O$114&gt;0,MATCH($Q$114,$AL$11:$AL$42,0),MATCH($Q$114,$AO$11:$AO$42,0)),IF($N$114="Elite",IF($O$114&gt;0,MATCH($Q$114,$AM$11:$AM$42,0),MATCH($Q$114,$AP$11:$AP$42,0)),IF($O$114&gt;0,MATCH($Q$114,$AN$11:$AN$42,0),MATCH($Q$114,$AQ$11:$AQ$42,0)))),""))</f>
        <v/>
      </c>
      <c r="S114" s="19">
        <f>IF(ISNUMBER($R$114),INDEX('Dados'!$B$92:$B$123,$R$114),"")</f>
        <v/>
      </c>
      <c r="U114" s="19">
        <f>D114</f>
        <v/>
      </c>
      <c r="V114" s="19">
        <f>E114</f>
        <v/>
      </c>
      <c r="W114" s="19">
        <f>F114</f>
        <v/>
      </c>
      <c r="X114" s="19">
        <f>G114</f>
        <v/>
      </c>
      <c r="Y114" s="19">
        <f>$Y$113+IF(LEN($S$114)&gt;0,1,0)</f>
        <v/>
      </c>
      <c r="AH114" s="19">
        <f>MOD(MOD(MOD((MOD('Início'!$E$15+104729*$H$105+9889863,2147483646)+1)*16807,2147483647)*16807,2147483647)*16807,2147483647)</f>
        <v/>
      </c>
      <c r="AI114" s="19">
        <f>MOD(MOD(MOD((MOD(MOD(INT($AH$114/65536)*$AH$114,2147483647)*65536+MOD($AH$114,65536)*$AH$114,2147483647))*16807,2147483647)*16807,2147483647)*16807,2147483647)</f>
        <v/>
      </c>
      <c r="AJ114" s="19">
        <f>MOD(MOD(MOD((MOD($AI$114+INT($AI$114/65536)*MOD($AI$114,65536),2147483646)+1)*16807,2147483647)*16807,2147483647)*16807,2147483647)</f>
        <v/>
      </c>
    </row>
    <row r="115">
      <c r="AH115" s="19">
        <f>MOD(MOD(MOD((MOD('Início'!$E$15+104729*$H$105+11189572,2147483646)+1)*16807,2147483647)*16807,2147483647)*16807,2147483647)</f>
        <v/>
      </c>
      <c r="AI115" s="19">
        <f>MOD(MOD(MOD((MOD(MOD(INT($AH$115/65536)*$AH$115,2147483647)*65536+MOD($AH$115,65536)*$AH$115,2147483647))*16807,2147483647)*16807,2147483647)*16807,2147483647)</f>
        <v/>
      </c>
      <c r="AJ115" s="19">
        <f>MOD(MOD(MOD((MOD($AI$115+INT($AI$115/65536)*MOD($AI$115,65536),2147483646)+1)*16807,2147483647)*16807,2147483647)*16807,2147483647)</f>
        <v/>
      </c>
    </row>
    <row r="116" ht="26" customHeight="1">
      <c r="A116" s="8" t="inlineStr">
        <is>
          <t>Trocas sugeridas</t>
        </is>
      </c>
      <c r="B116" s="4">
        <f>IF(ISNUMBER($R$108),IF(LEN($AY$11&amp;$AY$12&amp;$AY$13&amp;$AY$14&amp;$AY$15&amp;$AY$16&amp;$AY$17&amp;$AY$18&amp;$AY$19&amp;$AY$20&amp;$AY$21&amp;$AY$22&amp;$AY$23&amp;$AY$24&amp;$AY$25&amp;$AY$26&amp;$AY$27&amp;$AY$28&amp;$AY$29&amp;$AY$30&amp;$AY$31&amp;$AY$32&amp;$AY$33&amp;$AY$34&amp;$AY$35&amp;$AY$36&amp;$AY$37&amp;$AY$38)=0,"Nenhuma troca necessária",$AY$11&amp;$AY$12&amp;$AY$13&amp;$AY$14&amp;$AY$15&amp;$AY$16&amp;$AY$17&amp;$AY$18&amp;$AY$19&amp;$AY$20&amp;$AY$21&amp;$AY$22&amp;$AY$23&amp;$AY$24&amp;$AY$25&amp;$AY$26&amp;$AY$27&amp;$AY$28&amp;$AY$29&amp;$AY$30&amp;$AY$31&amp;$AY$32&amp;$AY$33&amp;$AY$34&amp;$AY$35&amp;$AY$36&amp;$AY$37&amp;$AY$38),"")</f>
        <v/>
      </c>
      <c r="K116" s="4">
        <f>"Sugestão da planilha — não é regra do livro (H19)"</f>
        <v/>
      </c>
    </row>
    <row r="117" ht="37" customHeight="1">
      <c r="A117" s="8" t="inlineStr">
        <is>
          <t>Leitura</t>
        </is>
      </c>
      <c r="B117" s="4">
        <f>IF(ISNUMBER($R$108),"Custo "&amp;SUM(J108:J114)&amp;" de "&amp;$B$11&amp;" · contrato: "&amp;($BE$11+$AW$38)&amp;" Elemento(s) do grupo como Fraqueza"&amp;IF($BE$11+$AW$38&gt;=3," (cumprido)"," (não cumprido)")&amp;" · composição: "&amp;INDEX('Dados'!$BD$6:$BD$10,$O$105+1),"")</f>
        <v/>
      </c>
      <c r="K117" s="4">
        <f>"Composição sorteada com peso igual: Sugestão da planilha — não é regra do livro (H11)"</f>
        <v/>
      </c>
    </row>
    <row r="118">
      <c r="A118" s="11" t="inlineStr">
        <is>
          <t>Copie A:G da linha de saída e cole como valores (Colar especial → Somente valores) em A, B ou C: as colunas estão na mesma ordem (D6).</t>
        </is>
      </c>
    </row>
    <row r="119"/>
    <row r="120" ht="20" customHeight="1">
      <c r="A120" s="12" t="inlineStr">
        <is>
          <t>O dia de jogo e as recompensas</t>
        </is>
      </c>
    </row>
    <row r="121">
      <c r="A121" s="4">
        <f>"Attrition de referência (27.7), faixa "&amp;$B$8&amp;": o grupo termina um combate típico com "&amp;INDEX('Dados'!$E$276:$E$280,$N$8)&amp;" dos PV. Dois combates por dia é um dia tranquilo, três é um dia de verdade, quatro é emergência."</f>
        <v/>
      </c>
    </row>
    <row r="122">
      <c r="A122" s="11" t="inlineStr">
        <is>
          <t>Progressão por marco narrativo; não existe experiência por inimigo derrotado (26.1). Recompensas: aba Recompensas.</t>
        </is>
      </c>
    </row>
  </sheetData>
  <mergeCells count="231">
    <mergeCell ref="K49:L49"/>
    <mergeCell ref="C61:F61"/>
    <mergeCell ref="B100:L100"/>
    <mergeCell ref="K24:L24"/>
    <mergeCell ref="A51:B51"/>
    <mergeCell ref="F10:J10"/>
    <mergeCell ref="K33:L33"/>
    <mergeCell ref="A46:L46"/>
    <mergeCell ref="I89:J89"/>
    <mergeCell ref="K89:L89"/>
    <mergeCell ref="K104:L104"/>
    <mergeCell ref="G47:J47"/>
    <mergeCell ref="A107:B107"/>
    <mergeCell ref="K113:L113"/>
    <mergeCell ref="B71:F71"/>
    <mergeCell ref="F6:J6"/>
    <mergeCell ref="C32:F32"/>
    <mergeCell ref="C37:F37"/>
    <mergeCell ref="K88:L88"/>
    <mergeCell ref="K26:L26"/>
    <mergeCell ref="B12:C12"/>
    <mergeCell ref="D6:E6"/>
    <mergeCell ref="K35:L35"/>
    <mergeCell ref="A54:B54"/>
    <mergeCell ref="C87:F87"/>
    <mergeCell ref="B39:L39"/>
    <mergeCell ref="K76:L76"/>
    <mergeCell ref="K50:L50"/>
    <mergeCell ref="K81:L81"/>
    <mergeCell ref="K90:L90"/>
    <mergeCell ref="C62:F62"/>
    <mergeCell ref="B47:E47"/>
    <mergeCell ref="A56:B56"/>
    <mergeCell ref="A27:B27"/>
    <mergeCell ref="F8:J8"/>
    <mergeCell ref="I58:J58"/>
    <mergeCell ref="C89:F89"/>
    <mergeCell ref="K58:L58"/>
    <mergeCell ref="K52:L52"/>
    <mergeCell ref="C64:F64"/>
    <mergeCell ref="D7:E7"/>
    <mergeCell ref="A76:B76"/>
    <mergeCell ref="C88:F88"/>
    <mergeCell ref="C63:F63"/>
    <mergeCell ref="C93:F93"/>
    <mergeCell ref="A22:B22"/>
    <mergeCell ref="A53:B53"/>
    <mergeCell ref="G66:J66"/>
    <mergeCell ref="F105:G105"/>
    <mergeCell ref="F9:J9"/>
    <mergeCell ref="H105:I105"/>
    <mergeCell ref="K53:L53"/>
    <mergeCell ref="A109:B109"/>
    <mergeCell ref="G71:L71"/>
    <mergeCell ref="K116:L116"/>
    <mergeCell ref="A28:B28"/>
    <mergeCell ref="K28:L28"/>
    <mergeCell ref="A111:B111"/>
    <mergeCell ref="K37:L37"/>
    <mergeCell ref="B105:D105"/>
    <mergeCell ref="K69:L69"/>
    <mergeCell ref="C36:F36"/>
    <mergeCell ref="K78:L78"/>
    <mergeCell ref="I30:J30"/>
    <mergeCell ref="A48:B48"/>
    <mergeCell ref="K92:L92"/>
    <mergeCell ref="K30:L30"/>
    <mergeCell ref="B117:J117"/>
    <mergeCell ref="I86:J86"/>
    <mergeCell ref="K80:L80"/>
    <mergeCell ref="G94:J94"/>
    <mergeCell ref="I61:J61"/>
    <mergeCell ref="A3:L3"/>
    <mergeCell ref="K55:L55"/>
    <mergeCell ref="A79:B79"/>
    <mergeCell ref="A120:L120"/>
    <mergeCell ref="K64:L64"/>
    <mergeCell ref="K21:L21"/>
    <mergeCell ref="G75:J75"/>
    <mergeCell ref="K79:L79"/>
    <mergeCell ref="F7:J7"/>
    <mergeCell ref="B43:F43"/>
    <mergeCell ref="I57:J57"/>
    <mergeCell ref="K51:L51"/>
    <mergeCell ref="B116:J116"/>
    <mergeCell ref="B11:C11"/>
    <mergeCell ref="I32:J32"/>
    <mergeCell ref="A5:L5"/>
    <mergeCell ref="K32:L32"/>
    <mergeCell ref="K63:L63"/>
    <mergeCell ref="C92:F92"/>
    <mergeCell ref="A14:L14"/>
    <mergeCell ref="C30:F30"/>
    <mergeCell ref="K41:L41"/>
    <mergeCell ref="B67:L67"/>
    <mergeCell ref="K56:L56"/>
    <mergeCell ref="K96:L96"/>
    <mergeCell ref="A26:B26"/>
    <mergeCell ref="K105:L105"/>
    <mergeCell ref="I33:J33"/>
    <mergeCell ref="K27:L27"/>
    <mergeCell ref="G38:J38"/>
    <mergeCell ref="B99:F99"/>
    <mergeCell ref="K107:L107"/>
    <mergeCell ref="I88:J88"/>
    <mergeCell ref="B6:C6"/>
    <mergeCell ref="I35:J35"/>
    <mergeCell ref="K82:L82"/>
    <mergeCell ref="A52:B52"/>
    <mergeCell ref="H104:I104"/>
    <mergeCell ref="K66:L66"/>
    <mergeCell ref="C90:F90"/>
    <mergeCell ref="B95:L95"/>
    <mergeCell ref="K19:L19"/>
    <mergeCell ref="I59:J59"/>
    <mergeCell ref="K93:L93"/>
    <mergeCell ref="K6:L6"/>
    <mergeCell ref="I60:J60"/>
    <mergeCell ref="A77:B77"/>
    <mergeCell ref="A83:B83"/>
    <mergeCell ref="K68:L68"/>
    <mergeCell ref="K25:L25"/>
    <mergeCell ref="K83:L83"/>
    <mergeCell ref="B7:C7"/>
    <mergeCell ref="F11:J11"/>
    <mergeCell ref="C91:F91"/>
    <mergeCell ref="A49:B49"/>
    <mergeCell ref="B72:L72"/>
    <mergeCell ref="A118:L118"/>
    <mergeCell ref="A18:L18"/>
    <mergeCell ref="C57:F57"/>
    <mergeCell ref="K54:L54"/>
    <mergeCell ref="K60:L60"/>
    <mergeCell ref="K29:L29"/>
    <mergeCell ref="A78:B78"/>
    <mergeCell ref="K109:L109"/>
    <mergeCell ref="K47:L47"/>
    <mergeCell ref="C34:F34"/>
    <mergeCell ref="C86:F86"/>
    <mergeCell ref="I37:J37"/>
    <mergeCell ref="B42:L42"/>
    <mergeCell ref="K31:L31"/>
    <mergeCell ref="A80:B80"/>
    <mergeCell ref="K40:L40"/>
    <mergeCell ref="C58:F58"/>
    <mergeCell ref="K111:L111"/>
    <mergeCell ref="A122:L122"/>
    <mergeCell ref="A55:B55"/>
    <mergeCell ref="A21:B21"/>
    <mergeCell ref="I87:J87"/>
    <mergeCell ref="B44:L44"/>
    <mergeCell ref="G99:L99"/>
    <mergeCell ref="A113:B113"/>
    <mergeCell ref="I62:J62"/>
    <mergeCell ref="A121:L121"/>
    <mergeCell ref="K8:L8"/>
    <mergeCell ref="C29:F29"/>
    <mergeCell ref="C65:F65"/>
    <mergeCell ref="A23:B23"/>
    <mergeCell ref="B9:C9"/>
    <mergeCell ref="K23:L23"/>
    <mergeCell ref="K97:L97"/>
    <mergeCell ref="I64:J64"/>
    <mergeCell ref="K7:L7"/>
    <mergeCell ref="A15:L15"/>
    <mergeCell ref="C31:F31"/>
    <mergeCell ref="K65:L65"/>
    <mergeCell ref="I63:J63"/>
    <mergeCell ref="K57:L57"/>
    <mergeCell ref="B19:E19"/>
    <mergeCell ref="C60:F60"/>
    <mergeCell ref="I65:J65"/>
    <mergeCell ref="I34:J34"/>
    <mergeCell ref="A24:B24"/>
    <mergeCell ref="I90:J90"/>
    <mergeCell ref="K34:L34"/>
    <mergeCell ref="A82:B82"/>
    <mergeCell ref="K108:L108"/>
    <mergeCell ref="A74:L74"/>
    <mergeCell ref="K114:L114"/>
    <mergeCell ref="I36:J36"/>
    <mergeCell ref="A110:B110"/>
    <mergeCell ref="K36:L36"/>
    <mergeCell ref="K110:L110"/>
    <mergeCell ref="I91:J91"/>
    <mergeCell ref="K20:L20"/>
    <mergeCell ref="B70:L70"/>
    <mergeCell ref="A25:B25"/>
    <mergeCell ref="B75:E75"/>
    <mergeCell ref="I85:J85"/>
    <mergeCell ref="K85:L85"/>
    <mergeCell ref="K91:L91"/>
    <mergeCell ref="F104:G104"/>
    <mergeCell ref="K94:L94"/>
    <mergeCell ref="A108:B108"/>
    <mergeCell ref="A84:B84"/>
    <mergeCell ref="C33:F33"/>
    <mergeCell ref="K84:L84"/>
    <mergeCell ref="I93:J93"/>
    <mergeCell ref="K22:L22"/>
    <mergeCell ref="B8:C8"/>
    <mergeCell ref="B98:L98"/>
    <mergeCell ref="K75:L75"/>
    <mergeCell ref="A50:B50"/>
    <mergeCell ref="B104:D104"/>
    <mergeCell ref="K59:L59"/>
    <mergeCell ref="K77:L77"/>
    <mergeCell ref="C35:F35"/>
    <mergeCell ref="I92:J92"/>
    <mergeCell ref="K86:L86"/>
    <mergeCell ref="K117:L117"/>
    <mergeCell ref="B10:C10"/>
    <mergeCell ref="K61:L61"/>
    <mergeCell ref="C85:F85"/>
    <mergeCell ref="G43:L43"/>
    <mergeCell ref="G19:J19"/>
    <mergeCell ref="K48:L48"/>
    <mergeCell ref="D8:E8"/>
    <mergeCell ref="A20:B20"/>
    <mergeCell ref="I29:J29"/>
    <mergeCell ref="A81:B81"/>
    <mergeCell ref="K38:L38"/>
    <mergeCell ref="A112:B112"/>
    <mergeCell ref="A1:L1"/>
    <mergeCell ref="A103:L103"/>
    <mergeCell ref="K112:L112"/>
    <mergeCell ref="C59:F59"/>
    <mergeCell ref="I31:J31"/>
    <mergeCell ref="K62:L62"/>
    <mergeCell ref="K87:L87"/>
    <mergeCell ref="A114:B114"/>
  </mergeCells>
  <conditionalFormatting sqref="K7">
    <cfRule type="expression" priority="1" dxfId="0">
      <formula>LEN(K7)&gt;0</formula>
    </cfRule>
  </conditionalFormatting>
  <conditionalFormatting sqref="K21">
    <cfRule type="expression" priority="2" dxfId="0">
      <formula>LEN(K21)&gt;0</formula>
    </cfRule>
  </conditionalFormatting>
  <conditionalFormatting sqref="K30">
    <cfRule type="expression" priority="3" dxfId="0">
      <formula>LEN(K30)&gt;0</formula>
    </cfRule>
  </conditionalFormatting>
  <conditionalFormatting sqref="K22">
    <cfRule type="expression" priority="4" dxfId="0">
      <formula>LEN(K22)&gt;0</formula>
    </cfRule>
  </conditionalFormatting>
  <conditionalFormatting sqref="K31">
    <cfRule type="expression" priority="5" dxfId="0">
      <formula>LEN(K31)&gt;0</formula>
    </cfRule>
  </conditionalFormatting>
  <conditionalFormatting sqref="K23">
    <cfRule type="expression" priority="6" dxfId="0">
      <formula>LEN(K23)&gt;0</formula>
    </cfRule>
  </conditionalFormatting>
  <conditionalFormatting sqref="K32">
    <cfRule type="expression" priority="7" dxfId="0">
      <formula>LEN(K32)&gt;0</formula>
    </cfRule>
  </conditionalFormatting>
  <conditionalFormatting sqref="K24">
    <cfRule type="expression" priority="8" dxfId="0">
      <formula>LEN(K24)&gt;0</formula>
    </cfRule>
  </conditionalFormatting>
  <conditionalFormatting sqref="K33">
    <cfRule type="expression" priority="9" dxfId="0">
      <formula>LEN(K33)&gt;0</formula>
    </cfRule>
  </conditionalFormatting>
  <conditionalFormatting sqref="K25">
    <cfRule type="expression" priority="10" dxfId="0">
      <formula>LEN(K25)&gt;0</formula>
    </cfRule>
  </conditionalFormatting>
  <conditionalFormatting sqref="K34">
    <cfRule type="expression" priority="11" dxfId="0">
      <formula>LEN(K34)&gt;0</formula>
    </cfRule>
  </conditionalFormatting>
  <conditionalFormatting sqref="K26">
    <cfRule type="expression" priority="12" dxfId="0">
      <formula>LEN(K26)&gt;0</formula>
    </cfRule>
  </conditionalFormatting>
  <conditionalFormatting sqref="K35">
    <cfRule type="expression" priority="13" dxfId="0">
      <formula>LEN(K35)&gt;0</formula>
    </cfRule>
  </conditionalFormatting>
  <conditionalFormatting sqref="K27">
    <cfRule type="expression" priority="14" dxfId="0">
      <formula>LEN(K27)&gt;0</formula>
    </cfRule>
  </conditionalFormatting>
  <conditionalFormatting sqref="K36">
    <cfRule type="expression" priority="15" dxfId="0">
      <formula>LEN(K36)&gt;0</formula>
    </cfRule>
  </conditionalFormatting>
  <conditionalFormatting sqref="K28">
    <cfRule type="expression" priority="16" dxfId="0">
      <formula>LEN(K28)&gt;0</formula>
    </cfRule>
  </conditionalFormatting>
  <conditionalFormatting sqref="K37">
    <cfRule type="expression" priority="17" dxfId="0">
      <formula>LEN(K37)&gt;0</formula>
    </cfRule>
  </conditionalFormatting>
  <conditionalFormatting sqref="K41">
    <cfRule type="expression" priority="18" dxfId="0">
      <formula>LEN(K41)&gt;0</formula>
    </cfRule>
  </conditionalFormatting>
  <conditionalFormatting sqref="B44">
    <cfRule type="expression" priority="19" dxfId="0">
      <formula>LEN(B44)&gt;0</formula>
    </cfRule>
  </conditionalFormatting>
  <conditionalFormatting sqref="K49">
    <cfRule type="expression" priority="20" dxfId="0">
      <formula>LEN(K49)&gt;0</formula>
    </cfRule>
  </conditionalFormatting>
  <conditionalFormatting sqref="K58">
    <cfRule type="expression" priority="21" dxfId="0">
      <formula>LEN(K58)&gt;0</formula>
    </cfRule>
  </conditionalFormatting>
  <conditionalFormatting sqref="K50">
    <cfRule type="expression" priority="22" dxfId="0">
      <formula>LEN(K50)&gt;0</formula>
    </cfRule>
  </conditionalFormatting>
  <conditionalFormatting sqref="K59">
    <cfRule type="expression" priority="23" dxfId="0">
      <formula>LEN(K59)&gt;0</formula>
    </cfRule>
  </conditionalFormatting>
  <conditionalFormatting sqref="K51">
    <cfRule type="expression" priority="24" dxfId="0">
      <formula>LEN(K51)&gt;0</formula>
    </cfRule>
  </conditionalFormatting>
  <conditionalFormatting sqref="K60">
    <cfRule type="expression" priority="25" dxfId="0">
      <formula>LEN(K60)&gt;0</formula>
    </cfRule>
  </conditionalFormatting>
  <conditionalFormatting sqref="K52">
    <cfRule type="expression" priority="26" dxfId="0">
      <formula>LEN(K52)&gt;0</formula>
    </cfRule>
  </conditionalFormatting>
  <conditionalFormatting sqref="K61">
    <cfRule type="expression" priority="27" dxfId="0">
      <formula>LEN(K61)&gt;0</formula>
    </cfRule>
  </conditionalFormatting>
  <conditionalFormatting sqref="K53">
    <cfRule type="expression" priority="28" dxfId="0">
      <formula>LEN(K53)&gt;0</formula>
    </cfRule>
  </conditionalFormatting>
  <conditionalFormatting sqref="K62">
    <cfRule type="expression" priority="29" dxfId="0">
      <formula>LEN(K62)&gt;0</formula>
    </cfRule>
  </conditionalFormatting>
  <conditionalFormatting sqref="K54">
    <cfRule type="expression" priority="30" dxfId="0">
      <formula>LEN(K54)&gt;0</formula>
    </cfRule>
  </conditionalFormatting>
  <conditionalFormatting sqref="K63">
    <cfRule type="expression" priority="31" dxfId="0">
      <formula>LEN(K63)&gt;0</formula>
    </cfRule>
  </conditionalFormatting>
  <conditionalFormatting sqref="K55">
    <cfRule type="expression" priority="32" dxfId="0">
      <formula>LEN(K55)&gt;0</formula>
    </cfRule>
  </conditionalFormatting>
  <conditionalFormatting sqref="K64">
    <cfRule type="expression" priority="33" dxfId="0">
      <formula>LEN(K64)&gt;0</formula>
    </cfRule>
  </conditionalFormatting>
  <conditionalFormatting sqref="K56">
    <cfRule type="expression" priority="34" dxfId="0">
      <formula>LEN(K56)&gt;0</formula>
    </cfRule>
  </conditionalFormatting>
  <conditionalFormatting sqref="K65">
    <cfRule type="expression" priority="35" dxfId="0">
      <formula>LEN(K65)&gt;0</formula>
    </cfRule>
  </conditionalFormatting>
  <conditionalFormatting sqref="K69">
    <cfRule type="expression" priority="36" dxfId="0">
      <formula>LEN(K69)&gt;0</formula>
    </cfRule>
  </conditionalFormatting>
  <conditionalFormatting sqref="B72">
    <cfRule type="expression" priority="37" dxfId="0">
      <formula>LEN(B72)&gt;0</formula>
    </cfRule>
  </conditionalFormatting>
  <conditionalFormatting sqref="K77">
    <cfRule type="expression" priority="38" dxfId="0">
      <formula>LEN(K77)&gt;0</formula>
    </cfRule>
  </conditionalFormatting>
  <conditionalFormatting sqref="K86">
    <cfRule type="expression" priority="39" dxfId="0">
      <formula>LEN(K86)&gt;0</formula>
    </cfRule>
  </conditionalFormatting>
  <conditionalFormatting sqref="K78">
    <cfRule type="expression" priority="40" dxfId="0">
      <formula>LEN(K78)&gt;0</formula>
    </cfRule>
  </conditionalFormatting>
  <conditionalFormatting sqref="K87">
    <cfRule type="expression" priority="41" dxfId="0">
      <formula>LEN(K87)&gt;0</formula>
    </cfRule>
  </conditionalFormatting>
  <conditionalFormatting sqref="K79">
    <cfRule type="expression" priority="42" dxfId="0">
      <formula>LEN(K79)&gt;0</formula>
    </cfRule>
  </conditionalFormatting>
  <conditionalFormatting sqref="K88">
    <cfRule type="expression" priority="43" dxfId="0">
      <formula>LEN(K88)&gt;0</formula>
    </cfRule>
  </conditionalFormatting>
  <conditionalFormatting sqref="K80">
    <cfRule type="expression" priority="44" dxfId="0">
      <formula>LEN(K80)&gt;0</formula>
    </cfRule>
  </conditionalFormatting>
  <conditionalFormatting sqref="K89">
    <cfRule type="expression" priority="45" dxfId="0">
      <formula>LEN(K89)&gt;0</formula>
    </cfRule>
  </conditionalFormatting>
  <conditionalFormatting sqref="K81">
    <cfRule type="expression" priority="46" dxfId="0">
      <formula>LEN(K81)&gt;0</formula>
    </cfRule>
  </conditionalFormatting>
  <conditionalFormatting sqref="K90">
    <cfRule type="expression" priority="47" dxfId="0">
      <formula>LEN(K90)&gt;0</formula>
    </cfRule>
  </conditionalFormatting>
  <conditionalFormatting sqref="K82">
    <cfRule type="expression" priority="48" dxfId="0">
      <formula>LEN(K82)&gt;0</formula>
    </cfRule>
  </conditionalFormatting>
  <conditionalFormatting sqref="K91">
    <cfRule type="expression" priority="49" dxfId="0">
      <formula>LEN(K91)&gt;0</formula>
    </cfRule>
  </conditionalFormatting>
  <conditionalFormatting sqref="K83">
    <cfRule type="expression" priority="50" dxfId="0">
      <formula>LEN(K83)&gt;0</formula>
    </cfRule>
  </conditionalFormatting>
  <conditionalFormatting sqref="K92">
    <cfRule type="expression" priority="51" dxfId="0">
      <formula>LEN(K92)&gt;0</formula>
    </cfRule>
  </conditionalFormatting>
  <conditionalFormatting sqref="K84">
    <cfRule type="expression" priority="52" dxfId="0">
      <formula>LEN(K84)&gt;0</formula>
    </cfRule>
  </conditionalFormatting>
  <conditionalFormatting sqref="K93">
    <cfRule type="expression" priority="53" dxfId="0">
      <formula>LEN(K93)&gt;0</formula>
    </cfRule>
  </conditionalFormatting>
  <conditionalFormatting sqref="K97">
    <cfRule type="expression" priority="54" dxfId="0">
      <formula>LEN(K97)&gt;0</formula>
    </cfRule>
  </conditionalFormatting>
  <conditionalFormatting sqref="B100">
    <cfRule type="expression" priority="55" dxfId="0">
      <formula>LEN(B100)&gt;0</formula>
    </cfRule>
  </conditionalFormatting>
  <conditionalFormatting sqref="K105">
    <cfRule type="expression" priority="56" dxfId="0">
      <formula>LEN(K105)&gt;0</formula>
    </cfRule>
  </conditionalFormatting>
  <conditionalFormatting sqref="K108">
    <cfRule type="expression" priority="57" dxfId="0">
      <formula>LEN(K108)&gt;0</formula>
    </cfRule>
  </conditionalFormatting>
  <conditionalFormatting sqref="K109">
    <cfRule type="expression" priority="58" dxfId="0">
      <formula>LEN(K109)&gt;0</formula>
    </cfRule>
  </conditionalFormatting>
  <conditionalFormatting sqref="K110">
    <cfRule type="expression" priority="59" dxfId="0">
      <formula>LEN(K110)&gt;0</formula>
    </cfRule>
  </conditionalFormatting>
  <conditionalFormatting sqref="K111">
    <cfRule type="expression" priority="60" dxfId="0">
      <formula>LEN(K111)&gt;0</formula>
    </cfRule>
  </conditionalFormatting>
  <conditionalFormatting sqref="K112">
    <cfRule type="expression" priority="61" dxfId="0">
      <formula>LEN(K112)&gt;0</formula>
    </cfRule>
  </conditionalFormatting>
  <conditionalFormatting sqref="K113">
    <cfRule type="expression" priority="62" dxfId="0">
      <formula>LEN(K113)&gt;0</formula>
    </cfRule>
  </conditionalFormatting>
  <conditionalFormatting sqref="K114">
    <cfRule type="expression" priority="63" dxfId="0">
      <formula>LEN(K114)&gt;0</formula>
    </cfRule>
  </conditionalFormatting>
  <conditionalFormatting sqref="K8">
    <cfRule type="expression" priority="64" dxfId="0">
      <formula>LEN(K8)&gt;0</formula>
    </cfRule>
  </conditionalFormatting>
  <conditionalFormatting sqref="K19">
    <cfRule type="expression" priority="65" dxfId="0">
      <formula>LEN(K19)&gt;0</formula>
    </cfRule>
  </conditionalFormatting>
  <conditionalFormatting sqref="K47">
    <cfRule type="expression" priority="66" dxfId="0">
      <formula>LEN(K47)&gt;0</formula>
    </cfRule>
  </conditionalFormatting>
  <conditionalFormatting sqref="K75">
    <cfRule type="expression" priority="67" dxfId="0">
      <formula>LEN(K75)&gt;0</formula>
    </cfRule>
  </conditionalFormatting>
  <dataValidations count="156">
    <dataValidation sqref="D7" showDropDown="0" showInputMessage="0" showErrorMessage="1" allowBlank="1" errorTitle="Valor fora da faixa" error="Nº de PJs: use um número inteiro de 1 a 6." type="whole" errorStyle="warning" operator="between">
      <formula1>1</formula1>
      <formula2>6</formula2>
    </dataValidation>
    <dataValidation sqref="D8" showDropDown="0" showInputMessage="0" showErrorMessage="1" allowBlank="1" errorTitle="Fora da lista" error="Faixa: escolha um valor da lista. A planilha pode não reconhecer outro valor." type="list" errorStyle="warning">
      <formula1>'Dados'!$AP$6:$AP$10</formula1>
    </dataValidation>
    <dataValidation sqref="B19" showDropDown="0" showInputMessage="0" showErrorMessage="1" allowBlank="1" errorTitle="Texto longo" error="Nome do encontro: até 60 caracteres." type="textLength" errorStyle="warning" operator="lessThanOrEqual">
      <formula1>60</formula1>
    </dataValidation>
    <dataValidation sqref="G19" showDropDown="0" showInputMessage="0" showErrorMessage="1" allowBlank="1" errorTitle="Texto longo" error="Ambiente: até 80 caracteres." type="textLength" errorStyle="warning" operator="lessThanOrEqual">
      <formula1>80</formula1>
    </dataValidation>
    <dataValidation sqref="A21" showDropDown="0" showInputMessage="0" showErrorMessage="1" allowBlank="1" errorTitle="Fora da lista" error="Criatura: escolha um valor da lista. A planilha pode não reconhecer outro valor." type="list" errorStyle="warning">
      <formula1>'Inimigos'!$N$11:$N$54</formula1>
    </dataValidation>
    <dataValidation sqref="C21" showDropDown="0" showInputMessage="0" showErrorMessage="1" allowBlank="1" errorTitle="Valor fora da faixa" error="Quantidade: use um número inteiro de 0 a 10." type="whole" errorStyle="warning" operator="between">
      <formula1>0</formula1>
      <formula2>10</formula2>
    </dataValidation>
    <dataValidation sqref="D21" showDropDown="0" showInputMessage="0" showErrorMessage="1" allowBlank="1" errorTitle="Fora da lista" error="Fraqueza 1: escolha um valor da lista. A planilha pode não reconhecer outro valor." type="list" errorStyle="warning">
      <formula1>'Dados'!$AN$6:$AN$12</formula1>
    </dataValidation>
    <dataValidation sqref="E21" showDropDown="0" showInputMessage="0" showErrorMessage="1" allowBlank="1" errorTitle="Fora da lista" error="Fraqueza 2: escolha um valor da lista. A planilha pode não reconhecer outro valor." type="list" errorStyle="warning">
      <formula1>'Dados'!$AN$6:$AN$12</formula1>
    </dataValidation>
    <dataValidation sqref="F21" showDropDown="0" showInputMessage="0" showErrorMessage="1" allowBlank="1" errorTitle="Fora da lista" error="Fraqueza 3: escolha um valor da lista. A planilha pode não reconhecer outro valor." type="list" errorStyle="warning">
      <formula1>'Dados'!$AN$6:$AN$12</formula1>
    </dataValidation>
    <dataValidation sqref="G21" showDropDown="0" showInputMessage="0" showErrorMessage="1" allowBlank="1" errorTitle="Fora da lista" error="Fraqueza 4: escolha um valor da lista. A planilha pode não reconhecer outro valor." type="list" errorStyle="warning">
      <formula1>'Dados'!$AN$6:$AN$12</formula1>
    </dataValidation>
    <dataValidation sqref="A22" showDropDown="0" showInputMessage="0" showErrorMessage="1" allowBlank="1" errorTitle="Fora da lista" error="Criatura: escolha um valor da lista. A planilha pode não reconhecer outro valor." type="list" errorStyle="warning">
      <formula1>'Inimigos'!$N$11:$N$54</formula1>
    </dataValidation>
    <dataValidation sqref="C22" showDropDown="0" showInputMessage="0" showErrorMessage="1" allowBlank="1" errorTitle="Valor fora da faixa" error="Quantidade: use um número inteiro de 0 a 10." type="whole" errorStyle="warning" operator="between">
      <formula1>0</formula1>
      <formula2>10</formula2>
    </dataValidation>
    <dataValidation sqref="D22" showDropDown="0" showInputMessage="0" showErrorMessage="1" allowBlank="1" errorTitle="Fora da lista" error="Fraqueza 1: escolha um valor da lista. A planilha pode não reconhecer outro valor." type="list" errorStyle="warning">
      <formula1>'Dados'!$AN$6:$AN$12</formula1>
    </dataValidation>
    <dataValidation sqref="E22" showDropDown="0" showInputMessage="0" showErrorMessage="1" allowBlank="1" errorTitle="Fora da lista" error="Fraqueza 2: escolha um valor da lista. A planilha pode não reconhecer outro valor." type="list" errorStyle="warning">
      <formula1>'Dados'!$AN$6:$AN$12</formula1>
    </dataValidation>
    <dataValidation sqref="F22" showDropDown="0" showInputMessage="0" showErrorMessage="1" allowBlank="1" errorTitle="Fora da lista" error="Fraqueza 3: escolha um valor da lista. A planilha pode não reconhecer outro valor." type="list" errorStyle="warning">
      <formula1>'Dados'!$AN$6:$AN$12</formula1>
    </dataValidation>
    <dataValidation sqref="G22" showDropDown="0" showInputMessage="0" showErrorMessage="1" allowBlank="1" errorTitle="Fora da lista" error="Fraqueza 4: escolha um valor da lista. A planilha pode não reconhecer outro valor." type="list" errorStyle="warning">
      <formula1>'Dados'!$AN$6:$AN$12</formula1>
    </dataValidation>
    <dataValidation sqref="A23" showDropDown="0" showInputMessage="0" showErrorMessage="1" allowBlank="1" errorTitle="Fora da lista" error="Criatura: escolha um valor da lista. A planilha pode não reconhecer outro valor." type="list" errorStyle="warning">
      <formula1>'Inimigos'!$N$11:$N$54</formula1>
    </dataValidation>
    <dataValidation sqref="C23" showDropDown="0" showInputMessage="0" showErrorMessage="1" allowBlank="1" errorTitle="Valor fora da faixa" error="Quantidade: use um número inteiro de 0 a 10." type="whole" errorStyle="warning" operator="between">
      <formula1>0</formula1>
      <formula2>10</formula2>
    </dataValidation>
    <dataValidation sqref="D23" showDropDown="0" showInputMessage="0" showErrorMessage="1" allowBlank="1" errorTitle="Fora da lista" error="Fraqueza 1: escolha um valor da lista. A planilha pode não reconhecer outro valor." type="list" errorStyle="warning">
      <formula1>'Dados'!$AN$6:$AN$12</formula1>
    </dataValidation>
    <dataValidation sqref="E23" showDropDown="0" showInputMessage="0" showErrorMessage="1" allowBlank="1" errorTitle="Fora da lista" error="Fraqueza 2: escolha um valor da lista. A planilha pode não reconhecer outro valor." type="list" errorStyle="warning">
      <formula1>'Dados'!$AN$6:$AN$12</formula1>
    </dataValidation>
    <dataValidation sqref="F23" showDropDown="0" showInputMessage="0" showErrorMessage="1" allowBlank="1" errorTitle="Fora da lista" error="Fraqueza 3: escolha um valor da lista. A planilha pode não reconhecer outro valor." type="list" errorStyle="warning">
      <formula1>'Dados'!$AN$6:$AN$12</formula1>
    </dataValidation>
    <dataValidation sqref="G23" showDropDown="0" showInputMessage="0" showErrorMessage="1" allowBlank="1" errorTitle="Fora da lista" error="Fraqueza 4: escolha um valor da lista. A planilha pode não reconhecer outro valor." type="list" errorStyle="warning">
      <formula1>'Dados'!$AN$6:$AN$12</formula1>
    </dataValidation>
    <dataValidation sqref="A24" showDropDown="0" showInputMessage="0" showErrorMessage="1" allowBlank="1" errorTitle="Fora da lista" error="Criatura: escolha um valor da lista. A planilha pode não reconhecer outro valor." type="list" errorStyle="warning">
      <formula1>'Inimigos'!$N$11:$N$54</formula1>
    </dataValidation>
    <dataValidation sqref="C24" showDropDown="0" showInputMessage="0" showErrorMessage="1" allowBlank="1" errorTitle="Valor fora da faixa" error="Quantidade: use um número inteiro de 0 a 10." type="whole" errorStyle="warning" operator="between">
      <formula1>0</formula1>
      <formula2>10</formula2>
    </dataValidation>
    <dataValidation sqref="D24" showDropDown="0" showInputMessage="0" showErrorMessage="1" allowBlank="1" errorTitle="Fora da lista" error="Fraqueza 1: escolha um valor da lista. A planilha pode não reconhecer outro valor." type="list" errorStyle="warning">
      <formula1>'Dados'!$AN$6:$AN$12</formula1>
    </dataValidation>
    <dataValidation sqref="E24" showDropDown="0" showInputMessage="0" showErrorMessage="1" allowBlank="1" errorTitle="Fora da lista" error="Fraqueza 2: escolha um valor da lista. A planilha pode não reconhecer outro valor." type="list" errorStyle="warning">
      <formula1>'Dados'!$AN$6:$AN$12</formula1>
    </dataValidation>
    <dataValidation sqref="F24" showDropDown="0" showInputMessage="0" showErrorMessage="1" allowBlank="1" errorTitle="Fora da lista" error="Fraqueza 3: escolha um valor da lista. A planilha pode não reconhecer outro valor." type="list" errorStyle="warning">
      <formula1>'Dados'!$AN$6:$AN$12</formula1>
    </dataValidation>
    <dataValidation sqref="G24" showDropDown="0" showInputMessage="0" showErrorMessage="1" allowBlank="1" errorTitle="Fora da lista" error="Fraqueza 4: escolha um valor da lista. A planilha pode não reconhecer outro valor." type="list" errorStyle="warning">
      <formula1>'Dados'!$AN$6:$AN$12</formula1>
    </dataValidation>
    <dataValidation sqref="A25" showDropDown="0" showInputMessage="0" showErrorMessage="1" allowBlank="1" errorTitle="Fora da lista" error="Criatura: escolha um valor da lista. A planilha pode não reconhecer outro valor." type="list" errorStyle="warning">
      <formula1>'Inimigos'!$N$11:$N$54</formula1>
    </dataValidation>
    <dataValidation sqref="C25" showDropDown="0" showInputMessage="0" showErrorMessage="1" allowBlank="1" errorTitle="Valor fora da faixa" error="Quantidade: use um número inteiro de 0 a 10." type="whole" errorStyle="warning" operator="between">
      <formula1>0</formula1>
      <formula2>10</formula2>
    </dataValidation>
    <dataValidation sqref="D25" showDropDown="0" showInputMessage="0" showErrorMessage="1" allowBlank="1" errorTitle="Fora da lista" error="Fraqueza 1: escolha um valor da lista. A planilha pode não reconhecer outro valor." type="list" errorStyle="warning">
      <formula1>'Dados'!$AN$6:$AN$12</formula1>
    </dataValidation>
    <dataValidation sqref="E25" showDropDown="0" showInputMessage="0" showErrorMessage="1" allowBlank="1" errorTitle="Fora da lista" error="Fraqueza 2: escolha um valor da lista. A planilha pode não reconhecer outro valor." type="list" errorStyle="warning">
      <formula1>'Dados'!$AN$6:$AN$12</formula1>
    </dataValidation>
    <dataValidation sqref="F25" showDropDown="0" showInputMessage="0" showErrorMessage="1" allowBlank="1" errorTitle="Fora da lista" error="Fraqueza 3: escolha um valor da lista. A planilha pode não reconhecer outro valor." type="list" errorStyle="warning">
      <formula1>'Dados'!$AN$6:$AN$12</formula1>
    </dataValidation>
    <dataValidation sqref="G25" showDropDown="0" showInputMessage="0" showErrorMessage="1" allowBlank="1" errorTitle="Fora da lista" error="Fraqueza 4: escolha um valor da lista. A planilha pode não reconhecer outro valor." type="list" errorStyle="warning">
      <formula1>'Dados'!$AN$6:$AN$12</formula1>
    </dataValidation>
    <dataValidation sqref="A26" showDropDown="0" showInputMessage="0" showErrorMessage="1" allowBlank="1" errorTitle="Fora da lista" error="Criatura: escolha um valor da lista. A planilha pode não reconhecer outro valor." type="list" errorStyle="warning">
      <formula1>'Inimigos'!$N$11:$N$54</formula1>
    </dataValidation>
    <dataValidation sqref="C26" showDropDown="0" showInputMessage="0" showErrorMessage="1" allowBlank="1" errorTitle="Valor fora da faixa" error="Quantidade: use um número inteiro de 0 a 10." type="whole" errorStyle="warning" operator="between">
      <formula1>0</formula1>
      <formula2>10</formula2>
    </dataValidation>
    <dataValidation sqref="D26" showDropDown="0" showInputMessage="0" showErrorMessage="1" allowBlank="1" errorTitle="Fora da lista" error="Fraqueza 1: escolha um valor da lista. A planilha pode não reconhecer outro valor." type="list" errorStyle="warning">
      <formula1>'Dados'!$AN$6:$AN$12</formula1>
    </dataValidation>
    <dataValidation sqref="E26" showDropDown="0" showInputMessage="0" showErrorMessage="1" allowBlank="1" errorTitle="Fora da lista" error="Fraqueza 2: escolha um valor da lista. A planilha pode não reconhecer outro valor." type="list" errorStyle="warning">
      <formula1>'Dados'!$AN$6:$AN$12</formula1>
    </dataValidation>
    <dataValidation sqref="F26" showDropDown="0" showInputMessage="0" showErrorMessage="1" allowBlank="1" errorTitle="Fora da lista" error="Fraqueza 3: escolha um valor da lista. A planilha pode não reconhecer outro valor." type="list" errorStyle="warning">
      <formula1>'Dados'!$AN$6:$AN$12</formula1>
    </dataValidation>
    <dataValidation sqref="G26" showDropDown="0" showInputMessage="0" showErrorMessage="1" allowBlank="1" errorTitle="Fora da lista" error="Fraqueza 4: escolha um valor da lista. A planilha pode não reconhecer outro valor." type="list" errorStyle="warning">
      <formula1>'Dados'!$AN$6:$AN$12</formula1>
    </dataValidation>
    <dataValidation sqref="A27" showDropDown="0" showInputMessage="0" showErrorMessage="1" allowBlank="1" errorTitle="Fora da lista" error="Criatura: escolha um valor da lista. A planilha pode não reconhecer outro valor." type="list" errorStyle="warning">
      <formula1>'Inimigos'!$N$11:$N$54</formula1>
    </dataValidation>
    <dataValidation sqref="C27" showDropDown="0" showInputMessage="0" showErrorMessage="1" allowBlank="1" errorTitle="Valor fora da faixa" error="Quantidade: use um número inteiro de 0 a 10." type="whole" errorStyle="warning" operator="between">
      <formula1>0</formula1>
      <formula2>10</formula2>
    </dataValidation>
    <dataValidation sqref="D27" showDropDown="0" showInputMessage="0" showErrorMessage="1" allowBlank="1" errorTitle="Fora da lista" error="Fraqueza 1: escolha um valor da lista. A planilha pode não reconhecer outro valor." type="list" errorStyle="warning">
      <formula1>'Dados'!$AN$6:$AN$12</formula1>
    </dataValidation>
    <dataValidation sqref="E27" showDropDown="0" showInputMessage="0" showErrorMessage="1" allowBlank="1" errorTitle="Fora da lista" error="Fraqueza 2: escolha um valor da lista. A planilha pode não reconhecer outro valor." type="list" errorStyle="warning">
      <formula1>'Dados'!$AN$6:$AN$12</formula1>
    </dataValidation>
    <dataValidation sqref="F27" showDropDown="0" showInputMessage="0" showErrorMessage="1" allowBlank="1" errorTitle="Fora da lista" error="Fraqueza 3: escolha um valor da lista. A planilha pode não reconhecer outro valor." type="list" errorStyle="warning">
      <formula1>'Dados'!$AN$6:$AN$12</formula1>
    </dataValidation>
    <dataValidation sqref="G27" showDropDown="0" showInputMessage="0" showErrorMessage="1" allowBlank="1" errorTitle="Fora da lista" error="Fraqueza 4: escolha um valor da lista. A planilha pode não reconhecer outro valor." type="list" errorStyle="warning">
      <formula1>'Dados'!$AN$6:$AN$12</formula1>
    </dataValidation>
    <dataValidation sqref="A28" showDropDown="0" showInputMessage="0" showErrorMessage="1" allowBlank="1" errorTitle="Fora da lista" error="Criatura: escolha um valor da lista. A planilha pode não reconhecer outro valor." type="list" errorStyle="warning">
      <formula1>'Inimigos'!$N$11:$N$54</formula1>
    </dataValidation>
    <dataValidation sqref="C28" showDropDown="0" showInputMessage="0" showErrorMessage="1" allowBlank="1" errorTitle="Valor fora da faixa" error="Quantidade: use um número inteiro de 0 a 10." type="whole" errorStyle="warning" operator="between">
      <formula1>0</formula1>
      <formula2>10</formula2>
    </dataValidation>
    <dataValidation sqref="D28" showDropDown="0" showInputMessage="0" showErrorMessage="1" allowBlank="1" errorTitle="Fora da lista" error="Fraqueza 1: escolha um valor da lista. A planilha pode não reconhecer outro valor." type="list" errorStyle="warning">
      <formula1>'Dados'!$AN$6:$AN$12</formula1>
    </dataValidation>
    <dataValidation sqref="E28" showDropDown="0" showInputMessage="0" showErrorMessage="1" allowBlank="1" errorTitle="Fora da lista" error="Fraqueza 2: escolha um valor da lista. A planilha pode não reconhecer outro valor." type="list" errorStyle="warning">
      <formula1>'Dados'!$AN$6:$AN$12</formula1>
    </dataValidation>
    <dataValidation sqref="F28" showDropDown="0" showInputMessage="0" showErrorMessage="1" allowBlank="1" errorTitle="Fora da lista" error="Fraqueza 3: escolha um valor da lista. A planilha pode não reconhecer outro valor." type="list" errorStyle="warning">
      <formula1>'Dados'!$AN$6:$AN$12</formula1>
    </dataValidation>
    <dataValidation sqref="G28" showDropDown="0" showInputMessage="0" showErrorMessage="1" allowBlank="1" errorTitle="Fora da lista" error="Fraqueza 4: escolha um valor da lista. A planilha pode não reconhecer outro valor." type="list" errorStyle="warning">
      <formula1>'Dados'!$AN$6:$AN$12</formula1>
    </dataValidation>
    <dataValidation sqref="B47" showDropDown="0" showInputMessage="0" showErrorMessage="1" allowBlank="1" errorTitle="Texto longo" error="Nome do encontro: até 60 caracteres." type="textLength" errorStyle="warning" operator="lessThanOrEqual">
      <formula1>60</formula1>
    </dataValidation>
    <dataValidation sqref="G47" showDropDown="0" showInputMessage="0" showErrorMessage="1" allowBlank="1" errorTitle="Texto longo" error="Ambiente: até 80 caracteres." type="textLength" errorStyle="warning" operator="lessThanOrEqual">
      <formula1>80</formula1>
    </dataValidation>
    <dataValidation sqref="A49" showDropDown="0" showInputMessage="0" showErrorMessage="1" allowBlank="1" errorTitle="Fora da lista" error="Criatura: escolha um valor da lista. A planilha pode não reconhecer outro valor." type="list" errorStyle="warning">
      <formula1>'Inimigos'!$N$11:$N$54</formula1>
    </dataValidation>
    <dataValidation sqref="C49" showDropDown="0" showInputMessage="0" showErrorMessage="1" allowBlank="1" errorTitle="Valor fora da faixa" error="Quantidade: use um número inteiro de 0 a 10." type="whole" errorStyle="warning" operator="between">
      <formula1>0</formula1>
      <formula2>10</formula2>
    </dataValidation>
    <dataValidation sqref="D49" showDropDown="0" showInputMessage="0" showErrorMessage="1" allowBlank="1" errorTitle="Fora da lista" error="Fraqueza 1: escolha um valor da lista. A planilha pode não reconhecer outro valor." type="list" errorStyle="warning">
      <formula1>'Dados'!$AN$6:$AN$12</formula1>
    </dataValidation>
    <dataValidation sqref="E49" showDropDown="0" showInputMessage="0" showErrorMessage="1" allowBlank="1" errorTitle="Fora da lista" error="Fraqueza 2: escolha um valor da lista. A planilha pode não reconhecer outro valor." type="list" errorStyle="warning">
      <formula1>'Dados'!$AN$6:$AN$12</formula1>
    </dataValidation>
    <dataValidation sqref="F49" showDropDown="0" showInputMessage="0" showErrorMessage="1" allowBlank="1" errorTitle="Fora da lista" error="Fraqueza 3: escolha um valor da lista. A planilha pode não reconhecer outro valor." type="list" errorStyle="warning">
      <formula1>'Dados'!$AN$6:$AN$12</formula1>
    </dataValidation>
    <dataValidation sqref="G49" showDropDown="0" showInputMessage="0" showErrorMessage="1" allowBlank="1" errorTitle="Fora da lista" error="Fraqueza 4: escolha um valor da lista. A planilha pode não reconhecer outro valor." type="list" errorStyle="warning">
      <formula1>'Dados'!$AN$6:$AN$12</formula1>
    </dataValidation>
    <dataValidation sqref="A50" showDropDown="0" showInputMessage="0" showErrorMessage="1" allowBlank="1" errorTitle="Fora da lista" error="Criatura: escolha um valor da lista. A planilha pode não reconhecer outro valor." type="list" errorStyle="warning">
      <formula1>'Inimigos'!$N$11:$N$54</formula1>
    </dataValidation>
    <dataValidation sqref="C50" showDropDown="0" showInputMessage="0" showErrorMessage="1" allowBlank="1" errorTitle="Valor fora da faixa" error="Quantidade: use um número inteiro de 0 a 10." type="whole" errorStyle="warning" operator="between">
      <formula1>0</formula1>
      <formula2>10</formula2>
    </dataValidation>
    <dataValidation sqref="D50" showDropDown="0" showInputMessage="0" showErrorMessage="1" allowBlank="1" errorTitle="Fora da lista" error="Fraqueza 1: escolha um valor da lista. A planilha pode não reconhecer outro valor." type="list" errorStyle="warning">
      <formula1>'Dados'!$AN$6:$AN$12</formula1>
    </dataValidation>
    <dataValidation sqref="E50" showDropDown="0" showInputMessage="0" showErrorMessage="1" allowBlank="1" errorTitle="Fora da lista" error="Fraqueza 2: escolha um valor da lista. A planilha pode não reconhecer outro valor." type="list" errorStyle="warning">
      <formula1>'Dados'!$AN$6:$AN$12</formula1>
    </dataValidation>
    <dataValidation sqref="F50" showDropDown="0" showInputMessage="0" showErrorMessage="1" allowBlank="1" errorTitle="Fora da lista" error="Fraqueza 3: escolha um valor da lista. A planilha pode não reconhecer outro valor." type="list" errorStyle="warning">
      <formula1>'Dados'!$AN$6:$AN$12</formula1>
    </dataValidation>
    <dataValidation sqref="G50" showDropDown="0" showInputMessage="0" showErrorMessage="1" allowBlank="1" errorTitle="Fora da lista" error="Fraqueza 4: escolha um valor da lista. A planilha pode não reconhecer outro valor." type="list" errorStyle="warning">
      <formula1>'Dados'!$AN$6:$AN$12</formula1>
    </dataValidation>
    <dataValidation sqref="A51" showDropDown="0" showInputMessage="0" showErrorMessage="1" allowBlank="1" errorTitle="Fora da lista" error="Criatura: escolha um valor da lista. A planilha pode não reconhecer outro valor." type="list" errorStyle="warning">
      <formula1>'Inimigos'!$N$11:$N$54</formula1>
    </dataValidation>
    <dataValidation sqref="C51" showDropDown="0" showInputMessage="0" showErrorMessage="1" allowBlank="1" errorTitle="Valor fora da faixa" error="Quantidade: use um número inteiro de 0 a 10." type="whole" errorStyle="warning" operator="between">
      <formula1>0</formula1>
      <formula2>10</formula2>
    </dataValidation>
    <dataValidation sqref="D51" showDropDown="0" showInputMessage="0" showErrorMessage="1" allowBlank="1" errorTitle="Fora da lista" error="Fraqueza 1: escolha um valor da lista. A planilha pode não reconhecer outro valor." type="list" errorStyle="warning">
      <formula1>'Dados'!$AN$6:$AN$12</formula1>
    </dataValidation>
    <dataValidation sqref="E51" showDropDown="0" showInputMessage="0" showErrorMessage="1" allowBlank="1" errorTitle="Fora da lista" error="Fraqueza 2: escolha um valor da lista. A planilha pode não reconhecer outro valor." type="list" errorStyle="warning">
      <formula1>'Dados'!$AN$6:$AN$12</formula1>
    </dataValidation>
    <dataValidation sqref="F51" showDropDown="0" showInputMessage="0" showErrorMessage="1" allowBlank="1" errorTitle="Fora da lista" error="Fraqueza 3: escolha um valor da lista. A planilha pode não reconhecer outro valor." type="list" errorStyle="warning">
      <formula1>'Dados'!$AN$6:$AN$12</formula1>
    </dataValidation>
    <dataValidation sqref="G51" showDropDown="0" showInputMessage="0" showErrorMessage="1" allowBlank="1" errorTitle="Fora da lista" error="Fraqueza 4: escolha um valor da lista. A planilha pode não reconhecer outro valor." type="list" errorStyle="warning">
      <formula1>'Dados'!$AN$6:$AN$12</formula1>
    </dataValidation>
    <dataValidation sqref="A52" showDropDown="0" showInputMessage="0" showErrorMessage="1" allowBlank="1" errorTitle="Fora da lista" error="Criatura: escolha um valor da lista. A planilha pode não reconhecer outro valor." type="list" errorStyle="warning">
      <formula1>'Inimigos'!$N$11:$N$54</formula1>
    </dataValidation>
    <dataValidation sqref="C52" showDropDown="0" showInputMessage="0" showErrorMessage="1" allowBlank="1" errorTitle="Valor fora da faixa" error="Quantidade: use um número inteiro de 0 a 10." type="whole" errorStyle="warning" operator="between">
      <formula1>0</formula1>
      <formula2>10</formula2>
    </dataValidation>
    <dataValidation sqref="D52" showDropDown="0" showInputMessage="0" showErrorMessage="1" allowBlank="1" errorTitle="Fora da lista" error="Fraqueza 1: escolha um valor da lista. A planilha pode não reconhecer outro valor." type="list" errorStyle="warning">
      <formula1>'Dados'!$AN$6:$AN$12</formula1>
    </dataValidation>
    <dataValidation sqref="E52" showDropDown="0" showInputMessage="0" showErrorMessage="1" allowBlank="1" errorTitle="Fora da lista" error="Fraqueza 2: escolha um valor da lista. A planilha pode não reconhecer outro valor." type="list" errorStyle="warning">
      <formula1>'Dados'!$AN$6:$AN$12</formula1>
    </dataValidation>
    <dataValidation sqref="F52" showDropDown="0" showInputMessage="0" showErrorMessage="1" allowBlank="1" errorTitle="Fora da lista" error="Fraqueza 3: escolha um valor da lista. A planilha pode não reconhecer outro valor." type="list" errorStyle="warning">
      <formula1>'Dados'!$AN$6:$AN$12</formula1>
    </dataValidation>
    <dataValidation sqref="G52" showDropDown="0" showInputMessage="0" showErrorMessage="1" allowBlank="1" errorTitle="Fora da lista" error="Fraqueza 4: escolha um valor da lista. A planilha pode não reconhecer outro valor." type="list" errorStyle="warning">
      <formula1>'Dados'!$AN$6:$AN$12</formula1>
    </dataValidation>
    <dataValidation sqref="A53" showDropDown="0" showInputMessage="0" showErrorMessage="1" allowBlank="1" errorTitle="Fora da lista" error="Criatura: escolha um valor da lista. A planilha pode não reconhecer outro valor." type="list" errorStyle="warning">
      <formula1>'Inimigos'!$N$11:$N$54</formula1>
    </dataValidation>
    <dataValidation sqref="C53" showDropDown="0" showInputMessage="0" showErrorMessage="1" allowBlank="1" errorTitle="Valor fora da faixa" error="Quantidade: use um número inteiro de 0 a 10." type="whole" errorStyle="warning" operator="between">
      <formula1>0</formula1>
      <formula2>10</formula2>
    </dataValidation>
    <dataValidation sqref="D53" showDropDown="0" showInputMessage="0" showErrorMessage="1" allowBlank="1" errorTitle="Fora da lista" error="Fraqueza 1: escolha um valor da lista. A planilha pode não reconhecer outro valor." type="list" errorStyle="warning">
      <formula1>'Dados'!$AN$6:$AN$12</formula1>
    </dataValidation>
    <dataValidation sqref="E53" showDropDown="0" showInputMessage="0" showErrorMessage="1" allowBlank="1" errorTitle="Fora da lista" error="Fraqueza 2: escolha um valor da lista. A planilha pode não reconhecer outro valor." type="list" errorStyle="warning">
      <formula1>'Dados'!$AN$6:$AN$12</formula1>
    </dataValidation>
    <dataValidation sqref="F53" showDropDown="0" showInputMessage="0" showErrorMessage="1" allowBlank="1" errorTitle="Fora da lista" error="Fraqueza 3: escolha um valor da lista. A planilha pode não reconhecer outro valor." type="list" errorStyle="warning">
      <formula1>'Dados'!$AN$6:$AN$12</formula1>
    </dataValidation>
    <dataValidation sqref="G53" showDropDown="0" showInputMessage="0" showErrorMessage="1" allowBlank="1" errorTitle="Fora da lista" error="Fraqueza 4: escolha um valor da lista. A planilha pode não reconhecer outro valor." type="list" errorStyle="warning">
      <formula1>'Dados'!$AN$6:$AN$12</formula1>
    </dataValidation>
    <dataValidation sqref="A54" showDropDown="0" showInputMessage="0" showErrorMessage="1" allowBlank="1" errorTitle="Fora da lista" error="Criatura: escolha um valor da lista. A planilha pode não reconhecer outro valor." type="list" errorStyle="warning">
      <formula1>'Inimigos'!$N$11:$N$54</formula1>
    </dataValidation>
    <dataValidation sqref="C54" showDropDown="0" showInputMessage="0" showErrorMessage="1" allowBlank="1" errorTitle="Valor fora da faixa" error="Quantidade: use um número inteiro de 0 a 10." type="whole" errorStyle="warning" operator="between">
      <formula1>0</formula1>
      <formula2>10</formula2>
    </dataValidation>
    <dataValidation sqref="D54" showDropDown="0" showInputMessage="0" showErrorMessage="1" allowBlank="1" errorTitle="Fora da lista" error="Fraqueza 1: escolha um valor da lista. A planilha pode não reconhecer outro valor." type="list" errorStyle="warning">
      <formula1>'Dados'!$AN$6:$AN$12</formula1>
    </dataValidation>
    <dataValidation sqref="E54" showDropDown="0" showInputMessage="0" showErrorMessage="1" allowBlank="1" errorTitle="Fora da lista" error="Fraqueza 2: escolha um valor da lista. A planilha pode não reconhecer outro valor." type="list" errorStyle="warning">
      <formula1>'Dados'!$AN$6:$AN$12</formula1>
    </dataValidation>
    <dataValidation sqref="F54" showDropDown="0" showInputMessage="0" showErrorMessage="1" allowBlank="1" errorTitle="Fora da lista" error="Fraqueza 3: escolha um valor da lista. A planilha pode não reconhecer outro valor." type="list" errorStyle="warning">
      <formula1>'Dados'!$AN$6:$AN$12</formula1>
    </dataValidation>
    <dataValidation sqref="G54" showDropDown="0" showInputMessage="0" showErrorMessage="1" allowBlank="1" errorTitle="Fora da lista" error="Fraqueza 4: escolha um valor da lista. A planilha pode não reconhecer outro valor." type="list" errorStyle="warning">
      <formula1>'Dados'!$AN$6:$AN$12</formula1>
    </dataValidation>
    <dataValidation sqref="A55" showDropDown="0" showInputMessage="0" showErrorMessage="1" allowBlank="1" errorTitle="Fora da lista" error="Criatura: escolha um valor da lista. A planilha pode não reconhecer outro valor." type="list" errorStyle="warning">
      <formula1>'Inimigos'!$N$11:$N$54</formula1>
    </dataValidation>
    <dataValidation sqref="C55" showDropDown="0" showInputMessage="0" showErrorMessage="1" allowBlank="1" errorTitle="Valor fora da faixa" error="Quantidade: use um número inteiro de 0 a 10." type="whole" errorStyle="warning" operator="between">
      <formula1>0</formula1>
      <formula2>10</formula2>
    </dataValidation>
    <dataValidation sqref="D55" showDropDown="0" showInputMessage="0" showErrorMessage="1" allowBlank="1" errorTitle="Fora da lista" error="Fraqueza 1: escolha um valor da lista. A planilha pode não reconhecer outro valor." type="list" errorStyle="warning">
      <formula1>'Dados'!$AN$6:$AN$12</formula1>
    </dataValidation>
    <dataValidation sqref="E55" showDropDown="0" showInputMessage="0" showErrorMessage="1" allowBlank="1" errorTitle="Fora da lista" error="Fraqueza 2: escolha um valor da lista. A planilha pode não reconhecer outro valor." type="list" errorStyle="warning">
      <formula1>'Dados'!$AN$6:$AN$12</formula1>
    </dataValidation>
    <dataValidation sqref="F55" showDropDown="0" showInputMessage="0" showErrorMessage="1" allowBlank="1" errorTitle="Fora da lista" error="Fraqueza 3: escolha um valor da lista. A planilha pode não reconhecer outro valor." type="list" errorStyle="warning">
      <formula1>'Dados'!$AN$6:$AN$12</formula1>
    </dataValidation>
    <dataValidation sqref="G55" showDropDown="0" showInputMessage="0" showErrorMessage="1" allowBlank="1" errorTitle="Fora da lista" error="Fraqueza 4: escolha um valor da lista. A planilha pode não reconhecer outro valor." type="list" errorStyle="warning">
      <formula1>'Dados'!$AN$6:$AN$12</formula1>
    </dataValidation>
    <dataValidation sqref="A56" showDropDown="0" showInputMessage="0" showErrorMessage="1" allowBlank="1" errorTitle="Fora da lista" error="Criatura: escolha um valor da lista. A planilha pode não reconhecer outro valor." type="list" errorStyle="warning">
      <formula1>'Inimigos'!$N$11:$N$54</formula1>
    </dataValidation>
    <dataValidation sqref="C56" showDropDown="0" showInputMessage="0" showErrorMessage="1" allowBlank="1" errorTitle="Valor fora da faixa" error="Quantidade: use um número inteiro de 0 a 10." type="whole" errorStyle="warning" operator="between">
      <formula1>0</formula1>
      <formula2>10</formula2>
    </dataValidation>
    <dataValidation sqref="D56" showDropDown="0" showInputMessage="0" showErrorMessage="1" allowBlank="1" errorTitle="Fora da lista" error="Fraqueza 1: escolha um valor da lista. A planilha pode não reconhecer outro valor." type="list" errorStyle="warning">
      <formula1>'Dados'!$AN$6:$AN$12</formula1>
    </dataValidation>
    <dataValidation sqref="E56" showDropDown="0" showInputMessage="0" showErrorMessage="1" allowBlank="1" errorTitle="Fora da lista" error="Fraqueza 2: escolha um valor da lista. A planilha pode não reconhecer outro valor." type="list" errorStyle="warning">
      <formula1>'Dados'!$AN$6:$AN$12</formula1>
    </dataValidation>
    <dataValidation sqref="F56" showDropDown="0" showInputMessage="0" showErrorMessage="1" allowBlank="1" errorTitle="Fora da lista" error="Fraqueza 3: escolha um valor da lista. A planilha pode não reconhecer outro valor." type="list" errorStyle="warning">
      <formula1>'Dados'!$AN$6:$AN$12</formula1>
    </dataValidation>
    <dataValidation sqref="G56" showDropDown="0" showInputMessage="0" showErrorMessage="1" allowBlank="1" errorTitle="Fora da lista" error="Fraqueza 4: escolha um valor da lista. A planilha pode não reconhecer outro valor." type="list" errorStyle="warning">
      <formula1>'Dados'!$AN$6:$AN$12</formula1>
    </dataValidation>
    <dataValidation sqref="B75" showDropDown="0" showInputMessage="0" showErrorMessage="1" allowBlank="1" errorTitle="Texto longo" error="Nome do encontro: até 60 caracteres." type="textLength" errorStyle="warning" operator="lessThanOrEqual">
      <formula1>60</formula1>
    </dataValidation>
    <dataValidation sqref="G75" showDropDown="0" showInputMessage="0" showErrorMessage="1" allowBlank="1" errorTitle="Texto longo" error="Ambiente: até 80 caracteres." type="textLength" errorStyle="warning" operator="lessThanOrEqual">
      <formula1>80</formula1>
    </dataValidation>
    <dataValidation sqref="A77" showDropDown="0" showInputMessage="0" showErrorMessage="1" allowBlank="1" errorTitle="Fora da lista" error="Criatura: escolha um valor da lista. A planilha pode não reconhecer outro valor." type="list" errorStyle="warning">
      <formula1>'Inimigos'!$N$11:$N$54</formula1>
    </dataValidation>
    <dataValidation sqref="C77" showDropDown="0" showInputMessage="0" showErrorMessage="1" allowBlank="1" errorTitle="Valor fora da faixa" error="Quantidade: use um número inteiro de 0 a 10." type="whole" errorStyle="warning" operator="between">
      <formula1>0</formula1>
      <formula2>10</formula2>
    </dataValidation>
    <dataValidation sqref="D77" showDropDown="0" showInputMessage="0" showErrorMessage="1" allowBlank="1" errorTitle="Fora da lista" error="Fraqueza 1: escolha um valor da lista. A planilha pode não reconhecer outro valor." type="list" errorStyle="warning">
      <formula1>'Dados'!$AN$6:$AN$12</formula1>
    </dataValidation>
    <dataValidation sqref="E77" showDropDown="0" showInputMessage="0" showErrorMessage="1" allowBlank="1" errorTitle="Fora da lista" error="Fraqueza 2: escolha um valor da lista. A planilha pode não reconhecer outro valor." type="list" errorStyle="warning">
      <formula1>'Dados'!$AN$6:$AN$12</formula1>
    </dataValidation>
    <dataValidation sqref="F77" showDropDown="0" showInputMessage="0" showErrorMessage="1" allowBlank="1" errorTitle="Fora da lista" error="Fraqueza 3: escolha um valor da lista. A planilha pode não reconhecer outro valor." type="list" errorStyle="warning">
      <formula1>'Dados'!$AN$6:$AN$12</formula1>
    </dataValidation>
    <dataValidation sqref="G77" showDropDown="0" showInputMessage="0" showErrorMessage="1" allowBlank="1" errorTitle="Fora da lista" error="Fraqueza 4: escolha um valor da lista. A planilha pode não reconhecer outro valor." type="list" errorStyle="warning">
      <formula1>'Dados'!$AN$6:$AN$12</formula1>
    </dataValidation>
    <dataValidation sqref="A78" showDropDown="0" showInputMessage="0" showErrorMessage="1" allowBlank="1" errorTitle="Fora da lista" error="Criatura: escolha um valor da lista. A planilha pode não reconhecer outro valor." type="list" errorStyle="warning">
      <formula1>'Inimigos'!$N$11:$N$54</formula1>
    </dataValidation>
    <dataValidation sqref="C78" showDropDown="0" showInputMessage="0" showErrorMessage="1" allowBlank="1" errorTitle="Valor fora da faixa" error="Quantidade: use um número inteiro de 0 a 10." type="whole" errorStyle="warning" operator="between">
      <formula1>0</formula1>
      <formula2>10</formula2>
    </dataValidation>
    <dataValidation sqref="D78" showDropDown="0" showInputMessage="0" showErrorMessage="1" allowBlank="1" errorTitle="Fora da lista" error="Fraqueza 1: escolha um valor da lista. A planilha pode não reconhecer outro valor." type="list" errorStyle="warning">
      <formula1>'Dados'!$AN$6:$AN$12</formula1>
    </dataValidation>
    <dataValidation sqref="E78" showDropDown="0" showInputMessage="0" showErrorMessage="1" allowBlank="1" errorTitle="Fora da lista" error="Fraqueza 2: escolha um valor da lista. A planilha pode não reconhecer outro valor." type="list" errorStyle="warning">
      <formula1>'Dados'!$AN$6:$AN$12</formula1>
    </dataValidation>
    <dataValidation sqref="F78" showDropDown="0" showInputMessage="0" showErrorMessage="1" allowBlank="1" errorTitle="Fora da lista" error="Fraqueza 3: escolha um valor da lista. A planilha pode não reconhecer outro valor." type="list" errorStyle="warning">
      <formula1>'Dados'!$AN$6:$AN$12</formula1>
    </dataValidation>
    <dataValidation sqref="G78" showDropDown="0" showInputMessage="0" showErrorMessage="1" allowBlank="1" errorTitle="Fora da lista" error="Fraqueza 4: escolha um valor da lista. A planilha pode não reconhecer outro valor." type="list" errorStyle="warning">
      <formula1>'Dados'!$AN$6:$AN$12</formula1>
    </dataValidation>
    <dataValidation sqref="A79" showDropDown="0" showInputMessage="0" showErrorMessage="1" allowBlank="1" errorTitle="Fora da lista" error="Criatura: escolha um valor da lista. A planilha pode não reconhecer outro valor." type="list" errorStyle="warning">
      <formula1>'Inimigos'!$N$11:$N$54</formula1>
    </dataValidation>
    <dataValidation sqref="C79" showDropDown="0" showInputMessage="0" showErrorMessage="1" allowBlank="1" errorTitle="Valor fora da faixa" error="Quantidade: use um número inteiro de 0 a 10." type="whole" errorStyle="warning" operator="between">
      <formula1>0</formula1>
      <formula2>10</formula2>
    </dataValidation>
    <dataValidation sqref="D79" showDropDown="0" showInputMessage="0" showErrorMessage="1" allowBlank="1" errorTitle="Fora da lista" error="Fraqueza 1: escolha um valor da lista. A planilha pode não reconhecer outro valor." type="list" errorStyle="warning">
      <formula1>'Dados'!$AN$6:$AN$12</formula1>
    </dataValidation>
    <dataValidation sqref="E79" showDropDown="0" showInputMessage="0" showErrorMessage="1" allowBlank="1" errorTitle="Fora da lista" error="Fraqueza 2: escolha um valor da lista. A planilha pode não reconhecer outro valor." type="list" errorStyle="warning">
      <formula1>'Dados'!$AN$6:$AN$12</formula1>
    </dataValidation>
    <dataValidation sqref="F79" showDropDown="0" showInputMessage="0" showErrorMessage="1" allowBlank="1" errorTitle="Fora da lista" error="Fraqueza 3: escolha um valor da lista. A planilha pode não reconhecer outro valor." type="list" errorStyle="warning">
      <formula1>'Dados'!$AN$6:$AN$12</formula1>
    </dataValidation>
    <dataValidation sqref="G79" showDropDown="0" showInputMessage="0" showErrorMessage="1" allowBlank="1" errorTitle="Fora da lista" error="Fraqueza 4: escolha um valor da lista. A planilha pode não reconhecer outro valor." type="list" errorStyle="warning">
      <formula1>'Dados'!$AN$6:$AN$12</formula1>
    </dataValidation>
    <dataValidation sqref="A80" showDropDown="0" showInputMessage="0" showErrorMessage="1" allowBlank="1" errorTitle="Fora da lista" error="Criatura: escolha um valor da lista. A planilha pode não reconhecer outro valor." type="list" errorStyle="warning">
      <formula1>'Inimigos'!$N$11:$N$54</formula1>
    </dataValidation>
    <dataValidation sqref="C80" showDropDown="0" showInputMessage="0" showErrorMessage="1" allowBlank="1" errorTitle="Valor fora da faixa" error="Quantidade: use um número inteiro de 0 a 10." type="whole" errorStyle="warning" operator="between">
      <formula1>0</formula1>
      <formula2>10</formula2>
    </dataValidation>
    <dataValidation sqref="D80" showDropDown="0" showInputMessage="0" showErrorMessage="1" allowBlank="1" errorTitle="Fora da lista" error="Fraqueza 1: escolha um valor da lista. A planilha pode não reconhecer outro valor." type="list" errorStyle="warning">
      <formula1>'Dados'!$AN$6:$AN$12</formula1>
    </dataValidation>
    <dataValidation sqref="E80" showDropDown="0" showInputMessage="0" showErrorMessage="1" allowBlank="1" errorTitle="Fora da lista" error="Fraqueza 2: escolha um valor da lista. A planilha pode não reconhecer outro valor." type="list" errorStyle="warning">
      <formula1>'Dados'!$AN$6:$AN$12</formula1>
    </dataValidation>
    <dataValidation sqref="F80" showDropDown="0" showInputMessage="0" showErrorMessage="1" allowBlank="1" errorTitle="Fora da lista" error="Fraqueza 3: escolha um valor da lista. A planilha pode não reconhecer outro valor." type="list" errorStyle="warning">
      <formula1>'Dados'!$AN$6:$AN$12</formula1>
    </dataValidation>
    <dataValidation sqref="G80" showDropDown="0" showInputMessage="0" showErrorMessage="1" allowBlank="1" errorTitle="Fora da lista" error="Fraqueza 4: escolha um valor da lista. A planilha pode não reconhecer outro valor." type="list" errorStyle="warning">
      <formula1>'Dados'!$AN$6:$AN$12</formula1>
    </dataValidation>
    <dataValidation sqref="A81" showDropDown="0" showInputMessage="0" showErrorMessage="1" allowBlank="1" errorTitle="Fora da lista" error="Criatura: escolha um valor da lista. A planilha pode não reconhecer outro valor." type="list" errorStyle="warning">
      <formula1>'Inimigos'!$N$11:$N$54</formula1>
    </dataValidation>
    <dataValidation sqref="C81" showDropDown="0" showInputMessage="0" showErrorMessage="1" allowBlank="1" errorTitle="Valor fora da faixa" error="Quantidade: use um número inteiro de 0 a 10." type="whole" errorStyle="warning" operator="between">
      <formula1>0</formula1>
      <formula2>10</formula2>
    </dataValidation>
    <dataValidation sqref="D81" showDropDown="0" showInputMessage="0" showErrorMessage="1" allowBlank="1" errorTitle="Fora da lista" error="Fraqueza 1: escolha um valor da lista. A planilha pode não reconhecer outro valor." type="list" errorStyle="warning">
      <formula1>'Dados'!$AN$6:$AN$12</formula1>
    </dataValidation>
    <dataValidation sqref="E81" showDropDown="0" showInputMessage="0" showErrorMessage="1" allowBlank="1" errorTitle="Fora da lista" error="Fraqueza 2: escolha um valor da lista. A planilha pode não reconhecer outro valor." type="list" errorStyle="warning">
      <formula1>'Dados'!$AN$6:$AN$12</formula1>
    </dataValidation>
    <dataValidation sqref="F81" showDropDown="0" showInputMessage="0" showErrorMessage="1" allowBlank="1" errorTitle="Fora da lista" error="Fraqueza 3: escolha um valor da lista. A planilha pode não reconhecer outro valor." type="list" errorStyle="warning">
      <formula1>'Dados'!$AN$6:$AN$12</formula1>
    </dataValidation>
    <dataValidation sqref="G81" showDropDown="0" showInputMessage="0" showErrorMessage="1" allowBlank="1" errorTitle="Fora da lista" error="Fraqueza 4: escolha um valor da lista. A planilha pode não reconhecer outro valor." type="list" errorStyle="warning">
      <formula1>'Dados'!$AN$6:$AN$12</formula1>
    </dataValidation>
    <dataValidation sqref="A82" showDropDown="0" showInputMessage="0" showErrorMessage="1" allowBlank="1" errorTitle="Fora da lista" error="Criatura: escolha um valor da lista. A planilha pode não reconhecer outro valor." type="list" errorStyle="warning">
      <formula1>'Inimigos'!$N$11:$N$54</formula1>
    </dataValidation>
    <dataValidation sqref="C82" showDropDown="0" showInputMessage="0" showErrorMessage="1" allowBlank="1" errorTitle="Valor fora da faixa" error="Quantidade: use um número inteiro de 0 a 10." type="whole" errorStyle="warning" operator="between">
      <formula1>0</formula1>
      <formula2>10</formula2>
    </dataValidation>
    <dataValidation sqref="D82" showDropDown="0" showInputMessage="0" showErrorMessage="1" allowBlank="1" errorTitle="Fora da lista" error="Fraqueza 1: escolha um valor da lista. A planilha pode não reconhecer outro valor." type="list" errorStyle="warning">
      <formula1>'Dados'!$AN$6:$AN$12</formula1>
    </dataValidation>
    <dataValidation sqref="E82" showDropDown="0" showInputMessage="0" showErrorMessage="1" allowBlank="1" errorTitle="Fora da lista" error="Fraqueza 2: escolha um valor da lista. A planilha pode não reconhecer outro valor." type="list" errorStyle="warning">
      <formula1>'Dados'!$AN$6:$AN$12</formula1>
    </dataValidation>
    <dataValidation sqref="F82" showDropDown="0" showInputMessage="0" showErrorMessage="1" allowBlank="1" errorTitle="Fora da lista" error="Fraqueza 3: escolha um valor da lista. A planilha pode não reconhecer outro valor." type="list" errorStyle="warning">
      <formula1>'Dados'!$AN$6:$AN$12</formula1>
    </dataValidation>
    <dataValidation sqref="G82" showDropDown="0" showInputMessage="0" showErrorMessage="1" allowBlank="1" errorTitle="Fora da lista" error="Fraqueza 4: escolha um valor da lista. A planilha pode não reconhecer outro valor." type="list" errorStyle="warning">
      <formula1>'Dados'!$AN$6:$AN$12</formula1>
    </dataValidation>
    <dataValidation sqref="A83" showDropDown="0" showInputMessage="0" showErrorMessage="1" allowBlank="1" errorTitle="Fora da lista" error="Criatura: escolha um valor da lista. A planilha pode não reconhecer outro valor." type="list" errorStyle="warning">
      <formula1>'Inimigos'!$N$11:$N$54</formula1>
    </dataValidation>
    <dataValidation sqref="C83" showDropDown="0" showInputMessage="0" showErrorMessage="1" allowBlank="1" errorTitle="Valor fora da faixa" error="Quantidade: use um número inteiro de 0 a 10." type="whole" errorStyle="warning" operator="between">
      <formula1>0</formula1>
      <formula2>10</formula2>
    </dataValidation>
    <dataValidation sqref="D83" showDropDown="0" showInputMessage="0" showErrorMessage="1" allowBlank="1" errorTitle="Fora da lista" error="Fraqueza 1: escolha um valor da lista. A planilha pode não reconhecer outro valor." type="list" errorStyle="warning">
      <formula1>'Dados'!$AN$6:$AN$12</formula1>
    </dataValidation>
    <dataValidation sqref="E83" showDropDown="0" showInputMessage="0" showErrorMessage="1" allowBlank="1" errorTitle="Fora da lista" error="Fraqueza 2: escolha um valor da lista. A planilha pode não reconhecer outro valor." type="list" errorStyle="warning">
      <formula1>'Dados'!$AN$6:$AN$12</formula1>
    </dataValidation>
    <dataValidation sqref="F83" showDropDown="0" showInputMessage="0" showErrorMessage="1" allowBlank="1" errorTitle="Fora da lista" error="Fraqueza 3: escolha um valor da lista. A planilha pode não reconhecer outro valor." type="list" errorStyle="warning">
      <formula1>'Dados'!$AN$6:$AN$12</formula1>
    </dataValidation>
    <dataValidation sqref="G83" showDropDown="0" showInputMessage="0" showErrorMessage="1" allowBlank="1" errorTitle="Fora da lista" error="Fraqueza 4: escolha um valor da lista. A planilha pode não reconhecer outro valor." type="list" errorStyle="warning">
      <formula1>'Dados'!$AN$6:$AN$12</formula1>
    </dataValidation>
    <dataValidation sqref="A84" showDropDown="0" showInputMessage="0" showErrorMessage="1" allowBlank="1" errorTitle="Fora da lista" error="Criatura: escolha um valor da lista. A planilha pode não reconhecer outro valor." type="list" errorStyle="warning">
      <formula1>'Inimigos'!$N$11:$N$54</formula1>
    </dataValidation>
    <dataValidation sqref="C84" showDropDown="0" showInputMessage="0" showErrorMessage="1" allowBlank="1" errorTitle="Valor fora da faixa" error="Quantidade: use um número inteiro de 0 a 10." type="whole" errorStyle="warning" operator="between">
      <formula1>0</formula1>
      <formula2>10</formula2>
    </dataValidation>
    <dataValidation sqref="D84" showDropDown="0" showInputMessage="0" showErrorMessage="1" allowBlank="1" errorTitle="Fora da lista" error="Fraqueza 1: escolha um valor da lista. A planilha pode não reconhecer outro valor." type="list" errorStyle="warning">
      <formula1>'Dados'!$AN$6:$AN$12</formula1>
    </dataValidation>
    <dataValidation sqref="E84" showDropDown="0" showInputMessage="0" showErrorMessage="1" allowBlank="1" errorTitle="Fora da lista" error="Fraqueza 2: escolha um valor da lista. A planilha pode não reconhecer outro valor." type="list" errorStyle="warning">
      <formula1>'Dados'!$AN$6:$AN$12</formula1>
    </dataValidation>
    <dataValidation sqref="F84" showDropDown="0" showInputMessage="0" showErrorMessage="1" allowBlank="1" errorTitle="Fora da lista" error="Fraqueza 3: escolha um valor da lista. A planilha pode não reconhecer outro valor." type="list" errorStyle="warning">
      <formula1>'Dados'!$AN$6:$AN$12</formula1>
    </dataValidation>
    <dataValidation sqref="G84" showDropDown="0" showInputMessage="0" showErrorMessage="1" allowBlank="1" errorTitle="Fora da lista" error="Fraqueza 4: escolha um valor da lista. A planilha pode não reconhecer outro valor." type="list" errorStyle="warning">
      <formula1>'Dados'!$AN$6:$AN$12</formula1>
    </dataValidation>
    <dataValidation sqref="A105" showDropDown="0" showInputMessage="0" showErrorMessage="1" allowBlank="1" errorTitle="Valor fora da faixa" error="Rolagem nº: use um número inteiro de 1 a 1000000." type="whole" errorStyle="warning" operator="between">
      <formula1>1</formula1>
      <formula2>1000000</formula2>
    </dataValidation>
    <dataValidation sqref="B105" showDropDown="0" showInputMessage="0" showErrorMessage="1" allowBlank="1" errorTitle="Fora da lista" error="Ambiente: escolha um valor da lista. A planilha pode não reconhecer outro valor." type="list" errorStyle="warning">
      <formula1>'Dados'!$BC$6:$BC$19</formula1>
    </dataValidation>
    <dataValidation sqref="E105" showDropDown="0" showInputMessage="0" showErrorMessage="1" allowBlank="1" errorTitle="Fora da lista" error="Faixa: escolha um valor da lista. A planilha pode não reconhecer outro valor." type="list" errorStyle="warning">
      <formula1>'Dados'!$AP$6:$AP$10</formula1>
    </dataValidation>
    <dataValidation sqref="F105" showDropDown="0" showInputMessage="0" showErrorMessage="1" allowBlank="1" errorTitle="Fora da lista" error="Composição: escolha um valor da lista. A planilha pode não reconhecer outro valor." type="list" errorStyle="warning">
      <formula1>'Dados'!$BD$6:$BD$10</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K216"/>
  <sheetViews>
    <sheetView showGridLines="1" workbookViewId="0">
      <selection activeCell="A1" sqref="A1"/>
    </sheetView>
  </sheetViews>
  <sheetFormatPr baseColWidth="8" defaultRowHeight="15"/>
  <cols>
    <col width="20.786" customWidth="1" min="1" max="1"/>
    <col width="13.643" customWidth="1" min="2" max="2"/>
    <col width="16.5"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0.071" customWidth="1" min="11" max="11"/>
    <col width="20.071"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width="13" customWidth="1" min="48" max="48"/>
    <col width="13" customWidth="1" min="49" max="49"/>
    <col width="13" customWidth="1" min="50" max="50"/>
    <col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 hidden="1" width="13" customWidth="1" min="89" max="89"/>
  </cols>
  <sheetData>
    <row r="1" ht="24" customHeight="1">
      <c r="A1" s="1" t="inlineStr">
        <is>
          <t>Combate — Explorando Galáxias v1.1</t>
        </is>
      </c>
    </row>
    <row r="2" ht="37" customHeight="1">
      <c r="A2" s="2"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Fila de Ação, PV, Tenacidade e Quebra, condições, Morrendo e recursos do grupo.</t>
        </is>
      </c>
    </row>
    <row r="4"/>
    <row r="5" ht="20" customHeight="1">
      <c r="A5" s="12" t="inlineStr">
        <is>
          <t>C0 · Controle do combate</t>
        </is>
      </c>
    </row>
    <row r="6">
      <c r="A6" s="7" t="inlineStr">
        <is>
          <t>Combate</t>
        </is>
      </c>
      <c r="B6" s="7" t="inlineStr">
        <is>
          <t>Ciclo atual</t>
        </is>
      </c>
      <c r="C6" s="7" t="inlineStr">
        <is>
          <t>Carregar encontro</t>
        </is>
      </c>
      <c r="D6" s="20" t="n"/>
      <c r="E6" s="7" t="inlineStr">
        <is>
          <t>Surpresa</t>
        </is>
      </c>
      <c r="F6" s="20" t="n"/>
      <c r="G6" s="7" t="inlineStr">
        <is>
          <t>PH atual</t>
        </is>
      </c>
      <c r="H6" s="7" t="inlineStr">
        <is>
          <t>PH máx.</t>
        </is>
      </c>
      <c r="I6" s="7" t="inlineStr">
        <is>
          <t>PH no início</t>
        </is>
      </c>
      <c r="J6" s="7" t="inlineStr">
        <is>
          <t>Na Fila agora</t>
        </is>
      </c>
      <c r="K6" s="7" t="inlineStr">
        <is>
          <t>Aviso</t>
        </is>
      </c>
      <c r="L6" s="20" t="n"/>
    </row>
    <row r="7" ht="37" customHeight="1">
      <c r="A7" s="8" t="inlineStr">
        <is>
          <t>Estado</t>
        </is>
      </c>
      <c r="B7" s="15" t="n"/>
      <c r="C7" s="3" t="n"/>
      <c r="D7" s="16" t="n"/>
      <c r="E7" s="3" t="n"/>
      <c r="F7" s="16" t="n"/>
      <c r="G7" s="15" t="n"/>
      <c r="H7" s="17">
        <f>'Campanha'!$B$24</f>
        <v/>
      </c>
      <c r="I7" s="17">
        <f>'Campanha'!$B$25</f>
        <v/>
      </c>
      <c r="J7" s="17">
        <f>SUM($R$11:$R$26)</f>
        <v/>
      </c>
      <c r="K7" s="18">
        <f>IF(CK7&gt;0,"O Google leu como fórmula: escolha de novo ou digite com ' na frente.",IF(AND(ISNUMBER($CG$7),$CG$7&lt;0),"Não existe PH negativo (27.10)",IF(AND(ISNUMBER($CG$7),$CG$7&gt;$H$7),"PH acima do máximo do grupo (16.2)",IF(AND($CE$7&lt;&gt;"",$CE$7&lt;&gt;"Ninguém",$N$8=1),"Surpresa: cada um do lado surpreendido faz Percepção Mental DT 13; quem falha recebe Surpreso em C7 (19.3)",""))))</f>
        <v/>
      </c>
      <c r="CB7" s="19">
        <f>IF(ISERROR($B$7),"",IF(ISBLANK($B$7),"",$B$7))</f>
        <v/>
      </c>
      <c r="CC7" s="19">
        <f>IF(ISERROR($C$7),"",IF(ISBLANK($C$7),"",$C$7))</f>
        <v/>
      </c>
      <c r="CE7" s="19">
        <f>IF(ISERROR($E$7),"",IF(ISBLANK($E$7),"",$E$7))</f>
        <v/>
      </c>
      <c r="CG7" s="19">
        <f>IF(ISERROR($G$7),"",IF(ISBLANK($G$7),"",$G$7))</f>
        <v/>
      </c>
      <c r="CK7" s="19">
        <f>ISERROR($B$7)*1+ISERROR($C$7)*1+ISERROR($E$7)*1+ISERROR($G$7)*1</f>
        <v/>
      </c>
    </row>
    <row r="8">
      <c r="A8" s="21" t="inlineStr">
        <is>
          <t>Avançar o Ciclo (4 passos, como a Trilha de Ação de 29.10): (1) some 1 em Ciclo atual;</t>
        </is>
      </c>
      <c r="N8" s="19">
        <f>IF(ISNUMBER($CB$7),MAX(1,INT($CB$7)),1)</f>
        <v/>
      </c>
      <c r="O8" s="19">
        <f>IF(ISNUMBER($CG$7),$CG$7,$I$7)</f>
        <v/>
      </c>
      <c r="P8" s="19">
        <f>IFERROR(MATCH($CC$7,'Dados'!$BE$6:$BE$10,0)-1,0)</f>
        <v/>
      </c>
    </row>
    <row r="9">
      <c r="A9" s="43" t="inlineStr">
        <is>
          <t>(2) copie a coluna 'Pendente para o Ciclo seguinte' (C8) e cole como valores em 'Atraso pendente do Ciclo anterior';</t>
        </is>
      </c>
    </row>
    <row r="10">
      <c r="A10" s="41" t="inlineStr">
        <is>
          <t>(3) apague 'Atraso deste Ciclo', 'Avançar', 'Já agiu?', 'Avanço Total' e 'Ultimate usada';</t>
        </is>
      </c>
    </row>
    <row r="11">
      <c r="A11" s="43" t="inlineStr">
        <is>
          <t>(4) desconte 1 turno das condições de quem agiu (C7). PV: digite o 'PV depois' no 'PV atual'.</t>
        </is>
      </c>
      <c r="N11" s="19">
        <f>IF(LEN('Grupo'!$P$7)&gt;0,'Grupo'!$P$7,"")</f>
        <v/>
      </c>
      <c r="O11" s="19">
        <f>"PJ"</f>
        <v/>
      </c>
      <c r="P11" s="19">
        <f>IF(AND(LEN('Grupo'!$P$7)&gt;0,$CB$15&lt;&gt;"Não"),1,0)</f>
        <v/>
      </c>
      <c r="Q11" s="19">
        <f>IF(AND($P$11=1,NOT(AND(ISNUMBER($CE$24),$CE$24&gt;=3))),1,0)</f>
        <v/>
      </c>
      <c r="R11" s="19">
        <f>IF(AND($Q$11=1,NOT(AND($AA$11=1,$O$11="Comum"))),1,0)</f>
        <v/>
      </c>
      <c r="S11" s="19">
        <f>$Q$11</f>
        <v/>
      </c>
      <c r="T11" s="19">
        <f>IF(ISNUMBER('Grupo'!$U$16),'Grupo'!$U$16,10)</f>
        <v/>
      </c>
      <c r="U11" s="19">
        <f>MIN(40,MAX(0,$T$11+IF(ISNUMBER($CC$15),MIN(10,MAX(-10,INT($CC$15))),0)))</f>
        <v/>
      </c>
      <c r="V11" s="19">
        <f>MIN(30,MAX(15,IF(ISNUMBER('Grupo'!$V$16),'Grupo'!$V$16,0)+20))</f>
        <v/>
      </c>
      <c r="W11" s="19">
        <f>MIN(30,MAX(15,IF(ISNUMBER('Grupo'!$W$16),'Grupo'!$W$16,0)+20))</f>
        <v/>
      </c>
      <c r="X11" s="19">
        <f>5+(5-IF(ISNUMBER($CC$102),MIN(5,MAX(1,INT($CC$102))),5))</f>
        <v/>
      </c>
      <c r="Y11" s="19">
        <f>0.09</f>
        <v/>
      </c>
      <c r="Z11" s="19">
        <f>$U$11*100000+$V$11*1000+$W$11*10+$X$11+$Y$11</f>
        <v/>
      </c>
      <c r="AA11" s="19">
        <f>0</f>
        <v/>
      </c>
      <c r="AB11" s="19">
        <f>IF(AND($N$8=1,LEN($N$11)&gt;0),IF(COUNTIFS($CA$158:$CA$208,$N$11,$CB$158:$CB$208,"Surpreso")&gt;0,1,0),0)</f>
        <v/>
      </c>
      <c r="AC11" s="19">
        <f>IF(ISNUMBER($CD$102),MAX(0,INT($CD$102)),0)</f>
        <v/>
      </c>
      <c r="AD11" s="19">
        <f>IF(AND($AA$11=1,$O$11&lt;&gt;"Comum"),2,IF($O$11="Comum",MIN(3,$AC$11),IF(OR($O$11="Elite",$O$11="Boss"),IF($AC$11=0,0,MIN(2,MAX(1,INT($AC$11/2)))),$AC$11)))</f>
        <v/>
      </c>
      <c r="AE11" s="19">
        <f>IF(AND($AA$11=1,$O$11="Comum"),0,MIN(IF($O$11="Comum",3,IF($O$11="PJ",999,2)),IF(ISNUMBER($CE$102),MAX(0,INT($CE$102)),0)))</f>
        <v/>
      </c>
      <c r="AF11" s="19">
        <f>IF($CH$102="Sim",1,0)</f>
        <v/>
      </c>
      <c r="AG11" s="19">
        <f>IF($AF$11=1,0,IF(ISNUMBER($CF$102),MAX(0,INT($CF$102)),0))</f>
        <v/>
      </c>
      <c r="AH11" s="19">
        <f>IF(ISNUMBER($CI$102),$CI$102,"")</f>
        <v/>
      </c>
      <c r="AI11" s="19">
        <f>IF($R$11=1,1+COUNTIFS($R$11:$R$26,1,$Z$11:$Z$26,"&gt;"&amp;$Z$11),"")</f>
        <v/>
      </c>
      <c r="AJ11" s="19">
        <f>IF($R$11=1,$AI$11+($AE$11+IF($AF$11=1,0,$AD$11)),"")</f>
        <v/>
      </c>
      <c r="AK11" s="19">
        <f>IF($R$11=1,MIN($J$7,$AJ$11),"")</f>
        <v/>
      </c>
      <c r="AL11" s="19">
        <f>IF($R$11=1,$AJ$11-$AK$11,0)</f>
        <v/>
      </c>
      <c r="AM11" s="19">
        <f>IF($R$11=0,"",IF(ISNUMBER($AH$11),$AH$11-0.7+1/1000,$AK$11+IF(($AE$11+IF($AF$11=1,0,$AD$11))&gt;0,0.5,0)-$AG$11-IF($AG$11&gt;0,0.5,0)+1/1000))</f>
        <v/>
      </c>
      <c r="AN11" s="19">
        <f>IF(OR($Q$11=0,AND($AA$11=1,$O$11="Comum")),0,MIN(IF($O$11="Comum",3,IF($O$11="PJ",999,2)),IF($AF$11=1,$AD$11,0)+$AL$11))</f>
        <v/>
      </c>
      <c r="AO11" s="19">
        <f>IF($S$11=1,1+COUNTIFS($S$11:$S$26,1,$Z$11:$Z$26,"&gt;"&amp;$Z$11),"")</f>
        <v/>
      </c>
      <c r="AP11" s="19">
        <f>IF($S$11=1,$AO$11+$AN$11+IF($AN$11&gt;0,0.5,0)+1/1000,"")</f>
        <v/>
      </c>
      <c r="AQ11" s="19">
        <f>IF(ISNUMBER('Grupo'!$Q$16),MAX(1,'Grupo'!$Q$16),1)</f>
        <v/>
      </c>
      <c r="AR11" s="19">
        <f>IF(ISNUMBER($CF$15),MIN($AQ$11,MAX(0,INT($CF$15))),$AQ$11)</f>
        <v/>
      </c>
      <c r="AS11" s="19">
        <f>'Campanha'!$B$20</f>
        <v/>
      </c>
      <c r="AT11" s="19">
        <f>IF(AND($R$11=1,$AF$11=0,$AB$11=0),1,0)</f>
        <v/>
      </c>
      <c r="AU11" s="19">
        <f>IF($CG$102="Sim",1,0)</f>
        <v/>
      </c>
    </row>
    <row r="12">
      <c r="A12" s="41" t="inlineStr">
        <is>
          <t>PH: começa cada combate com o máximo menos 2 (vazio = início); gera +1 por Ataque Básico que acerta (níveis 1–8) ou +2 (9–20), 16.2.</t>
        </is>
      </c>
      <c r="N12" s="19">
        <f>IF(LEN('Grupo'!$P$8)&gt;0,'Grupo'!$P$8,"")</f>
        <v/>
      </c>
      <c r="O12" s="19">
        <f>"PJ"</f>
        <v/>
      </c>
      <c r="P12" s="19">
        <f>IF(AND(LEN('Grupo'!$P$8)&gt;0,$CB$16&lt;&gt;"Não"),1,0)</f>
        <v/>
      </c>
      <c r="Q12" s="19">
        <f>IF(AND($P$12=1,NOT(AND(ISNUMBER($CE$25),$CE$25&gt;=3))),1,0)</f>
        <v/>
      </c>
      <c r="R12" s="19">
        <f>IF(AND($Q$12=1,NOT(AND($AA$12=1,$O$12="Comum"))),1,0)</f>
        <v/>
      </c>
      <c r="S12" s="19">
        <f>$Q$12</f>
        <v/>
      </c>
      <c r="T12" s="19">
        <f>IF(ISNUMBER('Grupo'!$U$17),'Grupo'!$U$17,10)</f>
        <v/>
      </c>
      <c r="U12" s="19">
        <f>MIN(40,MAX(0,$T$12+IF(ISNUMBER($CC$16),MIN(10,MAX(-10,INT($CC$16))),0)))</f>
        <v/>
      </c>
      <c r="V12" s="19">
        <f>MIN(30,MAX(15,IF(ISNUMBER('Grupo'!$V$17),'Grupo'!$V$17,0)+20))</f>
        <v/>
      </c>
      <c r="W12" s="19">
        <f>MIN(30,MAX(15,IF(ISNUMBER('Grupo'!$W$17),'Grupo'!$W$17,0)+20))</f>
        <v/>
      </c>
      <c r="X12" s="19">
        <f>5+(5-IF(ISNUMBER($CC$103),MIN(5,MAX(1,INT($CC$103))),5))</f>
        <v/>
      </c>
      <c r="Y12" s="19">
        <f>0.08</f>
        <v/>
      </c>
      <c r="Z12" s="19">
        <f>$U$12*100000+$V$12*1000+$W$12*10+$X$12+$Y$12</f>
        <v/>
      </c>
      <c r="AA12" s="19">
        <f>0</f>
        <v/>
      </c>
      <c r="AB12" s="19">
        <f>IF(AND($N$8=1,LEN($N$12)&gt;0),IF(COUNTIFS($CA$158:$CA$208,$N$12,$CB$158:$CB$208,"Surpreso")&gt;0,1,0),0)</f>
        <v/>
      </c>
      <c r="AC12" s="19">
        <f>IF(ISNUMBER($CD$103),MAX(0,INT($CD$103)),0)</f>
        <v/>
      </c>
      <c r="AD12" s="19">
        <f>IF(AND($AA$12=1,$O$12&lt;&gt;"Comum"),2,IF($O$12="Comum",MIN(3,$AC$12),IF(OR($O$12="Elite",$O$12="Boss"),IF($AC$12=0,0,MIN(2,MAX(1,INT($AC$12/2)))),$AC$12)))</f>
        <v/>
      </c>
      <c r="AE12" s="19">
        <f>IF(AND($AA$12=1,$O$12="Comum"),0,MIN(IF($O$12="Comum",3,IF($O$12="PJ",999,2)),IF(ISNUMBER($CE$103),MAX(0,INT($CE$103)),0)))</f>
        <v/>
      </c>
      <c r="AF12" s="19">
        <f>IF($CH$103="Sim",1,0)</f>
        <v/>
      </c>
      <c r="AG12" s="19">
        <f>IF($AF$12=1,0,IF(ISNUMBER($CF$103),MAX(0,INT($CF$103)),0))</f>
        <v/>
      </c>
      <c r="AH12" s="19">
        <f>IF(ISNUMBER($CI$103),$CI$103,"")</f>
        <v/>
      </c>
      <c r="AI12" s="19">
        <f>IF($R$12=1,1+COUNTIFS($R$11:$R$26,1,$Z$11:$Z$26,"&gt;"&amp;$Z$12),"")</f>
        <v/>
      </c>
      <c r="AJ12" s="19">
        <f>IF($R$12=1,$AI$12+($AE$12+IF($AF$12=1,0,$AD$12)),"")</f>
        <v/>
      </c>
      <c r="AK12" s="19">
        <f>IF($R$12=1,MIN($J$7,$AJ$12),"")</f>
        <v/>
      </c>
      <c r="AL12" s="19">
        <f>IF($R$12=1,$AJ$12-$AK$12,0)</f>
        <v/>
      </c>
      <c r="AM12" s="19">
        <f>IF($R$12=0,"",IF(ISNUMBER($AH$12),$AH$12-0.7+2/1000,$AK$12+IF(($AE$12+IF($AF$12=1,0,$AD$12))&gt;0,0.5,0)-$AG$12-IF($AG$12&gt;0,0.5,0)+2/1000))</f>
        <v/>
      </c>
      <c r="AN12" s="19">
        <f>IF(OR($Q$12=0,AND($AA$12=1,$O$12="Comum")),0,MIN(IF($O$12="Comum",3,IF($O$12="PJ",999,2)),IF($AF$12=1,$AD$12,0)+$AL$12))</f>
        <v/>
      </c>
      <c r="AO12" s="19">
        <f>IF($S$12=1,1+COUNTIFS($S$11:$S$26,1,$Z$11:$Z$26,"&gt;"&amp;$Z$12),"")</f>
        <v/>
      </c>
      <c r="AP12" s="19">
        <f>IF($S$12=1,$AO$12+$AN$12+IF($AN$12&gt;0,0.5,0)+2/1000,"")</f>
        <v/>
      </c>
      <c r="AQ12" s="19">
        <f>IF(ISNUMBER('Grupo'!$Q$17),MAX(1,'Grupo'!$Q$17),1)</f>
        <v/>
      </c>
      <c r="AR12" s="19">
        <f>IF(ISNUMBER($CF$16),MIN($AQ$12,MAX(0,INT($CF$16))),$AQ$12)</f>
        <v/>
      </c>
      <c r="AS12" s="19">
        <f>'Campanha'!$B$20</f>
        <v/>
      </c>
      <c r="AT12" s="19">
        <f>IF(AND($R$12=1,$AF$12=0,$AB$12=0),1,0)</f>
        <v/>
      </c>
      <c r="AU12" s="19">
        <f>IF($CG$103="Sim",1,0)</f>
        <v/>
      </c>
    </row>
    <row r="13" ht="20" customHeight="1">
      <c r="A13" s="12" t="inlineStr">
        <is>
          <t>C1 · PJs — PV e Energia (os números vêm da aba Grupo)</t>
        </is>
      </c>
      <c r="N13" s="19">
        <f>IF(LEN('Grupo'!$P$9)&gt;0,'Grupo'!$P$9,"")</f>
        <v/>
      </c>
      <c r="O13" s="19">
        <f>"PJ"</f>
        <v/>
      </c>
      <c r="P13" s="19">
        <f>IF(AND(LEN('Grupo'!$P$9)&gt;0,$CB$17&lt;&gt;"Não"),1,0)</f>
        <v/>
      </c>
      <c r="Q13" s="19">
        <f>IF(AND($P$13=1,NOT(AND(ISNUMBER($CE$26),$CE$26&gt;=3))),1,0)</f>
        <v/>
      </c>
      <c r="R13" s="19">
        <f>IF(AND($Q$13=1,NOT(AND($AA$13=1,$O$13="Comum"))),1,0)</f>
        <v/>
      </c>
      <c r="S13" s="19">
        <f>$Q$13</f>
        <v/>
      </c>
      <c r="T13" s="19">
        <f>IF(ISNUMBER('Grupo'!$U$18),'Grupo'!$U$18,10)</f>
        <v/>
      </c>
      <c r="U13" s="19">
        <f>MIN(40,MAX(0,$T$13+IF(ISNUMBER($CC$17),MIN(10,MAX(-10,INT($CC$17))),0)))</f>
        <v/>
      </c>
      <c r="V13" s="19">
        <f>MIN(30,MAX(15,IF(ISNUMBER('Grupo'!$V$18),'Grupo'!$V$18,0)+20))</f>
        <v/>
      </c>
      <c r="W13" s="19">
        <f>MIN(30,MAX(15,IF(ISNUMBER('Grupo'!$W$18),'Grupo'!$W$18,0)+20))</f>
        <v/>
      </c>
      <c r="X13" s="19">
        <f>5+(5-IF(ISNUMBER($CC$104),MIN(5,MAX(1,INT($CC$104))),5))</f>
        <v/>
      </c>
      <c r="Y13" s="19">
        <f>0.07</f>
        <v/>
      </c>
      <c r="Z13" s="19">
        <f>$U$13*100000+$V$13*1000+$W$13*10+$X$13+$Y$13</f>
        <v/>
      </c>
      <c r="AA13" s="19">
        <f>0</f>
        <v/>
      </c>
      <c r="AB13" s="19">
        <f>IF(AND($N$8=1,LEN($N$13)&gt;0),IF(COUNTIFS($CA$158:$CA$208,$N$13,$CB$158:$CB$208,"Surpreso")&gt;0,1,0),0)</f>
        <v/>
      </c>
      <c r="AC13" s="19">
        <f>IF(ISNUMBER($CD$104),MAX(0,INT($CD$104)),0)</f>
        <v/>
      </c>
      <c r="AD13" s="19">
        <f>IF(AND($AA$13=1,$O$13&lt;&gt;"Comum"),2,IF($O$13="Comum",MIN(3,$AC$13),IF(OR($O$13="Elite",$O$13="Boss"),IF($AC$13=0,0,MIN(2,MAX(1,INT($AC$13/2)))),$AC$13)))</f>
        <v/>
      </c>
      <c r="AE13" s="19">
        <f>IF(AND($AA$13=1,$O$13="Comum"),0,MIN(IF($O$13="Comum",3,IF($O$13="PJ",999,2)),IF(ISNUMBER($CE$104),MAX(0,INT($CE$104)),0)))</f>
        <v/>
      </c>
      <c r="AF13" s="19">
        <f>IF($CH$104="Sim",1,0)</f>
        <v/>
      </c>
      <c r="AG13" s="19">
        <f>IF($AF$13=1,0,IF(ISNUMBER($CF$104),MAX(0,INT($CF$104)),0))</f>
        <v/>
      </c>
      <c r="AH13" s="19">
        <f>IF(ISNUMBER($CI$104),$CI$104,"")</f>
        <v/>
      </c>
      <c r="AI13" s="19">
        <f>IF($R$13=1,1+COUNTIFS($R$11:$R$26,1,$Z$11:$Z$26,"&gt;"&amp;$Z$13),"")</f>
        <v/>
      </c>
      <c r="AJ13" s="19">
        <f>IF($R$13=1,$AI$13+($AE$13+IF($AF$13=1,0,$AD$13)),"")</f>
        <v/>
      </c>
      <c r="AK13" s="19">
        <f>IF($R$13=1,MIN($J$7,$AJ$13),"")</f>
        <v/>
      </c>
      <c r="AL13" s="19">
        <f>IF($R$13=1,$AJ$13-$AK$13,0)</f>
        <v/>
      </c>
      <c r="AM13" s="19">
        <f>IF($R$13=0,"",IF(ISNUMBER($AH$13),$AH$13-0.7+3/1000,$AK$13+IF(($AE$13+IF($AF$13=1,0,$AD$13))&gt;0,0.5,0)-$AG$13-IF($AG$13&gt;0,0.5,0)+3/1000))</f>
        <v/>
      </c>
      <c r="AN13" s="19">
        <f>IF(OR($Q$13=0,AND($AA$13=1,$O$13="Comum")),0,MIN(IF($O$13="Comum",3,IF($O$13="PJ",999,2)),IF($AF$13=1,$AD$13,0)+$AL$13))</f>
        <v/>
      </c>
      <c r="AO13" s="19">
        <f>IF($S$13=1,1+COUNTIFS($S$11:$S$26,1,$Z$11:$Z$26,"&gt;"&amp;$Z$13),"")</f>
        <v/>
      </c>
      <c r="AP13" s="19">
        <f>IF($S$13=1,$AO$13+$AN$13+IF($AN$13&gt;0,0.5,0)+3/1000,"")</f>
        <v/>
      </c>
      <c r="AQ13" s="19">
        <f>IF(ISNUMBER('Grupo'!$Q$18),MAX(1,'Grupo'!$Q$18),1)</f>
        <v/>
      </c>
      <c r="AR13" s="19">
        <f>IF(ISNUMBER($CF$17),MIN($AQ$13,MAX(0,INT($CF$17))),$AQ$13)</f>
        <v/>
      </c>
      <c r="AS13" s="19">
        <f>'Campanha'!$B$20</f>
        <v/>
      </c>
      <c r="AT13" s="19">
        <f>IF(AND($R$13=1,$AF$13=0,$AB$13=0),1,0)</f>
        <v/>
      </c>
      <c r="AU13" s="19">
        <f>IF($CG$104="Sim",1,0)</f>
        <v/>
      </c>
    </row>
    <row r="14" ht="26" customHeight="1">
      <c r="A14" s="7" t="inlineStr">
        <is>
          <t>PJ</t>
        </is>
      </c>
      <c r="B14" s="7" t="inlineStr">
        <is>
          <t>Participa?</t>
        </is>
      </c>
      <c r="C14" s="7" t="inlineStr">
        <is>
          <t>Ajuste de VEL</t>
        </is>
      </c>
      <c r="D14" s="7" t="inlineStr">
        <is>
          <t>VEL efetiva</t>
        </is>
      </c>
      <c r="E14" s="7" t="inlineStr">
        <is>
          <t>PV máx.</t>
        </is>
      </c>
      <c r="F14" s="7" t="inlineStr">
        <is>
          <t>PV atual</t>
        </is>
      </c>
      <c r="G14" s="7" t="inlineStr">
        <is>
          <t>Dano agora (− = cura)</t>
        </is>
      </c>
      <c r="H14" s="7" t="inlineStr">
        <is>
          <t>PV depois</t>
        </is>
      </c>
      <c r="I14" s="7" t="inlineStr">
        <is>
          <t>Energia</t>
        </is>
      </c>
      <c r="J14" s="7" t="inlineStr">
        <is>
          <t>Ultimate pronta?</t>
        </is>
      </c>
      <c r="K14" s="7" t="inlineStr">
        <is>
          <t>Aviso</t>
        </is>
      </c>
      <c r="L14" s="20" t="n"/>
      <c r="N14" s="19">
        <f>IF(LEN('Grupo'!$P$10)&gt;0,'Grupo'!$P$10,"")</f>
        <v/>
      </c>
      <c r="O14" s="19">
        <f>"PJ"</f>
        <v/>
      </c>
      <c r="P14" s="19">
        <f>IF(AND(LEN('Grupo'!$P$10)&gt;0,$CB$18&lt;&gt;"Não"),1,0)</f>
        <v/>
      </c>
      <c r="Q14" s="19">
        <f>IF(AND($P$14=1,NOT(AND(ISNUMBER($CE$27),$CE$27&gt;=3))),1,0)</f>
        <v/>
      </c>
      <c r="R14" s="19">
        <f>IF(AND($Q$14=1,NOT(AND($AA$14=1,$O$14="Comum"))),1,0)</f>
        <v/>
      </c>
      <c r="S14" s="19">
        <f>$Q$14</f>
        <v/>
      </c>
      <c r="T14" s="19">
        <f>IF(ISNUMBER('Grupo'!$U$19),'Grupo'!$U$19,10)</f>
        <v/>
      </c>
      <c r="U14" s="19">
        <f>MIN(40,MAX(0,$T$14+IF(ISNUMBER($CC$18),MIN(10,MAX(-10,INT($CC$18))),0)))</f>
        <v/>
      </c>
      <c r="V14" s="19">
        <f>MIN(30,MAX(15,IF(ISNUMBER('Grupo'!$V$19),'Grupo'!$V$19,0)+20))</f>
        <v/>
      </c>
      <c r="W14" s="19">
        <f>MIN(30,MAX(15,IF(ISNUMBER('Grupo'!$W$19),'Grupo'!$W$19,0)+20))</f>
        <v/>
      </c>
      <c r="X14" s="19">
        <f>5+(5-IF(ISNUMBER($CC$105),MIN(5,MAX(1,INT($CC$105))),5))</f>
        <v/>
      </c>
      <c r="Y14" s="19">
        <f>0.06</f>
        <v/>
      </c>
      <c r="Z14" s="19">
        <f>$U$14*100000+$V$14*1000+$W$14*10+$X$14+$Y$14</f>
        <v/>
      </c>
      <c r="AA14" s="19">
        <f>0</f>
        <v/>
      </c>
      <c r="AB14" s="19">
        <f>IF(AND($N$8=1,LEN($N$14)&gt;0),IF(COUNTIFS($CA$158:$CA$208,$N$14,$CB$158:$CB$208,"Surpreso")&gt;0,1,0),0)</f>
        <v/>
      </c>
      <c r="AC14" s="19">
        <f>IF(ISNUMBER($CD$105),MAX(0,INT($CD$105)),0)</f>
        <v/>
      </c>
      <c r="AD14" s="19">
        <f>IF(AND($AA$14=1,$O$14&lt;&gt;"Comum"),2,IF($O$14="Comum",MIN(3,$AC$14),IF(OR($O$14="Elite",$O$14="Boss"),IF($AC$14=0,0,MIN(2,MAX(1,INT($AC$14/2)))),$AC$14)))</f>
        <v/>
      </c>
      <c r="AE14" s="19">
        <f>IF(AND($AA$14=1,$O$14="Comum"),0,MIN(IF($O$14="Comum",3,IF($O$14="PJ",999,2)),IF(ISNUMBER($CE$105),MAX(0,INT($CE$105)),0)))</f>
        <v/>
      </c>
      <c r="AF14" s="19">
        <f>IF($CH$105="Sim",1,0)</f>
        <v/>
      </c>
      <c r="AG14" s="19">
        <f>IF($AF$14=1,0,IF(ISNUMBER($CF$105),MAX(0,INT($CF$105)),0))</f>
        <v/>
      </c>
      <c r="AH14" s="19">
        <f>IF(ISNUMBER($CI$105),$CI$105,"")</f>
        <v/>
      </c>
      <c r="AI14" s="19">
        <f>IF($R$14=1,1+COUNTIFS($R$11:$R$26,1,$Z$11:$Z$26,"&gt;"&amp;$Z$14),"")</f>
        <v/>
      </c>
      <c r="AJ14" s="19">
        <f>IF($R$14=1,$AI$14+($AE$14+IF($AF$14=1,0,$AD$14)),"")</f>
        <v/>
      </c>
      <c r="AK14" s="19">
        <f>IF($R$14=1,MIN($J$7,$AJ$14),"")</f>
        <v/>
      </c>
      <c r="AL14" s="19">
        <f>IF($R$14=1,$AJ$14-$AK$14,0)</f>
        <v/>
      </c>
      <c r="AM14" s="19">
        <f>IF($R$14=0,"",IF(ISNUMBER($AH$14),$AH$14-0.7+4/1000,$AK$14+IF(($AE$14+IF($AF$14=1,0,$AD$14))&gt;0,0.5,0)-$AG$14-IF($AG$14&gt;0,0.5,0)+4/1000))</f>
        <v/>
      </c>
      <c r="AN14" s="19">
        <f>IF(OR($Q$14=0,AND($AA$14=1,$O$14="Comum")),0,MIN(IF($O$14="Comum",3,IF($O$14="PJ",999,2)),IF($AF$14=1,$AD$14,0)+$AL$14))</f>
        <v/>
      </c>
      <c r="AO14" s="19">
        <f>IF($S$14=1,1+COUNTIFS($S$11:$S$26,1,$Z$11:$Z$26,"&gt;"&amp;$Z$14),"")</f>
        <v/>
      </c>
      <c r="AP14" s="19">
        <f>IF($S$14=1,$AO$14+$AN$14+IF($AN$14&gt;0,0.5,0)+4/1000,"")</f>
        <v/>
      </c>
      <c r="AQ14" s="19">
        <f>IF(ISNUMBER('Grupo'!$Q$19),MAX(1,'Grupo'!$Q$19),1)</f>
        <v/>
      </c>
      <c r="AR14" s="19">
        <f>IF(ISNUMBER($CF$18),MIN($AQ$14,MAX(0,INT($CF$18))),$AQ$14)</f>
        <v/>
      </c>
      <c r="AS14" s="19">
        <f>'Campanha'!$B$20</f>
        <v/>
      </c>
      <c r="AT14" s="19">
        <f>IF(AND($R$14=1,$AF$14=0,$AB$14=0),1,0)</f>
        <v/>
      </c>
      <c r="AU14" s="19">
        <f>IF($CG$105="Sim",1,0)</f>
        <v/>
      </c>
    </row>
    <row r="15" ht="26" customHeight="1">
      <c r="A15" s="32">
        <f>IF(LEN($N$11)&gt;0,$N$11,"PJ 1")</f>
        <v/>
      </c>
      <c r="B15" s="36" t="n"/>
      <c r="C15" s="15" t="n"/>
      <c r="D15" s="17">
        <f>IF($P$11=1,$U$11,"")</f>
        <v/>
      </c>
      <c r="E15" s="17">
        <f>IF($P$11=1,$AQ$11,"")</f>
        <v/>
      </c>
      <c r="F15" s="15" t="n"/>
      <c r="G15" s="15" t="n"/>
      <c r="H15" s="17">
        <f>IF($P$11=0,"",IF(IF(ISNUMBER($CG$15),INT($CG$15),0)&gt;=0,MAX(0,$AR$11-MAX(0,IF(ISNUMBER($CG$15),INT($CG$15),0)-IF(ISNUMBER($CI$24),MAX(0,$CI$24),0))),MIN($AQ$11,$AR$11-IF(ISNUMBER($CG$15),INT($CG$15),0))))</f>
        <v/>
      </c>
      <c r="I15" s="15" t="n"/>
      <c r="J15" s="17">
        <f>IF($P$11=0,"",IF(AND(ISNUMBER($CI$15),$CI$15&gt;=100),"Sim","Não"))</f>
        <v/>
      </c>
      <c r="K15" s="18">
        <f>IF(CK15&gt;0,"O Google leu como fórmula: escolha de novo ou digite com ' na frente.",IF($P$11=0,"",IF(AND(ISNUMBER($CF$15),$CF$15&gt;$AQ$11),"PV acima do máximo: usando o máximo",IF(AND(IF(ISNUMBER($CG$15),INT($CG$15),0)&lt;0,$AR$11-IF(ISNUMBER($CG$15),INT($CG$15),0)&gt;$AQ$11),"Cura acima do máximo: "&amp;($AR$11-IF(ISNUMBER($CG$15),INT($CG$15),0)-$AQ$11)&amp;" perdida (23.2)",IF(AND(ISNUMBER($CI$15),OR($CI$15&gt;100,$CI$15&lt;0)),"Energia de 0 a 100: o excedente é perdido (17)",IF(NOT(ISNUMBER('Grupo'!$U$16)),"VEL vazia na aba Grupo: usando 10",""))))))</f>
        <v/>
      </c>
      <c r="N15" s="19">
        <f>IF(LEN('Grupo'!$P$11)&gt;0,'Grupo'!$P$11,"")</f>
        <v/>
      </c>
      <c r="O15" s="19">
        <f>"PJ"</f>
        <v/>
      </c>
      <c r="P15" s="19">
        <f>IF(AND(LEN('Grupo'!$P$11)&gt;0,$CB$19&lt;&gt;"Não"),1,0)</f>
        <v/>
      </c>
      <c r="Q15" s="19">
        <f>IF(AND($P$15=1,NOT(AND(ISNUMBER($CE$28),$CE$28&gt;=3))),1,0)</f>
        <v/>
      </c>
      <c r="R15" s="19">
        <f>IF(AND($Q$15=1,NOT(AND($AA$15=1,$O$15="Comum"))),1,0)</f>
        <v/>
      </c>
      <c r="S15" s="19">
        <f>$Q$15</f>
        <v/>
      </c>
      <c r="T15" s="19">
        <f>IF(ISNUMBER('Grupo'!$U$20),'Grupo'!$U$20,10)</f>
        <v/>
      </c>
      <c r="U15" s="19">
        <f>MIN(40,MAX(0,$T$15+IF(ISNUMBER($CC$19),MIN(10,MAX(-10,INT($CC$19))),0)))</f>
        <v/>
      </c>
      <c r="V15" s="19">
        <f>MIN(30,MAX(15,IF(ISNUMBER('Grupo'!$V$20),'Grupo'!$V$20,0)+20))</f>
        <v/>
      </c>
      <c r="W15" s="19">
        <f>MIN(30,MAX(15,IF(ISNUMBER('Grupo'!$W$20),'Grupo'!$W$20,0)+20))</f>
        <v/>
      </c>
      <c r="X15" s="19">
        <f>5+(5-IF(ISNUMBER($CC$106),MIN(5,MAX(1,INT($CC$106))),5))</f>
        <v/>
      </c>
      <c r="Y15" s="19">
        <f>0.05</f>
        <v/>
      </c>
      <c r="Z15" s="19">
        <f>$U$15*100000+$V$15*1000+$W$15*10+$X$15+$Y$15</f>
        <v/>
      </c>
      <c r="AA15" s="19">
        <f>0</f>
        <v/>
      </c>
      <c r="AB15" s="19">
        <f>IF(AND($N$8=1,LEN($N$15)&gt;0),IF(COUNTIFS($CA$158:$CA$208,$N$15,$CB$158:$CB$208,"Surpreso")&gt;0,1,0),0)</f>
        <v/>
      </c>
      <c r="AC15" s="19">
        <f>IF(ISNUMBER($CD$106),MAX(0,INT($CD$106)),0)</f>
        <v/>
      </c>
      <c r="AD15" s="19">
        <f>IF(AND($AA$15=1,$O$15&lt;&gt;"Comum"),2,IF($O$15="Comum",MIN(3,$AC$15),IF(OR($O$15="Elite",$O$15="Boss"),IF($AC$15=0,0,MIN(2,MAX(1,INT($AC$15/2)))),$AC$15)))</f>
        <v/>
      </c>
      <c r="AE15" s="19">
        <f>IF(AND($AA$15=1,$O$15="Comum"),0,MIN(IF($O$15="Comum",3,IF($O$15="PJ",999,2)),IF(ISNUMBER($CE$106),MAX(0,INT($CE$106)),0)))</f>
        <v/>
      </c>
      <c r="AF15" s="19">
        <f>IF($CH$106="Sim",1,0)</f>
        <v/>
      </c>
      <c r="AG15" s="19">
        <f>IF($AF$15=1,0,IF(ISNUMBER($CF$106),MAX(0,INT($CF$106)),0))</f>
        <v/>
      </c>
      <c r="AH15" s="19">
        <f>IF(ISNUMBER($CI$106),$CI$106,"")</f>
        <v/>
      </c>
      <c r="AI15" s="19">
        <f>IF($R$15=1,1+COUNTIFS($R$11:$R$26,1,$Z$11:$Z$26,"&gt;"&amp;$Z$15),"")</f>
        <v/>
      </c>
      <c r="AJ15" s="19">
        <f>IF($R$15=1,$AI$15+($AE$15+IF($AF$15=1,0,$AD$15)),"")</f>
        <v/>
      </c>
      <c r="AK15" s="19">
        <f>IF($R$15=1,MIN($J$7,$AJ$15),"")</f>
        <v/>
      </c>
      <c r="AL15" s="19">
        <f>IF($R$15=1,$AJ$15-$AK$15,0)</f>
        <v/>
      </c>
      <c r="AM15" s="19">
        <f>IF($R$15=0,"",IF(ISNUMBER($AH$15),$AH$15-0.7+5/1000,$AK$15+IF(($AE$15+IF($AF$15=1,0,$AD$15))&gt;0,0.5,0)-$AG$15-IF($AG$15&gt;0,0.5,0)+5/1000))</f>
        <v/>
      </c>
      <c r="AN15" s="19">
        <f>IF(OR($Q$15=0,AND($AA$15=1,$O$15="Comum")),0,MIN(IF($O$15="Comum",3,IF($O$15="PJ",999,2)),IF($AF$15=1,$AD$15,0)+$AL$15))</f>
        <v/>
      </c>
      <c r="AO15" s="19">
        <f>IF($S$15=1,1+COUNTIFS($S$11:$S$26,1,$Z$11:$Z$26,"&gt;"&amp;$Z$15),"")</f>
        <v/>
      </c>
      <c r="AP15" s="19">
        <f>IF($S$15=1,$AO$15+$AN$15+IF($AN$15&gt;0,0.5,0)+5/1000,"")</f>
        <v/>
      </c>
      <c r="AQ15" s="19">
        <f>IF(ISNUMBER('Grupo'!$Q$20),MAX(1,'Grupo'!$Q$20),1)</f>
        <v/>
      </c>
      <c r="AR15" s="19">
        <f>IF(ISNUMBER($CF$19),MIN($AQ$15,MAX(0,INT($CF$19))),$AQ$15)</f>
        <v/>
      </c>
      <c r="AS15" s="19">
        <f>'Campanha'!$B$20</f>
        <v/>
      </c>
      <c r="AT15" s="19">
        <f>IF(AND($R$15=1,$AF$15=0,$AB$15=0),1,0)</f>
        <v/>
      </c>
      <c r="AU15" s="19">
        <f>IF($CG$106="Sim",1,0)</f>
        <v/>
      </c>
      <c r="CB15" s="19">
        <f>IF(ISERROR($B$15),"",IF(ISBLANK($B$15),"",$B$15))</f>
        <v/>
      </c>
      <c r="CC15" s="19">
        <f>IF(ISERROR($C$15),"",IF(ISBLANK($C$15),"",$C$15))</f>
        <v/>
      </c>
      <c r="CF15" s="19">
        <f>IF(ISERROR($F$15),"",IF(ISBLANK($F$15),"",$F$15))</f>
        <v/>
      </c>
      <c r="CG15" s="19">
        <f>IF(ISERROR($G$15),"",IF(ISBLANK($G$15),"",$G$15))</f>
        <v/>
      </c>
      <c r="CI15" s="19">
        <f>IF(ISERROR($I$15),"",IF(ISBLANK($I$15),"",$I$15))</f>
        <v/>
      </c>
      <c r="CK15" s="19">
        <f>ISERROR($B$15)*1+ISERROR($C$15)*1+ISERROR($F$15)*1+ISERROR($G$15)*1+ISERROR($I$15)*1</f>
        <v/>
      </c>
    </row>
    <row r="16" ht="26" customHeight="1">
      <c r="A16" s="33">
        <f>IF(LEN($N$12)&gt;0,$N$12,"PJ 2")</f>
        <v/>
      </c>
      <c r="B16" s="42" t="n"/>
      <c r="C16" s="34" t="n"/>
      <c r="D16" s="29">
        <f>IF($P$12=1,$U$12,"")</f>
        <v/>
      </c>
      <c r="E16" s="29">
        <f>IF($P$12=1,$AQ$12,"")</f>
        <v/>
      </c>
      <c r="F16" s="34" t="n"/>
      <c r="G16" s="34" t="n"/>
      <c r="H16" s="29">
        <f>IF($P$12=0,"",IF(IF(ISNUMBER($CG$16),INT($CG$16),0)&gt;=0,MAX(0,$AR$12-MAX(0,IF(ISNUMBER($CG$16),INT($CG$16),0)-IF(ISNUMBER($CI$25),MAX(0,$CI$25),0))),MIN($AQ$12,$AR$12-IF(ISNUMBER($CG$16),INT($CG$16),0))))</f>
        <v/>
      </c>
      <c r="I16" s="34" t="n"/>
      <c r="J16" s="29">
        <f>IF($P$12=0,"",IF(AND(ISNUMBER($CI$16),$CI$16&gt;=100),"Sim","Não"))</f>
        <v/>
      </c>
      <c r="K16" s="26">
        <f>IF(CK16&gt;0,"O Google leu como fórmula: escolha de novo ou digite com ' na frente.",IF($P$12=0,"",IF(AND(ISNUMBER($CF$16),$CF$16&gt;$AQ$12),"PV acima do máximo: usando o máximo",IF(AND(IF(ISNUMBER($CG$16),INT($CG$16),0)&lt;0,$AR$12-IF(ISNUMBER($CG$16),INT($CG$16),0)&gt;$AQ$12),"Cura acima do máximo: "&amp;($AR$12-IF(ISNUMBER($CG$16),INT($CG$16),0)-$AQ$12)&amp;" perdida (23.2)",IF(AND(ISNUMBER($CI$16),OR($CI$16&gt;100,$CI$16&lt;0)),"Energia de 0 a 100: o excedente é perdido (17)",IF(NOT(ISNUMBER('Grupo'!$U$17)),"VEL vazia na aba Grupo: usando 10",""))))))</f>
        <v/>
      </c>
      <c r="N16" s="19">
        <f>IF(LEN('Grupo'!$P$12)&gt;0,'Grupo'!$P$12,"")</f>
        <v/>
      </c>
      <c r="O16" s="19">
        <f>"PJ"</f>
        <v/>
      </c>
      <c r="P16" s="19">
        <f>IF(AND(LEN('Grupo'!$P$12)&gt;0,$CB$20&lt;&gt;"Não"),1,0)</f>
        <v/>
      </c>
      <c r="Q16" s="19">
        <f>IF(AND($P$16=1,NOT(AND(ISNUMBER($CE$29),$CE$29&gt;=3))),1,0)</f>
        <v/>
      </c>
      <c r="R16" s="19">
        <f>IF(AND($Q$16=1,NOT(AND($AA$16=1,$O$16="Comum"))),1,0)</f>
        <v/>
      </c>
      <c r="S16" s="19">
        <f>$Q$16</f>
        <v/>
      </c>
      <c r="T16" s="19">
        <f>IF(ISNUMBER('Grupo'!$U$21),'Grupo'!$U$21,10)</f>
        <v/>
      </c>
      <c r="U16" s="19">
        <f>MIN(40,MAX(0,$T$16+IF(ISNUMBER($CC$20),MIN(10,MAX(-10,INT($CC$20))),0)))</f>
        <v/>
      </c>
      <c r="V16" s="19">
        <f>MIN(30,MAX(15,IF(ISNUMBER('Grupo'!$V$21),'Grupo'!$V$21,0)+20))</f>
        <v/>
      </c>
      <c r="W16" s="19">
        <f>MIN(30,MAX(15,IF(ISNUMBER('Grupo'!$W$21),'Grupo'!$W$21,0)+20))</f>
        <v/>
      </c>
      <c r="X16" s="19">
        <f>5+(5-IF(ISNUMBER($CC$107),MIN(5,MAX(1,INT($CC$107))),5))</f>
        <v/>
      </c>
      <c r="Y16" s="19">
        <f>0.04</f>
        <v/>
      </c>
      <c r="Z16" s="19">
        <f>$U$16*100000+$V$16*1000+$W$16*10+$X$16+$Y$16</f>
        <v/>
      </c>
      <c r="AA16" s="19">
        <f>0</f>
        <v/>
      </c>
      <c r="AB16" s="19">
        <f>IF(AND($N$8=1,LEN($N$16)&gt;0),IF(COUNTIFS($CA$158:$CA$208,$N$16,$CB$158:$CB$208,"Surpreso")&gt;0,1,0),0)</f>
        <v/>
      </c>
      <c r="AC16" s="19">
        <f>IF(ISNUMBER($CD$107),MAX(0,INT($CD$107)),0)</f>
        <v/>
      </c>
      <c r="AD16" s="19">
        <f>IF(AND($AA$16=1,$O$16&lt;&gt;"Comum"),2,IF($O$16="Comum",MIN(3,$AC$16),IF(OR($O$16="Elite",$O$16="Boss"),IF($AC$16=0,0,MIN(2,MAX(1,INT($AC$16/2)))),$AC$16)))</f>
        <v/>
      </c>
      <c r="AE16" s="19">
        <f>IF(AND($AA$16=1,$O$16="Comum"),0,MIN(IF($O$16="Comum",3,IF($O$16="PJ",999,2)),IF(ISNUMBER($CE$107),MAX(0,INT($CE$107)),0)))</f>
        <v/>
      </c>
      <c r="AF16" s="19">
        <f>IF($CH$107="Sim",1,0)</f>
        <v/>
      </c>
      <c r="AG16" s="19">
        <f>IF($AF$16=1,0,IF(ISNUMBER($CF$107),MAX(0,INT($CF$107)),0))</f>
        <v/>
      </c>
      <c r="AH16" s="19">
        <f>IF(ISNUMBER($CI$107),$CI$107,"")</f>
        <v/>
      </c>
      <c r="AI16" s="19">
        <f>IF($R$16=1,1+COUNTIFS($R$11:$R$26,1,$Z$11:$Z$26,"&gt;"&amp;$Z$16),"")</f>
        <v/>
      </c>
      <c r="AJ16" s="19">
        <f>IF($R$16=1,$AI$16+($AE$16+IF($AF$16=1,0,$AD$16)),"")</f>
        <v/>
      </c>
      <c r="AK16" s="19">
        <f>IF($R$16=1,MIN($J$7,$AJ$16),"")</f>
        <v/>
      </c>
      <c r="AL16" s="19">
        <f>IF($R$16=1,$AJ$16-$AK$16,0)</f>
        <v/>
      </c>
      <c r="AM16" s="19">
        <f>IF($R$16=0,"",IF(ISNUMBER($AH$16),$AH$16-0.7+6/1000,$AK$16+IF(($AE$16+IF($AF$16=1,0,$AD$16))&gt;0,0.5,0)-$AG$16-IF($AG$16&gt;0,0.5,0)+6/1000))</f>
        <v/>
      </c>
      <c r="AN16" s="19">
        <f>IF(OR($Q$16=0,AND($AA$16=1,$O$16="Comum")),0,MIN(IF($O$16="Comum",3,IF($O$16="PJ",999,2)),IF($AF$16=1,$AD$16,0)+$AL$16))</f>
        <v/>
      </c>
      <c r="AO16" s="19">
        <f>IF($S$16=1,1+COUNTIFS($S$11:$S$26,1,$Z$11:$Z$26,"&gt;"&amp;$Z$16),"")</f>
        <v/>
      </c>
      <c r="AP16" s="19">
        <f>IF($S$16=1,$AO$16+$AN$16+IF($AN$16&gt;0,0.5,0)+6/1000,"")</f>
        <v/>
      </c>
      <c r="AQ16" s="19">
        <f>IF(ISNUMBER('Grupo'!$Q$21),MAX(1,'Grupo'!$Q$21),1)</f>
        <v/>
      </c>
      <c r="AR16" s="19">
        <f>IF(ISNUMBER($CF$20),MIN($AQ$16,MAX(0,INT($CF$20))),$AQ$16)</f>
        <v/>
      </c>
      <c r="AS16" s="19">
        <f>'Campanha'!$B$20</f>
        <v/>
      </c>
      <c r="AT16" s="19">
        <f>IF(AND($R$16=1,$AF$16=0,$AB$16=0),1,0)</f>
        <v/>
      </c>
      <c r="AU16" s="19">
        <f>IF($CG$107="Sim",1,0)</f>
        <v/>
      </c>
      <c r="CB16" s="19">
        <f>IF(ISERROR($B$16),"",IF(ISBLANK($B$16),"",$B$16))</f>
        <v/>
      </c>
      <c r="CC16" s="19">
        <f>IF(ISERROR($C$16),"",IF(ISBLANK($C$16),"",$C$16))</f>
        <v/>
      </c>
      <c r="CF16" s="19">
        <f>IF(ISERROR($F$16),"",IF(ISBLANK($F$16),"",$F$16))</f>
        <v/>
      </c>
      <c r="CG16" s="19">
        <f>IF(ISERROR($G$16),"",IF(ISBLANK($G$16),"",$G$16))</f>
        <v/>
      </c>
      <c r="CI16" s="19">
        <f>IF(ISERROR($I$16),"",IF(ISBLANK($I$16),"",$I$16))</f>
        <v/>
      </c>
      <c r="CK16" s="19">
        <f>ISERROR($B$16)*1+ISERROR($C$16)*1+ISERROR($F$16)*1+ISERROR($G$16)*1+ISERROR($I$16)*1</f>
        <v/>
      </c>
    </row>
    <row r="17" ht="26" customHeight="1">
      <c r="A17" s="32">
        <f>IF(LEN($N$13)&gt;0,$N$13,"PJ 3")</f>
        <v/>
      </c>
      <c r="B17" s="36" t="n"/>
      <c r="C17" s="15" t="n"/>
      <c r="D17" s="17">
        <f>IF($P$13=1,$U$13,"")</f>
        <v/>
      </c>
      <c r="E17" s="17">
        <f>IF($P$13=1,$AQ$13,"")</f>
        <v/>
      </c>
      <c r="F17" s="15" t="n"/>
      <c r="G17" s="15" t="n"/>
      <c r="H17" s="17">
        <f>IF($P$13=0,"",IF(IF(ISNUMBER($CG$17),INT($CG$17),0)&gt;=0,MAX(0,$AR$13-MAX(0,IF(ISNUMBER($CG$17),INT($CG$17),0)-IF(ISNUMBER($CI$26),MAX(0,$CI$26),0))),MIN($AQ$13,$AR$13-IF(ISNUMBER($CG$17),INT($CG$17),0))))</f>
        <v/>
      </c>
      <c r="I17" s="15" t="n"/>
      <c r="J17" s="17">
        <f>IF($P$13=0,"",IF(AND(ISNUMBER($CI$17),$CI$17&gt;=100),"Sim","Não"))</f>
        <v/>
      </c>
      <c r="K17" s="18">
        <f>IF(CK17&gt;0,"O Google leu como fórmula: escolha de novo ou digite com ' na frente.",IF($P$13=0,"",IF(AND(ISNUMBER($CF$17),$CF$17&gt;$AQ$13),"PV acima do máximo: usando o máximo",IF(AND(IF(ISNUMBER($CG$17),INT($CG$17),0)&lt;0,$AR$13-IF(ISNUMBER($CG$17),INT($CG$17),0)&gt;$AQ$13),"Cura acima do máximo: "&amp;($AR$13-IF(ISNUMBER($CG$17),INT($CG$17),0)-$AQ$13)&amp;" perdida (23.2)",IF(AND(ISNUMBER($CI$17),OR($CI$17&gt;100,$CI$17&lt;0)),"Energia de 0 a 100: o excedente é perdido (17)",IF(NOT(ISNUMBER('Grupo'!$U$18)),"VEL vazia na aba Grupo: usando 10",""))))))</f>
        <v/>
      </c>
      <c r="N17" s="19">
        <f>IF(LEN($BB$33)=0,"",$BB$33&amp;IF(COUNTIF($BB$33:$BB$42,$BB$33)&gt;1," "&amp;COUNTIF($BB$33:$BB$33,$BB$33),""))</f>
        <v/>
      </c>
      <c r="O17" s="19">
        <f>IF(ISNUMBER($BC$33),INDEX('Inimigos'!$O$11:$O$54,$BC$33)&amp;"","")</f>
        <v/>
      </c>
      <c r="P17" s="19">
        <f>IF(ISNUMBER($BC$33),1,0)</f>
        <v/>
      </c>
      <c r="Q17" s="19">
        <f>IF(AND($P$17=1,$AR$17&gt;0),1,0)</f>
        <v/>
      </c>
      <c r="R17" s="19">
        <f>IF(AND($Q$17=1,NOT(AND($AA$17=1,$O$17="Comum"))),1,0)</f>
        <v/>
      </c>
      <c r="S17" s="19">
        <f>$Q$17</f>
        <v/>
      </c>
      <c r="T17" s="19">
        <f>IF(ISNUMBER($BC$33),INDEX('Inimigos'!$U$11:$U$54,$BC$33),0)</f>
        <v/>
      </c>
      <c r="U17" s="19">
        <f>MIN(40,MAX(0,$T$17+IF(ISNUMBER($CB$46),MIN(10,MAX(-10,INT($CB$46))),0)))</f>
        <v/>
      </c>
      <c r="V17" s="19">
        <f>0</f>
        <v/>
      </c>
      <c r="W17" s="19">
        <f>0</f>
        <v/>
      </c>
      <c r="X17" s="19">
        <f>0</f>
        <v/>
      </c>
      <c r="Y17" s="19">
        <f>0.19</f>
        <v/>
      </c>
      <c r="Z17" s="19">
        <f>$U$17*100000+$V$17*1000+$W$17*10+$X$17+$Y$17</f>
        <v/>
      </c>
      <c r="AA17" s="19">
        <f>IF(LEN($N$17)=0,0,IF(COUNTIFS($CA$158:$CA$208,$N$17,$CB$158:$CB$208,"Congelado")-COUNTIFS($CA$158:$CA$208,$N$17,$CB$158:$CB$208,"Congelado",$CD$158:$CD$208,0)&gt;0,1,0))</f>
        <v/>
      </c>
      <c r="AB17" s="19">
        <f>IF(AND($N$8=1,LEN($N$17)&gt;0),IF(COUNTIFS($CA$158:$CA$208,$N$17,$CB$158:$CB$208,"Surpreso")&gt;0,1,0),0)</f>
        <v/>
      </c>
      <c r="AC17" s="19">
        <f>IF(ISNUMBER($CD$108),MAX(0,INT($CD$108)),0)</f>
        <v/>
      </c>
      <c r="AD17" s="19">
        <f>IF(AND($AA$17=1,$O$17&lt;&gt;"Comum"),2,IF($O$17="Comum",MIN(3,$AC$17),IF(OR($O$17="Elite",$O$17="Boss"),IF($AC$17=0,0,MIN(2,MAX(1,INT($AC$17/2)))),$AC$17)))</f>
        <v/>
      </c>
      <c r="AE17" s="19">
        <f>IF(AND($AA$17=1,$O$17="Comum"),0,MIN(IF($O$17="Comum",3,IF($O$17="PJ",999,2)),IF(ISNUMBER($CE$108),MAX(0,INT($CE$108)),0)))</f>
        <v/>
      </c>
      <c r="AF17" s="19">
        <f>IF($CH$108="Sim",1,0)</f>
        <v/>
      </c>
      <c r="AG17" s="19">
        <f>IF($AF$17=1,0,IF(ISNUMBER($CF$108),MAX(0,INT($CF$108)),0))</f>
        <v/>
      </c>
      <c r="AH17" s="19">
        <f>IF(ISNUMBER($CI$108),$CI$108,"")</f>
        <v/>
      </c>
      <c r="AI17" s="19">
        <f>IF($R$17=1,1+COUNTIFS($R$11:$R$26,1,$Z$11:$Z$26,"&gt;"&amp;$Z$17),"")</f>
        <v/>
      </c>
      <c r="AJ17" s="19">
        <f>IF($R$17=1,$AI$17+($AE$17+IF($AF$17=1,0,$AD$17)),"")</f>
        <v/>
      </c>
      <c r="AK17" s="19">
        <f>IF($R$17=1,MIN($J$7,$AJ$17),"")</f>
        <v/>
      </c>
      <c r="AL17" s="19">
        <f>IF($R$17=1,$AJ$17-$AK$17,0)</f>
        <v/>
      </c>
      <c r="AM17" s="19">
        <f>IF($R$17=0,"",IF(ISNUMBER($AH$17),$AH$17-0.7+7/1000,$AK$17+IF(($AE$17+IF($AF$17=1,0,$AD$17))&gt;0,0.5,0)-$AG$17-IF($AG$17&gt;0,0.5,0)+7/1000))</f>
        <v/>
      </c>
      <c r="AN17" s="19">
        <f>IF(OR($Q$17=0,AND($AA$17=1,$O$17="Comum")),0,MIN(IF($O$17="Comum",3,IF($O$17="PJ",999,2)),IF($AF$17=1,$AD$17,0)+$AL$17))</f>
        <v/>
      </c>
      <c r="AO17" s="19">
        <f>IF($S$17=1,1+COUNTIFS($S$11:$S$26,1,$Z$11:$Z$26,"&gt;"&amp;$Z$17),"")</f>
        <v/>
      </c>
      <c r="AP17" s="19">
        <f>IF($S$17=1,$AO$17+$AN$17+IF($AN$17&gt;0,0.5,0)+7/1000,"")</f>
        <v/>
      </c>
      <c r="AQ17" s="19">
        <f>IF(ISNUMBER($BC$33),INDEX('Inimigos'!$Q$11:$Q$54,$BC$33),1)</f>
        <v/>
      </c>
      <c r="AR17" s="19">
        <f>IF(ISNUMBER($CE$46),MIN($AQ$17,MAX(0,INT($CE$46))),$AQ$17)</f>
        <v/>
      </c>
      <c r="AS17" s="19">
        <f>IF(ISNUMBER($BC$33),INDEX('Inimigos'!$BE$11:$BE$54,$BC$33),0)</f>
        <v/>
      </c>
      <c r="AT17" s="19">
        <f>IF(AND($R$17=1,$AF$17=0,$AB$17=0),1,0)</f>
        <v/>
      </c>
      <c r="AU17" s="19">
        <f>IF($CG$108="Sim",1,0)</f>
        <v/>
      </c>
      <c r="CB17" s="19">
        <f>IF(ISERROR($B$17),"",IF(ISBLANK($B$17),"",$B$17))</f>
        <v/>
      </c>
      <c r="CC17" s="19">
        <f>IF(ISERROR($C$17),"",IF(ISBLANK($C$17),"",$C$17))</f>
        <v/>
      </c>
      <c r="CF17" s="19">
        <f>IF(ISERROR($F$17),"",IF(ISBLANK($F$17),"",$F$17))</f>
        <v/>
      </c>
      <c r="CG17" s="19">
        <f>IF(ISERROR($G$17),"",IF(ISBLANK($G$17),"",$G$17))</f>
        <v/>
      </c>
      <c r="CI17" s="19">
        <f>IF(ISERROR($I$17),"",IF(ISBLANK($I$17),"",$I$17))</f>
        <v/>
      </c>
      <c r="CK17" s="19">
        <f>ISERROR($B$17)*1+ISERROR($C$17)*1+ISERROR($F$17)*1+ISERROR($G$17)*1+ISERROR($I$17)*1</f>
        <v/>
      </c>
    </row>
    <row r="18" ht="26" customHeight="1">
      <c r="A18" s="33">
        <f>IF(LEN($N$14)&gt;0,$N$14,"PJ 4")</f>
        <v/>
      </c>
      <c r="B18" s="42" t="n"/>
      <c r="C18" s="34" t="n"/>
      <c r="D18" s="29">
        <f>IF($P$14=1,$U$14,"")</f>
        <v/>
      </c>
      <c r="E18" s="29">
        <f>IF($P$14=1,$AQ$14,"")</f>
        <v/>
      </c>
      <c r="F18" s="34" t="n"/>
      <c r="G18" s="34" t="n"/>
      <c r="H18" s="29">
        <f>IF($P$14=0,"",IF(IF(ISNUMBER($CG$18),INT($CG$18),0)&gt;=0,MAX(0,$AR$14-MAX(0,IF(ISNUMBER($CG$18),INT($CG$18),0)-IF(ISNUMBER($CI$27),MAX(0,$CI$27),0))),MIN($AQ$14,$AR$14-IF(ISNUMBER($CG$18),INT($CG$18),0))))</f>
        <v/>
      </c>
      <c r="I18" s="34" t="n"/>
      <c r="J18" s="29">
        <f>IF($P$14=0,"",IF(AND(ISNUMBER($CI$18),$CI$18&gt;=100),"Sim","Não"))</f>
        <v/>
      </c>
      <c r="K18" s="26">
        <f>IF(CK18&gt;0,"O Google leu como fórmula: escolha de novo ou digite com ' na frente.",IF($P$14=0,"",IF(AND(ISNUMBER($CF$18),$CF$18&gt;$AQ$14),"PV acima do máximo: usando o máximo",IF(AND(IF(ISNUMBER($CG$18),INT($CG$18),0)&lt;0,$AR$14-IF(ISNUMBER($CG$18),INT($CG$18),0)&gt;$AQ$14),"Cura acima do máximo: "&amp;($AR$14-IF(ISNUMBER($CG$18),INT($CG$18),0)-$AQ$14)&amp;" perdida (23.2)",IF(AND(ISNUMBER($CI$18),OR($CI$18&gt;100,$CI$18&lt;0)),"Energia de 0 a 100: o excedente é perdido (17)",IF(NOT(ISNUMBER('Grupo'!$U$19)),"VEL vazia na aba Grupo: usando 10",""))))))</f>
        <v/>
      </c>
      <c r="N18" s="19">
        <f>IF(LEN($BB$34)=0,"",$BB$34&amp;IF(COUNTIF($BB$33:$BB$42,$BB$34)&gt;1," "&amp;COUNTIF($BB$33:$BB$34,$BB$34),""))</f>
        <v/>
      </c>
      <c r="O18" s="19">
        <f>IF(ISNUMBER($BC$34),INDEX('Inimigos'!$O$11:$O$54,$BC$34)&amp;"","")</f>
        <v/>
      </c>
      <c r="P18" s="19">
        <f>IF(ISNUMBER($BC$34),1,0)</f>
        <v/>
      </c>
      <c r="Q18" s="19">
        <f>IF(AND($P$18=1,$AR$18&gt;0),1,0)</f>
        <v/>
      </c>
      <c r="R18" s="19">
        <f>IF(AND($Q$18=1,NOT(AND($AA$18=1,$O$18="Comum"))),1,0)</f>
        <v/>
      </c>
      <c r="S18" s="19">
        <f>$Q$18</f>
        <v/>
      </c>
      <c r="T18" s="19">
        <f>IF(ISNUMBER($BC$34),INDEX('Inimigos'!$U$11:$U$54,$BC$34),0)</f>
        <v/>
      </c>
      <c r="U18" s="19">
        <f>MIN(40,MAX(0,$T$18+IF(ISNUMBER($CB$47),MIN(10,MAX(-10,INT($CB$47))),0)))</f>
        <v/>
      </c>
      <c r="V18" s="19">
        <f>0</f>
        <v/>
      </c>
      <c r="W18" s="19">
        <f>0</f>
        <v/>
      </c>
      <c r="X18" s="19">
        <f>0</f>
        <v/>
      </c>
      <c r="Y18" s="19">
        <f>0.18</f>
        <v/>
      </c>
      <c r="Z18" s="19">
        <f>$U$18*100000+$V$18*1000+$W$18*10+$X$18+$Y$18</f>
        <v/>
      </c>
      <c r="AA18" s="19">
        <f>IF(LEN($N$18)=0,0,IF(COUNTIFS($CA$158:$CA$208,$N$18,$CB$158:$CB$208,"Congelado")-COUNTIFS($CA$158:$CA$208,$N$18,$CB$158:$CB$208,"Congelado",$CD$158:$CD$208,0)&gt;0,1,0))</f>
        <v/>
      </c>
      <c r="AB18" s="19">
        <f>IF(AND($N$8=1,LEN($N$18)&gt;0),IF(COUNTIFS($CA$158:$CA$208,$N$18,$CB$158:$CB$208,"Surpreso")&gt;0,1,0),0)</f>
        <v/>
      </c>
      <c r="AC18" s="19">
        <f>IF(ISNUMBER($CD$109),MAX(0,INT($CD$109)),0)</f>
        <v/>
      </c>
      <c r="AD18" s="19">
        <f>IF(AND($AA$18=1,$O$18&lt;&gt;"Comum"),2,IF($O$18="Comum",MIN(3,$AC$18),IF(OR($O$18="Elite",$O$18="Boss"),IF($AC$18=0,0,MIN(2,MAX(1,INT($AC$18/2)))),$AC$18)))</f>
        <v/>
      </c>
      <c r="AE18" s="19">
        <f>IF(AND($AA$18=1,$O$18="Comum"),0,MIN(IF($O$18="Comum",3,IF($O$18="PJ",999,2)),IF(ISNUMBER($CE$109),MAX(0,INT($CE$109)),0)))</f>
        <v/>
      </c>
      <c r="AF18" s="19">
        <f>IF($CH$109="Sim",1,0)</f>
        <v/>
      </c>
      <c r="AG18" s="19">
        <f>IF($AF$18=1,0,IF(ISNUMBER($CF$109),MAX(0,INT($CF$109)),0))</f>
        <v/>
      </c>
      <c r="AH18" s="19">
        <f>IF(ISNUMBER($CI$109),$CI$109,"")</f>
        <v/>
      </c>
      <c r="AI18" s="19">
        <f>IF($R$18=1,1+COUNTIFS($R$11:$R$26,1,$Z$11:$Z$26,"&gt;"&amp;$Z$18),"")</f>
        <v/>
      </c>
      <c r="AJ18" s="19">
        <f>IF($R$18=1,$AI$18+($AE$18+IF($AF$18=1,0,$AD$18)),"")</f>
        <v/>
      </c>
      <c r="AK18" s="19">
        <f>IF($R$18=1,MIN($J$7,$AJ$18),"")</f>
        <v/>
      </c>
      <c r="AL18" s="19">
        <f>IF($R$18=1,$AJ$18-$AK$18,0)</f>
        <v/>
      </c>
      <c r="AM18" s="19">
        <f>IF($R$18=0,"",IF(ISNUMBER($AH$18),$AH$18-0.7+8/1000,$AK$18+IF(($AE$18+IF($AF$18=1,0,$AD$18))&gt;0,0.5,0)-$AG$18-IF($AG$18&gt;0,0.5,0)+8/1000))</f>
        <v/>
      </c>
      <c r="AN18" s="19">
        <f>IF(OR($Q$18=0,AND($AA$18=1,$O$18="Comum")),0,MIN(IF($O$18="Comum",3,IF($O$18="PJ",999,2)),IF($AF$18=1,$AD$18,0)+$AL$18))</f>
        <v/>
      </c>
      <c r="AO18" s="19">
        <f>IF($S$18=1,1+COUNTIFS($S$11:$S$26,1,$Z$11:$Z$26,"&gt;"&amp;$Z$18),"")</f>
        <v/>
      </c>
      <c r="AP18" s="19">
        <f>IF($S$18=1,$AO$18+$AN$18+IF($AN$18&gt;0,0.5,0)+8/1000,"")</f>
        <v/>
      </c>
      <c r="AQ18" s="19">
        <f>IF(ISNUMBER($BC$34),INDEX('Inimigos'!$Q$11:$Q$54,$BC$34),1)</f>
        <v/>
      </c>
      <c r="AR18" s="19">
        <f>IF(ISNUMBER($CE$47),MIN($AQ$18,MAX(0,INT($CE$47))),$AQ$18)</f>
        <v/>
      </c>
      <c r="AS18" s="19">
        <f>IF(ISNUMBER($BC$34),INDEX('Inimigos'!$BE$11:$BE$54,$BC$34),0)</f>
        <v/>
      </c>
      <c r="AT18" s="19">
        <f>IF(AND($R$18=1,$AF$18=0,$AB$18=0),1,0)</f>
        <v/>
      </c>
      <c r="AU18" s="19">
        <f>IF($CG$109="Sim",1,0)</f>
        <v/>
      </c>
      <c r="CB18" s="19">
        <f>IF(ISERROR($B$18),"",IF(ISBLANK($B$18),"",$B$18))</f>
        <v/>
      </c>
      <c r="CC18" s="19">
        <f>IF(ISERROR($C$18),"",IF(ISBLANK($C$18),"",$C$18))</f>
        <v/>
      </c>
      <c r="CF18" s="19">
        <f>IF(ISERROR($F$18),"",IF(ISBLANK($F$18),"",$F$18))</f>
        <v/>
      </c>
      <c r="CG18" s="19">
        <f>IF(ISERROR($G$18),"",IF(ISBLANK($G$18),"",$G$18))</f>
        <v/>
      </c>
      <c r="CI18" s="19">
        <f>IF(ISERROR($I$18),"",IF(ISBLANK($I$18),"",$I$18))</f>
        <v/>
      </c>
      <c r="CK18" s="19">
        <f>ISERROR($B$18)*1+ISERROR($C$18)*1+ISERROR($F$18)*1+ISERROR($G$18)*1+ISERROR($I$18)*1</f>
        <v/>
      </c>
    </row>
    <row r="19" ht="26" customHeight="1">
      <c r="A19" s="32">
        <f>IF(LEN($N$15)&gt;0,$N$15,"PJ 5")</f>
        <v/>
      </c>
      <c r="B19" s="36" t="n"/>
      <c r="C19" s="15" t="n"/>
      <c r="D19" s="17">
        <f>IF($P$15=1,$U$15,"")</f>
        <v/>
      </c>
      <c r="E19" s="17">
        <f>IF($P$15=1,$AQ$15,"")</f>
        <v/>
      </c>
      <c r="F19" s="15" t="n"/>
      <c r="G19" s="15" t="n"/>
      <c r="H19" s="17">
        <f>IF($P$15=0,"",IF(IF(ISNUMBER($CG$19),INT($CG$19),0)&gt;=0,MAX(0,$AR$15-MAX(0,IF(ISNUMBER($CG$19),INT($CG$19),0)-IF(ISNUMBER($CI$28),MAX(0,$CI$28),0))),MIN($AQ$15,$AR$15-IF(ISNUMBER($CG$19),INT($CG$19),0))))</f>
        <v/>
      </c>
      <c r="I19" s="15" t="n"/>
      <c r="J19" s="17">
        <f>IF($P$15=0,"",IF(AND(ISNUMBER($CI$19),$CI$19&gt;=100),"Sim","Não"))</f>
        <v/>
      </c>
      <c r="K19" s="18">
        <f>IF(CK19&gt;0,"O Google leu como fórmula: escolha de novo ou digite com ' na frente.",IF($P$15=0,"",IF(AND(ISNUMBER($CF$19),$CF$19&gt;$AQ$15),"PV acima do máximo: usando o máximo",IF(AND(IF(ISNUMBER($CG$19),INT($CG$19),0)&lt;0,$AR$15-IF(ISNUMBER($CG$19),INT($CG$19),0)&gt;$AQ$15),"Cura acima do máximo: "&amp;($AR$15-IF(ISNUMBER($CG$19),INT($CG$19),0)-$AQ$15)&amp;" perdida (23.2)",IF(AND(ISNUMBER($CI$19),OR($CI$19&gt;100,$CI$19&lt;0)),"Energia de 0 a 100: o excedente é perdido (17)",IF(NOT(ISNUMBER('Grupo'!$U$20)),"VEL vazia na aba Grupo: usando 10",""))))))</f>
        <v/>
      </c>
      <c r="N19" s="19">
        <f>IF(LEN($BB$35)=0,"",$BB$35&amp;IF(COUNTIF($BB$33:$BB$42,$BB$35)&gt;1," "&amp;COUNTIF($BB$33:$BB$35,$BB$35),""))</f>
        <v/>
      </c>
      <c r="O19" s="19">
        <f>IF(ISNUMBER($BC$35),INDEX('Inimigos'!$O$11:$O$54,$BC$35)&amp;"","")</f>
        <v/>
      </c>
      <c r="P19" s="19">
        <f>IF(ISNUMBER($BC$35),1,0)</f>
        <v/>
      </c>
      <c r="Q19" s="19">
        <f>IF(AND($P$19=1,$AR$19&gt;0),1,0)</f>
        <v/>
      </c>
      <c r="R19" s="19">
        <f>IF(AND($Q$19=1,NOT(AND($AA$19=1,$O$19="Comum"))),1,0)</f>
        <v/>
      </c>
      <c r="S19" s="19">
        <f>$Q$19</f>
        <v/>
      </c>
      <c r="T19" s="19">
        <f>IF(ISNUMBER($BC$35),INDEX('Inimigos'!$U$11:$U$54,$BC$35),0)</f>
        <v/>
      </c>
      <c r="U19" s="19">
        <f>MIN(40,MAX(0,$T$19+IF(ISNUMBER($CB$48),MIN(10,MAX(-10,INT($CB$48))),0)))</f>
        <v/>
      </c>
      <c r="V19" s="19">
        <f>0</f>
        <v/>
      </c>
      <c r="W19" s="19">
        <f>0</f>
        <v/>
      </c>
      <c r="X19" s="19">
        <f>0</f>
        <v/>
      </c>
      <c r="Y19" s="19">
        <f>0.17</f>
        <v/>
      </c>
      <c r="Z19" s="19">
        <f>$U$19*100000+$V$19*1000+$W$19*10+$X$19+$Y$19</f>
        <v/>
      </c>
      <c r="AA19" s="19">
        <f>IF(LEN($N$19)=0,0,IF(COUNTIFS($CA$158:$CA$208,$N$19,$CB$158:$CB$208,"Congelado")-COUNTIFS($CA$158:$CA$208,$N$19,$CB$158:$CB$208,"Congelado",$CD$158:$CD$208,0)&gt;0,1,0))</f>
        <v/>
      </c>
      <c r="AB19" s="19">
        <f>IF(AND($N$8=1,LEN($N$19)&gt;0),IF(COUNTIFS($CA$158:$CA$208,$N$19,$CB$158:$CB$208,"Surpreso")&gt;0,1,0),0)</f>
        <v/>
      </c>
      <c r="AC19" s="19">
        <f>IF(ISNUMBER($CD$110),MAX(0,INT($CD$110)),0)</f>
        <v/>
      </c>
      <c r="AD19" s="19">
        <f>IF(AND($AA$19=1,$O$19&lt;&gt;"Comum"),2,IF($O$19="Comum",MIN(3,$AC$19),IF(OR($O$19="Elite",$O$19="Boss"),IF($AC$19=0,0,MIN(2,MAX(1,INT($AC$19/2)))),$AC$19)))</f>
        <v/>
      </c>
      <c r="AE19" s="19">
        <f>IF(AND($AA$19=1,$O$19="Comum"),0,MIN(IF($O$19="Comum",3,IF($O$19="PJ",999,2)),IF(ISNUMBER($CE$110),MAX(0,INT($CE$110)),0)))</f>
        <v/>
      </c>
      <c r="AF19" s="19">
        <f>IF($CH$110="Sim",1,0)</f>
        <v/>
      </c>
      <c r="AG19" s="19">
        <f>IF($AF$19=1,0,IF(ISNUMBER($CF$110),MAX(0,INT($CF$110)),0))</f>
        <v/>
      </c>
      <c r="AH19" s="19">
        <f>IF(ISNUMBER($CI$110),$CI$110,"")</f>
        <v/>
      </c>
      <c r="AI19" s="19">
        <f>IF($R$19=1,1+COUNTIFS($R$11:$R$26,1,$Z$11:$Z$26,"&gt;"&amp;$Z$19),"")</f>
        <v/>
      </c>
      <c r="AJ19" s="19">
        <f>IF($R$19=1,$AI$19+($AE$19+IF($AF$19=1,0,$AD$19)),"")</f>
        <v/>
      </c>
      <c r="AK19" s="19">
        <f>IF($R$19=1,MIN($J$7,$AJ$19),"")</f>
        <v/>
      </c>
      <c r="AL19" s="19">
        <f>IF($R$19=1,$AJ$19-$AK$19,0)</f>
        <v/>
      </c>
      <c r="AM19" s="19">
        <f>IF($R$19=0,"",IF(ISNUMBER($AH$19),$AH$19-0.7+9/1000,$AK$19+IF(($AE$19+IF($AF$19=1,0,$AD$19))&gt;0,0.5,0)-$AG$19-IF($AG$19&gt;0,0.5,0)+9/1000))</f>
        <v/>
      </c>
      <c r="AN19" s="19">
        <f>IF(OR($Q$19=0,AND($AA$19=1,$O$19="Comum")),0,MIN(IF($O$19="Comum",3,IF($O$19="PJ",999,2)),IF($AF$19=1,$AD$19,0)+$AL$19))</f>
        <v/>
      </c>
      <c r="AO19" s="19">
        <f>IF($S$19=1,1+COUNTIFS($S$11:$S$26,1,$Z$11:$Z$26,"&gt;"&amp;$Z$19),"")</f>
        <v/>
      </c>
      <c r="AP19" s="19">
        <f>IF($S$19=1,$AO$19+$AN$19+IF($AN$19&gt;0,0.5,0)+9/1000,"")</f>
        <v/>
      </c>
      <c r="AQ19" s="19">
        <f>IF(ISNUMBER($BC$35),INDEX('Inimigos'!$Q$11:$Q$54,$BC$35),1)</f>
        <v/>
      </c>
      <c r="AR19" s="19">
        <f>IF(ISNUMBER($CE$48),MIN($AQ$19,MAX(0,INT($CE$48))),$AQ$19)</f>
        <v/>
      </c>
      <c r="AS19" s="19">
        <f>IF(ISNUMBER($BC$35),INDEX('Inimigos'!$BE$11:$BE$54,$BC$35),0)</f>
        <v/>
      </c>
      <c r="AT19" s="19">
        <f>IF(AND($R$19=1,$AF$19=0,$AB$19=0),1,0)</f>
        <v/>
      </c>
      <c r="AU19" s="19">
        <f>IF($CG$110="Sim",1,0)</f>
        <v/>
      </c>
      <c r="CB19" s="19">
        <f>IF(ISERROR($B$19),"",IF(ISBLANK($B$19),"",$B$19))</f>
        <v/>
      </c>
      <c r="CC19" s="19">
        <f>IF(ISERROR($C$19),"",IF(ISBLANK($C$19),"",$C$19))</f>
        <v/>
      </c>
      <c r="CF19" s="19">
        <f>IF(ISERROR($F$19),"",IF(ISBLANK($F$19),"",$F$19))</f>
        <v/>
      </c>
      <c r="CG19" s="19">
        <f>IF(ISERROR($G$19),"",IF(ISBLANK($G$19),"",$G$19))</f>
        <v/>
      </c>
      <c r="CI19" s="19">
        <f>IF(ISERROR($I$19),"",IF(ISBLANK($I$19),"",$I$19))</f>
        <v/>
      </c>
      <c r="CK19" s="19">
        <f>ISERROR($B$19)*1+ISERROR($C$19)*1+ISERROR($F$19)*1+ISERROR($G$19)*1+ISERROR($I$19)*1</f>
        <v/>
      </c>
    </row>
    <row r="20" ht="26" customHeight="1">
      <c r="A20" s="33">
        <f>IF(LEN($N$16)&gt;0,$N$16,"PJ 6")</f>
        <v/>
      </c>
      <c r="B20" s="42" t="n"/>
      <c r="C20" s="34" t="n"/>
      <c r="D20" s="29">
        <f>IF($P$16=1,$U$16,"")</f>
        <v/>
      </c>
      <c r="E20" s="29">
        <f>IF($P$16=1,$AQ$16,"")</f>
        <v/>
      </c>
      <c r="F20" s="34" t="n"/>
      <c r="G20" s="34" t="n"/>
      <c r="H20" s="29">
        <f>IF($P$16=0,"",IF(IF(ISNUMBER($CG$20),INT($CG$20),0)&gt;=0,MAX(0,$AR$16-MAX(0,IF(ISNUMBER($CG$20),INT($CG$20),0)-IF(ISNUMBER($CI$29),MAX(0,$CI$29),0))),MIN($AQ$16,$AR$16-IF(ISNUMBER($CG$20),INT($CG$20),0))))</f>
        <v/>
      </c>
      <c r="I20" s="34" t="n"/>
      <c r="J20" s="29">
        <f>IF($P$16=0,"",IF(AND(ISNUMBER($CI$20),$CI$20&gt;=100),"Sim","Não"))</f>
        <v/>
      </c>
      <c r="K20" s="26">
        <f>IF(CK20&gt;0,"O Google leu como fórmula: escolha de novo ou digite com ' na frente.",IF($P$16=0,"",IF(AND(ISNUMBER($CF$20),$CF$20&gt;$AQ$16),"PV acima do máximo: usando o máximo",IF(AND(IF(ISNUMBER($CG$20),INT($CG$20),0)&lt;0,$AR$16-IF(ISNUMBER($CG$20),INT($CG$20),0)&gt;$AQ$16),"Cura acima do máximo: "&amp;($AR$16-IF(ISNUMBER($CG$20),INT($CG$20),0)-$AQ$16)&amp;" perdida (23.2)",IF(AND(ISNUMBER($CI$20),OR($CI$20&gt;100,$CI$20&lt;0)),"Energia de 0 a 100: o excedente é perdido (17)",IF(NOT(ISNUMBER('Grupo'!$U$21)),"VEL vazia na aba Grupo: usando 10",""))))))</f>
        <v/>
      </c>
      <c r="N20" s="19">
        <f>IF(LEN($BB$36)=0,"",$BB$36&amp;IF(COUNTIF($BB$33:$BB$42,$BB$36)&gt;1," "&amp;COUNTIF($BB$33:$BB$36,$BB$36),""))</f>
        <v/>
      </c>
      <c r="O20" s="19">
        <f>IF(ISNUMBER($BC$36),INDEX('Inimigos'!$O$11:$O$54,$BC$36)&amp;"","")</f>
        <v/>
      </c>
      <c r="P20" s="19">
        <f>IF(ISNUMBER($BC$36),1,0)</f>
        <v/>
      </c>
      <c r="Q20" s="19">
        <f>IF(AND($P$20=1,$AR$20&gt;0),1,0)</f>
        <v/>
      </c>
      <c r="R20" s="19">
        <f>IF(AND($Q$20=1,NOT(AND($AA$20=1,$O$20="Comum"))),1,0)</f>
        <v/>
      </c>
      <c r="S20" s="19">
        <f>$Q$20</f>
        <v/>
      </c>
      <c r="T20" s="19">
        <f>IF(ISNUMBER($BC$36),INDEX('Inimigos'!$U$11:$U$54,$BC$36),0)</f>
        <v/>
      </c>
      <c r="U20" s="19">
        <f>MIN(40,MAX(0,$T$20+IF(ISNUMBER($CB$49),MIN(10,MAX(-10,INT($CB$49))),0)))</f>
        <v/>
      </c>
      <c r="V20" s="19">
        <f>0</f>
        <v/>
      </c>
      <c r="W20" s="19">
        <f>0</f>
        <v/>
      </c>
      <c r="X20" s="19">
        <f>0</f>
        <v/>
      </c>
      <c r="Y20" s="19">
        <f>0.16</f>
        <v/>
      </c>
      <c r="Z20" s="19">
        <f>$U$20*100000+$V$20*1000+$W$20*10+$X$20+$Y$20</f>
        <v/>
      </c>
      <c r="AA20" s="19">
        <f>IF(LEN($N$20)=0,0,IF(COUNTIFS($CA$158:$CA$208,$N$20,$CB$158:$CB$208,"Congelado")-COUNTIFS($CA$158:$CA$208,$N$20,$CB$158:$CB$208,"Congelado",$CD$158:$CD$208,0)&gt;0,1,0))</f>
        <v/>
      </c>
      <c r="AB20" s="19">
        <f>IF(AND($N$8=1,LEN($N$20)&gt;0),IF(COUNTIFS($CA$158:$CA$208,$N$20,$CB$158:$CB$208,"Surpreso")&gt;0,1,0),0)</f>
        <v/>
      </c>
      <c r="AC20" s="19">
        <f>IF(ISNUMBER($CD$111),MAX(0,INT($CD$111)),0)</f>
        <v/>
      </c>
      <c r="AD20" s="19">
        <f>IF(AND($AA$20=1,$O$20&lt;&gt;"Comum"),2,IF($O$20="Comum",MIN(3,$AC$20),IF(OR($O$20="Elite",$O$20="Boss"),IF($AC$20=0,0,MIN(2,MAX(1,INT($AC$20/2)))),$AC$20)))</f>
        <v/>
      </c>
      <c r="AE20" s="19">
        <f>IF(AND($AA$20=1,$O$20="Comum"),0,MIN(IF($O$20="Comum",3,IF($O$20="PJ",999,2)),IF(ISNUMBER($CE$111),MAX(0,INT($CE$111)),0)))</f>
        <v/>
      </c>
      <c r="AF20" s="19">
        <f>IF($CH$111="Sim",1,0)</f>
        <v/>
      </c>
      <c r="AG20" s="19">
        <f>IF($AF$20=1,0,IF(ISNUMBER($CF$111),MAX(0,INT($CF$111)),0))</f>
        <v/>
      </c>
      <c r="AH20" s="19">
        <f>IF(ISNUMBER($CI$111),$CI$111,"")</f>
        <v/>
      </c>
      <c r="AI20" s="19">
        <f>IF($R$20=1,1+COUNTIFS($R$11:$R$26,1,$Z$11:$Z$26,"&gt;"&amp;$Z$20),"")</f>
        <v/>
      </c>
      <c r="AJ20" s="19">
        <f>IF($R$20=1,$AI$20+($AE$20+IF($AF$20=1,0,$AD$20)),"")</f>
        <v/>
      </c>
      <c r="AK20" s="19">
        <f>IF($R$20=1,MIN($J$7,$AJ$20),"")</f>
        <v/>
      </c>
      <c r="AL20" s="19">
        <f>IF($R$20=1,$AJ$20-$AK$20,0)</f>
        <v/>
      </c>
      <c r="AM20" s="19">
        <f>IF($R$20=0,"",IF(ISNUMBER($AH$20),$AH$20-0.7+10/1000,$AK$20+IF(($AE$20+IF($AF$20=1,0,$AD$20))&gt;0,0.5,0)-$AG$20-IF($AG$20&gt;0,0.5,0)+10/1000))</f>
        <v/>
      </c>
      <c r="AN20" s="19">
        <f>IF(OR($Q$20=0,AND($AA$20=1,$O$20="Comum")),0,MIN(IF($O$20="Comum",3,IF($O$20="PJ",999,2)),IF($AF$20=1,$AD$20,0)+$AL$20))</f>
        <v/>
      </c>
      <c r="AO20" s="19">
        <f>IF($S$20=1,1+COUNTIFS($S$11:$S$26,1,$Z$11:$Z$26,"&gt;"&amp;$Z$20),"")</f>
        <v/>
      </c>
      <c r="AP20" s="19">
        <f>IF($S$20=1,$AO$20+$AN$20+IF($AN$20&gt;0,0.5,0)+10/1000,"")</f>
        <v/>
      </c>
      <c r="AQ20" s="19">
        <f>IF(ISNUMBER($BC$36),INDEX('Inimigos'!$Q$11:$Q$54,$BC$36),1)</f>
        <v/>
      </c>
      <c r="AR20" s="19">
        <f>IF(ISNUMBER($CE$49),MIN($AQ$20,MAX(0,INT($CE$49))),$AQ$20)</f>
        <v/>
      </c>
      <c r="AS20" s="19">
        <f>IF(ISNUMBER($BC$36),INDEX('Inimigos'!$BE$11:$BE$54,$BC$36),0)</f>
        <v/>
      </c>
      <c r="AT20" s="19">
        <f>IF(AND($R$20=1,$AF$20=0,$AB$20=0),1,0)</f>
        <v/>
      </c>
      <c r="AU20" s="19">
        <f>IF($CG$111="Sim",1,0)</f>
        <v/>
      </c>
      <c r="CB20" s="19">
        <f>IF(ISERROR($B$20),"",IF(ISBLANK($B$20),"",$B$20))</f>
        <v/>
      </c>
      <c r="CC20" s="19">
        <f>IF(ISERROR($C$20),"",IF(ISBLANK($C$20),"",$C$20))</f>
        <v/>
      </c>
      <c r="CF20" s="19">
        <f>IF(ISERROR($F$20),"",IF(ISBLANK($F$20),"",$F$20))</f>
        <v/>
      </c>
      <c r="CG20" s="19">
        <f>IF(ISERROR($G$20),"",IF(ISBLANK($G$20),"",$G$20))</f>
        <v/>
      </c>
      <c r="CI20" s="19">
        <f>IF(ISERROR($I$20),"",IF(ISBLANK($I$20),"",$I$20))</f>
        <v/>
      </c>
      <c r="CK20" s="19">
        <f>ISERROR($B$20)*1+ISERROR($C$20)*1+ISERROR($F$20)*1+ISERROR($G$20)*1+ISERROR($I$20)*1</f>
        <v/>
      </c>
    </row>
    <row r="21">
      <c r="N21" s="19">
        <f>IF(LEN($BB$37)=0,"",$BB$37&amp;IF(COUNTIF($BB$33:$BB$42,$BB$37)&gt;1," "&amp;COUNTIF($BB$33:$BB$37,$BB$37),""))</f>
        <v/>
      </c>
      <c r="O21" s="19">
        <f>IF(ISNUMBER($BC$37),INDEX('Inimigos'!$O$11:$O$54,$BC$37)&amp;"","")</f>
        <v/>
      </c>
      <c r="P21" s="19">
        <f>IF(ISNUMBER($BC$37),1,0)</f>
        <v/>
      </c>
      <c r="Q21" s="19">
        <f>IF(AND($P$21=1,$AR$21&gt;0),1,0)</f>
        <v/>
      </c>
      <c r="R21" s="19">
        <f>IF(AND($Q$21=1,NOT(AND($AA$21=1,$O$21="Comum"))),1,0)</f>
        <v/>
      </c>
      <c r="S21" s="19">
        <f>$Q$21</f>
        <v/>
      </c>
      <c r="T21" s="19">
        <f>IF(ISNUMBER($BC$37),INDEX('Inimigos'!$U$11:$U$54,$BC$37),0)</f>
        <v/>
      </c>
      <c r="U21" s="19">
        <f>MIN(40,MAX(0,$T$21+IF(ISNUMBER($CB$50),MIN(10,MAX(-10,INT($CB$50))),0)))</f>
        <v/>
      </c>
      <c r="V21" s="19">
        <f>0</f>
        <v/>
      </c>
      <c r="W21" s="19">
        <f>0</f>
        <v/>
      </c>
      <c r="X21" s="19">
        <f>0</f>
        <v/>
      </c>
      <c r="Y21" s="19">
        <f>0.15</f>
        <v/>
      </c>
      <c r="Z21" s="19">
        <f>$U$21*100000+$V$21*1000+$W$21*10+$X$21+$Y$21</f>
        <v/>
      </c>
      <c r="AA21" s="19">
        <f>IF(LEN($N$21)=0,0,IF(COUNTIFS($CA$158:$CA$208,$N$21,$CB$158:$CB$208,"Congelado")-COUNTIFS($CA$158:$CA$208,$N$21,$CB$158:$CB$208,"Congelado",$CD$158:$CD$208,0)&gt;0,1,0))</f>
        <v/>
      </c>
      <c r="AB21" s="19">
        <f>IF(AND($N$8=1,LEN($N$21)&gt;0),IF(COUNTIFS($CA$158:$CA$208,$N$21,$CB$158:$CB$208,"Surpreso")&gt;0,1,0),0)</f>
        <v/>
      </c>
      <c r="AC21" s="19">
        <f>IF(ISNUMBER($CD$113),MAX(0,INT($CD$113)),0)</f>
        <v/>
      </c>
      <c r="AD21" s="19">
        <f>IF(AND($AA$21=1,$O$21&lt;&gt;"Comum"),2,IF($O$21="Comum",MIN(3,$AC$21),IF(OR($O$21="Elite",$O$21="Boss"),IF($AC$21=0,0,MIN(2,MAX(1,INT($AC$21/2)))),$AC$21)))</f>
        <v/>
      </c>
      <c r="AE21" s="19">
        <f>IF(AND($AA$21=1,$O$21="Comum"),0,MIN(IF($O$21="Comum",3,IF($O$21="PJ",999,2)),IF(ISNUMBER($CE$113),MAX(0,INT($CE$113)),0)))</f>
        <v/>
      </c>
      <c r="AF21" s="19">
        <f>IF($CH$113="Sim",1,0)</f>
        <v/>
      </c>
      <c r="AG21" s="19">
        <f>IF($AF$21=1,0,IF(ISNUMBER($CF$113),MAX(0,INT($CF$113)),0))</f>
        <v/>
      </c>
      <c r="AH21" s="19">
        <f>IF(ISNUMBER($CI$113),$CI$113,"")</f>
        <v/>
      </c>
      <c r="AI21" s="19">
        <f>IF($R$21=1,1+COUNTIFS($R$11:$R$26,1,$Z$11:$Z$26,"&gt;"&amp;$Z$21),"")</f>
        <v/>
      </c>
      <c r="AJ21" s="19">
        <f>IF($R$21=1,$AI$21+($AE$21+IF($AF$21=1,0,$AD$21)),"")</f>
        <v/>
      </c>
      <c r="AK21" s="19">
        <f>IF($R$21=1,MIN($J$7,$AJ$21),"")</f>
        <v/>
      </c>
      <c r="AL21" s="19">
        <f>IF($R$21=1,$AJ$21-$AK$21,0)</f>
        <v/>
      </c>
      <c r="AM21" s="19">
        <f>IF($R$21=0,"",IF(ISNUMBER($AH$21),$AH$21-0.7+11/1000,$AK$21+IF(($AE$21+IF($AF$21=1,0,$AD$21))&gt;0,0.5,0)-$AG$21-IF($AG$21&gt;0,0.5,0)+11/1000))</f>
        <v/>
      </c>
      <c r="AN21" s="19">
        <f>IF(OR($Q$21=0,AND($AA$21=1,$O$21="Comum")),0,MIN(IF($O$21="Comum",3,IF($O$21="PJ",999,2)),IF($AF$21=1,$AD$21,0)+$AL$21))</f>
        <v/>
      </c>
      <c r="AO21" s="19">
        <f>IF($S$21=1,1+COUNTIFS($S$11:$S$26,1,$Z$11:$Z$26,"&gt;"&amp;$Z$21),"")</f>
        <v/>
      </c>
      <c r="AP21" s="19">
        <f>IF($S$21=1,$AO$21+$AN$21+IF($AN$21&gt;0,0.5,0)+11/1000,"")</f>
        <v/>
      </c>
      <c r="AQ21" s="19">
        <f>IF(ISNUMBER($BC$37),INDEX('Inimigos'!$Q$11:$Q$54,$BC$37),1)</f>
        <v/>
      </c>
      <c r="AR21" s="19">
        <f>IF(ISNUMBER($CE$50),MIN($AQ$21,MAX(0,INT($CE$50))),$AQ$21)</f>
        <v/>
      </c>
      <c r="AS21" s="19">
        <f>IF(ISNUMBER($BC$37),INDEX('Inimigos'!$BE$11:$BE$54,$BC$37),0)</f>
        <v/>
      </c>
      <c r="AT21" s="19">
        <f>IF(AND($R$21=1,$AF$21=0,$AB$21=0),1,0)</f>
        <v/>
      </c>
      <c r="AU21" s="19">
        <f>IF($CG$113="Sim",1,0)</f>
        <v/>
      </c>
    </row>
    <row r="22" ht="20" customHeight="1">
      <c r="A22" s="12" t="inlineStr">
        <is>
          <t>C2 · PJs — Morrendo e recursos (23.4, 23.5)</t>
        </is>
      </c>
      <c r="N22" s="19">
        <f>IF(LEN($BB$38)=0,"",$BB$38&amp;IF(COUNTIF($BB$33:$BB$42,$BB$38)&gt;1," "&amp;COUNTIF($BB$33:$BB$38,$BB$38),""))</f>
        <v/>
      </c>
      <c r="O22" s="19">
        <f>IF(ISNUMBER($BC$38),INDEX('Inimigos'!$O$11:$O$54,$BC$38)&amp;"","")</f>
        <v/>
      </c>
      <c r="P22" s="19">
        <f>IF(ISNUMBER($BC$38),1,0)</f>
        <v/>
      </c>
      <c r="Q22" s="19">
        <f>IF(AND($P$22=1,$AR$22&gt;0),1,0)</f>
        <v/>
      </c>
      <c r="R22" s="19">
        <f>IF(AND($Q$22=1,NOT(AND($AA$22=1,$O$22="Comum"))),1,0)</f>
        <v/>
      </c>
      <c r="S22" s="19">
        <f>$Q$22</f>
        <v/>
      </c>
      <c r="T22" s="19">
        <f>IF(ISNUMBER($BC$38),INDEX('Inimigos'!$U$11:$U$54,$BC$38),0)</f>
        <v/>
      </c>
      <c r="U22" s="19">
        <f>MIN(40,MAX(0,$T$22+IF(ISNUMBER($CB$51),MIN(10,MAX(-10,INT($CB$51))),0)))</f>
        <v/>
      </c>
      <c r="V22" s="19">
        <f>0</f>
        <v/>
      </c>
      <c r="W22" s="19">
        <f>0</f>
        <v/>
      </c>
      <c r="X22" s="19">
        <f>0</f>
        <v/>
      </c>
      <c r="Y22" s="19">
        <f>0.14</f>
        <v/>
      </c>
      <c r="Z22" s="19">
        <f>$U$22*100000+$V$22*1000+$W$22*10+$X$22+$Y$22</f>
        <v/>
      </c>
      <c r="AA22" s="19">
        <f>IF(LEN($N$22)=0,0,IF(COUNTIFS($CA$158:$CA$208,$N$22,$CB$158:$CB$208,"Congelado")-COUNTIFS($CA$158:$CA$208,$N$22,$CB$158:$CB$208,"Congelado",$CD$158:$CD$208,0)&gt;0,1,0))</f>
        <v/>
      </c>
      <c r="AB22" s="19">
        <f>IF(AND($N$8=1,LEN($N$22)&gt;0),IF(COUNTIFS($CA$158:$CA$208,$N$22,$CB$158:$CB$208,"Surpreso")&gt;0,1,0),0)</f>
        <v/>
      </c>
      <c r="AC22" s="19">
        <f>IF(ISNUMBER($CD$114),MAX(0,INT($CD$114)),0)</f>
        <v/>
      </c>
      <c r="AD22" s="19">
        <f>IF(AND($AA$22=1,$O$22&lt;&gt;"Comum"),2,IF($O$22="Comum",MIN(3,$AC$22),IF(OR($O$22="Elite",$O$22="Boss"),IF($AC$22=0,0,MIN(2,MAX(1,INT($AC$22/2)))),$AC$22)))</f>
        <v/>
      </c>
      <c r="AE22" s="19">
        <f>IF(AND($AA$22=1,$O$22="Comum"),0,MIN(IF($O$22="Comum",3,IF($O$22="PJ",999,2)),IF(ISNUMBER($CE$114),MAX(0,INT($CE$114)),0)))</f>
        <v/>
      </c>
      <c r="AF22" s="19">
        <f>IF($CH$114="Sim",1,0)</f>
        <v/>
      </c>
      <c r="AG22" s="19">
        <f>IF($AF$22=1,0,IF(ISNUMBER($CF$114),MAX(0,INT($CF$114)),0))</f>
        <v/>
      </c>
      <c r="AH22" s="19">
        <f>IF(ISNUMBER($CI$114),$CI$114,"")</f>
        <v/>
      </c>
      <c r="AI22" s="19">
        <f>IF($R$22=1,1+COUNTIFS($R$11:$R$26,1,$Z$11:$Z$26,"&gt;"&amp;$Z$22),"")</f>
        <v/>
      </c>
      <c r="AJ22" s="19">
        <f>IF($R$22=1,$AI$22+($AE$22+IF($AF$22=1,0,$AD$22)),"")</f>
        <v/>
      </c>
      <c r="AK22" s="19">
        <f>IF($R$22=1,MIN($J$7,$AJ$22),"")</f>
        <v/>
      </c>
      <c r="AL22" s="19">
        <f>IF($R$22=1,$AJ$22-$AK$22,0)</f>
        <v/>
      </c>
      <c r="AM22" s="19">
        <f>IF($R$22=0,"",IF(ISNUMBER($AH$22),$AH$22-0.7+12/1000,$AK$22+IF(($AE$22+IF($AF$22=1,0,$AD$22))&gt;0,0.5,0)-$AG$22-IF($AG$22&gt;0,0.5,0)+12/1000))</f>
        <v/>
      </c>
      <c r="AN22" s="19">
        <f>IF(OR($Q$22=0,AND($AA$22=1,$O$22="Comum")),0,MIN(IF($O$22="Comum",3,IF($O$22="PJ",999,2)),IF($AF$22=1,$AD$22,0)+$AL$22))</f>
        <v/>
      </c>
      <c r="AO22" s="19">
        <f>IF($S$22=1,1+COUNTIFS($S$11:$S$26,1,$Z$11:$Z$26,"&gt;"&amp;$Z$22),"")</f>
        <v/>
      </c>
      <c r="AP22" s="19">
        <f>IF($S$22=1,$AO$22+$AN$22+IF($AN$22&gt;0,0.5,0)+12/1000,"")</f>
        <v/>
      </c>
      <c r="AQ22" s="19">
        <f>IF(ISNUMBER($BC$38),INDEX('Inimigos'!$Q$11:$Q$54,$BC$38),1)</f>
        <v/>
      </c>
      <c r="AR22" s="19">
        <f>IF(ISNUMBER($CE$51),MIN($AQ$22,MAX(0,INT($CE$51))),$AQ$22)</f>
        <v/>
      </c>
      <c r="AS22" s="19">
        <f>IF(ISNUMBER($BC$38),INDEX('Inimigos'!$BE$11:$BE$54,$BC$38),0)</f>
        <v/>
      </c>
      <c r="AT22" s="19">
        <f>IF(AND($R$22=1,$AF$22=0,$AB$22=0),1,0)</f>
        <v/>
      </c>
      <c r="AU22" s="19">
        <f>IF($CG$114="Sim",1,0)</f>
        <v/>
      </c>
    </row>
    <row r="23" ht="37" customHeight="1">
      <c r="A23" s="7" t="inlineStr">
        <is>
          <t>PJ</t>
        </is>
      </c>
      <c r="B23" s="7" t="inlineStr">
        <is>
          <t>Ultimate usada neste Ciclo</t>
        </is>
      </c>
      <c r="C23" s="7" t="inlineStr">
        <is>
          <t>Esforço disponível</t>
        </is>
      </c>
      <c r="D23" s="7" t="inlineStr">
        <is>
          <t>Sucessos</t>
        </is>
      </c>
      <c r="E23" s="7" t="inlineStr">
        <is>
          <t>Falhas</t>
        </is>
      </c>
      <c r="F23" s="7" t="inlineStr">
        <is>
          <t>Situação</t>
        </is>
      </c>
      <c r="G23" s="20" t="n"/>
      <c r="H23" s="20" t="n"/>
      <c r="I23" s="7" t="inlineStr">
        <is>
          <t>PV temporário</t>
        </is>
      </c>
      <c r="J23" s="7" t="inlineStr">
        <is>
          <t>Pode ser Executado?</t>
        </is>
      </c>
      <c r="K23" s="7" t="inlineStr">
        <is>
          <t>Aviso</t>
        </is>
      </c>
      <c r="L23" s="20" t="n"/>
      <c r="N23" s="19">
        <f>IF(LEN($BB$39)=0,"",$BB$39&amp;IF(COUNTIF($BB$33:$BB$42,$BB$39)&gt;1," "&amp;COUNTIF($BB$33:$BB$39,$BB$39),""))</f>
        <v/>
      </c>
      <c r="O23" s="19">
        <f>IF(ISNUMBER($BC$39),INDEX('Inimigos'!$O$11:$O$54,$BC$39)&amp;"","")</f>
        <v/>
      </c>
      <c r="P23" s="19">
        <f>IF(ISNUMBER($BC$39),1,0)</f>
        <v/>
      </c>
      <c r="Q23" s="19">
        <f>IF(AND($P$23=1,$AR$23&gt;0),1,0)</f>
        <v/>
      </c>
      <c r="R23" s="19">
        <f>IF(AND($Q$23=1,NOT(AND($AA$23=1,$O$23="Comum"))),1,0)</f>
        <v/>
      </c>
      <c r="S23" s="19">
        <f>$Q$23</f>
        <v/>
      </c>
      <c r="T23" s="19">
        <f>IF(ISNUMBER($BC$39),INDEX('Inimigos'!$U$11:$U$54,$BC$39),0)</f>
        <v/>
      </c>
      <c r="U23" s="19">
        <f>MIN(40,MAX(0,$T$23+IF(ISNUMBER($CB$52),MIN(10,MAX(-10,INT($CB$52))),0)))</f>
        <v/>
      </c>
      <c r="V23" s="19">
        <f>0</f>
        <v/>
      </c>
      <c r="W23" s="19">
        <f>0</f>
        <v/>
      </c>
      <c r="X23" s="19">
        <f>0</f>
        <v/>
      </c>
      <c r="Y23" s="19">
        <f>0.13</f>
        <v/>
      </c>
      <c r="Z23" s="19">
        <f>$U$23*100000+$V$23*1000+$W$23*10+$X$23+$Y$23</f>
        <v/>
      </c>
      <c r="AA23" s="19">
        <f>IF(LEN($N$23)=0,0,IF(COUNTIFS($CA$158:$CA$208,$N$23,$CB$158:$CB$208,"Congelado")-COUNTIFS($CA$158:$CA$208,$N$23,$CB$158:$CB$208,"Congelado",$CD$158:$CD$208,0)&gt;0,1,0))</f>
        <v/>
      </c>
      <c r="AB23" s="19">
        <f>IF(AND($N$8=1,LEN($N$23)&gt;0),IF(COUNTIFS($CA$158:$CA$208,$N$23,$CB$158:$CB$208,"Surpreso")&gt;0,1,0),0)</f>
        <v/>
      </c>
      <c r="AC23" s="19">
        <f>IF(ISNUMBER($CD$115),MAX(0,INT($CD$115)),0)</f>
        <v/>
      </c>
      <c r="AD23" s="19">
        <f>IF(AND($AA$23=1,$O$23&lt;&gt;"Comum"),2,IF($O$23="Comum",MIN(3,$AC$23),IF(OR($O$23="Elite",$O$23="Boss"),IF($AC$23=0,0,MIN(2,MAX(1,INT($AC$23/2)))),$AC$23)))</f>
        <v/>
      </c>
      <c r="AE23" s="19">
        <f>IF(AND($AA$23=1,$O$23="Comum"),0,MIN(IF($O$23="Comum",3,IF($O$23="PJ",999,2)),IF(ISNUMBER($CE$115),MAX(0,INT($CE$115)),0)))</f>
        <v/>
      </c>
      <c r="AF23" s="19">
        <f>IF($CH$115="Sim",1,0)</f>
        <v/>
      </c>
      <c r="AG23" s="19">
        <f>IF($AF$23=1,0,IF(ISNUMBER($CF$115),MAX(0,INT($CF$115)),0))</f>
        <v/>
      </c>
      <c r="AH23" s="19">
        <f>IF(ISNUMBER($CI$115),$CI$115,"")</f>
        <v/>
      </c>
      <c r="AI23" s="19">
        <f>IF($R$23=1,1+COUNTIFS($R$11:$R$26,1,$Z$11:$Z$26,"&gt;"&amp;$Z$23),"")</f>
        <v/>
      </c>
      <c r="AJ23" s="19">
        <f>IF($R$23=1,$AI$23+($AE$23+IF($AF$23=1,0,$AD$23)),"")</f>
        <v/>
      </c>
      <c r="AK23" s="19">
        <f>IF($R$23=1,MIN($J$7,$AJ$23),"")</f>
        <v/>
      </c>
      <c r="AL23" s="19">
        <f>IF($R$23=1,$AJ$23-$AK$23,0)</f>
        <v/>
      </c>
      <c r="AM23" s="19">
        <f>IF($R$23=0,"",IF(ISNUMBER($AH$23),$AH$23-0.7+13/1000,$AK$23+IF(($AE$23+IF($AF$23=1,0,$AD$23))&gt;0,0.5,0)-$AG$23-IF($AG$23&gt;0,0.5,0)+13/1000))</f>
        <v/>
      </c>
      <c r="AN23" s="19">
        <f>IF(OR($Q$23=0,AND($AA$23=1,$O$23="Comum")),0,MIN(IF($O$23="Comum",3,IF($O$23="PJ",999,2)),IF($AF$23=1,$AD$23,0)+$AL$23))</f>
        <v/>
      </c>
      <c r="AO23" s="19">
        <f>IF($S$23=1,1+COUNTIFS($S$11:$S$26,1,$Z$11:$Z$26,"&gt;"&amp;$Z$23),"")</f>
        <v/>
      </c>
      <c r="AP23" s="19">
        <f>IF($S$23=1,$AO$23+$AN$23+IF($AN$23&gt;0,0.5,0)+13/1000,"")</f>
        <v/>
      </c>
      <c r="AQ23" s="19">
        <f>IF(ISNUMBER($BC$39),INDEX('Inimigos'!$Q$11:$Q$54,$BC$39),1)</f>
        <v/>
      </c>
      <c r="AR23" s="19">
        <f>IF(ISNUMBER($CE$52),MIN($AQ$23,MAX(0,INT($CE$52))),$AQ$23)</f>
        <v/>
      </c>
      <c r="AS23" s="19">
        <f>IF(ISNUMBER($BC$39),INDEX('Inimigos'!$BE$11:$BE$54,$BC$39),0)</f>
        <v/>
      </c>
      <c r="AT23" s="19">
        <f>IF(AND($R$23=1,$AF$23=0,$AB$23=0),1,0)</f>
        <v/>
      </c>
      <c r="AU23" s="19">
        <f>IF($CG$115="Sim",1,0)</f>
        <v/>
      </c>
    </row>
    <row r="24" ht="37" customHeight="1">
      <c r="A24" s="32">
        <f>IF(LEN($N$11)&gt;0,$N$11,"PJ 1")</f>
        <v/>
      </c>
      <c r="B24" s="36" t="n"/>
      <c r="C24" s="36" t="n"/>
      <c r="D24" s="15" t="n"/>
      <c r="E24" s="15" t="n"/>
      <c r="F24" s="4">
        <f>IF($P$11=0,"",IF($AR$11&gt;0,"De pé",IF(AND(ISNUMBER($CE$24),$CE$24&gt;=3),"Morre (3 falhas, 23.4)",IF(AND(ISNUMBER($CD$24),$CD$24&gt;=3),"Estabiliza com 1 PV: digite 1 em PV atual","Morrendo: d20"&amp;IF(IF(ISNUMBER('Grupo'!$X$16),'Grupo'!$X$16,0)&gt;=0,"+","")&amp;IF(ISNUMBER('Grupo'!$X$16),'Grupo'!$X$16,0)&amp;", sem Eficiência"&amp;IF('Grupo'!$B$34="Sim",", com Vantagem","")&amp;" contra DT 10. Dano recebido = +1 falha (2 se crítico ou Habilidade de Nível 5+)"))))</f>
        <v/>
      </c>
      <c r="I24" s="15" t="n"/>
      <c r="J24" s="17">
        <f>IF($P$11=0,"",IF(LEN('Grupo'!$C$34)&gt;0,'Grupo'!$C$34,"Sim"))</f>
        <v/>
      </c>
      <c r="K24" s="18">
        <f>IF(CK24&gt;0,"O Google leu como fórmula: escolha de novo ou digite com ' na frente.",IF($P$11=0,"",IF(AND($AR$11=0,$J$24="Sim",LEN(IFERROR(INDEX($BY$33:$BY$42,MATCH(1,$BV$33:$BV$42,0)),""))&gt;0,NOT(AND(ISNUMBER($CE$24),$CE$24&gt;=3))),"PV 0 e Morrendo: "&amp;IFERROR(INDEX($BY$33:$BY$42,MATCH(1,$BV$33:$BV$42,0)),"")&amp;" pode Executar (23.5); Intervir cancela",IF(AND(ISNUMBER($CI$24),$CI$24&gt;3*'Campanha'!$B$20),"PV temporário acima do teto 3 × Eficiência (23.3)",IF(AND($CC$24="Sim",'Grupo'!$D$34&lt;&gt;"Sim"),"Esforço é traço do Humano (05)","")))))</f>
        <v/>
      </c>
      <c r="N24" s="19">
        <f>IF(LEN($BB$40)=0,"",$BB$40&amp;IF(COUNTIF($BB$33:$BB$42,$BB$40)&gt;1," "&amp;COUNTIF($BB$33:$BB$40,$BB$40),""))</f>
        <v/>
      </c>
      <c r="O24" s="19">
        <f>IF(ISNUMBER($BC$40),INDEX('Inimigos'!$O$11:$O$54,$BC$40)&amp;"","")</f>
        <v/>
      </c>
      <c r="P24" s="19">
        <f>IF(ISNUMBER($BC$40),1,0)</f>
        <v/>
      </c>
      <c r="Q24" s="19">
        <f>IF(AND($P$24=1,$AR$24&gt;0),1,0)</f>
        <v/>
      </c>
      <c r="R24" s="19">
        <f>IF(AND($Q$24=1,NOT(AND($AA$24=1,$O$24="Comum"))),1,0)</f>
        <v/>
      </c>
      <c r="S24" s="19">
        <f>$Q$24</f>
        <v/>
      </c>
      <c r="T24" s="19">
        <f>IF(ISNUMBER($BC$40),INDEX('Inimigos'!$U$11:$U$54,$BC$40),0)</f>
        <v/>
      </c>
      <c r="U24" s="19">
        <f>MIN(40,MAX(0,$T$24+IF(ISNUMBER($CB$53),MIN(10,MAX(-10,INT($CB$53))),0)))</f>
        <v/>
      </c>
      <c r="V24" s="19">
        <f>0</f>
        <v/>
      </c>
      <c r="W24" s="19">
        <f>0</f>
        <v/>
      </c>
      <c r="X24" s="19">
        <f>0</f>
        <v/>
      </c>
      <c r="Y24" s="19">
        <f>0.12</f>
        <v/>
      </c>
      <c r="Z24" s="19">
        <f>$U$24*100000+$V$24*1000+$W$24*10+$X$24+$Y$24</f>
        <v/>
      </c>
      <c r="AA24" s="19">
        <f>IF(LEN($N$24)=0,0,IF(COUNTIFS($CA$158:$CA$208,$N$24,$CB$158:$CB$208,"Congelado")-COUNTIFS($CA$158:$CA$208,$N$24,$CB$158:$CB$208,"Congelado",$CD$158:$CD$208,0)&gt;0,1,0))</f>
        <v/>
      </c>
      <c r="AB24" s="19">
        <f>IF(AND($N$8=1,LEN($N$24)&gt;0),IF(COUNTIFS($CA$158:$CA$208,$N$24,$CB$158:$CB$208,"Surpreso")&gt;0,1,0),0)</f>
        <v/>
      </c>
      <c r="AC24" s="19">
        <f>IF(ISNUMBER($CD$116),MAX(0,INT($CD$116)),0)</f>
        <v/>
      </c>
      <c r="AD24" s="19">
        <f>IF(AND($AA$24=1,$O$24&lt;&gt;"Comum"),2,IF($O$24="Comum",MIN(3,$AC$24),IF(OR($O$24="Elite",$O$24="Boss"),IF($AC$24=0,0,MIN(2,MAX(1,INT($AC$24/2)))),$AC$24)))</f>
        <v/>
      </c>
      <c r="AE24" s="19">
        <f>IF(AND($AA$24=1,$O$24="Comum"),0,MIN(IF($O$24="Comum",3,IF($O$24="PJ",999,2)),IF(ISNUMBER($CE$116),MAX(0,INT($CE$116)),0)))</f>
        <v/>
      </c>
      <c r="AF24" s="19">
        <f>IF($CH$116="Sim",1,0)</f>
        <v/>
      </c>
      <c r="AG24" s="19">
        <f>IF($AF$24=1,0,IF(ISNUMBER($CF$116),MAX(0,INT($CF$116)),0))</f>
        <v/>
      </c>
      <c r="AH24" s="19">
        <f>IF(ISNUMBER($CI$116),$CI$116,"")</f>
        <v/>
      </c>
      <c r="AI24" s="19">
        <f>IF($R$24=1,1+COUNTIFS($R$11:$R$26,1,$Z$11:$Z$26,"&gt;"&amp;$Z$24),"")</f>
        <v/>
      </c>
      <c r="AJ24" s="19">
        <f>IF($R$24=1,$AI$24+($AE$24+IF($AF$24=1,0,$AD$24)),"")</f>
        <v/>
      </c>
      <c r="AK24" s="19">
        <f>IF($R$24=1,MIN($J$7,$AJ$24),"")</f>
        <v/>
      </c>
      <c r="AL24" s="19">
        <f>IF($R$24=1,$AJ$24-$AK$24,0)</f>
        <v/>
      </c>
      <c r="AM24" s="19">
        <f>IF($R$24=0,"",IF(ISNUMBER($AH$24),$AH$24-0.7+14/1000,$AK$24+IF(($AE$24+IF($AF$24=1,0,$AD$24))&gt;0,0.5,0)-$AG$24-IF($AG$24&gt;0,0.5,0)+14/1000))</f>
        <v/>
      </c>
      <c r="AN24" s="19">
        <f>IF(OR($Q$24=0,AND($AA$24=1,$O$24="Comum")),0,MIN(IF($O$24="Comum",3,IF($O$24="PJ",999,2)),IF($AF$24=1,$AD$24,0)+$AL$24))</f>
        <v/>
      </c>
      <c r="AO24" s="19">
        <f>IF($S$24=1,1+COUNTIFS($S$11:$S$26,1,$Z$11:$Z$26,"&gt;"&amp;$Z$24),"")</f>
        <v/>
      </c>
      <c r="AP24" s="19">
        <f>IF($S$24=1,$AO$24+$AN$24+IF($AN$24&gt;0,0.5,0)+14/1000,"")</f>
        <v/>
      </c>
      <c r="AQ24" s="19">
        <f>IF(ISNUMBER($BC$40),INDEX('Inimigos'!$Q$11:$Q$54,$BC$40),1)</f>
        <v/>
      </c>
      <c r="AR24" s="19">
        <f>IF(ISNUMBER($CE$53),MIN($AQ$24,MAX(0,INT($CE$53))),$AQ$24)</f>
        <v/>
      </c>
      <c r="AS24" s="19">
        <f>IF(ISNUMBER($BC$40),INDEX('Inimigos'!$BE$11:$BE$54,$BC$40),0)</f>
        <v/>
      </c>
      <c r="AT24" s="19">
        <f>IF(AND($R$24=1,$AF$24=0,$AB$24=0),1,0)</f>
        <v/>
      </c>
      <c r="AU24" s="19">
        <f>IF($CG$116="Sim",1,0)</f>
        <v/>
      </c>
      <c r="CC24" s="19">
        <f>IF(ISERROR($C$24),"",IF(ISBLANK($C$24),"",$C$24))</f>
        <v/>
      </c>
      <c r="CD24" s="19">
        <f>IF(ISERROR($D$24),"",IF(ISBLANK($D$24),"",$D$24))</f>
        <v/>
      </c>
      <c r="CE24" s="19">
        <f>IF(ISERROR($E$24),"",IF(ISBLANK($E$24),"",$E$24))</f>
        <v/>
      </c>
      <c r="CI24" s="19">
        <f>IF(ISERROR($I$24),"",IF(ISBLANK($I$24),"",$I$24))</f>
        <v/>
      </c>
      <c r="CK24" s="19">
        <f>ISERROR($B$24)*1+ISERROR($C$24)*1+ISERROR($D$24)*1+ISERROR($E$24)*1+ISERROR($I$24)*1</f>
        <v/>
      </c>
    </row>
    <row r="25" ht="37" customHeight="1">
      <c r="A25" s="33">
        <f>IF(LEN($N$12)&gt;0,$N$12,"PJ 2")</f>
        <v/>
      </c>
      <c r="B25" s="42" t="n"/>
      <c r="C25" s="42" t="n"/>
      <c r="D25" s="34" t="n"/>
      <c r="E25" s="34" t="n"/>
      <c r="F25" s="9">
        <f>IF($P$12=0,"",IF($AR$12&gt;0,"De pé",IF(AND(ISNUMBER($CE$25),$CE$25&gt;=3),"Morre (3 falhas, 23.4)",IF(AND(ISNUMBER($CD$25),$CD$25&gt;=3),"Estabiliza com 1 PV: digite 1 em PV atual","Morrendo: d20"&amp;IF(IF(ISNUMBER('Grupo'!$X$17),'Grupo'!$X$17,0)&gt;=0,"+","")&amp;IF(ISNUMBER('Grupo'!$X$17),'Grupo'!$X$17,0)&amp;", sem Eficiência"&amp;IF('Grupo'!$B$35="Sim",", com Vantagem","")&amp;" contra DT 10. Dano recebido = +1 falha (2 se crítico ou Habilidade de Nível 5+)"))))</f>
        <v/>
      </c>
      <c r="I25" s="34" t="n"/>
      <c r="J25" s="29">
        <f>IF($P$12=0,"",IF(LEN('Grupo'!$C$35)&gt;0,'Grupo'!$C$35,"Sim"))</f>
        <v/>
      </c>
      <c r="K25" s="26">
        <f>IF(CK25&gt;0,"O Google leu como fórmula: escolha de novo ou digite com ' na frente.",IF($P$12=0,"",IF(AND($AR$12=0,$J$25="Sim",LEN(IFERROR(INDEX($BY$33:$BY$42,MATCH(1,$BV$33:$BV$42,0)),""))&gt;0,NOT(AND(ISNUMBER($CE$25),$CE$25&gt;=3))),"PV 0 e Morrendo: "&amp;IFERROR(INDEX($BY$33:$BY$42,MATCH(1,$BV$33:$BV$42,0)),"")&amp;" pode Executar (23.5); Intervir cancela",IF(AND(ISNUMBER($CI$25),$CI$25&gt;3*'Campanha'!$B$20),"PV temporário acima do teto 3 × Eficiência (23.3)",IF(AND($CC$25="Sim",'Grupo'!$D$35&lt;&gt;"Sim"),"Esforço é traço do Humano (05)","")))))</f>
        <v/>
      </c>
      <c r="N25" s="19">
        <f>IF(LEN($BB$41)=0,"",$BB$41&amp;IF(COUNTIF($BB$33:$BB$42,$BB$41)&gt;1," "&amp;COUNTIF($BB$33:$BB$41,$BB$41),""))</f>
        <v/>
      </c>
      <c r="O25" s="19">
        <f>IF(ISNUMBER($BC$41),INDEX('Inimigos'!$O$11:$O$54,$BC$41)&amp;"","")</f>
        <v/>
      </c>
      <c r="P25" s="19">
        <f>IF(ISNUMBER($BC$41),1,0)</f>
        <v/>
      </c>
      <c r="Q25" s="19">
        <f>IF(AND($P$25=1,$AR$25&gt;0),1,0)</f>
        <v/>
      </c>
      <c r="R25" s="19">
        <f>IF(AND($Q$25=1,NOT(AND($AA$25=1,$O$25="Comum"))),1,0)</f>
        <v/>
      </c>
      <c r="S25" s="19">
        <f>$Q$25</f>
        <v/>
      </c>
      <c r="T25" s="19">
        <f>IF(ISNUMBER($BC$41),INDEX('Inimigos'!$U$11:$U$54,$BC$41),0)</f>
        <v/>
      </c>
      <c r="U25" s="19">
        <f>MIN(40,MAX(0,$T$25+IF(ISNUMBER($CB$54),MIN(10,MAX(-10,INT($CB$54))),0)))</f>
        <v/>
      </c>
      <c r="V25" s="19">
        <f>0</f>
        <v/>
      </c>
      <c r="W25" s="19">
        <f>0</f>
        <v/>
      </c>
      <c r="X25" s="19">
        <f>0</f>
        <v/>
      </c>
      <c r="Y25" s="19">
        <f>0.11</f>
        <v/>
      </c>
      <c r="Z25" s="19">
        <f>$U$25*100000+$V$25*1000+$W$25*10+$X$25+$Y$25</f>
        <v/>
      </c>
      <c r="AA25" s="19">
        <f>IF(LEN($N$25)=0,0,IF(COUNTIFS($CA$158:$CA$208,$N$25,$CB$158:$CB$208,"Congelado")-COUNTIFS($CA$158:$CA$208,$N$25,$CB$158:$CB$208,"Congelado",$CD$158:$CD$208,0)&gt;0,1,0))</f>
        <v/>
      </c>
      <c r="AB25" s="19">
        <f>IF(AND($N$8=1,LEN($N$25)&gt;0),IF(COUNTIFS($CA$158:$CA$208,$N$25,$CB$158:$CB$208,"Surpreso")&gt;0,1,0),0)</f>
        <v/>
      </c>
      <c r="AC25" s="19">
        <f>IF(ISNUMBER($CD$117),MAX(0,INT($CD$117)),0)</f>
        <v/>
      </c>
      <c r="AD25" s="19">
        <f>IF(AND($AA$25=1,$O$25&lt;&gt;"Comum"),2,IF($O$25="Comum",MIN(3,$AC$25),IF(OR($O$25="Elite",$O$25="Boss"),IF($AC$25=0,0,MIN(2,MAX(1,INT($AC$25/2)))),$AC$25)))</f>
        <v/>
      </c>
      <c r="AE25" s="19">
        <f>IF(AND($AA$25=1,$O$25="Comum"),0,MIN(IF($O$25="Comum",3,IF($O$25="PJ",999,2)),IF(ISNUMBER($CE$117),MAX(0,INT($CE$117)),0)))</f>
        <v/>
      </c>
      <c r="AF25" s="19">
        <f>IF($CH$117="Sim",1,0)</f>
        <v/>
      </c>
      <c r="AG25" s="19">
        <f>IF($AF$25=1,0,IF(ISNUMBER($CF$117),MAX(0,INT($CF$117)),0))</f>
        <v/>
      </c>
      <c r="AH25" s="19">
        <f>IF(ISNUMBER($CI$117),$CI$117,"")</f>
        <v/>
      </c>
      <c r="AI25" s="19">
        <f>IF($R$25=1,1+COUNTIFS($R$11:$R$26,1,$Z$11:$Z$26,"&gt;"&amp;$Z$25),"")</f>
        <v/>
      </c>
      <c r="AJ25" s="19">
        <f>IF($R$25=1,$AI$25+($AE$25+IF($AF$25=1,0,$AD$25)),"")</f>
        <v/>
      </c>
      <c r="AK25" s="19">
        <f>IF($R$25=1,MIN($J$7,$AJ$25),"")</f>
        <v/>
      </c>
      <c r="AL25" s="19">
        <f>IF($R$25=1,$AJ$25-$AK$25,0)</f>
        <v/>
      </c>
      <c r="AM25" s="19">
        <f>IF($R$25=0,"",IF(ISNUMBER($AH$25),$AH$25-0.7+15/1000,$AK$25+IF(($AE$25+IF($AF$25=1,0,$AD$25))&gt;0,0.5,0)-$AG$25-IF($AG$25&gt;0,0.5,0)+15/1000))</f>
        <v/>
      </c>
      <c r="AN25" s="19">
        <f>IF(OR($Q$25=0,AND($AA$25=1,$O$25="Comum")),0,MIN(IF($O$25="Comum",3,IF($O$25="PJ",999,2)),IF($AF$25=1,$AD$25,0)+$AL$25))</f>
        <v/>
      </c>
      <c r="AO25" s="19">
        <f>IF($S$25=1,1+COUNTIFS($S$11:$S$26,1,$Z$11:$Z$26,"&gt;"&amp;$Z$25),"")</f>
        <v/>
      </c>
      <c r="AP25" s="19">
        <f>IF($S$25=1,$AO$25+$AN$25+IF($AN$25&gt;0,0.5,0)+15/1000,"")</f>
        <v/>
      </c>
      <c r="AQ25" s="19">
        <f>IF(ISNUMBER($BC$41),INDEX('Inimigos'!$Q$11:$Q$54,$BC$41),1)</f>
        <v/>
      </c>
      <c r="AR25" s="19">
        <f>IF(ISNUMBER($CE$54),MIN($AQ$25,MAX(0,INT($CE$54))),$AQ$25)</f>
        <v/>
      </c>
      <c r="AS25" s="19">
        <f>IF(ISNUMBER($BC$41),INDEX('Inimigos'!$BE$11:$BE$54,$BC$41),0)</f>
        <v/>
      </c>
      <c r="AT25" s="19">
        <f>IF(AND($R$25=1,$AF$25=0,$AB$25=0),1,0)</f>
        <v/>
      </c>
      <c r="AU25" s="19">
        <f>IF($CG$117="Sim",1,0)</f>
        <v/>
      </c>
      <c r="CC25" s="19">
        <f>IF(ISERROR($C$25),"",IF(ISBLANK($C$25),"",$C$25))</f>
        <v/>
      </c>
      <c r="CD25" s="19">
        <f>IF(ISERROR($D$25),"",IF(ISBLANK($D$25),"",$D$25))</f>
        <v/>
      </c>
      <c r="CE25" s="19">
        <f>IF(ISERROR($E$25),"",IF(ISBLANK($E$25),"",$E$25))</f>
        <v/>
      </c>
      <c r="CI25" s="19">
        <f>IF(ISERROR($I$25),"",IF(ISBLANK($I$25),"",$I$25))</f>
        <v/>
      </c>
      <c r="CK25" s="19">
        <f>ISERROR($B$25)*1+ISERROR($C$25)*1+ISERROR($D$25)*1+ISERROR($E$25)*1+ISERROR($I$25)*1</f>
        <v/>
      </c>
    </row>
    <row r="26" ht="37" customHeight="1">
      <c r="A26" s="32">
        <f>IF(LEN($N$13)&gt;0,$N$13,"PJ 3")</f>
        <v/>
      </c>
      <c r="B26" s="36" t="n"/>
      <c r="C26" s="36" t="n"/>
      <c r="D26" s="15" t="n"/>
      <c r="E26" s="15" t="n"/>
      <c r="F26" s="4">
        <f>IF($P$13=0,"",IF($AR$13&gt;0,"De pé",IF(AND(ISNUMBER($CE$26),$CE$26&gt;=3),"Morre (3 falhas, 23.4)",IF(AND(ISNUMBER($CD$26),$CD$26&gt;=3),"Estabiliza com 1 PV: digite 1 em PV atual","Morrendo: d20"&amp;IF(IF(ISNUMBER('Grupo'!$X$18),'Grupo'!$X$18,0)&gt;=0,"+","")&amp;IF(ISNUMBER('Grupo'!$X$18),'Grupo'!$X$18,0)&amp;", sem Eficiência"&amp;IF('Grupo'!$B$36="Sim",", com Vantagem","")&amp;" contra DT 10. Dano recebido = +1 falha (2 se crítico ou Habilidade de Nível 5+)"))))</f>
        <v/>
      </c>
      <c r="I26" s="15" t="n"/>
      <c r="J26" s="17">
        <f>IF($P$13=0,"",IF(LEN('Grupo'!$C$36)&gt;0,'Grupo'!$C$36,"Sim"))</f>
        <v/>
      </c>
      <c r="K26" s="18">
        <f>IF(CK26&gt;0,"O Google leu como fórmula: escolha de novo ou digite com ' na frente.",IF($P$13=0,"",IF(AND($AR$13=0,$J$26="Sim",LEN(IFERROR(INDEX($BY$33:$BY$42,MATCH(1,$BV$33:$BV$42,0)),""))&gt;0,NOT(AND(ISNUMBER($CE$26),$CE$26&gt;=3))),"PV 0 e Morrendo: "&amp;IFERROR(INDEX($BY$33:$BY$42,MATCH(1,$BV$33:$BV$42,0)),"")&amp;" pode Executar (23.5); Intervir cancela",IF(AND(ISNUMBER($CI$26),$CI$26&gt;3*'Campanha'!$B$20),"PV temporário acima do teto 3 × Eficiência (23.3)",IF(AND($CC$26="Sim",'Grupo'!$D$36&lt;&gt;"Sim"),"Esforço é traço do Humano (05)","")))))</f>
        <v/>
      </c>
      <c r="N26" s="19">
        <f>IF(LEN($BB$42)=0,"",$BB$42&amp;IF(COUNTIF($BB$33:$BB$42,$BB$42)&gt;1," "&amp;COUNTIF($BB$33:$BB$42,$BB$42),""))</f>
        <v/>
      </c>
      <c r="O26" s="19">
        <f>IF(ISNUMBER($BC$42),INDEX('Inimigos'!$O$11:$O$54,$BC$42)&amp;"","")</f>
        <v/>
      </c>
      <c r="P26" s="19">
        <f>IF(ISNUMBER($BC$42),1,0)</f>
        <v/>
      </c>
      <c r="Q26" s="19">
        <f>IF(AND($P$26=1,$AR$26&gt;0),1,0)</f>
        <v/>
      </c>
      <c r="R26" s="19">
        <f>IF(AND($Q$26=1,NOT(AND($AA$26=1,$O$26="Comum"))),1,0)</f>
        <v/>
      </c>
      <c r="S26" s="19">
        <f>$Q$26</f>
        <v/>
      </c>
      <c r="T26" s="19">
        <f>IF(ISNUMBER($BC$42),INDEX('Inimigos'!$U$11:$U$54,$BC$42),0)</f>
        <v/>
      </c>
      <c r="U26" s="19">
        <f>MIN(40,MAX(0,$T$26+IF(ISNUMBER($CB$55),MIN(10,MAX(-10,INT($CB$55))),0)))</f>
        <v/>
      </c>
      <c r="V26" s="19">
        <f>0</f>
        <v/>
      </c>
      <c r="W26" s="19">
        <f>0</f>
        <v/>
      </c>
      <c r="X26" s="19">
        <f>0</f>
        <v/>
      </c>
      <c r="Y26" s="19">
        <f>0.1</f>
        <v/>
      </c>
      <c r="Z26" s="19">
        <f>$U$26*100000+$V$26*1000+$W$26*10+$X$26+$Y$26</f>
        <v/>
      </c>
      <c r="AA26" s="19">
        <f>IF(LEN($N$26)=0,0,IF(COUNTIFS($CA$158:$CA$208,$N$26,$CB$158:$CB$208,"Congelado")-COUNTIFS($CA$158:$CA$208,$N$26,$CB$158:$CB$208,"Congelado",$CD$158:$CD$208,0)&gt;0,1,0))</f>
        <v/>
      </c>
      <c r="AB26" s="19">
        <f>IF(AND($N$8=1,LEN($N$26)&gt;0),IF(COUNTIFS($CA$158:$CA$208,$N$26,$CB$158:$CB$208,"Surpreso")&gt;0,1,0),0)</f>
        <v/>
      </c>
      <c r="AC26" s="19">
        <f>IF(ISNUMBER($CD$118),MAX(0,INT($CD$118)),0)</f>
        <v/>
      </c>
      <c r="AD26" s="19">
        <f>IF(AND($AA$26=1,$O$26&lt;&gt;"Comum"),2,IF($O$26="Comum",MIN(3,$AC$26),IF(OR($O$26="Elite",$O$26="Boss"),IF($AC$26=0,0,MIN(2,MAX(1,INT($AC$26/2)))),$AC$26)))</f>
        <v/>
      </c>
      <c r="AE26" s="19">
        <f>IF(AND($AA$26=1,$O$26="Comum"),0,MIN(IF($O$26="Comum",3,IF($O$26="PJ",999,2)),IF(ISNUMBER($CE$118),MAX(0,INT($CE$118)),0)))</f>
        <v/>
      </c>
      <c r="AF26" s="19">
        <f>IF($CH$118="Sim",1,0)</f>
        <v/>
      </c>
      <c r="AG26" s="19">
        <f>IF($AF$26=1,0,IF(ISNUMBER($CF$118),MAX(0,INT($CF$118)),0))</f>
        <v/>
      </c>
      <c r="AH26" s="19">
        <f>IF(ISNUMBER($CI$118),$CI$118,"")</f>
        <v/>
      </c>
      <c r="AI26" s="19">
        <f>IF($R$26=1,1+COUNTIFS($R$11:$R$26,1,$Z$11:$Z$26,"&gt;"&amp;$Z$26),"")</f>
        <v/>
      </c>
      <c r="AJ26" s="19">
        <f>IF($R$26=1,$AI$26+($AE$26+IF($AF$26=1,0,$AD$26)),"")</f>
        <v/>
      </c>
      <c r="AK26" s="19">
        <f>IF($R$26=1,MIN($J$7,$AJ$26),"")</f>
        <v/>
      </c>
      <c r="AL26" s="19">
        <f>IF($R$26=1,$AJ$26-$AK$26,0)</f>
        <v/>
      </c>
      <c r="AM26" s="19">
        <f>IF($R$26=0,"",IF(ISNUMBER($AH$26),$AH$26-0.7+16/1000,$AK$26+IF(($AE$26+IF($AF$26=1,0,$AD$26))&gt;0,0.5,0)-$AG$26-IF($AG$26&gt;0,0.5,0)+16/1000))</f>
        <v/>
      </c>
      <c r="AN26" s="19">
        <f>IF(OR($Q$26=0,AND($AA$26=1,$O$26="Comum")),0,MIN(IF($O$26="Comum",3,IF($O$26="PJ",999,2)),IF($AF$26=1,$AD$26,0)+$AL$26))</f>
        <v/>
      </c>
      <c r="AO26" s="19">
        <f>IF($S$26=1,1+COUNTIFS($S$11:$S$26,1,$Z$11:$Z$26,"&gt;"&amp;$Z$26),"")</f>
        <v/>
      </c>
      <c r="AP26" s="19">
        <f>IF($S$26=1,$AO$26+$AN$26+IF($AN$26&gt;0,0.5,0)+16/1000,"")</f>
        <v/>
      </c>
      <c r="AQ26" s="19">
        <f>IF(ISNUMBER($BC$42),INDEX('Inimigos'!$Q$11:$Q$54,$BC$42),1)</f>
        <v/>
      </c>
      <c r="AR26" s="19">
        <f>IF(ISNUMBER($CE$55),MIN($AQ$26,MAX(0,INT($CE$55))),$AQ$26)</f>
        <v/>
      </c>
      <c r="AS26" s="19">
        <f>IF(ISNUMBER($BC$42),INDEX('Inimigos'!$BE$11:$BE$54,$BC$42),0)</f>
        <v/>
      </c>
      <c r="AT26" s="19">
        <f>IF(AND($R$26=1,$AF$26=0,$AB$26=0),1,0)</f>
        <v/>
      </c>
      <c r="AU26" s="19">
        <f>IF($CG$118="Sim",1,0)</f>
        <v/>
      </c>
      <c r="CC26" s="19">
        <f>IF(ISERROR($C$26),"",IF(ISBLANK($C$26),"",$C$26))</f>
        <v/>
      </c>
      <c r="CD26" s="19">
        <f>IF(ISERROR($D$26),"",IF(ISBLANK($D$26),"",$D$26))</f>
        <v/>
      </c>
      <c r="CE26" s="19">
        <f>IF(ISERROR($E$26),"",IF(ISBLANK($E$26),"",$E$26))</f>
        <v/>
      </c>
      <c r="CI26" s="19">
        <f>IF(ISERROR($I$26),"",IF(ISBLANK($I$26),"",$I$26))</f>
        <v/>
      </c>
      <c r="CK26" s="19">
        <f>ISERROR($B$26)*1+ISERROR($C$26)*1+ISERROR($D$26)*1+ISERROR($E$26)*1+ISERROR($I$26)*1</f>
        <v/>
      </c>
    </row>
    <row r="27" ht="37" customHeight="1">
      <c r="A27" s="33">
        <f>IF(LEN($N$14)&gt;0,$N$14,"PJ 4")</f>
        <v/>
      </c>
      <c r="B27" s="42" t="n"/>
      <c r="C27" s="42" t="n"/>
      <c r="D27" s="34" t="n"/>
      <c r="E27" s="34" t="n"/>
      <c r="F27" s="9">
        <f>IF($P$14=0,"",IF($AR$14&gt;0,"De pé",IF(AND(ISNUMBER($CE$27),$CE$27&gt;=3),"Morre (3 falhas, 23.4)",IF(AND(ISNUMBER($CD$27),$CD$27&gt;=3),"Estabiliza com 1 PV: digite 1 em PV atual","Morrendo: d20"&amp;IF(IF(ISNUMBER('Grupo'!$X$19),'Grupo'!$X$19,0)&gt;=0,"+","")&amp;IF(ISNUMBER('Grupo'!$X$19),'Grupo'!$X$19,0)&amp;", sem Eficiência"&amp;IF('Grupo'!$B$37="Sim",", com Vantagem","")&amp;" contra DT 10. Dano recebido = +1 falha (2 se crítico ou Habilidade de Nível 5+)"))))</f>
        <v/>
      </c>
      <c r="I27" s="34" t="n"/>
      <c r="J27" s="29">
        <f>IF($P$14=0,"",IF(LEN('Grupo'!$C$37)&gt;0,'Grupo'!$C$37,"Sim"))</f>
        <v/>
      </c>
      <c r="K27" s="26">
        <f>IF(CK27&gt;0,"O Google leu como fórmula: escolha de novo ou digite com ' na frente.",IF($P$14=0,"",IF(AND($AR$14=0,$J$27="Sim",LEN(IFERROR(INDEX($BY$33:$BY$42,MATCH(1,$BV$33:$BV$42,0)),""))&gt;0,NOT(AND(ISNUMBER($CE$27),$CE$27&gt;=3))),"PV 0 e Morrendo: "&amp;IFERROR(INDEX($BY$33:$BY$42,MATCH(1,$BV$33:$BV$42,0)),"")&amp;" pode Executar (23.5); Intervir cancela",IF(AND(ISNUMBER($CI$27),$CI$27&gt;3*'Campanha'!$B$20),"PV temporário acima do teto 3 × Eficiência (23.3)",IF(AND($CC$27="Sim",'Grupo'!$D$37&lt;&gt;"Sim"),"Esforço é traço do Humano (05)","")))))</f>
        <v/>
      </c>
      <c r="CC27" s="19">
        <f>IF(ISERROR($C$27),"",IF(ISBLANK($C$27),"",$C$27))</f>
        <v/>
      </c>
      <c r="CD27" s="19">
        <f>IF(ISERROR($D$27),"",IF(ISBLANK($D$27),"",$D$27))</f>
        <v/>
      </c>
      <c r="CE27" s="19">
        <f>IF(ISERROR($E$27),"",IF(ISBLANK($E$27),"",$E$27))</f>
        <v/>
      </c>
      <c r="CI27" s="19">
        <f>IF(ISERROR($I$27),"",IF(ISBLANK($I$27),"",$I$27))</f>
        <v/>
      </c>
      <c r="CK27" s="19">
        <f>ISERROR($B$27)*1+ISERROR($C$27)*1+ISERROR($D$27)*1+ISERROR($E$27)*1+ISERROR($I$27)*1</f>
        <v/>
      </c>
    </row>
    <row r="28" ht="37" customHeight="1">
      <c r="A28" s="32">
        <f>IF(LEN($N$15)&gt;0,$N$15,"PJ 5")</f>
        <v/>
      </c>
      <c r="B28" s="36" t="n"/>
      <c r="C28" s="36" t="n"/>
      <c r="D28" s="15" t="n"/>
      <c r="E28" s="15" t="n"/>
      <c r="F28" s="4">
        <f>IF($P$15=0,"",IF($AR$15&gt;0,"De pé",IF(AND(ISNUMBER($CE$28),$CE$28&gt;=3),"Morre (3 falhas, 23.4)",IF(AND(ISNUMBER($CD$28),$CD$28&gt;=3),"Estabiliza com 1 PV: digite 1 em PV atual","Morrendo: d20"&amp;IF(IF(ISNUMBER('Grupo'!$X$20),'Grupo'!$X$20,0)&gt;=0,"+","")&amp;IF(ISNUMBER('Grupo'!$X$20),'Grupo'!$X$20,0)&amp;", sem Eficiência"&amp;IF('Grupo'!$B$38="Sim",", com Vantagem","")&amp;" contra DT 10. Dano recebido = +1 falha (2 se crítico ou Habilidade de Nível 5+)"))))</f>
        <v/>
      </c>
      <c r="I28" s="15" t="n"/>
      <c r="J28" s="17">
        <f>IF($P$15=0,"",IF(LEN('Grupo'!$C$38)&gt;0,'Grupo'!$C$38,"Sim"))</f>
        <v/>
      </c>
      <c r="K28" s="18">
        <f>IF(CK28&gt;0,"O Google leu como fórmula: escolha de novo ou digite com ' na frente.",IF($P$15=0,"",IF(AND($AR$15=0,$J$28="Sim",LEN(IFERROR(INDEX($BY$33:$BY$42,MATCH(1,$BV$33:$BV$42,0)),""))&gt;0,NOT(AND(ISNUMBER($CE$28),$CE$28&gt;=3))),"PV 0 e Morrendo: "&amp;IFERROR(INDEX($BY$33:$BY$42,MATCH(1,$BV$33:$BV$42,0)),"")&amp;" pode Executar (23.5); Intervir cancela",IF(AND(ISNUMBER($CI$28),$CI$28&gt;3*'Campanha'!$B$20),"PV temporário acima do teto 3 × Eficiência (23.3)",IF(AND($CC$28="Sim",'Grupo'!$D$38&lt;&gt;"Sim"),"Esforço é traço do Humano (05)","")))))</f>
        <v/>
      </c>
      <c r="CC28" s="19">
        <f>IF(ISERROR($C$28),"",IF(ISBLANK($C$28),"",$C$28))</f>
        <v/>
      </c>
      <c r="CD28" s="19">
        <f>IF(ISERROR($D$28),"",IF(ISBLANK($D$28),"",$D$28))</f>
        <v/>
      </c>
      <c r="CE28" s="19">
        <f>IF(ISERROR($E$28),"",IF(ISBLANK($E$28),"",$E$28))</f>
        <v/>
      </c>
      <c r="CI28" s="19">
        <f>IF(ISERROR($I$28),"",IF(ISBLANK($I$28),"",$I$28))</f>
        <v/>
      </c>
      <c r="CK28" s="19">
        <f>ISERROR($B$28)*1+ISERROR($C$28)*1+ISERROR($D$28)*1+ISERROR($E$28)*1+ISERROR($I$28)*1</f>
        <v/>
      </c>
    </row>
    <row r="29" ht="37" customHeight="1">
      <c r="A29" s="33">
        <f>IF(LEN($N$16)&gt;0,$N$16,"PJ 6")</f>
        <v/>
      </c>
      <c r="B29" s="42" t="n"/>
      <c r="C29" s="42" t="n"/>
      <c r="D29" s="34" t="n"/>
      <c r="E29" s="34" t="n"/>
      <c r="F29" s="9">
        <f>IF($P$16=0,"",IF($AR$16&gt;0,"De pé",IF(AND(ISNUMBER($CE$29),$CE$29&gt;=3),"Morre (3 falhas, 23.4)",IF(AND(ISNUMBER($CD$29),$CD$29&gt;=3),"Estabiliza com 1 PV: digite 1 em PV atual","Morrendo: d20"&amp;IF(IF(ISNUMBER('Grupo'!$X$21),'Grupo'!$X$21,0)&gt;=0,"+","")&amp;IF(ISNUMBER('Grupo'!$X$21),'Grupo'!$X$21,0)&amp;", sem Eficiência"&amp;IF('Grupo'!$B$39="Sim",", com Vantagem","")&amp;" contra DT 10. Dano recebido = +1 falha (2 se crítico ou Habilidade de Nível 5+)"))))</f>
        <v/>
      </c>
      <c r="I29" s="34" t="n"/>
      <c r="J29" s="29">
        <f>IF($P$16=0,"",IF(LEN('Grupo'!$C$39)&gt;0,'Grupo'!$C$39,"Sim"))</f>
        <v/>
      </c>
      <c r="K29" s="26">
        <f>IF(CK29&gt;0,"O Google leu como fórmula: escolha de novo ou digite com ' na frente.",IF($P$16=0,"",IF(AND($AR$16=0,$J$29="Sim",LEN(IFERROR(INDEX($BY$33:$BY$42,MATCH(1,$BV$33:$BV$42,0)),""))&gt;0,NOT(AND(ISNUMBER($CE$29),$CE$29&gt;=3))),"PV 0 e Morrendo: "&amp;IFERROR(INDEX($BY$33:$BY$42,MATCH(1,$BV$33:$BV$42,0)),"")&amp;" pode Executar (23.5); Intervir cancela",IF(AND(ISNUMBER($CI$29),$CI$29&gt;3*'Campanha'!$B$20),"PV temporário acima do teto 3 × Eficiência (23.3)",IF(AND($CC$29="Sim",'Grupo'!$D$39&lt;&gt;"Sim"),"Esforço é traço do Humano (05)","")))))</f>
        <v/>
      </c>
      <c r="CC29" s="19">
        <f>IF(ISERROR($C$29),"",IF(ISBLANK($C$29),"",$C$29))</f>
        <v/>
      </c>
      <c r="CD29" s="19">
        <f>IF(ISERROR($D$29),"",IF(ISBLANK($D$29),"",$D$29))</f>
        <v/>
      </c>
      <c r="CE29" s="19">
        <f>IF(ISERROR($E$29),"",IF(ISBLANK($E$29),"",$E$29))</f>
        <v/>
      </c>
      <c r="CI29" s="19">
        <f>IF(ISERROR($I$29),"",IF(ISBLANK($I$29),"",$I$29))</f>
        <v/>
      </c>
      <c r="CK29" s="19">
        <f>ISERROR($B$29)*1+ISERROR($C$29)*1+ISERROR($D$29)*1+ISERROR($E$29)*1+ISERROR($I$29)*1</f>
        <v/>
      </c>
    </row>
    <row r="30"/>
    <row r="31" ht="20" customHeight="1">
      <c r="A31" s="12" t="inlineStr">
        <is>
          <t>C3 · Inimigos — quem é (o inimigo escolhido preenche os próprios dados)</t>
        </is>
      </c>
    </row>
    <row r="32" ht="26" customHeight="1">
      <c r="A32" s="7" t="inlineStr">
        <is>
          <t>Inimigo</t>
        </is>
      </c>
      <c r="B32" s="7" t="inlineStr">
        <is>
          <t>Do encontro</t>
        </is>
      </c>
      <c r="C32" s="7" t="inlineStr">
        <is>
          <t>Trocar por (preencha)</t>
        </is>
      </c>
      <c r="D32" s="7" t="inlineStr">
        <is>
          <t>Tipo · faixa</t>
        </is>
      </c>
      <c r="E32" s="7" t="inlineStr">
        <is>
          <t>Teste de Ataque</t>
        </is>
      </c>
      <c r="F32" s="7" t="inlineStr">
        <is>
          <t>Dano por acerto</t>
        </is>
      </c>
      <c r="G32" s="20" t="n"/>
      <c r="H32" s="7" t="inlineStr">
        <is>
          <t>DT · TR</t>
        </is>
      </c>
      <c r="I32" s="7" t="inlineStr">
        <is>
          <t>Firmeza</t>
        </is>
      </c>
      <c r="J32" s="7" t="inlineStr">
        <is>
          <t>Execução</t>
        </is>
      </c>
      <c r="K32" s="7" t="inlineStr">
        <is>
          <t>Aviso</t>
        </is>
      </c>
      <c r="L32" s="20" t="n"/>
    </row>
    <row r="33" ht="48" customHeight="1">
      <c r="A33" s="32">
        <f>IF(LEN($N$17)&gt;0,$N$17,"Inimigo 1")</f>
        <v/>
      </c>
      <c r="B33" s="4">
        <f>$BA$33</f>
        <v/>
      </c>
      <c r="C33" s="3" t="n"/>
      <c r="D33" s="17">
        <f>IF(ISNUMBER($BC$33),INDEX('Inimigos'!$O$11:$O$54,$BC$33)&amp;""&amp;" · "&amp;INDEX('Inimigos'!$P$11:$P$54,$BC$33)&amp;"","")</f>
        <v/>
      </c>
      <c r="E33" s="17">
        <f>IF(ISNUMBER($BC$33),"+"&amp;INDEX('Inimigos'!$V$11:$V$54,$BC$33),"")</f>
        <v/>
      </c>
      <c r="F33" s="4">
        <f>IF(ISNUMBER($BC$33),INDEX('Inimigos'!$W$11:$W$54,$BC$33)&amp;""&amp;" · média "&amp;INDEX('Inimigos'!$X$11:$X$54,$BC$33),"")</f>
        <v/>
      </c>
      <c r="H33" s="17">
        <f>IF(ISNUMBER($BC$33),"DT "&amp;INDEX('Inimigos'!$Y$11:$Y$54,$BC$33)&amp;" · TR +"&amp;INDEX('Inimigos'!$Z$11:$Z$54,$BC$33),"")</f>
        <v/>
      </c>
      <c r="I33" s="17">
        <f>IF(ISNUMBER($BC$33),INDEX('Inimigos'!$AJ$11:$AJ$54,$BC$33)&amp;"","")</f>
        <v/>
      </c>
      <c r="J33" s="17">
        <f>IF(ISNUMBER($BC$33),$BU$33,"")</f>
        <v/>
      </c>
      <c r="K33" s="18">
        <f>IF(CK33&gt;0,"O Google leu como fórmula: escolha de novo na lista.",IF(AND(LEN($BB$33)&gt;0,NOT(ISNUMBER($BC$33))),"Inimigo fora da lista (Inimigos e Bestiário)",IF(AND(ISNUMBER($BC$33),$BU$33="Não declarado"),"Execução não declarada na ficha: só ser racional Executa (23.5)","")))</f>
        <v/>
      </c>
      <c r="AZ33" s="19">
        <f>IF($P$8=1,IF(MAX('Encontros'!$Y$21:$Y$28)&gt;=1,COUNTIF('Encontros'!$Y$21:$Y$28,"&lt;"&amp;1)+1,""),IF($P$8=2,IF(MAX('Encontros'!$Y$49:$Y$56)&gt;=1,COUNTIF('Encontros'!$Y$49:$Y$56,"&lt;"&amp;1)+1,""),IF($P$8=3,IF(MAX('Encontros'!$Y$77:$Y$84)&gt;=1,COUNTIF('Encontros'!$Y$77:$Y$84,"&lt;"&amp;1)+1,""),IF($P$8=4,IF(MAX('Encontros'!$Y$108:$Y$115)&gt;=1,COUNTIF('Encontros'!$Y$108:$Y$115,"&lt;"&amp;1)+1,""),""))))</f>
        <v/>
      </c>
      <c r="BA33" s="19">
        <f>IF($P$8=1,IF(ISNUMBER($AZ$33),INDEX('Encontros'!$AE$21:$AE$28,$AZ$33)&amp;"",""),IF($P$8=2,IF(ISNUMBER($AZ$33),INDEX('Encontros'!$AE$49:$AE$56,$AZ$33)&amp;"",""),IF($P$8=3,IF(ISNUMBER($AZ$33),INDEX('Encontros'!$AE$77:$AE$84,$AZ$33)&amp;"",""),IF($P$8=4,IF(ISNUMBER($AZ$33),INDEX('Encontros'!$S$108:$S$115,$AZ$33)&amp;"",""),""))))</f>
        <v/>
      </c>
      <c r="BB33" s="19">
        <f>IF(LEN($CC$33)&gt;0,$CC$33,$BA$33)</f>
        <v/>
      </c>
      <c r="BC33" s="19">
        <f>IF(LEN($BB$33)=0,"",IFERROR(MATCH($BB$33,'Inimigos'!$N$11:$N$54,0),""))</f>
        <v/>
      </c>
      <c r="BD33" s="19">
        <f>IF(NOT(ISNUMBER($BC$33)),"",IF(AND(LEN($CC$33)=0,ISNUMBER($AZ$33)),IF($P$8=1,INDEX('Encontros'!$P$21:$P$28,$AZ$33)&amp;"",IF($P$8=2,INDEX('Encontros'!$P$49:$P$56,$AZ$33)&amp;"",IF($P$8=3,INDEX('Encontros'!$P$77:$P$84,$AZ$33)&amp;"",IF($P$8=4,INDEX('Encontros'!$U$108:$U$115,$AZ$33)&amp;"","")))),INDEX('Inimigos'!$AA$11:$AA$54,$BC$33)&amp;""))</f>
        <v/>
      </c>
      <c r="BE33" s="19">
        <f>IF(NOT(ISNUMBER($BC$33)),"",IF(AND(LEN($CC$33)=0,ISNUMBER($AZ$33)),IF($P$8=1,INDEX('Encontros'!$Q$21:$Q$28,$AZ$33)&amp;"",IF($P$8=2,INDEX('Encontros'!$Q$49:$Q$56,$AZ$33)&amp;"",IF($P$8=3,INDEX('Encontros'!$Q$77:$Q$84,$AZ$33)&amp;"",IF($P$8=4,INDEX('Encontros'!$V$108:$V$115,$AZ$33)&amp;"","")))),INDEX('Inimigos'!$AB$11:$AB$54,$BC$33)&amp;""))</f>
        <v/>
      </c>
      <c r="BF33" s="19">
        <f>IF(NOT(ISNUMBER($BC$33)),"",IF(AND(LEN($CC$33)=0,ISNUMBER($AZ$33)),IF($P$8=1,INDEX('Encontros'!$R$21:$R$28,$AZ$33)&amp;"",IF($P$8=2,INDEX('Encontros'!$R$49:$R$56,$AZ$33)&amp;"",IF($P$8=3,INDEX('Encontros'!$R$77:$R$84,$AZ$33)&amp;"",IF($P$8=4,INDEX('Encontros'!$W$108:$W$115,$AZ$33)&amp;"","")))),INDEX('Inimigos'!$AC$11:$AC$54,$BC$33)&amp;""))</f>
        <v/>
      </c>
      <c r="BG33" s="19">
        <f>IF(NOT(ISNUMBER($BC$33)),"",IF(AND(LEN($CC$33)=0,ISNUMBER($AZ$33)),IF($P$8=1,INDEX('Encontros'!$S$21:$S$28,$AZ$33)&amp;"",IF($P$8=2,INDEX('Encontros'!$S$49:$S$56,$AZ$33)&amp;"",IF($P$8=3,INDEX('Encontros'!$S$77:$S$84,$AZ$33)&amp;"",IF($P$8=4,INDEX('Encontros'!$X$108:$X$115,$AZ$33)&amp;"","")))),INDEX('Inimigos'!$AD$11:$AD$54,$BC$33)&amp;""))</f>
        <v/>
      </c>
      <c r="BH33" s="19">
        <f>IF(NOT(ISNUMBER($BC$33)),"",IF(AND($BX$33&gt;=3,$AR$17&lt;=INDEX('Inimigos'!$AL$11:$AL$54,$BC$33)),3,IF(AND($BX$33&gt;=2,$AR$17&lt;=INDEX('Inimigos'!$AK$11:$AK$54,$BC$33)),2,1)))</f>
        <v/>
      </c>
      <c r="BI33" s="19">
        <f>IF(NOT(ISNUMBER($BC$33)),"",IF(ISNUMBER($CI$46),MIN($BX$33,MAX(1,INT($CI$46))),1))</f>
        <v/>
      </c>
      <c r="BJ33" s="19">
        <f>IF(NOT(ISNUMBER($BC$33)),"",IF($BI$33=3,INDEX('Inimigos'!$AR$11:$AR$54,$BC$33)&amp;"",IF($BI$33=2,INDEX('Inimigos'!$AM$11:$AM$54,$BC$33)&amp;"",$BD$33)))</f>
        <v/>
      </c>
      <c r="BK33" s="19">
        <f>IF(NOT(ISNUMBER($BC$33)),"",IF($BI$33=3,INDEX('Inimigos'!$AS$11:$AS$54,$BC$33)&amp;"",IF($BI$33=2,INDEX('Inimigos'!$AN$11:$AN$54,$BC$33)&amp;"",$BE$33)))</f>
        <v/>
      </c>
      <c r="BL33" s="19">
        <f>IF(NOT(ISNUMBER($BC$33)),"",IF($BI$33=3,INDEX('Inimigos'!$AT$11:$AT$54,$BC$33)&amp;"",IF($BI$33=2,INDEX('Inimigos'!$AO$11:$AO$54,$BC$33)&amp;"",$BF$33)))</f>
        <v/>
      </c>
      <c r="BM33" s="19">
        <f>IF(NOT(ISNUMBER($BC$33)),"",IF($BI$33=3,INDEX('Inimigos'!$AU$11:$AU$54,$BC$33)&amp;"",IF($BI$33=2,INDEX('Inimigos'!$AP$11:$AP$54,$BC$33)&amp;"",$BG$33)))</f>
        <v/>
      </c>
      <c r="BN33" s="19">
        <f>IF(ISNUMBER($BC$33),INDEX('Inimigos'!$AE$11:$AE$54,$BC$33)&amp;"","")</f>
        <v/>
      </c>
      <c r="BO33" s="19">
        <f>IF(NOT(ISNUMBER($BC$33)),"",MIN(INDEX('Inimigos'!$T$11:$T$54,$BC$33),IF($BI$33=3,INDEX('Inimigos'!$AV$11:$AV$54,$BC$33),IF($BI$33=2,INDEX('Inimigos'!$AQ$11:$AQ$54,$BC$33),INDEX('Inimigos'!$T$11:$T$54,$BC$33)))))</f>
        <v/>
      </c>
      <c r="BP33" s="19">
        <f>IF(NOT(ISNUMBER($BC$33)),"",MAX(0,$BO$33-IF(ISNUMBER($CC$62),MAX(0,INT($CC$62)),0)))</f>
        <v/>
      </c>
      <c r="BQ33" s="19">
        <f>IF(NOT(ISNUMBER($BC$33)),0,IF($BP$33=0,1,0))</f>
        <v/>
      </c>
      <c r="BR33" s="19">
        <f>IF(ISNUMBER($BC$33),INDEX('Inimigos'!$R$11:$R$54,$BC$33)-2*$BQ$33,"")</f>
        <v/>
      </c>
      <c r="BS33" s="19">
        <f>IF(ISNUMBER($BC$33),INDEX('Inimigos'!$S$11:$S$54,$BC$33),"")</f>
        <v/>
      </c>
      <c r="BT33" s="19">
        <f>IF(ISNUMBER($BC$33),INDEX('Inimigos'!$BE$11:$BE$54,$BC$33),"")</f>
        <v/>
      </c>
      <c r="BU33" s="19">
        <f>IF(ISNUMBER($BC$33),INDEX('Inimigos'!$AF$11:$AF$54,$BC$33)&amp;"","")</f>
        <v/>
      </c>
      <c r="BV33" s="19">
        <f>IF(AND(ISNUMBER($BC$33),$AR$17&gt;0,$BU$33="Pode"),1,0)</f>
        <v/>
      </c>
      <c r="BW33" s="19">
        <f>IF(ISNUMBER($BC$33),INDEX('Inimigos'!$O$11:$O$54,$BC$33)&amp;"","")</f>
        <v/>
      </c>
      <c r="BX33" s="19">
        <f>IF(ISNUMBER($BC$33),MAX(1,INDEX('Inimigos'!$AG$11:$AG$54,$BC$33)),1)</f>
        <v/>
      </c>
      <c r="BY33" s="19">
        <f>$N$17</f>
        <v/>
      </c>
      <c r="CC33" s="19">
        <f>IF(ISERROR($C$33),"",IF(ISBLANK($C$33),"",$C$33))</f>
        <v/>
      </c>
      <c r="CK33" s="19">
        <f>ISERROR($C$33)*1</f>
        <v/>
      </c>
    </row>
    <row r="34" ht="48" customHeight="1">
      <c r="A34" s="33">
        <f>IF(LEN($N$18)&gt;0,$N$18,"Inimigo 2")</f>
        <v/>
      </c>
      <c r="B34" s="9">
        <f>$BA$34</f>
        <v/>
      </c>
      <c r="C34" s="28" t="n"/>
      <c r="D34" s="29">
        <f>IF(ISNUMBER($BC$34),INDEX('Inimigos'!$O$11:$O$54,$BC$34)&amp;""&amp;" · "&amp;INDEX('Inimigos'!$P$11:$P$54,$BC$34)&amp;"","")</f>
        <v/>
      </c>
      <c r="E34" s="29">
        <f>IF(ISNUMBER($BC$34),"+"&amp;INDEX('Inimigos'!$V$11:$V$54,$BC$34),"")</f>
        <v/>
      </c>
      <c r="F34" s="9">
        <f>IF(ISNUMBER($BC$34),INDEX('Inimigos'!$W$11:$W$54,$BC$34)&amp;""&amp;" · média "&amp;INDEX('Inimigos'!$X$11:$X$54,$BC$34),"")</f>
        <v/>
      </c>
      <c r="H34" s="29">
        <f>IF(ISNUMBER($BC$34),"DT "&amp;INDEX('Inimigos'!$Y$11:$Y$54,$BC$34)&amp;" · TR +"&amp;INDEX('Inimigos'!$Z$11:$Z$54,$BC$34),"")</f>
        <v/>
      </c>
      <c r="I34" s="29">
        <f>IF(ISNUMBER($BC$34),INDEX('Inimigos'!$AJ$11:$AJ$54,$BC$34)&amp;"","")</f>
        <v/>
      </c>
      <c r="J34" s="29">
        <f>IF(ISNUMBER($BC$34),$BU$34,"")</f>
        <v/>
      </c>
      <c r="K34" s="26">
        <f>IF(CK34&gt;0,"O Google leu como fórmula: escolha de novo na lista.",IF(AND(LEN($BB$34)&gt;0,NOT(ISNUMBER($BC$34))),"Inimigo fora da lista (Inimigos e Bestiário)",IF(AND(ISNUMBER($BC$34),$BU$34="Não declarado"),"Execução não declarada na ficha: só ser racional Executa (23.5)","")))</f>
        <v/>
      </c>
      <c r="AZ34" s="19">
        <f>IF($P$8=1,IF(MAX('Encontros'!$Y$21:$Y$28)&gt;=2,COUNTIF('Encontros'!$Y$21:$Y$28,"&lt;"&amp;2)+1,""),IF($P$8=2,IF(MAX('Encontros'!$Y$49:$Y$56)&gt;=2,COUNTIF('Encontros'!$Y$49:$Y$56,"&lt;"&amp;2)+1,""),IF($P$8=3,IF(MAX('Encontros'!$Y$77:$Y$84)&gt;=2,COUNTIF('Encontros'!$Y$77:$Y$84,"&lt;"&amp;2)+1,""),IF($P$8=4,IF(MAX('Encontros'!$Y$108:$Y$115)&gt;=2,COUNTIF('Encontros'!$Y$108:$Y$115,"&lt;"&amp;2)+1,""),""))))</f>
        <v/>
      </c>
      <c r="BA34" s="19">
        <f>IF($P$8=1,IF(ISNUMBER($AZ$34),INDEX('Encontros'!$AE$21:$AE$28,$AZ$34)&amp;"",""),IF($P$8=2,IF(ISNUMBER($AZ$34),INDEX('Encontros'!$AE$49:$AE$56,$AZ$34)&amp;"",""),IF($P$8=3,IF(ISNUMBER($AZ$34),INDEX('Encontros'!$AE$77:$AE$84,$AZ$34)&amp;"",""),IF($P$8=4,IF(ISNUMBER($AZ$34),INDEX('Encontros'!$S$108:$S$115,$AZ$34)&amp;"",""),""))))</f>
        <v/>
      </c>
      <c r="BB34" s="19">
        <f>IF(LEN($CC$34)&gt;0,$CC$34,$BA$34)</f>
        <v/>
      </c>
      <c r="BC34" s="19">
        <f>IF(LEN($BB$34)=0,"",IFERROR(MATCH($BB$34,'Inimigos'!$N$11:$N$54,0),""))</f>
        <v/>
      </c>
      <c r="BD34" s="19">
        <f>IF(NOT(ISNUMBER($BC$34)),"",IF(AND(LEN($CC$34)=0,ISNUMBER($AZ$34)),IF($P$8=1,INDEX('Encontros'!$P$21:$P$28,$AZ$34)&amp;"",IF($P$8=2,INDEX('Encontros'!$P$49:$P$56,$AZ$34)&amp;"",IF($P$8=3,INDEX('Encontros'!$P$77:$P$84,$AZ$34)&amp;"",IF($P$8=4,INDEX('Encontros'!$U$108:$U$115,$AZ$34)&amp;"","")))),INDEX('Inimigos'!$AA$11:$AA$54,$BC$34)&amp;""))</f>
        <v/>
      </c>
      <c r="BE34" s="19">
        <f>IF(NOT(ISNUMBER($BC$34)),"",IF(AND(LEN($CC$34)=0,ISNUMBER($AZ$34)),IF($P$8=1,INDEX('Encontros'!$Q$21:$Q$28,$AZ$34)&amp;"",IF($P$8=2,INDEX('Encontros'!$Q$49:$Q$56,$AZ$34)&amp;"",IF($P$8=3,INDEX('Encontros'!$Q$77:$Q$84,$AZ$34)&amp;"",IF($P$8=4,INDEX('Encontros'!$V$108:$V$115,$AZ$34)&amp;"","")))),INDEX('Inimigos'!$AB$11:$AB$54,$BC$34)&amp;""))</f>
        <v/>
      </c>
      <c r="BF34" s="19">
        <f>IF(NOT(ISNUMBER($BC$34)),"",IF(AND(LEN($CC$34)=0,ISNUMBER($AZ$34)),IF($P$8=1,INDEX('Encontros'!$R$21:$R$28,$AZ$34)&amp;"",IF($P$8=2,INDEX('Encontros'!$R$49:$R$56,$AZ$34)&amp;"",IF($P$8=3,INDEX('Encontros'!$R$77:$R$84,$AZ$34)&amp;"",IF($P$8=4,INDEX('Encontros'!$W$108:$W$115,$AZ$34)&amp;"","")))),INDEX('Inimigos'!$AC$11:$AC$54,$BC$34)&amp;""))</f>
        <v/>
      </c>
      <c r="BG34" s="19">
        <f>IF(NOT(ISNUMBER($BC$34)),"",IF(AND(LEN($CC$34)=0,ISNUMBER($AZ$34)),IF($P$8=1,INDEX('Encontros'!$S$21:$S$28,$AZ$34)&amp;"",IF($P$8=2,INDEX('Encontros'!$S$49:$S$56,$AZ$34)&amp;"",IF($P$8=3,INDEX('Encontros'!$S$77:$S$84,$AZ$34)&amp;"",IF($P$8=4,INDEX('Encontros'!$X$108:$X$115,$AZ$34)&amp;"","")))),INDEX('Inimigos'!$AD$11:$AD$54,$BC$34)&amp;""))</f>
        <v/>
      </c>
      <c r="BH34" s="19">
        <f>IF(NOT(ISNUMBER($BC$34)),"",IF(AND($BX$34&gt;=3,$AR$18&lt;=INDEX('Inimigos'!$AL$11:$AL$54,$BC$34)),3,IF(AND($BX$34&gt;=2,$AR$18&lt;=INDEX('Inimigos'!$AK$11:$AK$54,$BC$34)),2,1)))</f>
        <v/>
      </c>
      <c r="BI34" s="19">
        <f>IF(NOT(ISNUMBER($BC$34)),"",IF(ISNUMBER($CI$47),MIN($BX$34,MAX(1,INT($CI$47))),1))</f>
        <v/>
      </c>
      <c r="BJ34" s="19">
        <f>IF(NOT(ISNUMBER($BC$34)),"",IF($BI$34=3,INDEX('Inimigos'!$AR$11:$AR$54,$BC$34)&amp;"",IF($BI$34=2,INDEX('Inimigos'!$AM$11:$AM$54,$BC$34)&amp;"",$BD$34)))</f>
        <v/>
      </c>
      <c r="BK34" s="19">
        <f>IF(NOT(ISNUMBER($BC$34)),"",IF($BI$34=3,INDEX('Inimigos'!$AS$11:$AS$54,$BC$34)&amp;"",IF($BI$34=2,INDEX('Inimigos'!$AN$11:$AN$54,$BC$34)&amp;"",$BE$34)))</f>
        <v/>
      </c>
      <c r="BL34" s="19">
        <f>IF(NOT(ISNUMBER($BC$34)),"",IF($BI$34=3,INDEX('Inimigos'!$AT$11:$AT$54,$BC$34)&amp;"",IF($BI$34=2,INDEX('Inimigos'!$AO$11:$AO$54,$BC$34)&amp;"",$BF$34)))</f>
        <v/>
      </c>
      <c r="BM34" s="19">
        <f>IF(NOT(ISNUMBER($BC$34)),"",IF($BI$34=3,INDEX('Inimigos'!$AU$11:$AU$54,$BC$34)&amp;"",IF($BI$34=2,INDEX('Inimigos'!$AP$11:$AP$54,$BC$34)&amp;"",$BG$34)))</f>
        <v/>
      </c>
      <c r="BN34" s="19">
        <f>IF(ISNUMBER($BC$34),INDEX('Inimigos'!$AE$11:$AE$54,$BC$34)&amp;"","")</f>
        <v/>
      </c>
      <c r="BO34" s="19">
        <f>IF(NOT(ISNUMBER($BC$34)),"",MIN(INDEX('Inimigos'!$T$11:$T$54,$BC$34),IF($BI$34=3,INDEX('Inimigos'!$AV$11:$AV$54,$BC$34),IF($BI$34=2,INDEX('Inimigos'!$AQ$11:$AQ$54,$BC$34),INDEX('Inimigos'!$T$11:$T$54,$BC$34)))))</f>
        <v/>
      </c>
      <c r="BP34" s="19">
        <f>IF(NOT(ISNUMBER($BC$34)),"",MAX(0,$BO$34-IF(ISNUMBER($CC$63),MAX(0,INT($CC$63)),0)))</f>
        <v/>
      </c>
      <c r="BQ34" s="19">
        <f>IF(NOT(ISNUMBER($BC$34)),0,IF($BP$34=0,1,0))</f>
        <v/>
      </c>
      <c r="BR34" s="19">
        <f>IF(ISNUMBER($BC$34),INDEX('Inimigos'!$R$11:$R$54,$BC$34)-2*$BQ$34,"")</f>
        <v/>
      </c>
      <c r="BS34" s="19">
        <f>IF(ISNUMBER($BC$34),INDEX('Inimigos'!$S$11:$S$54,$BC$34),"")</f>
        <v/>
      </c>
      <c r="BT34" s="19">
        <f>IF(ISNUMBER($BC$34),INDEX('Inimigos'!$BE$11:$BE$54,$BC$34),"")</f>
        <v/>
      </c>
      <c r="BU34" s="19">
        <f>IF(ISNUMBER($BC$34),INDEX('Inimigos'!$AF$11:$AF$54,$BC$34)&amp;"","")</f>
        <v/>
      </c>
      <c r="BV34" s="19">
        <f>IF(AND(ISNUMBER($BC$34),$AR$18&gt;0,$BU$34="Pode"),1,0)</f>
        <v/>
      </c>
      <c r="BW34" s="19">
        <f>IF(ISNUMBER($BC$34),INDEX('Inimigos'!$O$11:$O$54,$BC$34)&amp;"","")</f>
        <v/>
      </c>
      <c r="BX34" s="19">
        <f>IF(ISNUMBER($BC$34),MAX(1,INDEX('Inimigos'!$AG$11:$AG$54,$BC$34)),1)</f>
        <v/>
      </c>
      <c r="BY34" s="19">
        <f>$N$18</f>
        <v/>
      </c>
      <c r="CC34" s="19">
        <f>IF(ISERROR($C$34),"",IF(ISBLANK($C$34),"",$C$34))</f>
        <v/>
      </c>
      <c r="CK34" s="19">
        <f>ISERROR($C$34)*1</f>
        <v/>
      </c>
    </row>
    <row r="35" ht="48" customHeight="1">
      <c r="A35" s="32">
        <f>IF(LEN($N$19)&gt;0,$N$19,"Inimigo 3")</f>
        <v/>
      </c>
      <c r="B35" s="4">
        <f>$BA$35</f>
        <v/>
      </c>
      <c r="C35" s="3" t="n"/>
      <c r="D35" s="17">
        <f>IF(ISNUMBER($BC$35),INDEX('Inimigos'!$O$11:$O$54,$BC$35)&amp;""&amp;" · "&amp;INDEX('Inimigos'!$P$11:$P$54,$BC$35)&amp;"","")</f>
        <v/>
      </c>
      <c r="E35" s="17">
        <f>IF(ISNUMBER($BC$35),"+"&amp;INDEX('Inimigos'!$V$11:$V$54,$BC$35),"")</f>
        <v/>
      </c>
      <c r="F35" s="4">
        <f>IF(ISNUMBER($BC$35),INDEX('Inimigos'!$W$11:$W$54,$BC$35)&amp;""&amp;" · média "&amp;INDEX('Inimigos'!$X$11:$X$54,$BC$35),"")</f>
        <v/>
      </c>
      <c r="H35" s="17">
        <f>IF(ISNUMBER($BC$35),"DT "&amp;INDEX('Inimigos'!$Y$11:$Y$54,$BC$35)&amp;" · TR +"&amp;INDEX('Inimigos'!$Z$11:$Z$54,$BC$35),"")</f>
        <v/>
      </c>
      <c r="I35" s="17">
        <f>IF(ISNUMBER($BC$35),INDEX('Inimigos'!$AJ$11:$AJ$54,$BC$35)&amp;"","")</f>
        <v/>
      </c>
      <c r="J35" s="17">
        <f>IF(ISNUMBER($BC$35),$BU$35,"")</f>
        <v/>
      </c>
      <c r="K35" s="18">
        <f>IF(CK35&gt;0,"O Google leu como fórmula: escolha de novo na lista.",IF(AND(LEN($BB$35)&gt;0,NOT(ISNUMBER($BC$35))),"Inimigo fora da lista (Inimigos e Bestiário)",IF(AND(ISNUMBER($BC$35),$BU$35="Não declarado"),"Execução não declarada na ficha: só ser racional Executa (23.5)","")))</f>
        <v/>
      </c>
      <c r="AZ35" s="19">
        <f>IF($P$8=1,IF(MAX('Encontros'!$Y$21:$Y$28)&gt;=3,COUNTIF('Encontros'!$Y$21:$Y$28,"&lt;"&amp;3)+1,""),IF($P$8=2,IF(MAX('Encontros'!$Y$49:$Y$56)&gt;=3,COUNTIF('Encontros'!$Y$49:$Y$56,"&lt;"&amp;3)+1,""),IF($P$8=3,IF(MAX('Encontros'!$Y$77:$Y$84)&gt;=3,COUNTIF('Encontros'!$Y$77:$Y$84,"&lt;"&amp;3)+1,""),IF($P$8=4,IF(MAX('Encontros'!$Y$108:$Y$115)&gt;=3,COUNTIF('Encontros'!$Y$108:$Y$115,"&lt;"&amp;3)+1,""),""))))</f>
        <v/>
      </c>
      <c r="BA35" s="19">
        <f>IF($P$8=1,IF(ISNUMBER($AZ$35),INDEX('Encontros'!$AE$21:$AE$28,$AZ$35)&amp;"",""),IF($P$8=2,IF(ISNUMBER($AZ$35),INDEX('Encontros'!$AE$49:$AE$56,$AZ$35)&amp;"",""),IF($P$8=3,IF(ISNUMBER($AZ$35),INDEX('Encontros'!$AE$77:$AE$84,$AZ$35)&amp;"",""),IF($P$8=4,IF(ISNUMBER($AZ$35),INDEX('Encontros'!$S$108:$S$115,$AZ$35)&amp;"",""),""))))</f>
        <v/>
      </c>
      <c r="BB35" s="19">
        <f>IF(LEN($CC$35)&gt;0,$CC$35,$BA$35)</f>
        <v/>
      </c>
      <c r="BC35" s="19">
        <f>IF(LEN($BB$35)=0,"",IFERROR(MATCH($BB$35,'Inimigos'!$N$11:$N$54,0),""))</f>
        <v/>
      </c>
      <c r="BD35" s="19">
        <f>IF(NOT(ISNUMBER($BC$35)),"",IF(AND(LEN($CC$35)=0,ISNUMBER($AZ$35)),IF($P$8=1,INDEX('Encontros'!$P$21:$P$28,$AZ$35)&amp;"",IF($P$8=2,INDEX('Encontros'!$P$49:$P$56,$AZ$35)&amp;"",IF($P$8=3,INDEX('Encontros'!$P$77:$P$84,$AZ$35)&amp;"",IF($P$8=4,INDEX('Encontros'!$U$108:$U$115,$AZ$35)&amp;"","")))),INDEX('Inimigos'!$AA$11:$AA$54,$BC$35)&amp;""))</f>
        <v/>
      </c>
      <c r="BE35" s="19">
        <f>IF(NOT(ISNUMBER($BC$35)),"",IF(AND(LEN($CC$35)=0,ISNUMBER($AZ$35)),IF($P$8=1,INDEX('Encontros'!$Q$21:$Q$28,$AZ$35)&amp;"",IF($P$8=2,INDEX('Encontros'!$Q$49:$Q$56,$AZ$35)&amp;"",IF($P$8=3,INDEX('Encontros'!$Q$77:$Q$84,$AZ$35)&amp;"",IF($P$8=4,INDEX('Encontros'!$V$108:$V$115,$AZ$35)&amp;"","")))),INDEX('Inimigos'!$AB$11:$AB$54,$BC$35)&amp;""))</f>
        <v/>
      </c>
      <c r="BF35" s="19">
        <f>IF(NOT(ISNUMBER($BC$35)),"",IF(AND(LEN($CC$35)=0,ISNUMBER($AZ$35)),IF($P$8=1,INDEX('Encontros'!$R$21:$R$28,$AZ$35)&amp;"",IF($P$8=2,INDEX('Encontros'!$R$49:$R$56,$AZ$35)&amp;"",IF($P$8=3,INDEX('Encontros'!$R$77:$R$84,$AZ$35)&amp;"",IF($P$8=4,INDEX('Encontros'!$W$108:$W$115,$AZ$35)&amp;"","")))),INDEX('Inimigos'!$AC$11:$AC$54,$BC$35)&amp;""))</f>
        <v/>
      </c>
      <c r="BG35" s="19">
        <f>IF(NOT(ISNUMBER($BC$35)),"",IF(AND(LEN($CC$35)=0,ISNUMBER($AZ$35)),IF($P$8=1,INDEX('Encontros'!$S$21:$S$28,$AZ$35)&amp;"",IF($P$8=2,INDEX('Encontros'!$S$49:$S$56,$AZ$35)&amp;"",IF($P$8=3,INDEX('Encontros'!$S$77:$S$84,$AZ$35)&amp;"",IF($P$8=4,INDEX('Encontros'!$X$108:$X$115,$AZ$35)&amp;"","")))),INDEX('Inimigos'!$AD$11:$AD$54,$BC$35)&amp;""))</f>
        <v/>
      </c>
      <c r="BH35" s="19">
        <f>IF(NOT(ISNUMBER($BC$35)),"",IF(AND($BX$35&gt;=3,$AR$19&lt;=INDEX('Inimigos'!$AL$11:$AL$54,$BC$35)),3,IF(AND($BX$35&gt;=2,$AR$19&lt;=INDEX('Inimigos'!$AK$11:$AK$54,$BC$35)),2,1)))</f>
        <v/>
      </c>
      <c r="BI35" s="19">
        <f>IF(NOT(ISNUMBER($BC$35)),"",IF(ISNUMBER($CI$48),MIN($BX$35,MAX(1,INT($CI$48))),1))</f>
        <v/>
      </c>
      <c r="BJ35" s="19">
        <f>IF(NOT(ISNUMBER($BC$35)),"",IF($BI$35=3,INDEX('Inimigos'!$AR$11:$AR$54,$BC$35)&amp;"",IF($BI$35=2,INDEX('Inimigos'!$AM$11:$AM$54,$BC$35)&amp;"",$BD$35)))</f>
        <v/>
      </c>
      <c r="BK35" s="19">
        <f>IF(NOT(ISNUMBER($BC$35)),"",IF($BI$35=3,INDEX('Inimigos'!$AS$11:$AS$54,$BC$35)&amp;"",IF($BI$35=2,INDEX('Inimigos'!$AN$11:$AN$54,$BC$35)&amp;"",$BE$35)))</f>
        <v/>
      </c>
      <c r="BL35" s="19">
        <f>IF(NOT(ISNUMBER($BC$35)),"",IF($BI$35=3,INDEX('Inimigos'!$AT$11:$AT$54,$BC$35)&amp;"",IF($BI$35=2,INDEX('Inimigos'!$AO$11:$AO$54,$BC$35)&amp;"",$BF$35)))</f>
        <v/>
      </c>
      <c r="BM35" s="19">
        <f>IF(NOT(ISNUMBER($BC$35)),"",IF($BI$35=3,INDEX('Inimigos'!$AU$11:$AU$54,$BC$35)&amp;"",IF($BI$35=2,INDEX('Inimigos'!$AP$11:$AP$54,$BC$35)&amp;"",$BG$35)))</f>
        <v/>
      </c>
      <c r="BN35" s="19">
        <f>IF(ISNUMBER($BC$35),INDEX('Inimigos'!$AE$11:$AE$54,$BC$35)&amp;"","")</f>
        <v/>
      </c>
      <c r="BO35" s="19">
        <f>IF(NOT(ISNUMBER($BC$35)),"",MIN(INDEX('Inimigos'!$T$11:$T$54,$BC$35),IF($BI$35=3,INDEX('Inimigos'!$AV$11:$AV$54,$BC$35),IF($BI$35=2,INDEX('Inimigos'!$AQ$11:$AQ$54,$BC$35),INDEX('Inimigos'!$T$11:$T$54,$BC$35)))))</f>
        <v/>
      </c>
      <c r="BP35" s="19">
        <f>IF(NOT(ISNUMBER($BC$35)),"",MAX(0,$BO$35-IF(ISNUMBER($CC$64),MAX(0,INT($CC$64)),0)))</f>
        <v/>
      </c>
      <c r="BQ35" s="19">
        <f>IF(NOT(ISNUMBER($BC$35)),0,IF($BP$35=0,1,0))</f>
        <v/>
      </c>
      <c r="BR35" s="19">
        <f>IF(ISNUMBER($BC$35),INDEX('Inimigos'!$R$11:$R$54,$BC$35)-2*$BQ$35,"")</f>
        <v/>
      </c>
      <c r="BS35" s="19">
        <f>IF(ISNUMBER($BC$35),INDEX('Inimigos'!$S$11:$S$54,$BC$35),"")</f>
        <v/>
      </c>
      <c r="BT35" s="19">
        <f>IF(ISNUMBER($BC$35),INDEX('Inimigos'!$BE$11:$BE$54,$BC$35),"")</f>
        <v/>
      </c>
      <c r="BU35" s="19">
        <f>IF(ISNUMBER($BC$35),INDEX('Inimigos'!$AF$11:$AF$54,$BC$35)&amp;"","")</f>
        <v/>
      </c>
      <c r="BV35" s="19">
        <f>IF(AND(ISNUMBER($BC$35),$AR$19&gt;0,$BU$35="Pode"),1,0)</f>
        <v/>
      </c>
      <c r="BW35" s="19">
        <f>IF(ISNUMBER($BC$35),INDEX('Inimigos'!$O$11:$O$54,$BC$35)&amp;"","")</f>
        <v/>
      </c>
      <c r="BX35" s="19">
        <f>IF(ISNUMBER($BC$35),MAX(1,INDEX('Inimigos'!$AG$11:$AG$54,$BC$35)),1)</f>
        <v/>
      </c>
      <c r="BY35" s="19">
        <f>$N$19</f>
        <v/>
      </c>
      <c r="CC35" s="19">
        <f>IF(ISERROR($C$35),"",IF(ISBLANK($C$35),"",$C$35))</f>
        <v/>
      </c>
      <c r="CK35" s="19">
        <f>ISERROR($C$35)*1</f>
        <v/>
      </c>
    </row>
    <row r="36" ht="48" customHeight="1">
      <c r="A36" s="33">
        <f>IF(LEN($N$20)&gt;0,$N$20,"Inimigo 4")</f>
        <v/>
      </c>
      <c r="B36" s="9">
        <f>$BA$36</f>
        <v/>
      </c>
      <c r="C36" s="28" t="n"/>
      <c r="D36" s="29">
        <f>IF(ISNUMBER($BC$36),INDEX('Inimigos'!$O$11:$O$54,$BC$36)&amp;""&amp;" · "&amp;INDEX('Inimigos'!$P$11:$P$54,$BC$36)&amp;"","")</f>
        <v/>
      </c>
      <c r="E36" s="29">
        <f>IF(ISNUMBER($BC$36),"+"&amp;INDEX('Inimigos'!$V$11:$V$54,$BC$36),"")</f>
        <v/>
      </c>
      <c r="F36" s="9">
        <f>IF(ISNUMBER($BC$36),INDEX('Inimigos'!$W$11:$W$54,$BC$36)&amp;""&amp;" · média "&amp;INDEX('Inimigos'!$X$11:$X$54,$BC$36),"")</f>
        <v/>
      </c>
      <c r="H36" s="29">
        <f>IF(ISNUMBER($BC$36),"DT "&amp;INDEX('Inimigos'!$Y$11:$Y$54,$BC$36)&amp;" · TR +"&amp;INDEX('Inimigos'!$Z$11:$Z$54,$BC$36),"")</f>
        <v/>
      </c>
      <c r="I36" s="29">
        <f>IF(ISNUMBER($BC$36),INDEX('Inimigos'!$AJ$11:$AJ$54,$BC$36)&amp;"","")</f>
        <v/>
      </c>
      <c r="J36" s="29">
        <f>IF(ISNUMBER($BC$36),$BU$36,"")</f>
        <v/>
      </c>
      <c r="K36" s="26">
        <f>IF(CK36&gt;0,"O Google leu como fórmula: escolha de novo na lista.",IF(AND(LEN($BB$36)&gt;0,NOT(ISNUMBER($BC$36))),"Inimigo fora da lista (Inimigos e Bestiário)",IF(AND(ISNUMBER($BC$36),$BU$36="Não declarado"),"Execução não declarada na ficha: só ser racional Executa (23.5)","")))</f>
        <v/>
      </c>
      <c r="AZ36" s="19">
        <f>IF($P$8=1,IF(MAX('Encontros'!$Y$21:$Y$28)&gt;=4,COUNTIF('Encontros'!$Y$21:$Y$28,"&lt;"&amp;4)+1,""),IF($P$8=2,IF(MAX('Encontros'!$Y$49:$Y$56)&gt;=4,COUNTIF('Encontros'!$Y$49:$Y$56,"&lt;"&amp;4)+1,""),IF($P$8=3,IF(MAX('Encontros'!$Y$77:$Y$84)&gt;=4,COUNTIF('Encontros'!$Y$77:$Y$84,"&lt;"&amp;4)+1,""),IF($P$8=4,IF(MAX('Encontros'!$Y$108:$Y$115)&gt;=4,COUNTIF('Encontros'!$Y$108:$Y$115,"&lt;"&amp;4)+1,""),""))))</f>
        <v/>
      </c>
      <c r="BA36" s="19">
        <f>IF($P$8=1,IF(ISNUMBER($AZ$36),INDEX('Encontros'!$AE$21:$AE$28,$AZ$36)&amp;"",""),IF($P$8=2,IF(ISNUMBER($AZ$36),INDEX('Encontros'!$AE$49:$AE$56,$AZ$36)&amp;"",""),IF($P$8=3,IF(ISNUMBER($AZ$36),INDEX('Encontros'!$AE$77:$AE$84,$AZ$36)&amp;"",""),IF($P$8=4,IF(ISNUMBER($AZ$36),INDEX('Encontros'!$S$108:$S$115,$AZ$36)&amp;"",""),""))))</f>
        <v/>
      </c>
      <c r="BB36" s="19">
        <f>IF(LEN($CC$36)&gt;0,$CC$36,$BA$36)</f>
        <v/>
      </c>
      <c r="BC36" s="19">
        <f>IF(LEN($BB$36)=0,"",IFERROR(MATCH($BB$36,'Inimigos'!$N$11:$N$54,0),""))</f>
        <v/>
      </c>
      <c r="BD36" s="19">
        <f>IF(NOT(ISNUMBER($BC$36)),"",IF(AND(LEN($CC$36)=0,ISNUMBER($AZ$36)),IF($P$8=1,INDEX('Encontros'!$P$21:$P$28,$AZ$36)&amp;"",IF($P$8=2,INDEX('Encontros'!$P$49:$P$56,$AZ$36)&amp;"",IF($P$8=3,INDEX('Encontros'!$P$77:$P$84,$AZ$36)&amp;"",IF($P$8=4,INDEX('Encontros'!$U$108:$U$115,$AZ$36)&amp;"","")))),INDEX('Inimigos'!$AA$11:$AA$54,$BC$36)&amp;""))</f>
        <v/>
      </c>
      <c r="BE36" s="19">
        <f>IF(NOT(ISNUMBER($BC$36)),"",IF(AND(LEN($CC$36)=0,ISNUMBER($AZ$36)),IF($P$8=1,INDEX('Encontros'!$Q$21:$Q$28,$AZ$36)&amp;"",IF($P$8=2,INDEX('Encontros'!$Q$49:$Q$56,$AZ$36)&amp;"",IF($P$8=3,INDEX('Encontros'!$Q$77:$Q$84,$AZ$36)&amp;"",IF($P$8=4,INDEX('Encontros'!$V$108:$V$115,$AZ$36)&amp;"","")))),INDEX('Inimigos'!$AB$11:$AB$54,$BC$36)&amp;""))</f>
        <v/>
      </c>
      <c r="BF36" s="19">
        <f>IF(NOT(ISNUMBER($BC$36)),"",IF(AND(LEN($CC$36)=0,ISNUMBER($AZ$36)),IF($P$8=1,INDEX('Encontros'!$R$21:$R$28,$AZ$36)&amp;"",IF($P$8=2,INDEX('Encontros'!$R$49:$R$56,$AZ$36)&amp;"",IF($P$8=3,INDEX('Encontros'!$R$77:$R$84,$AZ$36)&amp;"",IF($P$8=4,INDEX('Encontros'!$W$108:$W$115,$AZ$36)&amp;"","")))),INDEX('Inimigos'!$AC$11:$AC$54,$BC$36)&amp;""))</f>
        <v/>
      </c>
      <c r="BG36" s="19">
        <f>IF(NOT(ISNUMBER($BC$36)),"",IF(AND(LEN($CC$36)=0,ISNUMBER($AZ$36)),IF($P$8=1,INDEX('Encontros'!$S$21:$S$28,$AZ$36)&amp;"",IF($P$8=2,INDEX('Encontros'!$S$49:$S$56,$AZ$36)&amp;"",IF($P$8=3,INDEX('Encontros'!$S$77:$S$84,$AZ$36)&amp;"",IF($P$8=4,INDEX('Encontros'!$X$108:$X$115,$AZ$36)&amp;"","")))),INDEX('Inimigos'!$AD$11:$AD$54,$BC$36)&amp;""))</f>
        <v/>
      </c>
      <c r="BH36" s="19">
        <f>IF(NOT(ISNUMBER($BC$36)),"",IF(AND($BX$36&gt;=3,$AR$20&lt;=INDEX('Inimigos'!$AL$11:$AL$54,$BC$36)),3,IF(AND($BX$36&gt;=2,$AR$20&lt;=INDEX('Inimigos'!$AK$11:$AK$54,$BC$36)),2,1)))</f>
        <v/>
      </c>
      <c r="BI36" s="19">
        <f>IF(NOT(ISNUMBER($BC$36)),"",IF(ISNUMBER($CI$49),MIN($BX$36,MAX(1,INT($CI$49))),1))</f>
        <v/>
      </c>
      <c r="BJ36" s="19">
        <f>IF(NOT(ISNUMBER($BC$36)),"",IF($BI$36=3,INDEX('Inimigos'!$AR$11:$AR$54,$BC$36)&amp;"",IF($BI$36=2,INDEX('Inimigos'!$AM$11:$AM$54,$BC$36)&amp;"",$BD$36)))</f>
        <v/>
      </c>
      <c r="BK36" s="19">
        <f>IF(NOT(ISNUMBER($BC$36)),"",IF($BI$36=3,INDEX('Inimigos'!$AS$11:$AS$54,$BC$36)&amp;"",IF($BI$36=2,INDEX('Inimigos'!$AN$11:$AN$54,$BC$36)&amp;"",$BE$36)))</f>
        <v/>
      </c>
      <c r="BL36" s="19">
        <f>IF(NOT(ISNUMBER($BC$36)),"",IF($BI$36=3,INDEX('Inimigos'!$AT$11:$AT$54,$BC$36)&amp;"",IF($BI$36=2,INDEX('Inimigos'!$AO$11:$AO$54,$BC$36)&amp;"",$BF$36)))</f>
        <v/>
      </c>
      <c r="BM36" s="19">
        <f>IF(NOT(ISNUMBER($BC$36)),"",IF($BI$36=3,INDEX('Inimigos'!$AU$11:$AU$54,$BC$36)&amp;"",IF($BI$36=2,INDEX('Inimigos'!$AP$11:$AP$54,$BC$36)&amp;"",$BG$36)))</f>
        <v/>
      </c>
      <c r="BN36" s="19">
        <f>IF(ISNUMBER($BC$36),INDEX('Inimigos'!$AE$11:$AE$54,$BC$36)&amp;"","")</f>
        <v/>
      </c>
      <c r="BO36" s="19">
        <f>IF(NOT(ISNUMBER($BC$36)),"",MIN(INDEX('Inimigos'!$T$11:$T$54,$BC$36),IF($BI$36=3,INDEX('Inimigos'!$AV$11:$AV$54,$BC$36),IF($BI$36=2,INDEX('Inimigos'!$AQ$11:$AQ$54,$BC$36),INDEX('Inimigos'!$T$11:$T$54,$BC$36)))))</f>
        <v/>
      </c>
      <c r="BP36" s="19">
        <f>IF(NOT(ISNUMBER($BC$36)),"",MAX(0,$BO$36-IF(ISNUMBER($CC$65),MAX(0,INT($CC$65)),0)))</f>
        <v/>
      </c>
      <c r="BQ36" s="19">
        <f>IF(NOT(ISNUMBER($BC$36)),0,IF($BP$36=0,1,0))</f>
        <v/>
      </c>
      <c r="BR36" s="19">
        <f>IF(ISNUMBER($BC$36),INDEX('Inimigos'!$R$11:$R$54,$BC$36)-2*$BQ$36,"")</f>
        <v/>
      </c>
      <c r="BS36" s="19">
        <f>IF(ISNUMBER($BC$36),INDEX('Inimigos'!$S$11:$S$54,$BC$36),"")</f>
        <v/>
      </c>
      <c r="BT36" s="19">
        <f>IF(ISNUMBER($BC$36),INDEX('Inimigos'!$BE$11:$BE$54,$BC$36),"")</f>
        <v/>
      </c>
      <c r="BU36" s="19">
        <f>IF(ISNUMBER($BC$36),INDEX('Inimigos'!$AF$11:$AF$54,$BC$36)&amp;"","")</f>
        <v/>
      </c>
      <c r="BV36" s="19">
        <f>IF(AND(ISNUMBER($BC$36),$AR$20&gt;0,$BU$36="Pode"),1,0)</f>
        <v/>
      </c>
      <c r="BW36" s="19">
        <f>IF(ISNUMBER($BC$36),INDEX('Inimigos'!$O$11:$O$54,$BC$36)&amp;"","")</f>
        <v/>
      </c>
      <c r="BX36" s="19">
        <f>IF(ISNUMBER($BC$36),MAX(1,INDEX('Inimigos'!$AG$11:$AG$54,$BC$36)),1)</f>
        <v/>
      </c>
      <c r="BY36" s="19">
        <f>$N$20</f>
        <v/>
      </c>
      <c r="CC36" s="19">
        <f>IF(ISERROR($C$36),"",IF(ISBLANK($C$36),"",$C$36))</f>
        <v/>
      </c>
      <c r="CK36" s="19">
        <f>ISERROR($C$36)*1</f>
        <v/>
      </c>
    </row>
    <row r="37" ht="48" customHeight="1">
      <c r="A37" s="32">
        <f>IF(LEN($N$21)&gt;0,$N$21,"Inimigo 5")</f>
        <v/>
      </c>
      <c r="B37" s="4">
        <f>$BA$37</f>
        <v/>
      </c>
      <c r="C37" s="3" t="n"/>
      <c r="D37" s="17">
        <f>IF(ISNUMBER($BC$37),INDEX('Inimigos'!$O$11:$O$54,$BC$37)&amp;""&amp;" · "&amp;INDEX('Inimigos'!$P$11:$P$54,$BC$37)&amp;"","")</f>
        <v/>
      </c>
      <c r="E37" s="17">
        <f>IF(ISNUMBER($BC$37),"+"&amp;INDEX('Inimigos'!$V$11:$V$54,$BC$37),"")</f>
        <v/>
      </c>
      <c r="F37" s="4">
        <f>IF(ISNUMBER($BC$37),INDEX('Inimigos'!$W$11:$W$54,$BC$37)&amp;""&amp;" · média "&amp;INDEX('Inimigos'!$X$11:$X$54,$BC$37),"")</f>
        <v/>
      </c>
      <c r="H37" s="17">
        <f>IF(ISNUMBER($BC$37),"DT "&amp;INDEX('Inimigos'!$Y$11:$Y$54,$BC$37)&amp;" · TR +"&amp;INDEX('Inimigos'!$Z$11:$Z$54,$BC$37),"")</f>
        <v/>
      </c>
      <c r="I37" s="17">
        <f>IF(ISNUMBER($BC$37),INDEX('Inimigos'!$AJ$11:$AJ$54,$BC$37)&amp;"","")</f>
        <v/>
      </c>
      <c r="J37" s="17">
        <f>IF(ISNUMBER($BC$37),$BU$37,"")</f>
        <v/>
      </c>
      <c r="K37" s="18">
        <f>IF(CK37&gt;0,"O Google leu como fórmula: escolha de novo na lista.",IF(AND(LEN($BB$37)&gt;0,NOT(ISNUMBER($BC$37))),"Inimigo fora da lista (Inimigos e Bestiário)",IF(AND(ISNUMBER($BC$37),$BU$37="Não declarado"),"Execução não declarada na ficha: só ser racional Executa (23.5)","")))</f>
        <v/>
      </c>
      <c r="AZ37" s="19">
        <f>IF($P$8=1,IF(MAX('Encontros'!$Y$21:$Y$28)&gt;=5,COUNTIF('Encontros'!$Y$21:$Y$28,"&lt;"&amp;5)+1,""),IF($P$8=2,IF(MAX('Encontros'!$Y$49:$Y$56)&gt;=5,COUNTIF('Encontros'!$Y$49:$Y$56,"&lt;"&amp;5)+1,""),IF($P$8=3,IF(MAX('Encontros'!$Y$77:$Y$84)&gt;=5,COUNTIF('Encontros'!$Y$77:$Y$84,"&lt;"&amp;5)+1,""),IF($P$8=4,IF(MAX('Encontros'!$Y$108:$Y$115)&gt;=5,COUNTIF('Encontros'!$Y$108:$Y$115,"&lt;"&amp;5)+1,""),""))))</f>
        <v/>
      </c>
      <c r="BA37" s="19">
        <f>IF($P$8=1,IF(ISNUMBER($AZ$37),INDEX('Encontros'!$AE$21:$AE$28,$AZ$37)&amp;"",""),IF($P$8=2,IF(ISNUMBER($AZ$37),INDEX('Encontros'!$AE$49:$AE$56,$AZ$37)&amp;"",""),IF($P$8=3,IF(ISNUMBER($AZ$37),INDEX('Encontros'!$AE$77:$AE$84,$AZ$37)&amp;"",""),IF($P$8=4,IF(ISNUMBER($AZ$37),INDEX('Encontros'!$S$108:$S$115,$AZ$37)&amp;"",""),""))))</f>
        <v/>
      </c>
      <c r="BB37" s="19">
        <f>IF(LEN($CC$37)&gt;0,$CC$37,$BA$37)</f>
        <v/>
      </c>
      <c r="BC37" s="19">
        <f>IF(LEN($BB$37)=0,"",IFERROR(MATCH($BB$37,'Inimigos'!$N$11:$N$54,0),""))</f>
        <v/>
      </c>
      <c r="BD37" s="19">
        <f>IF(NOT(ISNUMBER($BC$37)),"",IF(AND(LEN($CC$37)=0,ISNUMBER($AZ$37)),IF($P$8=1,INDEX('Encontros'!$P$21:$P$28,$AZ$37)&amp;"",IF($P$8=2,INDEX('Encontros'!$P$49:$P$56,$AZ$37)&amp;"",IF($P$8=3,INDEX('Encontros'!$P$77:$P$84,$AZ$37)&amp;"",IF($P$8=4,INDEX('Encontros'!$U$108:$U$115,$AZ$37)&amp;"","")))),INDEX('Inimigos'!$AA$11:$AA$54,$BC$37)&amp;""))</f>
        <v/>
      </c>
      <c r="BE37" s="19">
        <f>IF(NOT(ISNUMBER($BC$37)),"",IF(AND(LEN($CC$37)=0,ISNUMBER($AZ$37)),IF($P$8=1,INDEX('Encontros'!$Q$21:$Q$28,$AZ$37)&amp;"",IF($P$8=2,INDEX('Encontros'!$Q$49:$Q$56,$AZ$37)&amp;"",IF($P$8=3,INDEX('Encontros'!$Q$77:$Q$84,$AZ$37)&amp;"",IF($P$8=4,INDEX('Encontros'!$V$108:$V$115,$AZ$37)&amp;"","")))),INDEX('Inimigos'!$AB$11:$AB$54,$BC$37)&amp;""))</f>
        <v/>
      </c>
      <c r="BF37" s="19">
        <f>IF(NOT(ISNUMBER($BC$37)),"",IF(AND(LEN($CC$37)=0,ISNUMBER($AZ$37)),IF($P$8=1,INDEX('Encontros'!$R$21:$R$28,$AZ$37)&amp;"",IF($P$8=2,INDEX('Encontros'!$R$49:$R$56,$AZ$37)&amp;"",IF($P$8=3,INDEX('Encontros'!$R$77:$R$84,$AZ$37)&amp;"",IF($P$8=4,INDEX('Encontros'!$W$108:$W$115,$AZ$37)&amp;"","")))),INDEX('Inimigos'!$AC$11:$AC$54,$BC$37)&amp;""))</f>
        <v/>
      </c>
      <c r="BG37" s="19">
        <f>IF(NOT(ISNUMBER($BC$37)),"",IF(AND(LEN($CC$37)=0,ISNUMBER($AZ$37)),IF($P$8=1,INDEX('Encontros'!$S$21:$S$28,$AZ$37)&amp;"",IF($P$8=2,INDEX('Encontros'!$S$49:$S$56,$AZ$37)&amp;"",IF($P$8=3,INDEX('Encontros'!$S$77:$S$84,$AZ$37)&amp;"",IF($P$8=4,INDEX('Encontros'!$X$108:$X$115,$AZ$37)&amp;"","")))),INDEX('Inimigos'!$AD$11:$AD$54,$BC$37)&amp;""))</f>
        <v/>
      </c>
      <c r="BH37" s="19">
        <f>IF(NOT(ISNUMBER($BC$37)),"",IF(AND($BX$37&gt;=3,$AR$21&lt;=INDEX('Inimigos'!$AL$11:$AL$54,$BC$37)),3,IF(AND($BX$37&gt;=2,$AR$21&lt;=INDEX('Inimigos'!$AK$11:$AK$54,$BC$37)),2,1)))</f>
        <v/>
      </c>
      <c r="BI37" s="19">
        <f>IF(NOT(ISNUMBER($BC$37)),"",IF(ISNUMBER($CI$50),MIN($BX$37,MAX(1,INT($CI$50))),1))</f>
        <v/>
      </c>
      <c r="BJ37" s="19">
        <f>IF(NOT(ISNUMBER($BC$37)),"",IF($BI$37=3,INDEX('Inimigos'!$AR$11:$AR$54,$BC$37)&amp;"",IF($BI$37=2,INDEX('Inimigos'!$AM$11:$AM$54,$BC$37)&amp;"",$BD$37)))</f>
        <v/>
      </c>
      <c r="BK37" s="19">
        <f>IF(NOT(ISNUMBER($BC$37)),"",IF($BI$37=3,INDEX('Inimigos'!$AS$11:$AS$54,$BC$37)&amp;"",IF($BI$37=2,INDEX('Inimigos'!$AN$11:$AN$54,$BC$37)&amp;"",$BE$37)))</f>
        <v/>
      </c>
      <c r="BL37" s="19">
        <f>IF(NOT(ISNUMBER($BC$37)),"",IF($BI$37=3,INDEX('Inimigos'!$AT$11:$AT$54,$BC$37)&amp;"",IF($BI$37=2,INDEX('Inimigos'!$AO$11:$AO$54,$BC$37)&amp;"",$BF$37)))</f>
        <v/>
      </c>
      <c r="BM37" s="19">
        <f>IF(NOT(ISNUMBER($BC$37)),"",IF($BI$37=3,INDEX('Inimigos'!$AU$11:$AU$54,$BC$37)&amp;"",IF($BI$37=2,INDEX('Inimigos'!$AP$11:$AP$54,$BC$37)&amp;"",$BG$37)))</f>
        <v/>
      </c>
      <c r="BN37" s="19">
        <f>IF(ISNUMBER($BC$37),INDEX('Inimigos'!$AE$11:$AE$54,$BC$37)&amp;"","")</f>
        <v/>
      </c>
      <c r="BO37" s="19">
        <f>IF(NOT(ISNUMBER($BC$37)),"",MIN(INDEX('Inimigos'!$T$11:$T$54,$BC$37),IF($BI$37=3,INDEX('Inimigos'!$AV$11:$AV$54,$BC$37),IF($BI$37=2,INDEX('Inimigos'!$AQ$11:$AQ$54,$BC$37),INDEX('Inimigos'!$T$11:$T$54,$BC$37)))))</f>
        <v/>
      </c>
      <c r="BP37" s="19">
        <f>IF(NOT(ISNUMBER($BC$37)),"",MAX(0,$BO$37-IF(ISNUMBER($CC$66),MAX(0,INT($CC$66)),0)))</f>
        <v/>
      </c>
      <c r="BQ37" s="19">
        <f>IF(NOT(ISNUMBER($BC$37)),0,IF($BP$37=0,1,0))</f>
        <v/>
      </c>
      <c r="BR37" s="19">
        <f>IF(ISNUMBER($BC$37),INDEX('Inimigos'!$R$11:$R$54,$BC$37)-2*$BQ$37,"")</f>
        <v/>
      </c>
      <c r="BS37" s="19">
        <f>IF(ISNUMBER($BC$37),INDEX('Inimigos'!$S$11:$S$54,$BC$37),"")</f>
        <v/>
      </c>
      <c r="BT37" s="19">
        <f>IF(ISNUMBER($BC$37),INDEX('Inimigos'!$BE$11:$BE$54,$BC$37),"")</f>
        <v/>
      </c>
      <c r="BU37" s="19">
        <f>IF(ISNUMBER($BC$37),INDEX('Inimigos'!$AF$11:$AF$54,$BC$37)&amp;"","")</f>
        <v/>
      </c>
      <c r="BV37" s="19">
        <f>IF(AND(ISNUMBER($BC$37),$AR$21&gt;0,$BU$37="Pode"),1,0)</f>
        <v/>
      </c>
      <c r="BW37" s="19">
        <f>IF(ISNUMBER($BC$37),INDEX('Inimigos'!$O$11:$O$54,$BC$37)&amp;"","")</f>
        <v/>
      </c>
      <c r="BX37" s="19">
        <f>IF(ISNUMBER($BC$37),MAX(1,INDEX('Inimigos'!$AG$11:$AG$54,$BC$37)),1)</f>
        <v/>
      </c>
      <c r="BY37" s="19">
        <f>$N$21</f>
        <v/>
      </c>
      <c r="CC37" s="19">
        <f>IF(ISERROR($C$37),"",IF(ISBLANK($C$37),"",$C$37))</f>
        <v/>
      </c>
      <c r="CK37" s="19">
        <f>ISERROR($C$37)*1</f>
        <v/>
      </c>
    </row>
    <row r="38" ht="48" customHeight="1">
      <c r="A38" s="33">
        <f>IF(LEN($N$22)&gt;0,$N$22,"Inimigo 6")</f>
        <v/>
      </c>
      <c r="B38" s="9">
        <f>$BA$38</f>
        <v/>
      </c>
      <c r="C38" s="28" t="n"/>
      <c r="D38" s="29">
        <f>IF(ISNUMBER($BC$38),INDEX('Inimigos'!$O$11:$O$54,$BC$38)&amp;""&amp;" · "&amp;INDEX('Inimigos'!$P$11:$P$54,$BC$38)&amp;"","")</f>
        <v/>
      </c>
      <c r="E38" s="29">
        <f>IF(ISNUMBER($BC$38),"+"&amp;INDEX('Inimigos'!$V$11:$V$54,$BC$38),"")</f>
        <v/>
      </c>
      <c r="F38" s="9">
        <f>IF(ISNUMBER($BC$38),INDEX('Inimigos'!$W$11:$W$54,$BC$38)&amp;""&amp;" · média "&amp;INDEX('Inimigos'!$X$11:$X$54,$BC$38),"")</f>
        <v/>
      </c>
      <c r="H38" s="29">
        <f>IF(ISNUMBER($BC$38),"DT "&amp;INDEX('Inimigos'!$Y$11:$Y$54,$BC$38)&amp;" · TR +"&amp;INDEX('Inimigos'!$Z$11:$Z$54,$BC$38),"")</f>
        <v/>
      </c>
      <c r="I38" s="29">
        <f>IF(ISNUMBER($BC$38),INDEX('Inimigos'!$AJ$11:$AJ$54,$BC$38)&amp;"","")</f>
        <v/>
      </c>
      <c r="J38" s="29">
        <f>IF(ISNUMBER($BC$38),$BU$38,"")</f>
        <v/>
      </c>
      <c r="K38" s="26">
        <f>IF(CK38&gt;0,"O Google leu como fórmula: escolha de novo na lista.",IF(AND(LEN($BB$38)&gt;0,NOT(ISNUMBER($BC$38))),"Inimigo fora da lista (Inimigos e Bestiário)",IF(AND(ISNUMBER($BC$38),$BU$38="Não declarado"),"Execução não declarada na ficha: só ser racional Executa (23.5)","")))</f>
        <v/>
      </c>
      <c r="AZ38" s="19">
        <f>IF($P$8=1,IF(MAX('Encontros'!$Y$21:$Y$28)&gt;=6,COUNTIF('Encontros'!$Y$21:$Y$28,"&lt;"&amp;6)+1,""),IF($P$8=2,IF(MAX('Encontros'!$Y$49:$Y$56)&gt;=6,COUNTIF('Encontros'!$Y$49:$Y$56,"&lt;"&amp;6)+1,""),IF($P$8=3,IF(MAX('Encontros'!$Y$77:$Y$84)&gt;=6,COUNTIF('Encontros'!$Y$77:$Y$84,"&lt;"&amp;6)+1,""),IF($P$8=4,IF(MAX('Encontros'!$Y$108:$Y$115)&gt;=6,COUNTIF('Encontros'!$Y$108:$Y$115,"&lt;"&amp;6)+1,""),""))))</f>
        <v/>
      </c>
      <c r="BA38" s="19">
        <f>IF($P$8=1,IF(ISNUMBER($AZ$38),INDEX('Encontros'!$AE$21:$AE$28,$AZ$38)&amp;"",""),IF($P$8=2,IF(ISNUMBER($AZ$38),INDEX('Encontros'!$AE$49:$AE$56,$AZ$38)&amp;"",""),IF($P$8=3,IF(ISNUMBER($AZ$38),INDEX('Encontros'!$AE$77:$AE$84,$AZ$38)&amp;"",""),IF($P$8=4,IF(ISNUMBER($AZ$38),INDEX('Encontros'!$S$108:$S$115,$AZ$38)&amp;"",""),""))))</f>
        <v/>
      </c>
      <c r="BB38" s="19">
        <f>IF(LEN($CC$38)&gt;0,$CC$38,$BA$38)</f>
        <v/>
      </c>
      <c r="BC38" s="19">
        <f>IF(LEN($BB$38)=0,"",IFERROR(MATCH($BB$38,'Inimigos'!$N$11:$N$54,0),""))</f>
        <v/>
      </c>
      <c r="BD38" s="19">
        <f>IF(NOT(ISNUMBER($BC$38)),"",IF(AND(LEN($CC$38)=0,ISNUMBER($AZ$38)),IF($P$8=1,INDEX('Encontros'!$P$21:$P$28,$AZ$38)&amp;"",IF($P$8=2,INDEX('Encontros'!$P$49:$P$56,$AZ$38)&amp;"",IF($P$8=3,INDEX('Encontros'!$P$77:$P$84,$AZ$38)&amp;"",IF($P$8=4,INDEX('Encontros'!$U$108:$U$115,$AZ$38)&amp;"","")))),INDEX('Inimigos'!$AA$11:$AA$54,$BC$38)&amp;""))</f>
        <v/>
      </c>
      <c r="BE38" s="19">
        <f>IF(NOT(ISNUMBER($BC$38)),"",IF(AND(LEN($CC$38)=0,ISNUMBER($AZ$38)),IF($P$8=1,INDEX('Encontros'!$Q$21:$Q$28,$AZ$38)&amp;"",IF($P$8=2,INDEX('Encontros'!$Q$49:$Q$56,$AZ$38)&amp;"",IF($P$8=3,INDEX('Encontros'!$Q$77:$Q$84,$AZ$38)&amp;"",IF($P$8=4,INDEX('Encontros'!$V$108:$V$115,$AZ$38)&amp;"","")))),INDEX('Inimigos'!$AB$11:$AB$54,$BC$38)&amp;""))</f>
        <v/>
      </c>
      <c r="BF38" s="19">
        <f>IF(NOT(ISNUMBER($BC$38)),"",IF(AND(LEN($CC$38)=0,ISNUMBER($AZ$38)),IF($P$8=1,INDEX('Encontros'!$R$21:$R$28,$AZ$38)&amp;"",IF($P$8=2,INDEX('Encontros'!$R$49:$R$56,$AZ$38)&amp;"",IF($P$8=3,INDEX('Encontros'!$R$77:$R$84,$AZ$38)&amp;"",IF($P$8=4,INDEX('Encontros'!$W$108:$W$115,$AZ$38)&amp;"","")))),INDEX('Inimigos'!$AC$11:$AC$54,$BC$38)&amp;""))</f>
        <v/>
      </c>
      <c r="BG38" s="19">
        <f>IF(NOT(ISNUMBER($BC$38)),"",IF(AND(LEN($CC$38)=0,ISNUMBER($AZ$38)),IF($P$8=1,INDEX('Encontros'!$S$21:$S$28,$AZ$38)&amp;"",IF($P$8=2,INDEX('Encontros'!$S$49:$S$56,$AZ$38)&amp;"",IF($P$8=3,INDEX('Encontros'!$S$77:$S$84,$AZ$38)&amp;"",IF($P$8=4,INDEX('Encontros'!$X$108:$X$115,$AZ$38)&amp;"","")))),INDEX('Inimigos'!$AD$11:$AD$54,$BC$38)&amp;""))</f>
        <v/>
      </c>
      <c r="BH38" s="19">
        <f>IF(NOT(ISNUMBER($BC$38)),"",IF(AND($BX$38&gt;=3,$AR$22&lt;=INDEX('Inimigos'!$AL$11:$AL$54,$BC$38)),3,IF(AND($BX$38&gt;=2,$AR$22&lt;=INDEX('Inimigos'!$AK$11:$AK$54,$BC$38)),2,1)))</f>
        <v/>
      </c>
      <c r="BI38" s="19">
        <f>IF(NOT(ISNUMBER($BC$38)),"",IF(ISNUMBER($CI$51),MIN($BX$38,MAX(1,INT($CI$51))),1))</f>
        <v/>
      </c>
      <c r="BJ38" s="19">
        <f>IF(NOT(ISNUMBER($BC$38)),"",IF($BI$38=3,INDEX('Inimigos'!$AR$11:$AR$54,$BC$38)&amp;"",IF($BI$38=2,INDEX('Inimigos'!$AM$11:$AM$54,$BC$38)&amp;"",$BD$38)))</f>
        <v/>
      </c>
      <c r="BK38" s="19">
        <f>IF(NOT(ISNUMBER($BC$38)),"",IF($BI$38=3,INDEX('Inimigos'!$AS$11:$AS$54,$BC$38)&amp;"",IF($BI$38=2,INDEX('Inimigos'!$AN$11:$AN$54,$BC$38)&amp;"",$BE$38)))</f>
        <v/>
      </c>
      <c r="BL38" s="19">
        <f>IF(NOT(ISNUMBER($BC$38)),"",IF($BI$38=3,INDEX('Inimigos'!$AT$11:$AT$54,$BC$38)&amp;"",IF($BI$38=2,INDEX('Inimigos'!$AO$11:$AO$54,$BC$38)&amp;"",$BF$38)))</f>
        <v/>
      </c>
      <c r="BM38" s="19">
        <f>IF(NOT(ISNUMBER($BC$38)),"",IF($BI$38=3,INDEX('Inimigos'!$AU$11:$AU$54,$BC$38)&amp;"",IF($BI$38=2,INDEX('Inimigos'!$AP$11:$AP$54,$BC$38)&amp;"",$BG$38)))</f>
        <v/>
      </c>
      <c r="BN38" s="19">
        <f>IF(ISNUMBER($BC$38),INDEX('Inimigos'!$AE$11:$AE$54,$BC$38)&amp;"","")</f>
        <v/>
      </c>
      <c r="BO38" s="19">
        <f>IF(NOT(ISNUMBER($BC$38)),"",MIN(INDEX('Inimigos'!$T$11:$T$54,$BC$38),IF($BI$38=3,INDEX('Inimigos'!$AV$11:$AV$54,$BC$38),IF($BI$38=2,INDEX('Inimigos'!$AQ$11:$AQ$54,$BC$38),INDEX('Inimigos'!$T$11:$T$54,$BC$38)))))</f>
        <v/>
      </c>
      <c r="BP38" s="19">
        <f>IF(NOT(ISNUMBER($BC$38)),"",MAX(0,$BO$38-IF(ISNUMBER($CC$67),MAX(0,INT($CC$67)),0)))</f>
        <v/>
      </c>
      <c r="BQ38" s="19">
        <f>IF(NOT(ISNUMBER($BC$38)),0,IF($BP$38=0,1,0))</f>
        <v/>
      </c>
      <c r="BR38" s="19">
        <f>IF(ISNUMBER($BC$38),INDEX('Inimigos'!$R$11:$R$54,$BC$38)-2*$BQ$38,"")</f>
        <v/>
      </c>
      <c r="BS38" s="19">
        <f>IF(ISNUMBER($BC$38),INDEX('Inimigos'!$S$11:$S$54,$BC$38),"")</f>
        <v/>
      </c>
      <c r="BT38" s="19">
        <f>IF(ISNUMBER($BC$38),INDEX('Inimigos'!$BE$11:$BE$54,$BC$38),"")</f>
        <v/>
      </c>
      <c r="BU38" s="19">
        <f>IF(ISNUMBER($BC$38),INDEX('Inimigos'!$AF$11:$AF$54,$BC$38)&amp;"","")</f>
        <v/>
      </c>
      <c r="BV38" s="19">
        <f>IF(AND(ISNUMBER($BC$38),$AR$22&gt;0,$BU$38="Pode"),1,0)</f>
        <v/>
      </c>
      <c r="BW38" s="19">
        <f>IF(ISNUMBER($BC$38),INDEX('Inimigos'!$O$11:$O$54,$BC$38)&amp;"","")</f>
        <v/>
      </c>
      <c r="BX38" s="19">
        <f>IF(ISNUMBER($BC$38),MAX(1,INDEX('Inimigos'!$AG$11:$AG$54,$BC$38)),1)</f>
        <v/>
      </c>
      <c r="BY38" s="19">
        <f>$N$22</f>
        <v/>
      </c>
      <c r="CC38" s="19">
        <f>IF(ISERROR($C$38),"",IF(ISBLANK($C$38),"",$C$38))</f>
        <v/>
      </c>
      <c r="CK38" s="19">
        <f>ISERROR($C$38)*1</f>
        <v/>
      </c>
    </row>
    <row r="39" ht="48" customHeight="1">
      <c r="A39" s="32">
        <f>IF(LEN($N$23)&gt;0,$N$23,"Inimigo 7")</f>
        <v/>
      </c>
      <c r="B39" s="4">
        <f>$BA$39</f>
        <v/>
      </c>
      <c r="C39" s="3" t="n"/>
      <c r="D39" s="17">
        <f>IF(ISNUMBER($BC$39),INDEX('Inimigos'!$O$11:$O$54,$BC$39)&amp;""&amp;" · "&amp;INDEX('Inimigos'!$P$11:$P$54,$BC$39)&amp;"","")</f>
        <v/>
      </c>
      <c r="E39" s="17">
        <f>IF(ISNUMBER($BC$39),"+"&amp;INDEX('Inimigos'!$V$11:$V$54,$BC$39),"")</f>
        <v/>
      </c>
      <c r="F39" s="4">
        <f>IF(ISNUMBER($BC$39),INDEX('Inimigos'!$W$11:$W$54,$BC$39)&amp;""&amp;" · média "&amp;INDEX('Inimigos'!$X$11:$X$54,$BC$39),"")</f>
        <v/>
      </c>
      <c r="H39" s="17">
        <f>IF(ISNUMBER($BC$39),"DT "&amp;INDEX('Inimigos'!$Y$11:$Y$54,$BC$39)&amp;" · TR +"&amp;INDEX('Inimigos'!$Z$11:$Z$54,$BC$39),"")</f>
        <v/>
      </c>
      <c r="I39" s="17">
        <f>IF(ISNUMBER($BC$39),INDEX('Inimigos'!$AJ$11:$AJ$54,$BC$39)&amp;"","")</f>
        <v/>
      </c>
      <c r="J39" s="17">
        <f>IF(ISNUMBER($BC$39),$BU$39,"")</f>
        <v/>
      </c>
      <c r="K39" s="18">
        <f>IF(CK39&gt;0,"O Google leu como fórmula: escolha de novo na lista.",IF(AND(LEN($BB$39)&gt;0,NOT(ISNUMBER($BC$39))),"Inimigo fora da lista (Inimigos e Bestiário)",IF(AND(ISNUMBER($BC$39),$BU$39="Não declarado"),"Execução não declarada na ficha: só ser racional Executa (23.5)","")))</f>
        <v/>
      </c>
      <c r="AZ39" s="19">
        <f>IF($P$8=1,IF(MAX('Encontros'!$Y$21:$Y$28)&gt;=7,COUNTIF('Encontros'!$Y$21:$Y$28,"&lt;"&amp;7)+1,""),IF($P$8=2,IF(MAX('Encontros'!$Y$49:$Y$56)&gt;=7,COUNTIF('Encontros'!$Y$49:$Y$56,"&lt;"&amp;7)+1,""),IF($P$8=3,IF(MAX('Encontros'!$Y$77:$Y$84)&gt;=7,COUNTIF('Encontros'!$Y$77:$Y$84,"&lt;"&amp;7)+1,""),IF($P$8=4,IF(MAX('Encontros'!$Y$108:$Y$115)&gt;=7,COUNTIF('Encontros'!$Y$108:$Y$115,"&lt;"&amp;7)+1,""),""))))</f>
        <v/>
      </c>
      <c r="BA39" s="19">
        <f>IF($P$8=1,IF(ISNUMBER($AZ$39),INDEX('Encontros'!$AE$21:$AE$28,$AZ$39)&amp;"",""),IF($P$8=2,IF(ISNUMBER($AZ$39),INDEX('Encontros'!$AE$49:$AE$56,$AZ$39)&amp;"",""),IF($P$8=3,IF(ISNUMBER($AZ$39),INDEX('Encontros'!$AE$77:$AE$84,$AZ$39)&amp;"",""),IF($P$8=4,IF(ISNUMBER($AZ$39),INDEX('Encontros'!$S$108:$S$115,$AZ$39)&amp;"",""),""))))</f>
        <v/>
      </c>
      <c r="BB39" s="19">
        <f>IF(LEN($CC$39)&gt;0,$CC$39,$BA$39)</f>
        <v/>
      </c>
      <c r="BC39" s="19">
        <f>IF(LEN($BB$39)=0,"",IFERROR(MATCH($BB$39,'Inimigos'!$N$11:$N$54,0),""))</f>
        <v/>
      </c>
      <c r="BD39" s="19">
        <f>IF(NOT(ISNUMBER($BC$39)),"",IF(AND(LEN($CC$39)=0,ISNUMBER($AZ$39)),IF($P$8=1,INDEX('Encontros'!$P$21:$P$28,$AZ$39)&amp;"",IF($P$8=2,INDEX('Encontros'!$P$49:$P$56,$AZ$39)&amp;"",IF($P$8=3,INDEX('Encontros'!$P$77:$P$84,$AZ$39)&amp;"",IF($P$8=4,INDEX('Encontros'!$U$108:$U$115,$AZ$39)&amp;"","")))),INDEX('Inimigos'!$AA$11:$AA$54,$BC$39)&amp;""))</f>
        <v/>
      </c>
      <c r="BE39" s="19">
        <f>IF(NOT(ISNUMBER($BC$39)),"",IF(AND(LEN($CC$39)=0,ISNUMBER($AZ$39)),IF($P$8=1,INDEX('Encontros'!$Q$21:$Q$28,$AZ$39)&amp;"",IF($P$8=2,INDEX('Encontros'!$Q$49:$Q$56,$AZ$39)&amp;"",IF($P$8=3,INDEX('Encontros'!$Q$77:$Q$84,$AZ$39)&amp;"",IF($P$8=4,INDEX('Encontros'!$V$108:$V$115,$AZ$39)&amp;"","")))),INDEX('Inimigos'!$AB$11:$AB$54,$BC$39)&amp;""))</f>
        <v/>
      </c>
      <c r="BF39" s="19">
        <f>IF(NOT(ISNUMBER($BC$39)),"",IF(AND(LEN($CC$39)=0,ISNUMBER($AZ$39)),IF($P$8=1,INDEX('Encontros'!$R$21:$R$28,$AZ$39)&amp;"",IF($P$8=2,INDEX('Encontros'!$R$49:$R$56,$AZ$39)&amp;"",IF($P$8=3,INDEX('Encontros'!$R$77:$R$84,$AZ$39)&amp;"",IF($P$8=4,INDEX('Encontros'!$W$108:$W$115,$AZ$39)&amp;"","")))),INDEX('Inimigos'!$AC$11:$AC$54,$BC$39)&amp;""))</f>
        <v/>
      </c>
      <c r="BG39" s="19">
        <f>IF(NOT(ISNUMBER($BC$39)),"",IF(AND(LEN($CC$39)=0,ISNUMBER($AZ$39)),IF($P$8=1,INDEX('Encontros'!$S$21:$S$28,$AZ$39)&amp;"",IF($P$8=2,INDEX('Encontros'!$S$49:$S$56,$AZ$39)&amp;"",IF($P$8=3,INDEX('Encontros'!$S$77:$S$84,$AZ$39)&amp;"",IF($P$8=4,INDEX('Encontros'!$X$108:$X$115,$AZ$39)&amp;"","")))),INDEX('Inimigos'!$AD$11:$AD$54,$BC$39)&amp;""))</f>
        <v/>
      </c>
      <c r="BH39" s="19">
        <f>IF(NOT(ISNUMBER($BC$39)),"",IF(AND($BX$39&gt;=3,$AR$23&lt;=INDEX('Inimigos'!$AL$11:$AL$54,$BC$39)),3,IF(AND($BX$39&gt;=2,$AR$23&lt;=INDEX('Inimigos'!$AK$11:$AK$54,$BC$39)),2,1)))</f>
        <v/>
      </c>
      <c r="BI39" s="19">
        <f>IF(NOT(ISNUMBER($BC$39)),"",IF(ISNUMBER($CI$52),MIN($BX$39,MAX(1,INT($CI$52))),1))</f>
        <v/>
      </c>
      <c r="BJ39" s="19">
        <f>IF(NOT(ISNUMBER($BC$39)),"",IF($BI$39=3,INDEX('Inimigos'!$AR$11:$AR$54,$BC$39)&amp;"",IF($BI$39=2,INDEX('Inimigos'!$AM$11:$AM$54,$BC$39)&amp;"",$BD$39)))</f>
        <v/>
      </c>
      <c r="BK39" s="19">
        <f>IF(NOT(ISNUMBER($BC$39)),"",IF($BI$39=3,INDEX('Inimigos'!$AS$11:$AS$54,$BC$39)&amp;"",IF($BI$39=2,INDEX('Inimigos'!$AN$11:$AN$54,$BC$39)&amp;"",$BE$39)))</f>
        <v/>
      </c>
      <c r="BL39" s="19">
        <f>IF(NOT(ISNUMBER($BC$39)),"",IF($BI$39=3,INDEX('Inimigos'!$AT$11:$AT$54,$BC$39)&amp;"",IF($BI$39=2,INDEX('Inimigos'!$AO$11:$AO$54,$BC$39)&amp;"",$BF$39)))</f>
        <v/>
      </c>
      <c r="BM39" s="19">
        <f>IF(NOT(ISNUMBER($BC$39)),"",IF($BI$39=3,INDEX('Inimigos'!$AU$11:$AU$54,$BC$39)&amp;"",IF($BI$39=2,INDEX('Inimigos'!$AP$11:$AP$54,$BC$39)&amp;"",$BG$39)))</f>
        <v/>
      </c>
      <c r="BN39" s="19">
        <f>IF(ISNUMBER($BC$39),INDEX('Inimigos'!$AE$11:$AE$54,$BC$39)&amp;"","")</f>
        <v/>
      </c>
      <c r="BO39" s="19">
        <f>IF(NOT(ISNUMBER($BC$39)),"",MIN(INDEX('Inimigos'!$T$11:$T$54,$BC$39),IF($BI$39=3,INDEX('Inimigos'!$AV$11:$AV$54,$BC$39),IF($BI$39=2,INDEX('Inimigos'!$AQ$11:$AQ$54,$BC$39),INDEX('Inimigos'!$T$11:$T$54,$BC$39)))))</f>
        <v/>
      </c>
      <c r="BP39" s="19">
        <f>IF(NOT(ISNUMBER($BC$39)),"",MAX(0,$BO$39-IF(ISNUMBER($CC$68),MAX(0,INT($CC$68)),0)))</f>
        <v/>
      </c>
      <c r="BQ39" s="19">
        <f>IF(NOT(ISNUMBER($BC$39)),0,IF($BP$39=0,1,0))</f>
        <v/>
      </c>
      <c r="BR39" s="19">
        <f>IF(ISNUMBER($BC$39),INDEX('Inimigos'!$R$11:$R$54,$BC$39)-2*$BQ$39,"")</f>
        <v/>
      </c>
      <c r="BS39" s="19">
        <f>IF(ISNUMBER($BC$39),INDEX('Inimigos'!$S$11:$S$54,$BC$39),"")</f>
        <v/>
      </c>
      <c r="BT39" s="19">
        <f>IF(ISNUMBER($BC$39),INDEX('Inimigos'!$BE$11:$BE$54,$BC$39),"")</f>
        <v/>
      </c>
      <c r="BU39" s="19">
        <f>IF(ISNUMBER($BC$39),INDEX('Inimigos'!$AF$11:$AF$54,$BC$39)&amp;"","")</f>
        <v/>
      </c>
      <c r="BV39" s="19">
        <f>IF(AND(ISNUMBER($BC$39),$AR$23&gt;0,$BU$39="Pode"),1,0)</f>
        <v/>
      </c>
      <c r="BW39" s="19">
        <f>IF(ISNUMBER($BC$39),INDEX('Inimigos'!$O$11:$O$54,$BC$39)&amp;"","")</f>
        <v/>
      </c>
      <c r="BX39" s="19">
        <f>IF(ISNUMBER($BC$39),MAX(1,INDEX('Inimigos'!$AG$11:$AG$54,$BC$39)),1)</f>
        <v/>
      </c>
      <c r="BY39" s="19">
        <f>$N$23</f>
        <v/>
      </c>
      <c r="CC39" s="19">
        <f>IF(ISERROR($C$39),"",IF(ISBLANK($C$39),"",$C$39))</f>
        <v/>
      </c>
      <c r="CK39" s="19">
        <f>ISERROR($C$39)*1</f>
        <v/>
      </c>
    </row>
    <row r="40" ht="48" customHeight="1">
      <c r="A40" s="33">
        <f>IF(LEN($N$24)&gt;0,$N$24,"Inimigo 8")</f>
        <v/>
      </c>
      <c r="B40" s="9">
        <f>$BA$40</f>
        <v/>
      </c>
      <c r="C40" s="28" t="n"/>
      <c r="D40" s="29">
        <f>IF(ISNUMBER($BC$40),INDEX('Inimigos'!$O$11:$O$54,$BC$40)&amp;""&amp;" · "&amp;INDEX('Inimigos'!$P$11:$P$54,$BC$40)&amp;"","")</f>
        <v/>
      </c>
      <c r="E40" s="29">
        <f>IF(ISNUMBER($BC$40),"+"&amp;INDEX('Inimigos'!$V$11:$V$54,$BC$40),"")</f>
        <v/>
      </c>
      <c r="F40" s="9">
        <f>IF(ISNUMBER($BC$40),INDEX('Inimigos'!$W$11:$W$54,$BC$40)&amp;""&amp;" · média "&amp;INDEX('Inimigos'!$X$11:$X$54,$BC$40),"")</f>
        <v/>
      </c>
      <c r="H40" s="29">
        <f>IF(ISNUMBER($BC$40),"DT "&amp;INDEX('Inimigos'!$Y$11:$Y$54,$BC$40)&amp;" · TR +"&amp;INDEX('Inimigos'!$Z$11:$Z$54,$BC$40),"")</f>
        <v/>
      </c>
      <c r="I40" s="29">
        <f>IF(ISNUMBER($BC$40),INDEX('Inimigos'!$AJ$11:$AJ$54,$BC$40)&amp;"","")</f>
        <v/>
      </c>
      <c r="J40" s="29">
        <f>IF(ISNUMBER($BC$40),$BU$40,"")</f>
        <v/>
      </c>
      <c r="K40" s="26">
        <f>IF(CK40&gt;0,"O Google leu como fórmula: escolha de novo na lista.",IF(AND(LEN($BB$40)&gt;0,NOT(ISNUMBER($BC$40))),"Inimigo fora da lista (Inimigos e Bestiário)",IF(AND(ISNUMBER($BC$40),$BU$40="Não declarado"),"Execução não declarada na ficha: só ser racional Executa (23.5)","")))</f>
        <v/>
      </c>
      <c r="AZ40" s="19">
        <f>IF($P$8=1,IF(MAX('Encontros'!$Y$21:$Y$28)&gt;=8,COUNTIF('Encontros'!$Y$21:$Y$28,"&lt;"&amp;8)+1,""),IF($P$8=2,IF(MAX('Encontros'!$Y$49:$Y$56)&gt;=8,COUNTIF('Encontros'!$Y$49:$Y$56,"&lt;"&amp;8)+1,""),IF($P$8=3,IF(MAX('Encontros'!$Y$77:$Y$84)&gt;=8,COUNTIF('Encontros'!$Y$77:$Y$84,"&lt;"&amp;8)+1,""),IF($P$8=4,IF(MAX('Encontros'!$Y$108:$Y$115)&gt;=8,COUNTIF('Encontros'!$Y$108:$Y$115,"&lt;"&amp;8)+1,""),""))))</f>
        <v/>
      </c>
      <c r="BA40" s="19">
        <f>IF($P$8=1,IF(ISNUMBER($AZ$40),INDEX('Encontros'!$AE$21:$AE$28,$AZ$40)&amp;"",""),IF($P$8=2,IF(ISNUMBER($AZ$40),INDEX('Encontros'!$AE$49:$AE$56,$AZ$40)&amp;"",""),IF($P$8=3,IF(ISNUMBER($AZ$40),INDEX('Encontros'!$AE$77:$AE$84,$AZ$40)&amp;"",""),IF($P$8=4,IF(ISNUMBER($AZ$40),INDEX('Encontros'!$S$108:$S$115,$AZ$40)&amp;"",""),""))))</f>
        <v/>
      </c>
      <c r="BB40" s="19">
        <f>IF(LEN($CC$40)&gt;0,$CC$40,$BA$40)</f>
        <v/>
      </c>
      <c r="BC40" s="19">
        <f>IF(LEN($BB$40)=0,"",IFERROR(MATCH($BB$40,'Inimigos'!$N$11:$N$54,0),""))</f>
        <v/>
      </c>
      <c r="BD40" s="19">
        <f>IF(NOT(ISNUMBER($BC$40)),"",IF(AND(LEN($CC$40)=0,ISNUMBER($AZ$40)),IF($P$8=1,INDEX('Encontros'!$P$21:$P$28,$AZ$40)&amp;"",IF($P$8=2,INDEX('Encontros'!$P$49:$P$56,$AZ$40)&amp;"",IF($P$8=3,INDEX('Encontros'!$P$77:$P$84,$AZ$40)&amp;"",IF($P$8=4,INDEX('Encontros'!$U$108:$U$115,$AZ$40)&amp;"","")))),INDEX('Inimigos'!$AA$11:$AA$54,$BC$40)&amp;""))</f>
        <v/>
      </c>
      <c r="BE40" s="19">
        <f>IF(NOT(ISNUMBER($BC$40)),"",IF(AND(LEN($CC$40)=0,ISNUMBER($AZ$40)),IF($P$8=1,INDEX('Encontros'!$Q$21:$Q$28,$AZ$40)&amp;"",IF($P$8=2,INDEX('Encontros'!$Q$49:$Q$56,$AZ$40)&amp;"",IF($P$8=3,INDEX('Encontros'!$Q$77:$Q$84,$AZ$40)&amp;"",IF($P$8=4,INDEX('Encontros'!$V$108:$V$115,$AZ$40)&amp;"","")))),INDEX('Inimigos'!$AB$11:$AB$54,$BC$40)&amp;""))</f>
        <v/>
      </c>
      <c r="BF40" s="19">
        <f>IF(NOT(ISNUMBER($BC$40)),"",IF(AND(LEN($CC$40)=0,ISNUMBER($AZ$40)),IF($P$8=1,INDEX('Encontros'!$R$21:$R$28,$AZ$40)&amp;"",IF($P$8=2,INDEX('Encontros'!$R$49:$R$56,$AZ$40)&amp;"",IF($P$8=3,INDEX('Encontros'!$R$77:$R$84,$AZ$40)&amp;"",IF($P$8=4,INDEX('Encontros'!$W$108:$W$115,$AZ$40)&amp;"","")))),INDEX('Inimigos'!$AC$11:$AC$54,$BC$40)&amp;""))</f>
        <v/>
      </c>
      <c r="BG40" s="19">
        <f>IF(NOT(ISNUMBER($BC$40)),"",IF(AND(LEN($CC$40)=0,ISNUMBER($AZ$40)),IF($P$8=1,INDEX('Encontros'!$S$21:$S$28,$AZ$40)&amp;"",IF($P$8=2,INDEX('Encontros'!$S$49:$S$56,$AZ$40)&amp;"",IF($P$8=3,INDEX('Encontros'!$S$77:$S$84,$AZ$40)&amp;"",IF($P$8=4,INDEX('Encontros'!$X$108:$X$115,$AZ$40)&amp;"","")))),INDEX('Inimigos'!$AD$11:$AD$54,$BC$40)&amp;""))</f>
        <v/>
      </c>
      <c r="BH40" s="19">
        <f>IF(NOT(ISNUMBER($BC$40)),"",IF(AND($BX$40&gt;=3,$AR$24&lt;=INDEX('Inimigos'!$AL$11:$AL$54,$BC$40)),3,IF(AND($BX$40&gt;=2,$AR$24&lt;=INDEX('Inimigos'!$AK$11:$AK$54,$BC$40)),2,1)))</f>
        <v/>
      </c>
      <c r="BI40" s="19">
        <f>IF(NOT(ISNUMBER($BC$40)),"",IF(ISNUMBER($CI$53),MIN($BX$40,MAX(1,INT($CI$53))),1))</f>
        <v/>
      </c>
      <c r="BJ40" s="19">
        <f>IF(NOT(ISNUMBER($BC$40)),"",IF($BI$40=3,INDEX('Inimigos'!$AR$11:$AR$54,$BC$40)&amp;"",IF($BI$40=2,INDEX('Inimigos'!$AM$11:$AM$54,$BC$40)&amp;"",$BD$40)))</f>
        <v/>
      </c>
      <c r="BK40" s="19">
        <f>IF(NOT(ISNUMBER($BC$40)),"",IF($BI$40=3,INDEX('Inimigos'!$AS$11:$AS$54,$BC$40)&amp;"",IF($BI$40=2,INDEX('Inimigos'!$AN$11:$AN$54,$BC$40)&amp;"",$BE$40)))</f>
        <v/>
      </c>
      <c r="BL40" s="19">
        <f>IF(NOT(ISNUMBER($BC$40)),"",IF($BI$40=3,INDEX('Inimigos'!$AT$11:$AT$54,$BC$40)&amp;"",IF($BI$40=2,INDEX('Inimigos'!$AO$11:$AO$54,$BC$40)&amp;"",$BF$40)))</f>
        <v/>
      </c>
      <c r="BM40" s="19">
        <f>IF(NOT(ISNUMBER($BC$40)),"",IF($BI$40=3,INDEX('Inimigos'!$AU$11:$AU$54,$BC$40)&amp;"",IF($BI$40=2,INDEX('Inimigos'!$AP$11:$AP$54,$BC$40)&amp;"",$BG$40)))</f>
        <v/>
      </c>
      <c r="BN40" s="19">
        <f>IF(ISNUMBER($BC$40),INDEX('Inimigos'!$AE$11:$AE$54,$BC$40)&amp;"","")</f>
        <v/>
      </c>
      <c r="BO40" s="19">
        <f>IF(NOT(ISNUMBER($BC$40)),"",MIN(INDEX('Inimigos'!$T$11:$T$54,$BC$40),IF($BI$40=3,INDEX('Inimigos'!$AV$11:$AV$54,$BC$40),IF($BI$40=2,INDEX('Inimigos'!$AQ$11:$AQ$54,$BC$40),INDEX('Inimigos'!$T$11:$T$54,$BC$40)))))</f>
        <v/>
      </c>
      <c r="BP40" s="19">
        <f>IF(NOT(ISNUMBER($BC$40)),"",MAX(0,$BO$40-IF(ISNUMBER($CC$69),MAX(0,INT($CC$69)),0)))</f>
        <v/>
      </c>
      <c r="BQ40" s="19">
        <f>IF(NOT(ISNUMBER($BC$40)),0,IF($BP$40=0,1,0))</f>
        <v/>
      </c>
      <c r="BR40" s="19">
        <f>IF(ISNUMBER($BC$40),INDEX('Inimigos'!$R$11:$R$54,$BC$40)-2*$BQ$40,"")</f>
        <v/>
      </c>
      <c r="BS40" s="19">
        <f>IF(ISNUMBER($BC$40),INDEX('Inimigos'!$S$11:$S$54,$BC$40),"")</f>
        <v/>
      </c>
      <c r="BT40" s="19">
        <f>IF(ISNUMBER($BC$40),INDEX('Inimigos'!$BE$11:$BE$54,$BC$40),"")</f>
        <v/>
      </c>
      <c r="BU40" s="19">
        <f>IF(ISNUMBER($BC$40),INDEX('Inimigos'!$AF$11:$AF$54,$BC$40)&amp;"","")</f>
        <v/>
      </c>
      <c r="BV40" s="19">
        <f>IF(AND(ISNUMBER($BC$40),$AR$24&gt;0,$BU$40="Pode"),1,0)</f>
        <v/>
      </c>
      <c r="BW40" s="19">
        <f>IF(ISNUMBER($BC$40),INDEX('Inimigos'!$O$11:$O$54,$BC$40)&amp;"","")</f>
        <v/>
      </c>
      <c r="BX40" s="19">
        <f>IF(ISNUMBER($BC$40),MAX(1,INDEX('Inimigos'!$AG$11:$AG$54,$BC$40)),1)</f>
        <v/>
      </c>
      <c r="BY40" s="19">
        <f>$N$24</f>
        <v/>
      </c>
      <c r="CC40" s="19">
        <f>IF(ISERROR($C$40),"",IF(ISBLANK($C$40),"",$C$40))</f>
        <v/>
      </c>
      <c r="CK40" s="19">
        <f>ISERROR($C$40)*1</f>
        <v/>
      </c>
    </row>
    <row r="41" ht="48" customHeight="1">
      <c r="A41" s="32">
        <f>IF(LEN($N$25)&gt;0,$N$25,"Inimigo 9")</f>
        <v/>
      </c>
      <c r="B41" s="4">
        <f>$BA$41</f>
        <v/>
      </c>
      <c r="C41" s="3" t="n"/>
      <c r="D41" s="17">
        <f>IF(ISNUMBER($BC$41),INDEX('Inimigos'!$O$11:$O$54,$BC$41)&amp;""&amp;" · "&amp;INDEX('Inimigos'!$P$11:$P$54,$BC$41)&amp;"","")</f>
        <v/>
      </c>
      <c r="E41" s="17">
        <f>IF(ISNUMBER($BC$41),"+"&amp;INDEX('Inimigos'!$V$11:$V$54,$BC$41),"")</f>
        <v/>
      </c>
      <c r="F41" s="4">
        <f>IF(ISNUMBER($BC$41),INDEX('Inimigos'!$W$11:$W$54,$BC$41)&amp;""&amp;" · média "&amp;INDEX('Inimigos'!$X$11:$X$54,$BC$41),"")</f>
        <v/>
      </c>
      <c r="H41" s="17">
        <f>IF(ISNUMBER($BC$41),"DT "&amp;INDEX('Inimigos'!$Y$11:$Y$54,$BC$41)&amp;" · TR +"&amp;INDEX('Inimigos'!$Z$11:$Z$54,$BC$41),"")</f>
        <v/>
      </c>
      <c r="I41" s="17">
        <f>IF(ISNUMBER($BC$41),INDEX('Inimigos'!$AJ$11:$AJ$54,$BC$41)&amp;"","")</f>
        <v/>
      </c>
      <c r="J41" s="17">
        <f>IF(ISNUMBER($BC$41),$BU$41,"")</f>
        <v/>
      </c>
      <c r="K41" s="18">
        <f>IF(CK41&gt;0,"O Google leu como fórmula: escolha de novo na lista.",IF(AND(LEN($BB$41)&gt;0,NOT(ISNUMBER($BC$41))),"Inimigo fora da lista (Inimigos e Bestiário)",IF(AND(ISNUMBER($BC$41),$BU$41="Não declarado"),"Execução não declarada na ficha: só ser racional Executa (23.5)","")))</f>
        <v/>
      </c>
      <c r="AZ41" s="19">
        <f>IF($P$8=1,IF(MAX('Encontros'!$Y$21:$Y$28)&gt;=9,COUNTIF('Encontros'!$Y$21:$Y$28,"&lt;"&amp;9)+1,""),IF($P$8=2,IF(MAX('Encontros'!$Y$49:$Y$56)&gt;=9,COUNTIF('Encontros'!$Y$49:$Y$56,"&lt;"&amp;9)+1,""),IF($P$8=3,IF(MAX('Encontros'!$Y$77:$Y$84)&gt;=9,COUNTIF('Encontros'!$Y$77:$Y$84,"&lt;"&amp;9)+1,""),IF($P$8=4,IF(MAX('Encontros'!$Y$108:$Y$115)&gt;=9,COUNTIF('Encontros'!$Y$108:$Y$115,"&lt;"&amp;9)+1,""),""))))</f>
        <v/>
      </c>
      <c r="BA41" s="19">
        <f>IF($P$8=1,IF(ISNUMBER($AZ$41),INDEX('Encontros'!$AE$21:$AE$28,$AZ$41)&amp;"",""),IF($P$8=2,IF(ISNUMBER($AZ$41),INDEX('Encontros'!$AE$49:$AE$56,$AZ$41)&amp;"",""),IF($P$8=3,IF(ISNUMBER($AZ$41),INDEX('Encontros'!$AE$77:$AE$84,$AZ$41)&amp;"",""),IF($P$8=4,IF(ISNUMBER($AZ$41),INDEX('Encontros'!$S$108:$S$115,$AZ$41)&amp;"",""),""))))</f>
        <v/>
      </c>
      <c r="BB41" s="19">
        <f>IF(LEN($CC$41)&gt;0,$CC$41,$BA$41)</f>
        <v/>
      </c>
      <c r="BC41" s="19">
        <f>IF(LEN($BB$41)=0,"",IFERROR(MATCH($BB$41,'Inimigos'!$N$11:$N$54,0),""))</f>
        <v/>
      </c>
      <c r="BD41" s="19">
        <f>IF(NOT(ISNUMBER($BC$41)),"",IF(AND(LEN($CC$41)=0,ISNUMBER($AZ$41)),IF($P$8=1,INDEX('Encontros'!$P$21:$P$28,$AZ$41)&amp;"",IF($P$8=2,INDEX('Encontros'!$P$49:$P$56,$AZ$41)&amp;"",IF($P$8=3,INDEX('Encontros'!$P$77:$P$84,$AZ$41)&amp;"",IF($P$8=4,INDEX('Encontros'!$U$108:$U$115,$AZ$41)&amp;"","")))),INDEX('Inimigos'!$AA$11:$AA$54,$BC$41)&amp;""))</f>
        <v/>
      </c>
      <c r="BE41" s="19">
        <f>IF(NOT(ISNUMBER($BC$41)),"",IF(AND(LEN($CC$41)=0,ISNUMBER($AZ$41)),IF($P$8=1,INDEX('Encontros'!$Q$21:$Q$28,$AZ$41)&amp;"",IF($P$8=2,INDEX('Encontros'!$Q$49:$Q$56,$AZ$41)&amp;"",IF($P$8=3,INDEX('Encontros'!$Q$77:$Q$84,$AZ$41)&amp;"",IF($P$8=4,INDEX('Encontros'!$V$108:$V$115,$AZ$41)&amp;"","")))),INDEX('Inimigos'!$AB$11:$AB$54,$BC$41)&amp;""))</f>
        <v/>
      </c>
      <c r="BF41" s="19">
        <f>IF(NOT(ISNUMBER($BC$41)),"",IF(AND(LEN($CC$41)=0,ISNUMBER($AZ$41)),IF($P$8=1,INDEX('Encontros'!$R$21:$R$28,$AZ$41)&amp;"",IF($P$8=2,INDEX('Encontros'!$R$49:$R$56,$AZ$41)&amp;"",IF($P$8=3,INDEX('Encontros'!$R$77:$R$84,$AZ$41)&amp;"",IF($P$8=4,INDEX('Encontros'!$W$108:$W$115,$AZ$41)&amp;"","")))),INDEX('Inimigos'!$AC$11:$AC$54,$BC$41)&amp;""))</f>
        <v/>
      </c>
      <c r="BG41" s="19">
        <f>IF(NOT(ISNUMBER($BC$41)),"",IF(AND(LEN($CC$41)=0,ISNUMBER($AZ$41)),IF($P$8=1,INDEX('Encontros'!$S$21:$S$28,$AZ$41)&amp;"",IF($P$8=2,INDEX('Encontros'!$S$49:$S$56,$AZ$41)&amp;"",IF($P$8=3,INDEX('Encontros'!$S$77:$S$84,$AZ$41)&amp;"",IF($P$8=4,INDEX('Encontros'!$X$108:$X$115,$AZ$41)&amp;"","")))),INDEX('Inimigos'!$AD$11:$AD$54,$BC$41)&amp;""))</f>
        <v/>
      </c>
      <c r="BH41" s="19">
        <f>IF(NOT(ISNUMBER($BC$41)),"",IF(AND($BX$41&gt;=3,$AR$25&lt;=INDEX('Inimigos'!$AL$11:$AL$54,$BC$41)),3,IF(AND($BX$41&gt;=2,$AR$25&lt;=INDEX('Inimigos'!$AK$11:$AK$54,$BC$41)),2,1)))</f>
        <v/>
      </c>
      <c r="BI41" s="19">
        <f>IF(NOT(ISNUMBER($BC$41)),"",IF(ISNUMBER($CI$54),MIN($BX$41,MAX(1,INT($CI$54))),1))</f>
        <v/>
      </c>
      <c r="BJ41" s="19">
        <f>IF(NOT(ISNUMBER($BC$41)),"",IF($BI$41=3,INDEX('Inimigos'!$AR$11:$AR$54,$BC$41)&amp;"",IF($BI$41=2,INDEX('Inimigos'!$AM$11:$AM$54,$BC$41)&amp;"",$BD$41)))</f>
        <v/>
      </c>
      <c r="BK41" s="19">
        <f>IF(NOT(ISNUMBER($BC$41)),"",IF($BI$41=3,INDEX('Inimigos'!$AS$11:$AS$54,$BC$41)&amp;"",IF($BI$41=2,INDEX('Inimigos'!$AN$11:$AN$54,$BC$41)&amp;"",$BE$41)))</f>
        <v/>
      </c>
      <c r="BL41" s="19">
        <f>IF(NOT(ISNUMBER($BC$41)),"",IF($BI$41=3,INDEX('Inimigos'!$AT$11:$AT$54,$BC$41)&amp;"",IF($BI$41=2,INDEX('Inimigos'!$AO$11:$AO$54,$BC$41)&amp;"",$BF$41)))</f>
        <v/>
      </c>
      <c r="BM41" s="19">
        <f>IF(NOT(ISNUMBER($BC$41)),"",IF($BI$41=3,INDEX('Inimigos'!$AU$11:$AU$54,$BC$41)&amp;"",IF($BI$41=2,INDEX('Inimigos'!$AP$11:$AP$54,$BC$41)&amp;"",$BG$41)))</f>
        <v/>
      </c>
      <c r="BN41" s="19">
        <f>IF(ISNUMBER($BC$41),INDEX('Inimigos'!$AE$11:$AE$54,$BC$41)&amp;"","")</f>
        <v/>
      </c>
      <c r="BO41" s="19">
        <f>IF(NOT(ISNUMBER($BC$41)),"",MIN(INDEX('Inimigos'!$T$11:$T$54,$BC$41),IF($BI$41=3,INDEX('Inimigos'!$AV$11:$AV$54,$BC$41),IF($BI$41=2,INDEX('Inimigos'!$AQ$11:$AQ$54,$BC$41),INDEX('Inimigos'!$T$11:$T$54,$BC$41)))))</f>
        <v/>
      </c>
      <c r="BP41" s="19">
        <f>IF(NOT(ISNUMBER($BC$41)),"",MAX(0,$BO$41-IF(ISNUMBER($CC$70),MAX(0,INT($CC$70)),0)))</f>
        <v/>
      </c>
      <c r="BQ41" s="19">
        <f>IF(NOT(ISNUMBER($BC$41)),0,IF($BP$41=0,1,0))</f>
        <v/>
      </c>
      <c r="BR41" s="19">
        <f>IF(ISNUMBER($BC$41),INDEX('Inimigos'!$R$11:$R$54,$BC$41)-2*$BQ$41,"")</f>
        <v/>
      </c>
      <c r="BS41" s="19">
        <f>IF(ISNUMBER($BC$41),INDEX('Inimigos'!$S$11:$S$54,$BC$41),"")</f>
        <v/>
      </c>
      <c r="BT41" s="19">
        <f>IF(ISNUMBER($BC$41),INDEX('Inimigos'!$BE$11:$BE$54,$BC$41),"")</f>
        <v/>
      </c>
      <c r="BU41" s="19">
        <f>IF(ISNUMBER($BC$41),INDEX('Inimigos'!$AF$11:$AF$54,$BC$41)&amp;"","")</f>
        <v/>
      </c>
      <c r="BV41" s="19">
        <f>IF(AND(ISNUMBER($BC$41),$AR$25&gt;0,$BU$41="Pode"),1,0)</f>
        <v/>
      </c>
      <c r="BW41" s="19">
        <f>IF(ISNUMBER($BC$41),INDEX('Inimigos'!$O$11:$O$54,$BC$41)&amp;"","")</f>
        <v/>
      </c>
      <c r="BX41" s="19">
        <f>IF(ISNUMBER($BC$41),MAX(1,INDEX('Inimigos'!$AG$11:$AG$54,$BC$41)),1)</f>
        <v/>
      </c>
      <c r="BY41" s="19">
        <f>$N$25</f>
        <v/>
      </c>
      <c r="CC41" s="19">
        <f>IF(ISERROR($C$41),"",IF(ISBLANK($C$41),"",$C$41))</f>
        <v/>
      </c>
      <c r="CK41" s="19">
        <f>ISERROR($C$41)*1</f>
        <v/>
      </c>
    </row>
    <row r="42" ht="48" customHeight="1">
      <c r="A42" s="33">
        <f>IF(LEN($N$26)&gt;0,$N$26,"Inimigo 10")</f>
        <v/>
      </c>
      <c r="B42" s="9">
        <f>$BA$42</f>
        <v/>
      </c>
      <c r="C42" s="28" t="n"/>
      <c r="D42" s="29">
        <f>IF(ISNUMBER($BC$42),INDEX('Inimigos'!$O$11:$O$54,$BC$42)&amp;""&amp;" · "&amp;INDEX('Inimigos'!$P$11:$P$54,$BC$42)&amp;"","")</f>
        <v/>
      </c>
      <c r="E42" s="29">
        <f>IF(ISNUMBER($BC$42),"+"&amp;INDEX('Inimigos'!$V$11:$V$54,$BC$42),"")</f>
        <v/>
      </c>
      <c r="F42" s="9">
        <f>IF(ISNUMBER($BC$42),INDEX('Inimigos'!$W$11:$W$54,$BC$42)&amp;""&amp;" · média "&amp;INDEX('Inimigos'!$X$11:$X$54,$BC$42),"")</f>
        <v/>
      </c>
      <c r="H42" s="29">
        <f>IF(ISNUMBER($BC$42),"DT "&amp;INDEX('Inimigos'!$Y$11:$Y$54,$BC$42)&amp;" · TR +"&amp;INDEX('Inimigos'!$Z$11:$Z$54,$BC$42),"")</f>
        <v/>
      </c>
      <c r="I42" s="29">
        <f>IF(ISNUMBER($BC$42),INDEX('Inimigos'!$AJ$11:$AJ$54,$BC$42)&amp;"","")</f>
        <v/>
      </c>
      <c r="J42" s="29">
        <f>IF(ISNUMBER($BC$42),$BU$42,"")</f>
        <v/>
      </c>
      <c r="K42" s="26">
        <f>IF(CK42&gt;0,"O Google leu como fórmula: escolha de novo na lista.",IF(AND(LEN($BB$42)&gt;0,NOT(ISNUMBER($BC$42))),"Inimigo fora da lista (Inimigos e Bestiário)",IF(AND(ISNUMBER($BC$42),$BU$42="Não declarado"),"Execução não declarada na ficha: só ser racional Executa (23.5)","")))</f>
        <v/>
      </c>
      <c r="AZ42" s="19">
        <f>IF($P$8=1,IF(MAX('Encontros'!$Y$21:$Y$28)&gt;=10,COUNTIF('Encontros'!$Y$21:$Y$28,"&lt;"&amp;10)+1,""),IF($P$8=2,IF(MAX('Encontros'!$Y$49:$Y$56)&gt;=10,COUNTIF('Encontros'!$Y$49:$Y$56,"&lt;"&amp;10)+1,""),IF($P$8=3,IF(MAX('Encontros'!$Y$77:$Y$84)&gt;=10,COUNTIF('Encontros'!$Y$77:$Y$84,"&lt;"&amp;10)+1,""),IF($P$8=4,IF(MAX('Encontros'!$Y$108:$Y$115)&gt;=10,COUNTIF('Encontros'!$Y$108:$Y$115,"&lt;"&amp;10)+1,""),""))))</f>
        <v/>
      </c>
      <c r="BA42" s="19">
        <f>IF($P$8=1,IF(ISNUMBER($AZ$42),INDEX('Encontros'!$AE$21:$AE$28,$AZ$42)&amp;"",""),IF($P$8=2,IF(ISNUMBER($AZ$42),INDEX('Encontros'!$AE$49:$AE$56,$AZ$42)&amp;"",""),IF($P$8=3,IF(ISNUMBER($AZ$42),INDEX('Encontros'!$AE$77:$AE$84,$AZ$42)&amp;"",""),IF($P$8=4,IF(ISNUMBER($AZ$42),INDEX('Encontros'!$S$108:$S$115,$AZ$42)&amp;"",""),""))))</f>
        <v/>
      </c>
      <c r="BB42" s="19">
        <f>IF(LEN($CC$42)&gt;0,$CC$42,$BA$42)</f>
        <v/>
      </c>
      <c r="BC42" s="19">
        <f>IF(LEN($BB$42)=0,"",IFERROR(MATCH($BB$42,'Inimigos'!$N$11:$N$54,0),""))</f>
        <v/>
      </c>
      <c r="BD42" s="19">
        <f>IF(NOT(ISNUMBER($BC$42)),"",IF(AND(LEN($CC$42)=0,ISNUMBER($AZ$42)),IF($P$8=1,INDEX('Encontros'!$P$21:$P$28,$AZ$42)&amp;"",IF($P$8=2,INDEX('Encontros'!$P$49:$P$56,$AZ$42)&amp;"",IF($P$8=3,INDEX('Encontros'!$P$77:$P$84,$AZ$42)&amp;"",IF($P$8=4,INDEX('Encontros'!$U$108:$U$115,$AZ$42)&amp;"","")))),INDEX('Inimigos'!$AA$11:$AA$54,$BC$42)&amp;""))</f>
        <v/>
      </c>
      <c r="BE42" s="19">
        <f>IF(NOT(ISNUMBER($BC$42)),"",IF(AND(LEN($CC$42)=0,ISNUMBER($AZ$42)),IF($P$8=1,INDEX('Encontros'!$Q$21:$Q$28,$AZ$42)&amp;"",IF($P$8=2,INDEX('Encontros'!$Q$49:$Q$56,$AZ$42)&amp;"",IF($P$8=3,INDEX('Encontros'!$Q$77:$Q$84,$AZ$42)&amp;"",IF($P$8=4,INDEX('Encontros'!$V$108:$V$115,$AZ$42)&amp;"","")))),INDEX('Inimigos'!$AB$11:$AB$54,$BC$42)&amp;""))</f>
        <v/>
      </c>
      <c r="BF42" s="19">
        <f>IF(NOT(ISNUMBER($BC$42)),"",IF(AND(LEN($CC$42)=0,ISNUMBER($AZ$42)),IF($P$8=1,INDEX('Encontros'!$R$21:$R$28,$AZ$42)&amp;"",IF($P$8=2,INDEX('Encontros'!$R$49:$R$56,$AZ$42)&amp;"",IF($P$8=3,INDEX('Encontros'!$R$77:$R$84,$AZ$42)&amp;"",IF($P$8=4,INDEX('Encontros'!$W$108:$W$115,$AZ$42)&amp;"","")))),INDEX('Inimigos'!$AC$11:$AC$54,$BC$42)&amp;""))</f>
        <v/>
      </c>
      <c r="BG42" s="19">
        <f>IF(NOT(ISNUMBER($BC$42)),"",IF(AND(LEN($CC$42)=0,ISNUMBER($AZ$42)),IF($P$8=1,INDEX('Encontros'!$S$21:$S$28,$AZ$42)&amp;"",IF($P$8=2,INDEX('Encontros'!$S$49:$S$56,$AZ$42)&amp;"",IF($P$8=3,INDEX('Encontros'!$S$77:$S$84,$AZ$42)&amp;"",IF($P$8=4,INDEX('Encontros'!$X$108:$X$115,$AZ$42)&amp;"","")))),INDEX('Inimigos'!$AD$11:$AD$54,$BC$42)&amp;""))</f>
        <v/>
      </c>
      <c r="BH42" s="19">
        <f>IF(NOT(ISNUMBER($BC$42)),"",IF(AND($BX$42&gt;=3,$AR$26&lt;=INDEX('Inimigos'!$AL$11:$AL$54,$BC$42)),3,IF(AND($BX$42&gt;=2,$AR$26&lt;=INDEX('Inimigos'!$AK$11:$AK$54,$BC$42)),2,1)))</f>
        <v/>
      </c>
      <c r="BI42" s="19">
        <f>IF(NOT(ISNUMBER($BC$42)),"",IF(ISNUMBER($CI$55),MIN($BX$42,MAX(1,INT($CI$55))),1))</f>
        <v/>
      </c>
      <c r="BJ42" s="19">
        <f>IF(NOT(ISNUMBER($BC$42)),"",IF($BI$42=3,INDEX('Inimigos'!$AR$11:$AR$54,$BC$42)&amp;"",IF($BI$42=2,INDEX('Inimigos'!$AM$11:$AM$54,$BC$42)&amp;"",$BD$42)))</f>
        <v/>
      </c>
      <c r="BK42" s="19">
        <f>IF(NOT(ISNUMBER($BC$42)),"",IF($BI$42=3,INDEX('Inimigos'!$AS$11:$AS$54,$BC$42)&amp;"",IF($BI$42=2,INDEX('Inimigos'!$AN$11:$AN$54,$BC$42)&amp;"",$BE$42)))</f>
        <v/>
      </c>
      <c r="BL42" s="19">
        <f>IF(NOT(ISNUMBER($BC$42)),"",IF($BI$42=3,INDEX('Inimigos'!$AT$11:$AT$54,$BC$42)&amp;"",IF($BI$42=2,INDEX('Inimigos'!$AO$11:$AO$54,$BC$42)&amp;"",$BF$42)))</f>
        <v/>
      </c>
      <c r="BM42" s="19">
        <f>IF(NOT(ISNUMBER($BC$42)),"",IF($BI$42=3,INDEX('Inimigos'!$AU$11:$AU$54,$BC$42)&amp;"",IF($BI$42=2,INDEX('Inimigos'!$AP$11:$AP$54,$BC$42)&amp;"",$BG$42)))</f>
        <v/>
      </c>
      <c r="BN42" s="19">
        <f>IF(ISNUMBER($BC$42),INDEX('Inimigos'!$AE$11:$AE$54,$BC$42)&amp;"","")</f>
        <v/>
      </c>
      <c r="BO42" s="19">
        <f>IF(NOT(ISNUMBER($BC$42)),"",MIN(INDEX('Inimigos'!$T$11:$T$54,$BC$42),IF($BI$42=3,INDEX('Inimigos'!$AV$11:$AV$54,$BC$42),IF($BI$42=2,INDEX('Inimigos'!$AQ$11:$AQ$54,$BC$42),INDEX('Inimigos'!$T$11:$T$54,$BC$42)))))</f>
        <v/>
      </c>
      <c r="BP42" s="19">
        <f>IF(NOT(ISNUMBER($BC$42)),"",MAX(0,$BO$42-IF(ISNUMBER($CC$71),MAX(0,INT($CC$71)),0)))</f>
        <v/>
      </c>
      <c r="BQ42" s="19">
        <f>IF(NOT(ISNUMBER($BC$42)),0,IF($BP$42=0,1,0))</f>
        <v/>
      </c>
      <c r="BR42" s="19">
        <f>IF(ISNUMBER($BC$42),INDEX('Inimigos'!$R$11:$R$54,$BC$42)-2*$BQ$42,"")</f>
        <v/>
      </c>
      <c r="BS42" s="19">
        <f>IF(ISNUMBER($BC$42),INDEX('Inimigos'!$S$11:$S$54,$BC$42),"")</f>
        <v/>
      </c>
      <c r="BT42" s="19">
        <f>IF(ISNUMBER($BC$42),INDEX('Inimigos'!$BE$11:$BE$54,$BC$42),"")</f>
        <v/>
      </c>
      <c r="BU42" s="19">
        <f>IF(ISNUMBER($BC$42),INDEX('Inimigos'!$AF$11:$AF$54,$BC$42)&amp;"","")</f>
        <v/>
      </c>
      <c r="BV42" s="19">
        <f>IF(AND(ISNUMBER($BC$42),$AR$26&gt;0,$BU$42="Pode"),1,0)</f>
        <v/>
      </c>
      <c r="BW42" s="19">
        <f>IF(ISNUMBER($BC$42),INDEX('Inimigos'!$O$11:$O$54,$BC$42)&amp;"","")</f>
        <v/>
      </c>
      <c r="BX42" s="19">
        <f>IF(ISNUMBER($BC$42),MAX(1,INDEX('Inimigos'!$AG$11:$AG$54,$BC$42)),1)</f>
        <v/>
      </c>
      <c r="BY42" s="19">
        <f>$N$26</f>
        <v/>
      </c>
      <c r="CC42" s="19">
        <f>IF(ISERROR($C$42),"",IF(ISBLANK($C$42),"",$C$42))</f>
        <v/>
      </c>
      <c r="CK42" s="19">
        <f>ISERROR($C$42)*1</f>
        <v/>
      </c>
    </row>
    <row r="43"/>
    <row r="44" ht="20" customHeight="1">
      <c r="A44" s="12" t="inlineStr">
        <is>
          <t>C4 · Inimigos — PV e fase do Boss (28.5)</t>
        </is>
      </c>
    </row>
    <row r="45" ht="26" customHeight="1">
      <c r="A45" s="7" t="inlineStr">
        <is>
          <t>Inimigo</t>
        </is>
      </c>
      <c r="B45" s="7" t="inlineStr">
        <is>
          <t>Ajuste de VEL</t>
        </is>
      </c>
      <c r="C45" s="7" t="inlineStr">
        <is>
          <t>VEL efetiva</t>
        </is>
      </c>
      <c r="D45" s="7" t="inlineStr">
        <is>
          <t>PV máx.</t>
        </is>
      </c>
      <c r="E45" s="7" t="inlineStr">
        <is>
          <t>PV atual</t>
        </is>
      </c>
      <c r="F45" s="7" t="inlineStr">
        <is>
          <t>Dano agora (− = cura)</t>
        </is>
      </c>
      <c r="G45" s="7" t="inlineStr">
        <is>
          <t>PV depois</t>
        </is>
      </c>
      <c r="H45" s="7" t="inlineStr">
        <is>
          <t>Fase da barra</t>
        </is>
      </c>
      <c r="I45" s="7" t="inlineStr">
        <is>
          <t>Fase em vigor</t>
        </is>
      </c>
      <c r="J45" s="7" t="inlineStr">
        <is>
          <t>Defesa atual</t>
        </is>
      </c>
      <c r="K45" s="7" t="inlineStr">
        <is>
          <t>Aviso</t>
        </is>
      </c>
      <c r="L45" s="20" t="n"/>
    </row>
    <row r="46" ht="71" customHeight="1">
      <c r="A46" s="32">
        <f>IF(LEN($N$17)&gt;0,$N$17,"Inimigo 1")</f>
        <v/>
      </c>
      <c r="B46" s="15" t="n"/>
      <c r="C46" s="17">
        <f>IF(ISNUMBER($BC$33),$U$17,"")</f>
        <v/>
      </c>
      <c r="D46" s="17">
        <f>IF(ISNUMBER($BC$33),$AQ$17,"")</f>
        <v/>
      </c>
      <c r="E46" s="15" t="n"/>
      <c r="F46" s="15" t="n"/>
      <c r="G46" s="17">
        <f>IF(ISNUMBER($BC$33),MIN($AQ$17,MAX(0,$AR$17-IF(ISNUMBER($CF$46),INT($CF$46),0))),"")</f>
        <v/>
      </c>
      <c r="H46" s="17">
        <f>IF(ISNUMBER($BC$33),$BH$33,"")</f>
        <v/>
      </c>
      <c r="I46" s="15" t="n"/>
      <c r="J46" s="17">
        <f>IF(ISNUMBER($BC$33),$BR$33,"")</f>
        <v/>
      </c>
      <c r="K46" s="18">
        <f>IF(CK46&gt;0,"O Google leu como fórmula: digite de novo com ' na frente.",IF(NOT(ISNUMBER($BC$33)),"",IF($AR$17=0,"Derrotado: remova a casa (19.7)",IF(AND(ISNUMBER($CI$46),OR($CI$46&lt;1,$CI$46&gt;$BX$33)),IF($BW$33="Boss","Fase em vigor fora de 1 a "&amp;$BX$33&amp;": usando o limite","Comum e Elite não têm fases (28.5)"),IF($BI$33&gt;$BH$33,"Fase adiantada: a barra ainda não cruzou o limiar",IF($BH$33&gt;$BI$33,"A barra cruzou o limiar da fase "&amp;$BH$33&amp;". No fim do turno do Boss: digite "&amp;$BH$33&amp;" em Fase em vigor, apague a Redução acumulada (a Tenacidade volta ao máximo, 28.5 regra 3) e anuncie as Fraquezas novas; a virada não gasta a ação dele",""))))))</f>
        <v/>
      </c>
      <c r="CB46" s="19">
        <f>IF(ISERROR($B$46),"",IF(ISBLANK($B$46),"",$B$46))</f>
        <v/>
      </c>
      <c r="CE46" s="19">
        <f>IF(ISERROR($E$46),"",IF(ISBLANK($E$46),"",$E$46))</f>
        <v/>
      </c>
      <c r="CF46" s="19">
        <f>IF(ISERROR($F$46),"",IF(ISBLANK($F$46),"",$F$46))</f>
        <v/>
      </c>
      <c r="CI46" s="19">
        <f>IF(ISERROR($I$46),"",IF(ISBLANK($I$46),"",$I$46))</f>
        <v/>
      </c>
      <c r="CK46" s="19">
        <f>ISERROR($B$46)*1+ISERROR($E$46)*1+ISERROR($F$46)*1+ISERROR($I$46)*1</f>
        <v/>
      </c>
    </row>
    <row r="47" ht="71" customHeight="1">
      <c r="A47" s="33">
        <f>IF(LEN($N$18)&gt;0,$N$18,"Inimigo 2")</f>
        <v/>
      </c>
      <c r="B47" s="34" t="n"/>
      <c r="C47" s="29">
        <f>IF(ISNUMBER($BC$34),$U$18,"")</f>
        <v/>
      </c>
      <c r="D47" s="29">
        <f>IF(ISNUMBER($BC$34),$AQ$18,"")</f>
        <v/>
      </c>
      <c r="E47" s="34" t="n"/>
      <c r="F47" s="34" t="n"/>
      <c r="G47" s="29">
        <f>IF(ISNUMBER($BC$34),MIN($AQ$18,MAX(0,$AR$18-IF(ISNUMBER($CF$47),INT($CF$47),0))),"")</f>
        <v/>
      </c>
      <c r="H47" s="29">
        <f>IF(ISNUMBER($BC$34),$BH$34,"")</f>
        <v/>
      </c>
      <c r="I47" s="34" t="n"/>
      <c r="J47" s="29">
        <f>IF(ISNUMBER($BC$34),$BR$34,"")</f>
        <v/>
      </c>
      <c r="K47" s="26">
        <f>IF(CK47&gt;0,"O Google leu como fórmula: digite de novo com ' na frente.",IF(NOT(ISNUMBER($BC$34)),"",IF($AR$18=0,"Derrotado: remova a casa (19.7)",IF(AND(ISNUMBER($CI$47),OR($CI$47&lt;1,$CI$47&gt;$BX$34)),IF($BW$34="Boss","Fase em vigor fora de 1 a "&amp;$BX$34&amp;": usando o limite","Comum e Elite não têm fases (28.5)"),IF($BI$34&gt;$BH$34,"Fase adiantada: a barra ainda não cruzou o limiar",IF($BH$34&gt;$BI$34,"A barra cruzou o limiar da fase "&amp;$BH$34&amp;". No fim do turno do Boss: digite "&amp;$BH$34&amp;" em Fase em vigor, apague a Redução acumulada (a Tenacidade volta ao máximo, 28.5 regra 3) e anuncie as Fraquezas novas; a virada não gasta a ação dele",""))))))</f>
        <v/>
      </c>
      <c r="CB47" s="19">
        <f>IF(ISERROR($B$47),"",IF(ISBLANK($B$47),"",$B$47))</f>
        <v/>
      </c>
      <c r="CE47" s="19">
        <f>IF(ISERROR($E$47),"",IF(ISBLANK($E$47),"",$E$47))</f>
        <v/>
      </c>
      <c r="CF47" s="19">
        <f>IF(ISERROR($F$47),"",IF(ISBLANK($F$47),"",$F$47))</f>
        <v/>
      </c>
      <c r="CI47" s="19">
        <f>IF(ISERROR($I$47),"",IF(ISBLANK($I$47),"",$I$47))</f>
        <v/>
      </c>
      <c r="CK47" s="19">
        <f>ISERROR($B$47)*1+ISERROR($E$47)*1+ISERROR($F$47)*1+ISERROR($I$47)*1</f>
        <v/>
      </c>
    </row>
    <row r="48" ht="71" customHeight="1">
      <c r="A48" s="32">
        <f>IF(LEN($N$19)&gt;0,$N$19,"Inimigo 3")</f>
        <v/>
      </c>
      <c r="B48" s="15" t="n"/>
      <c r="C48" s="17">
        <f>IF(ISNUMBER($BC$35),$U$19,"")</f>
        <v/>
      </c>
      <c r="D48" s="17">
        <f>IF(ISNUMBER($BC$35),$AQ$19,"")</f>
        <v/>
      </c>
      <c r="E48" s="15" t="n"/>
      <c r="F48" s="15" t="n"/>
      <c r="G48" s="17">
        <f>IF(ISNUMBER($BC$35),MIN($AQ$19,MAX(0,$AR$19-IF(ISNUMBER($CF$48),INT($CF$48),0))),"")</f>
        <v/>
      </c>
      <c r="H48" s="17">
        <f>IF(ISNUMBER($BC$35),$BH$35,"")</f>
        <v/>
      </c>
      <c r="I48" s="15" t="n"/>
      <c r="J48" s="17">
        <f>IF(ISNUMBER($BC$35),$BR$35,"")</f>
        <v/>
      </c>
      <c r="K48" s="18">
        <f>IF(CK48&gt;0,"O Google leu como fórmula: digite de novo com ' na frente.",IF(NOT(ISNUMBER($BC$35)),"",IF($AR$19=0,"Derrotado: remova a casa (19.7)",IF(AND(ISNUMBER($CI$48),OR($CI$48&lt;1,$CI$48&gt;$BX$35)),IF($BW$35="Boss","Fase em vigor fora de 1 a "&amp;$BX$35&amp;": usando o limite","Comum e Elite não têm fases (28.5)"),IF($BI$35&gt;$BH$35,"Fase adiantada: a barra ainda não cruzou o limiar",IF($BH$35&gt;$BI$35,"A barra cruzou o limiar da fase "&amp;$BH$35&amp;". No fim do turno do Boss: digite "&amp;$BH$35&amp;" em Fase em vigor, apague a Redução acumulada (a Tenacidade volta ao máximo, 28.5 regra 3) e anuncie as Fraquezas novas; a virada não gasta a ação dele",""))))))</f>
        <v/>
      </c>
      <c r="CB48" s="19">
        <f>IF(ISERROR($B$48),"",IF(ISBLANK($B$48),"",$B$48))</f>
        <v/>
      </c>
      <c r="CE48" s="19">
        <f>IF(ISERROR($E$48),"",IF(ISBLANK($E$48),"",$E$48))</f>
        <v/>
      </c>
      <c r="CF48" s="19">
        <f>IF(ISERROR($F$48),"",IF(ISBLANK($F$48),"",$F$48))</f>
        <v/>
      </c>
      <c r="CI48" s="19">
        <f>IF(ISERROR($I$48),"",IF(ISBLANK($I$48),"",$I$48))</f>
        <v/>
      </c>
      <c r="CK48" s="19">
        <f>ISERROR($B$48)*1+ISERROR($E$48)*1+ISERROR($F$48)*1+ISERROR($I$48)*1</f>
        <v/>
      </c>
    </row>
    <row r="49" ht="71" customHeight="1">
      <c r="A49" s="33">
        <f>IF(LEN($N$20)&gt;0,$N$20,"Inimigo 4")</f>
        <v/>
      </c>
      <c r="B49" s="34" t="n"/>
      <c r="C49" s="29">
        <f>IF(ISNUMBER($BC$36),$U$20,"")</f>
        <v/>
      </c>
      <c r="D49" s="29">
        <f>IF(ISNUMBER($BC$36),$AQ$20,"")</f>
        <v/>
      </c>
      <c r="E49" s="34" t="n"/>
      <c r="F49" s="34" t="n"/>
      <c r="G49" s="29">
        <f>IF(ISNUMBER($BC$36),MIN($AQ$20,MAX(0,$AR$20-IF(ISNUMBER($CF$49),INT($CF$49),0))),"")</f>
        <v/>
      </c>
      <c r="H49" s="29">
        <f>IF(ISNUMBER($BC$36),$BH$36,"")</f>
        <v/>
      </c>
      <c r="I49" s="34" t="n"/>
      <c r="J49" s="29">
        <f>IF(ISNUMBER($BC$36),$BR$36,"")</f>
        <v/>
      </c>
      <c r="K49" s="26">
        <f>IF(CK49&gt;0,"O Google leu como fórmula: digite de novo com ' na frente.",IF(NOT(ISNUMBER($BC$36)),"",IF($AR$20=0,"Derrotado: remova a casa (19.7)",IF(AND(ISNUMBER($CI$49),OR($CI$49&lt;1,$CI$49&gt;$BX$36)),IF($BW$36="Boss","Fase em vigor fora de 1 a "&amp;$BX$36&amp;": usando o limite","Comum e Elite não têm fases (28.5)"),IF($BI$36&gt;$BH$36,"Fase adiantada: a barra ainda não cruzou o limiar",IF($BH$36&gt;$BI$36,"A barra cruzou o limiar da fase "&amp;$BH$36&amp;". No fim do turno do Boss: digite "&amp;$BH$36&amp;" em Fase em vigor, apague a Redução acumulada (a Tenacidade volta ao máximo, 28.5 regra 3) e anuncie as Fraquezas novas; a virada não gasta a ação dele",""))))))</f>
        <v/>
      </c>
      <c r="CB49" s="19">
        <f>IF(ISERROR($B$49),"",IF(ISBLANK($B$49),"",$B$49))</f>
        <v/>
      </c>
      <c r="CE49" s="19">
        <f>IF(ISERROR($E$49),"",IF(ISBLANK($E$49),"",$E$49))</f>
        <v/>
      </c>
      <c r="CF49" s="19">
        <f>IF(ISERROR($F$49),"",IF(ISBLANK($F$49),"",$F$49))</f>
        <v/>
      </c>
      <c r="CI49" s="19">
        <f>IF(ISERROR($I$49),"",IF(ISBLANK($I$49),"",$I$49))</f>
        <v/>
      </c>
      <c r="CK49" s="19">
        <f>ISERROR($B$49)*1+ISERROR($E$49)*1+ISERROR($F$49)*1+ISERROR($I$49)*1</f>
        <v/>
      </c>
    </row>
    <row r="50" ht="71" customHeight="1">
      <c r="A50" s="32">
        <f>IF(LEN($N$21)&gt;0,$N$21,"Inimigo 5")</f>
        <v/>
      </c>
      <c r="B50" s="15" t="n"/>
      <c r="C50" s="17">
        <f>IF(ISNUMBER($BC$37),$U$21,"")</f>
        <v/>
      </c>
      <c r="D50" s="17">
        <f>IF(ISNUMBER($BC$37),$AQ$21,"")</f>
        <v/>
      </c>
      <c r="E50" s="15" t="n"/>
      <c r="F50" s="15" t="n"/>
      <c r="G50" s="17">
        <f>IF(ISNUMBER($BC$37),MIN($AQ$21,MAX(0,$AR$21-IF(ISNUMBER($CF$50),INT($CF$50),0))),"")</f>
        <v/>
      </c>
      <c r="H50" s="17">
        <f>IF(ISNUMBER($BC$37),$BH$37,"")</f>
        <v/>
      </c>
      <c r="I50" s="15" t="n"/>
      <c r="J50" s="17">
        <f>IF(ISNUMBER($BC$37),$BR$37,"")</f>
        <v/>
      </c>
      <c r="K50" s="18">
        <f>IF(CK50&gt;0,"O Google leu como fórmula: digite de novo com ' na frente.",IF(NOT(ISNUMBER($BC$37)),"",IF($AR$21=0,"Derrotado: remova a casa (19.7)",IF(AND(ISNUMBER($CI$50),OR($CI$50&lt;1,$CI$50&gt;$BX$37)),IF($BW$37="Boss","Fase em vigor fora de 1 a "&amp;$BX$37&amp;": usando o limite","Comum e Elite não têm fases (28.5)"),IF($BI$37&gt;$BH$37,"Fase adiantada: a barra ainda não cruzou o limiar",IF($BH$37&gt;$BI$37,"A barra cruzou o limiar da fase "&amp;$BH$37&amp;". No fim do turno do Boss: digite "&amp;$BH$37&amp;" em Fase em vigor, apague a Redução acumulada (a Tenacidade volta ao máximo, 28.5 regra 3) e anuncie as Fraquezas novas; a virada não gasta a ação dele",""))))))</f>
        <v/>
      </c>
      <c r="CB50" s="19">
        <f>IF(ISERROR($B$50),"",IF(ISBLANK($B$50),"",$B$50))</f>
        <v/>
      </c>
      <c r="CE50" s="19">
        <f>IF(ISERROR($E$50),"",IF(ISBLANK($E$50),"",$E$50))</f>
        <v/>
      </c>
      <c r="CF50" s="19">
        <f>IF(ISERROR($F$50),"",IF(ISBLANK($F$50),"",$F$50))</f>
        <v/>
      </c>
      <c r="CI50" s="19">
        <f>IF(ISERROR($I$50),"",IF(ISBLANK($I$50),"",$I$50))</f>
        <v/>
      </c>
      <c r="CK50" s="19">
        <f>ISERROR($B$50)*1+ISERROR($E$50)*1+ISERROR($F$50)*1+ISERROR($I$50)*1</f>
        <v/>
      </c>
    </row>
    <row r="51" ht="71" customHeight="1">
      <c r="A51" s="33">
        <f>IF(LEN($N$22)&gt;0,$N$22,"Inimigo 6")</f>
        <v/>
      </c>
      <c r="B51" s="34" t="n"/>
      <c r="C51" s="29">
        <f>IF(ISNUMBER($BC$38),$U$22,"")</f>
        <v/>
      </c>
      <c r="D51" s="29">
        <f>IF(ISNUMBER($BC$38),$AQ$22,"")</f>
        <v/>
      </c>
      <c r="E51" s="34" t="n"/>
      <c r="F51" s="34" t="n"/>
      <c r="G51" s="29">
        <f>IF(ISNUMBER($BC$38),MIN($AQ$22,MAX(0,$AR$22-IF(ISNUMBER($CF$51),INT($CF$51),0))),"")</f>
        <v/>
      </c>
      <c r="H51" s="29">
        <f>IF(ISNUMBER($BC$38),$BH$38,"")</f>
        <v/>
      </c>
      <c r="I51" s="34" t="n"/>
      <c r="J51" s="29">
        <f>IF(ISNUMBER($BC$38),$BR$38,"")</f>
        <v/>
      </c>
      <c r="K51" s="26">
        <f>IF(CK51&gt;0,"O Google leu como fórmula: digite de novo com ' na frente.",IF(NOT(ISNUMBER($BC$38)),"",IF($AR$22=0,"Derrotado: remova a casa (19.7)",IF(AND(ISNUMBER($CI$51),OR($CI$51&lt;1,$CI$51&gt;$BX$38)),IF($BW$38="Boss","Fase em vigor fora de 1 a "&amp;$BX$38&amp;": usando o limite","Comum e Elite não têm fases (28.5)"),IF($BI$38&gt;$BH$38,"Fase adiantada: a barra ainda não cruzou o limiar",IF($BH$38&gt;$BI$38,"A barra cruzou o limiar da fase "&amp;$BH$38&amp;". No fim do turno do Boss: digite "&amp;$BH$38&amp;" em Fase em vigor, apague a Redução acumulada (a Tenacidade volta ao máximo, 28.5 regra 3) e anuncie as Fraquezas novas; a virada não gasta a ação dele",""))))))</f>
        <v/>
      </c>
      <c r="CB51" s="19">
        <f>IF(ISERROR($B$51),"",IF(ISBLANK($B$51),"",$B$51))</f>
        <v/>
      </c>
      <c r="CE51" s="19">
        <f>IF(ISERROR($E$51),"",IF(ISBLANK($E$51),"",$E$51))</f>
        <v/>
      </c>
      <c r="CF51" s="19">
        <f>IF(ISERROR($F$51),"",IF(ISBLANK($F$51),"",$F$51))</f>
        <v/>
      </c>
      <c r="CI51" s="19">
        <f>IF(ISERROR($I$51),"",IF(ISBLANK($I$51),"",$I$51))</f>
        <v/>
      </c>
      <c r="CK51" s="19">
        <f>ISERROR($B$51)*1+ISERROR($E$51)*1+ISERROR($F$51)*1+ISERROR($I$51)*1</f>
        <v/>
      </c>
    </row>
    <row r="52" ht="71" customHeight="1">
      <c r="A52" s="32">
        <f>IF(LEN($N$23)&gt;0,$N$23,"Inimigo 7")</f>
        <v/>
      </c>
      <c r="B52" s="15" t="n"/>
      <c r="C52" s="17">
        <f>IF(ISNUMBER($BC$39),$U$23,"")</f>
        <v/>
      </c>
      <c r="D52" s="17">
        <f>IF(ISNUMBER($BC$39),$AQ$23,"")</f>
        <v/>
      </c>
      <c r="E52" s="15" t="n"/>
      <c r="F52" s="15" t="n"/>
      <c r="G52" s="17">
        <f>IF(ISNUMBER($BC$39),MIN($AQ$23,MAX(0,$AR$23-IF(ISNUMBER($CF$52),INT($CF$52),0))),"")</f>
        <v/>
      </c>
      <c r="H52" s="17">
        <f>IF(ISNUMBER($BC$39),$BH$39,"")</f>
        <v/>
      </c>
      <c r="I52" s="15" t="n"/>
      <c r="J52" s="17">
        <f>IF(ISNUMBER($BC$39),$BR$39,"")</f>
        <v/>
      </c>
      <c r="K52" s="18">
        <f>IF(CK52&gt;0,"O Google leu como fórmula: digite de novo com ' na frente.",IF(NOT(ISNUMBER($BC$39)),"",IF($AR$23=0,"Derrotado: remova a casa (19.7)",IF(AND(ISNUMBER($CI$52),OR($CI$52&lt;1,$CI$52&gt;$BX$39)),IF($BW$39="Boss","Fase em vigor fora de 1 a "&amp;$BX$39&amp;": usando o limite","Comum e Elite não têm fases (28.5)"),IF($BI$39&gt;$BH$39,"Fase adiantada: a barra ainda não cruzou o limiar",IF($BH$39&gt;$BI$39,"A barra cruzou o limiar da fase "&amp;$BH$39&amp;". No fim do turno do Boss: digite "&amp;$BH$39&amp;" em Fase em vigor, apague a Redução acumulada (a Tenacidade volta ao máximo, 28.5 regra 3) e anuncie as Fraquezas novas; a virada não gasta a ação dele",""))))))</f>
        <v/>
      </c>
      <c r="CB52" s="19">
        <f>IF(ISERROR($B$52),"",IF(ISBLANK($B$52),"",$B$52))</f>
        <v/>
      </c>
      <c r="CE52" s="19">
        <f>IF(ISERROR($E$52),"",IF(ISBLANK($E$52),"",$E$52))</f>
        <v/>
      </c>
      <c r="CF52" s="19">
        <f>IF(ISERROR($F$52),"",IF(ISBLANK($F$52),"",$F$52))</f>
        <v/>
      </c>
      <c r="CI52" s="19">
        <f>IF(ISERROR($I$52),"",IF(ISBLANK($I$52),"",$I$52))</f>
        <v/>
      </c>
      <c r="CK52" s="19">
        <f>ISERROR($B$52)*1+ISERROR($E$52)*1+ISERROR($F$52)*1+ISERROR($I$52)*1</f>
        <v/>
      </c>
    </row>
    <row r="53" ht="71" customHeight="1">
      <c r="A53" s="33">
        <f>IF(LEN($N$24)&gt;0,$N$24,"Inimigo 8")</f>
        <v/>
      </c>
      <c r="B53" s="34" t="n"/>
      <c r="C53" s="29">
        <f>IF(ISNUMBER($BC$40),$U$24,"")</f>
        <v/>
      </c>
      <c r="D53" s="29">
        <f>IF(ISNUMBER($BC$40),$AQ$24,"")</f>
        <v/>
      </c>
      <c r="E53" s="34" t="n"/>
      <c r="F53" s="34" t="n"/>
      <c r="G53" s="29">
        <f>IF(ISNUMBER($BC$40),MIN($AQ$24,MAX(0,$AR$24-IF(ISNUMBER($CF$53),INT($CF$53),0))),"")</f>
        <v/>
      </c>
      <c r="H53" s="29">
        <f>IF(ISNUMBER($BC$40),$BH$40,"")</f>
        <v/>
      </c>
      <c r="I53" s="34" t="n"/>
      <c r="J53" s="29">
        <f>IF(ISNUMBER($BC$40),$BR$40,"")</f>
        <v/>
      </c>
      <c r="K53" s="26">
        <f>IF(CK53&gt;0,"O Google leu como fórmula: digite de novo com ' na frente.",IF(NOT(ISNUMBER($BC$40)),"",IF($AR$24=0,"Derrotado: remova a casa (19.7)",IF(AND(ISNUMBER($CI$53),OR($CI$53&lt;1,$CI$53&gt;$BX$40)),IF($BW$40="Boss","Fase em vigor fora de 1 a "&amp;$BX$40&amp;": usando o limite","Comum e Elite não têm fases (28.5)"),IF($BI$40&gt;$BH$40,"Fase adiantada: a barra ainda não cruzou o limiar",IF($BH$40&gt;$BI$40,"A barra cruzou o limiar da fase "&amp;$BH$40&amp;". No fim do turno do Boss: digite "&amp;$BH$40&amp;" em Fase em vigor, apague a Redução acumulada (a Tenacidade volta ao máximo, 28.5 regra 3) e anuncie as Fraquezas novas; a virada não gasta a ação dele",""))))))</f>
        <v/>
      </c>
      <c r="CB53" s="19">
        <f>IF(ISERROR($B$53),"",IF(ISBLANK($B$53),"",$B$53))</f>
        <v/>
      </c>
      <c r="CE53" s="19">
        <f>IF(ISERROR($E$53),"",IF(ISBLANK($E$53),"",$E$53))</f>
        <v/>
      </c>
      <c r="CF53" s="19">
        <f>IF(ISERROR($F$53),"",IF(ISBLANK($F$53),"",$F$53))</f>
        <v/>
      </c>
      <c r="CI53" s="19">
        <f>IF(ISERROR($I$53),"",IF(ISBLANK($I$53),"",$I$53))</f>
        <v/>
      </c>
      <c r="CK53" s="19">
        <f>ISERROR($B$53)*1+ISERROR($E$53)*1+ISERROR($F$53)*1+ISERROR($I$53)*1</f>
        <v/>
      </c>
    </row>
    <row r="54" ht="71" customHeight="1">
      <c r="A54" s="32">
        <f>IF(LEN($N$25)&gt;0,$N$25,"Inimigo 9")</f>
        <v/>
      </c>
      <c r="B54" s="15" t="n"/>
      <c r="C54" s="17">
        <f>IF(ISNUMBER($BC$41),$U$25,"")</f>
        <v/>
      </c>
      <c r="D54" s="17">
        <f>IF(ISNUMBER($BC$41),$AQ$25,"")</f>
        <v/>
      </c>
      <c r="E54" s="15" t="n"/>
      <c r="F54" s="15" t="n"/>
      <c r="G54" s="17">
        <f>IF(ISNUMBER($BC$41),MIN($AQ$25,MAX(0,$AR$25-IF(ISNUMBER($CF$54),INT($CF$54),0))),"")</f>
        <v/>
      </c>
      <c r="H54" s="17">
        <f>IF(ISNUMBER($BC$41),$BH$41,"")</f>
        <v/>
      </c>
      <c r="I54" s="15" t="n"/>
      <c r="J54" s="17">
        <f>IF(ISNUMBER($BC$41),$BR$41,"")</f>
        <v/>
      </c>
      <c r="K54" s="18">
        <f>IF(CK54&gt;0,"O Google leu como fórmula: digite de novo com ' na frente.",IF(NOT(ISNUMBER($BC$41)),"",IF($AR$25=0,"Derrotado: remova a casa (19.7)",IF(AND(ISNUMBER($CI$54),OR($CI$54&lt;1,$CI$54&gt;$BX$41)),IF($BW$41="Boss","Fase em vigor fora de 1 a "&amp;$BX$41&amp;": usando o limite","Comum e Elite não têm fases (28.5)"),IF($BI$41&gt;$BH$41,"Fase adiantada: a barra ainda não cruzou o limiar",IF($BH$41&gt;$BI$41,"A barra cruzou o limiar da fase "&amp;$BH$41&amp;". No fim do turno do Boss: digite "&amp;$BH$41&amp;" em Fase em vigor, apague a Redução acumulada (a Tenacidade volta ao máximo, 28.5 regra 3) e anuncie as Fraquezas novas; a virada não gasta a ação dele",""))))))</f>
        <v/>
      </c>
      <c r="CB54" s="19">
        <f>IF(ISERROR($B$54),"",IF(ISBLANK($B$54),"",$B$54))</f>
        <v/>
      </c>
      <c r="CE54" s="19">
        <f>IF(ISERROR($E$54),"",IF(ISBLANK($E$54),"",$E$54))</f>
        <v/>
      </c>
      <c r="CF54" s="19">
        <f>IF(ISERROR($F$54),"",IF(ISBLANK($F$54),"",$F$54))</f>
        <v/>
      </c>
      <c r="CI54" s="19">
        <f>IF(ISERROR($I$54),"",IF(ISBLANK($I$54),"",$I$54))</f>
        <v/>
      </c>
      <c r="CK54" s="19">
        <f>ISERROR($B$54)*1+ISERROR($E$54)*1+ISERROR($F$54)*1+ISERROR($I$54)*1</f>
        <v/>
      </c>
    </row>
    <row r="55" ht="71" customHeight="1">
      <c r="A55" s="33">
        <f>IF(LEN($N$26)&gt;0,$N$26,"Inimigo 10")</f>
        <v/>
      </c>
      <c r="B55" s="34" t="n"/>
      <c r="C55" s="29">
        <f>IF(ISNUMBER($BC$42),$U$26,"")</f>
        <v/>
      </c>
      <c r="D55" s="29">
        <f>IF(ISNUMBER($BC$42),$AQ$26,"")</f>
        <v/>
      </c>
      <c r="E55" s="34" t="n"/>
      <c r="F55" s="34" t="n"/>
      <c r="G55" s="29">
        <f>IF(ISNUMBER($BC$42),MIN($AQ$26,MAX(0,$AR$26-IF(ISNUMBER($CF$55),INT($CF$55),0))),"")</f>
        <v/>
      </c>
      <c r="H55" s="29">
        <f>IF(ISNUMBER($BC$42),$BH$42,"")</f>
        <v/>
      </c>
      <c r="I55" s="34" t="n"/>
      <c r="J55" s="29">
        <f>IF(ISNUMBER($BC$42),$BR$42,"")</f>
        <v/>
      </c>
      <c r="K55" s="26">
        <f>IF(CK55&gt;0,"O Google leu como fórmula: digite de novo com ' na frente.",IF(NOT(ISNUMBER($BC$42)),"",IF($AR$26=0,"Derrotado: remova a casa (19.7)",IF(AND(ISNUMBER($CI$55),OR($CI$55&lt;1,$CI$55&gt;$BX$42)),IF($BW$42="Boss","Fase em vigor fora de 1 a "&amp;$BX$42&amp;": usando o limite","Comum e Elite não têm fases (28.5)"),IF($BI$42&gt;$BH$42,"Fase adiantada: a barra ainda não cruzou o limiar",IF($BH$42&gt;$BI$42,"A barra cruzou o limiar da fase "&amp;$BH$42&amp;". No fim do turno do Boss: digite "&amp;$BH$42&amp;" em Fase em vigor, apague a Redução acumulada (a Tenacidade volta ao máximo, 28.5 regra 3) e anuncie as Fraquezas novas; a virada não gasta a ação dele",""))))))</f>
        <v/>
      </c>
      <c r="CB55" s="19">
        <f>IF(ISERROR($B$55),"",IF(ISBLANK($B$55),"",$B$55))</f>
        <v/>
      </c>
      <c r="CE55" s="19">
        <f>IF(ISERROR($E$55),"",IF(ISBLANK($E$55),"",$E$55))</f>
        <v/>
      </c>
      <c r="CF55" s="19">
        <f>IF(ISERROR($F$55),"",IF(ISBLANK($F$55),"",$F$55))</f>
        <v/>
      </c>
      <c r="CI55" s="19">
        <f>IF(ISERROR($I$55),"",IF(ISBLANK($I$55),"",$I$55))</f>
        <v/>
      </c>
      <c r="CK55" s="19">
        <f>ISERROR($B$55)*1+ISERROR($E$55)*1+ISERROR($F$55)*1+ISERROR($I$55)*1</f>
        <v/>
      </c>
    </row>
    <row r="56">
      <c r="A56" s="43" t="inlineStr">
        <is>
          <t>Virar a fase do Boss (no fim do turno dele, quando o aviso 'a barra cruzou o limiar' acender): (1) digite a fase nova em 'Fase em vigor';</t>
        </is>
      </c>
    </row>
    <row r="57">
      <c r="A57" s="41" t="inlineStr">
        <is>
          <t>(2) apague a 'Redução acumulada' dele em C5: a Tenacidade volta ao máximo da fase nova;</t>
        </is>
      </c>
    </row>
    <row r="58">
      <c r="A58" s="43" t="inlineStr">
        <is>
          <t>(3) leia em voz alta as Fraquezas novas (C5). A virada não gasta a ação dele (28.5 regra 5).</t>
        </is>
      </c>
    </row>
    <row r="59"/>
    <row r="60" ht="20" customHeight="1">
      <c r="A60" s="12" t="inlineStr">
        <is>
          <t>C5 · Inimigos — Tenacidade e Fraquezas em vigor (20.2–20.4)</t>
        </is>
      </c>
    </row>
    <row r="61" ht="37" customHeight="1">
      <c r="A61" s="7" t="inlineStr">
        <is>
          <t>Inimigo</t>
        </is>
      </c>
      <c r="B61" s="7" t="inlineStr">
        <is>
          <t>Tenacidade máx. (fase em vigor)</t>
        </is>
      </c>
      <c r="C61" s="7" t="inlineStr">
        <is>
          <t>Redução acumulada</t>
        </is>
      </c>
      <c r="D61" s="7" t="inlineStr">
        <is>
          <t>Tenacidade atual</t>
        </is>
      </c>
      <c r="E61" s="7" t="inlineStr">
        <is>
          <t>Fraquezas em vigor</t>
        </is>
      </c>
      <c r="F61" s="20" t="n"/>
      <c r="G61" s="20" t="n"/>
      <c r="H61" s="7" t="inlineStr">
        <is>
          <t>Resistência</t>
        </is>
      </c>
      <c r="I61" s="7" t="inlineStr">
        <is>
          <t>RD</t>
        </is>
      </c>
      <c r="J61" s="7" t="inlineStr">
        <is>
          <t>Quebrado?</t>
        </is>
      </c>
      <c r="K61" s="7" t="inlineStr">
        <is>
          <t>Aviso</t>
        </is>
      </c>
      <c r="L61" s="20" t="n"/>
    </row>
    <row r="62" ht="48" customHeight="1">
      <c r="A62" s="32">
        <f>IF(LEN($N$17)&gt;0,$N$17,"Inimigo 1")</f>
        <v/>
      </c>
      <c r="B62" s="17">
        <f>IF(ISNUMBER($BC$33),$BO$33,"")</f>
        <v/>
      </c>
      <c r="C62" s="15" t="n"/>
      <c r="D62" s="17">
        <f>IF(ISNUMBER($BC$33),$BP$33,"")</f>
        <v/>
      </c>
      <c r="E62" s="4">
        <f>IF(ISNUMBER($BC$33),$BJ$33&amp;IF(LEN($BK$33)&gt;0,", "&amp;$BK$33,"")&amp;IF(LEN($BL$33)&gt;0,", "&amp;$BL$33,"")&amp;IF(LEN($BM$33)&gt;0,", "&amp;$BM$33,""),"")</f>
        <v/>
      </c>
      <c r="H62" s="17">
        <f>IF(ISNUMBER($BC$33),IF(LEN($BN$33)&gt;0,$BN$33,"—"),"")</f>
        <v/>
      </c>
      <c r="I62" s="17">
        <f>IF(ISNUMBER($BC$33),$BS$33,"")</f>
        <v/>
      </c>
      <c r="J62" s="17">
        <f>IF(ISNUMBER($BC$33),IF($BQ$33=1,"Sim","Não"),"")</f>
        <v/>
      </c>
      <c r="K62" s="18">
        <f>IF(CK62&gt;0,"O Google leu como fórmula: digite de novo com ' na frente.",IF(NOT(ISNUMBER($BC$33)),"",IF(AND(ISNUMBER($CC$62),$CC$62&lt;0),"Redução negativa: usando 0",IF($BQ$33=1,"Quebra! Dano de Quebra em C5b; Atrasa 1 casa; Quebrado até o fim do próximo turno dele; +10 de Energia para quem quebrou (20.4)",""))))</f>
        <v/>
      </c>
      <c r="CC62" s="19">
        <f>IF(ISERROR($C$62),"",IF(ISBLANK($C$62),"",$C$62))</f>
        <v/>
      </c>
      <c r="CK62" s="19">
        <f>ISERROR($C$62)*1</f>
        <v/>
      </c>
    </row>
    <row r="63" ht="48" customHeight="1">
      <c r="A63" s="33">
        <f>IF(LEN($N$18)&gt;0,$N$18,"Inimigo 2")</f>
        <v/>
      </c>
      <c r="B63" s="29">
        <f>IF(ISNUMBER($BC$34),$BO$34,"")</f>
        <v/>
      </c>
      <c r="C63" s="34" t="n"/>
      <c r="D63" s="29">
        <f>IF(ISNUMBER($BC$34),$BP$34,"")</f>
        <v/>
      </c>
      <c r="E63" s="9">
        <f>IF(ISNUMBER($BC$34),$BJ$34&amp;IF(LEN($BK$34)&gt;0,", "&amp;$BK$34,"")&amp;IF(LEN($BL$34)&gt;0,", "&amp;$BL$34,"")&amp;IF(LEN($BM$34)&gt;0,", "&amp;$BM$34,""),"")</f>
        <v/>
      </c>
      <c r="H63" s="29">
        <f>IF(ISNUMBER($BC$34),IF(LEN($BN$34)&gt;0,$BN$34,"—"),"")</f>
        <v/>
      </c>
      <c r="I63" s="29">
        <f>IF(ISNUMBER($BC$34),$BS$34,"")</f>
        <v/>
      </c>
      <c r="J63" s="29">
        <f>IF(ISNUMBER($BC$34),IF($BQ$34=1,"Sim","Não"),"")</f>
        <v/>
      </c>
      <c r="K63" s="26">
        <f>IF(CK63&gt;0,"O Google leu como fórmula: digite de novo com ' na frente.",IF(NOT(ISNUMBER($BC$34)),"",IF(AND(ISNUMBER($CC$63),$CC$63&lt;0),"Redução negativa: usando 0",IF($BQ$34=1,"Quebra! Dano de Quebra em C5b; Atrasa 1 casa; Quebrado até o fim do próximo turno dele; +10 de Energia para quem quebrou (20.4)",""))))</f>
        <v/>
      </c>
      <c r="CC63" s="19">
        <f>IF(ISERROR($C$63),"",IF(ISBLANK($C$63),"",$C$63))</f>
        <v/>
      </c>
      <c r="CK63" s="19">
        <f>ISERROR($C$63)*1</f>
        <v/>
      </c>
    </row>
    <row r="64" ht="48" customHeight="1">
      <c r="A64" s="32">
        <f>IF(LEN($N$19)&gt;0,$N$19,"Inimigo 3")</f>
        <v/>
      </c>
      <c r="B64" s="17">
        <f>IF(ISNUMBER($BC$35),$BO$35,"")</f>
        <v/>
      </c>
      <c r="C64" s="15" t="n"/>
      <c r="D64" s="17">
        <f>IF(ISNUMBER($BC$35),$BP$35,"")</f>
        <v/>
      </c>
      <c r="E64" s="4">
        <f>IF(ISNUMBER($BC$35),$BJ$35&amp;IF(LEN($BK$35)&gt;0,", "&amp;$BK$35,"")&amp;IF(LEN($BL$35)&gt;0,", "&amp;$BL$35,"")&amp;IF(LEN($BM$35)&gt;0,", "&amp;$BM$35,""),"")</f>
        <v/>
      </c>
      <c r="H64" s="17">
        <f>IF(ISNUMBER($BC$35),IF(LEN($BN$35)&gt;0,$BN$35,"—"),"")</f>
        <v/>
      </c>
      <c r="I64" s="17">
        <f>IF(ISNUMBER($BC$35),$BS$35,"")</f>
        <v/>
      </c>
      <c r="J64" s="17">
        <f>IF(ISNUMBER($BC$35),IF($BQ$35=1,"Sim","Não"),"")</f>
        <v/>
      </c>
      <c r="K64" s="18">
        <f>IF(CK64&gt;0,"O Google leu como fórmula: digite de novo com ' na frente.",IF(NOT(ISNUMBER($BC$35)),"",IF(AND(ISNUMBER($CC$64),$CC$64&lt;0),"Redução negativa: usando 0",IF($BQ$35=1,"Quebra! Dano de Quebra em C5b; Atrasa 1 casa; Quebrado até o fim do próximo turno dele; +10 de Energia para quem quebrou (20.4)",""))))</f>
        <v/>
      </c>
      <c r="CC64" s="19">
        <f>IF(ISERROR($C$64),"",IF(ISBLANK($C$64),"",$C$64))</f>
        <v/>
      </c>
      <c r="CK64" s="19">
        <f>ISERROR($C$64)*1</f>
        <v/>
      </c>
    </row>
    <row r="65" ht="48" customHeight="1">
      <c r="A65" s="33">
        <f>IF(LEN($N$20)&gt;0,$N$20,"Inimigo 4")</f>
        <v/>
      </c>
      <c r="B65" s="29">
        <f>IF(ISNUMBER($BC$36),$BO$36,"")</f>
        <v/>
      </c>
      <c r="C65" s="34" t="n"/>
      <c r="D65" s="29">
        <f>IF(ISNUMBER($BC$36),$BP$36,"")</f>
        <v/>
      </c>
      <c r="E65" s="9">
        <f>IF(ISNUMBER($BC$36),$BJ$36&amp;IF(LEN($BK$36)&gt;0,", "&amp;$BK$36,"")&amp;IF(LEN($BL$36)&gt;0,", "&amp;$BL$36,"")&amp;IF(LEN($BM$36)&gt;0,", "&amp;$BM$36,""),"")</f>
        <v/>
      </c>
      <c r="H65" s="29">
        <f>IF(ISNUMBER($BC$36),IF(LEN($BN$36)&gt;0,$BN$36,"—"),"")</f>
        <v/>
      </c>
      <c r="I65" s="29">
        <f>IF(ISNUMBER($BC$36),$BS$36,"")</f>
        <v/>
      </c>
      <c r="J65" s="29">
        <f>IF(ISNUMBER($BC$36),IF($BQ$36=1,"Sim","Não"),"")</f>
        <v/>
      </c>
      <c r="K65" s="26">
        <f>IF(CK65&gt;0,"O Google leu como fórmula: digite de novo com ' na frente.",IF(NOT(ISNUMBER($BC$36)),"",IF(AND(ISNUMBER($CC$65),$CC$65&lt;0),"Redução negativa: usando 0",IF($BQ$36=1,"Quebra! Dano de Quebra em C5b; Atrasa 1 casa; Quebrado até o fim do próximo turno dele; +10 de Energia para quem quebrou (20.4)",""))))</f>
        <v/>
      </c>
      <c r="CC65" s="19">
        <f>IF(ISERROR($C$65),"",IF(ISBLANK($C$65),"",$C$65))</f>
        <v/>
      </c>
      <c r="CK65" s="19">
        <f>ISERROR($C$65)*1</f>
        <v/>
      </c>
    </row>
    <row r="66" ht="48" customHeight="1">
      <c r="A66" s="32">
        <f>IF(LEN($N$21)&gt;0,$N$21,"Inimigo 5")</f>
        <v/>
      </c>
      <c r="B66" s="17">
        <f>IF(ISNUMBER($BC$37),$BO$37,"")</f>
        <v/>
      </c>
      <c r="C66" s="15" t="n"/>
      <c r="D66" s="17">
        <f>IF(ISNUMBER($BC$37),$BP$37,"")</f>
        <v/>
      </c>
      <c r="E66" s="4">
        <f>IF(ISNUMBER($BC$37),$BJ$37&amp;IF(LEN($BK$37)&gt;0,", "&amp;$BK$37,"")&amp;IF(LEN($BL$37)&gt;0,", "&amp;$BL$37,"")&amp;IF(LEN($BM$37)&gt;0,", "&amp;$BM$37,""),"")</f>
        <v/>
      </c>
      <c r="H66" s="17">
        <f>IF(ISNUMBER($BC$37),IF(LEN($BN$37)&gt;0,$BN$37,"—"),"")</f>
        <v/>
      </c>
      <c r="I66" s="17">
        <f>IF(ISNUMBER($BC$37),$BS$37,"")</f>
        <v/>
      </c>
      <c r="J66" s="17">
        <f>IF(ISNUMBER($BC$37),IF($BQ$37=1,"Sim","Não"),"")</f>
        <v/>
      </c>
      <c r="K66" s="18">
        <f>IF(CK66&gt;0,"O Google leu como fórmula: digite de novo com ' na frente.",IF(NOT(ISNUMBER($BC$37)),"",IF(AND(ISNUMBER($CC$66),$CC$66&lt;0),"Redução negativa: usando 0",IF($BQ$37=1,"Quebra! Dano de Quebra em C5b; Atrasa 1 casa; Quebrado até o fim do próximo turno dele; +10 de Energia para quem quebrou (20.4)",""))))</f>
        <v/>
      </c>
      <c r="CC66" s="19">
        <f>IF(ISERROR($C$66),"",IF(ISBLANK($C$66),"",$C$66))</f>
        <v/>
      </c>
      <c r="CK66" s="19">
        <f>ISERROR($C$66)*1</f>
        <v/>
      </c>
    </row>
    <row r="67" ht="48" customHeight="1">
      <c r="A67" s="33">
        <f>IF(LEN($N$22)&gt;0,$N$22,"Inimigo 6")</f>
        <v/>
      </c>
      <c r="B67" s="29">
        <f>IF(ISNUMBER($BC$38),$BO$38,"")</f>
        <v/>
      </c>
      <c r="C67" s="34" t="n"/>
      <c r="D67" s="29">
        <f>IF(ISNUMBER($BC$38),$BP$38,"")</f>
        <v/>
      </c>
      <c r="E67" s="9">
        <f>IF(ISNUMBER($BC$38),$BJ$38&amp;IF(LEN($BK$38)&gt;0,", "&amp;$BK$38,"")&amp;IF(LEN($BL$38)&gt;0,", "&amp;$BL$38,"")&amp;IF(LEN($BM$38)&gt;0,", "&amp;$BM$38,""),"")</f>
        <v/>
      </c>
      <c r="H67" s="29">
        <f>IF(ISNUMBER($BC$38),IF(LEN($BN$38)&gt;0,$BN$38,"—"),"")</f>
        <v/>
      </c>
      <c r="I67" s="29">
        <f>IF(ISNUMBER($BC$38),$BS$38,"")</f>
        <v/>
      </c>
      <c r="J67" s="29">
        <f>IF(ISNUMBER($BC$38),IF($BQ$38=1,"Sim","Não"),"")</f>
        <v/>
      </c>
      <c r="K67" s="26">
        <f>IF(CK67&gt;0,"O Google leu como fórmula: digite de novo com ' na frente.",IF(NOT(ISNUMBER($BC$38)),"",IF(AND(ISNUMBER($CC$67),$CC$67&lt;0),"Redução negativa: usando 0",IF($BQ$38=1,"Quebra! Dano de Quebra em C5b; Atrasa 1 casa; Quebrado até o fim do próximo turno dele; +10 de Energia para quem quebrou (20.4)",""))))</f>
        <v/>
      </c>
      <c r="CC67" s="19">
        <f>IF(ISERROR($C$67),"",IF(ISBLANK($C$67),"",$C$67))</f>
        <v/>
      </c>
      <c r="CK67" s="19">
        <f>ISERROR($C$67)*1</f>
        <v/>
      </c>
    </row>
    <row r="68" ht="48" customHeight="1">
      <c r="A68" s="32">
        <f>IF(LEN($N$23)&gt;0,$N$23,"Inimigo 7")</f>
        <v/>
      </c>
      <c r="B68" s="17">
        <f>IF(ISNUMBER($BC$39),$BO$39,"")</f>
        <v/>
      </c>
      <c r="C68" s="15" t="n"/>
      <c r="D68" s="17">
        <f>IF(ISNUMBER($BC$39),$BP$39,"")</f>
        <v/>
      </c>
      <c r="E68" s="4">
        <f>IF(ISNUMBER($BC$39),$BJ$39&amp;IF(LEN($BK$39)&gt;0,", "&amp;$BK$39,"")&amp;IF(LEN($BL$39)&gt;0,", "&amp;$BL$39,"")&amp;IF(LEN($BM$39)&gt;0,", "&amp;$BM$39,""),"")</f>
        <v/>
      </c>
      <c r="H68" s="17">
        <f>IF(ISNUMBER($BC$39),IF(LEN($BN$39)&gt;0,$BN$39,"—"),"")</f>
        <v/>
      </c>
      <c r="I68" s="17">
        <f>IF(ISNUMBER($BC$39),$BS$39,"")</f>
        <v/>
      </c>
      <c r="J68" s="17">
        <f>IF(ISNUMBER($BC$39),IF($BQ$39=1,"Sim","Não"),"")</f>
        <v/>
      </c>
      <c r="K68" s="18">
        <f>IF(CK68&gt;0,"O Google leu como fórmula: digite de novo com ' na frente.",IF(NOT(ISNUMBER($BC$39)),"",IF(AND(ISNUMBER($CC$68),$CC$68&lt;0),"Redução negativa: usando 0",IF($BQ$39=1,"Quebra! Dano de Quebra em C5b; Atrasa 1 casa; Quebrado até o fim do próximo turno dele; +10 de Energia para quem quebrou (20.4)",""))))</f>
        <v/>
      </c>
      <c r="CC68" s="19">
        <f>IF(ISERROR($C$68),"",IF(ISBLANK($C$68),"",$C$68))</f>
        <v/>
      </c>
      <c r="CK68" s="19">
        <f>ISERROR($C$68)*1</f>
        <v/>
      </c>
    </row>
    <row r="69" ht="48" customHeight="1">
      <c r="A69" s="33">
        <f>IF(LEN($N$24)&gt;0,$N$24,"Inimigo 8")</f>
        <v/>
      </c>
      <c r="B69" s="29">
        <f>IF(ISNUMBER($BC$40),$BO$40,"")</f>
        <v/>
      </c>
      <c r="C69" s="34" t="n"/>
      <c r="D69" s="29">
        <f>IF(ISNUMBER($BC$40),$BP$40,"")</f>
        <v/>
      </c>
      <c r="E69" s="9">
        <f>IF(ISNUMBER($BC$40),$BJ$40&amp;IF(LEN($BK$40)&gt;0,", "&amp;$BK$40,"")&amp;IF(LEN($BL$40)&gt;0,", "&amp;$BL$40,"")&amp;IF(LEN($BM$40)&gt;0,", "&amp;$BM$40,""),"")</f>
        <v/>
      </c>
      <c r="H69" s="29">
        <f>IF(ISNUMBER($BC$40),IF(LEN($BN$40)&gt;0,$BN$40,"—"),"")</f>
        <v/>
      </c>
      <c r="I69" s="29">
        <f>IF(ISNUMBER($BC$40),$BS$40,"")</f>
        <v/>
      </c>
      <c r="J69" s="29">
        <f>IF(ISNUMBER($BC$40),IF($BQ$40=1,"Sim","Não"),"")</f>
        <v/>
      </c>
      <c r="K69" s="26">
        <f>IF(CK69&gt;0,"O Google leu como fórmula: digite de novo com ' na frente.",IF(NOT(ISNUMBER($BC$40)),"",IF(AND(ISNUMBER($CC$69),$CC$69&lt;0),"Redução negativa: usando 0",IF($BQ$40=1,"Quebra! Dano de Quebra em C5b; Atrasa 1 casa; Quebrado até o fim do próximo turno dele; +10 de Energia para quem quebrou (20.4)",""))))</f>
        <v/>
      </c>
      <c r="CC69" s="19">
        <f>IF(ISERROR($C$69),"",IF(ISBLANK($C$69),"",$C$69))</f>
        <v/>
      </c>
      <c r="CK69" s="19">
        <f>ISERROR($C$69)*1</f>
        <v/>
      </c>
    </row>
    <row r="70" ht="48" customHeight="1">
      <c r="A70" s="32">
        <f>IF(LEN($N$25)&gt;0,$N$25,"Inimigo 9")</f>
        <v/>
      </c>
      <c r="B70" s="17">
        <f>IF(ISNUMBER($BC$41),$BO$41,"")</f>
        <v/>
      </c>
      <c r="C70" s="15" t="n"/>
      <c r="D70" s="17">
        <f>IF(ISNUMBER($BC$41),$BP$41,"")</f>
        <v/>
      </c>
      <c r="E70" s="4">
        <f>IF(ISNUMBER($BC$41),$BJ$41&amp;IF(LEN($BK$41)&gt;0,", "&amp;$BK$41,"")&amp;IF(LEN($BL$41)&gt;0,", "&amp;$BL$41,"")&amp;IF(LEN($BM$41)&gt;0,", "&amp;$BM$41,""),"")</f>
        <v/>
      </c>
      <c r="H70" s="17">
        <f>IF(ISNUMBER($BC$41),IF(LEN($BN$41)&gt;0,$BN$41,"—"),"")</f>
        <v/>
      </c>
      <c r="I70" s="17">
        <f>IF(ISNUMBER($BC$41),$BS$41,"")</f>
        <v/>
      </c>
      <c r="J70" s="17">
        <f>IF(ISNUMBER($BC$41),IF($BQ$41=1,"Sim","Não"),"")</f>
        <v/>
      </c>
      <c r="K70" s="18">
        <f>IF(CK70&gt;0,"O Google leu como fórmula: digite de novo com ' na frente.",IF(NOT(ISNUMBER($BC$41)),"",IF(AND(ISNUMBER($CC$70),$CC$70&lt;0),"Redução negativa: usando 0",IF($BQ$41=1,"Quebra! Dano de Quebra em C5b; Atrasa 1 casa; Quebrado até o fim do próximo turno dele; +10 de Energia para quem quebrou (20.4)",""))))</f>
        <v/>
      </c>
      <c r="CC70" s="19">
        <f>IF(ISERROR($C$70),"",IF(ISBLANK($C$70),"",$C$70))</f>
        <v/>
      </c>
      <c r="CK70" s="19">
        <f>ISERROR($C$70)*1</f>
        <v/>
      </c>
    </row>
    <row r="71" ht="48" customHeight="1">
      <c r="A71" s="33">
        <f>IF(LEN($N$26)&gt;0,$N$26,"Inimigo 10")</f>
        <v/>
      </c>
      <c r="B71" s="29">
        <f>IF(ISNUMBER($BC$42),$BO$42,"")</f>
        <v/>
      </c>
      <c r="C71" s="34" t="n"/>
      <c r="D71" s="29">
        <f>IF(ISNUMBER($BC$42),$BP$42,"")</f>
        <v/>
      </c>
      <c r="E71" s="9">
        <f>IF(ISNUMBER($BC$42),$BJ$42&amp;IF(LEN($BK$42)&gt;0,", "&amp;$BK$42,"")&amp;IF(LEN($BL$42)&gt;0,", "&amp;$BL$42,"")&amp;IF(LEN($BM$42)&gt;0,", "&amp;$BM$42,""),"")</f>
        <v/>
      </c>
      <c r="H71" s="29">
        <f>IF(ISNUMBER($BC$42),IF(LEN($BN$42)&gt;0,$BN$42,"—"),"")</f>
        <v/>
      </c>
      <c r="I71" s="29">
        <f>IF(ISNUMBER($BC$42),$BS$42,"")</f>
        <v/>
      </c>
      <c r="J71" s="29">
        <f>IF(ISNUMBER($BC$42),IF($BQ$42=1,"Sim","Não"),"")</f>
        <v/>
      </c>
      <c r="K71" s="26">
        <f>IF(CK71&gt;0,"O Google leu como fórmula: digite de novo com ' na frente.",IF(NOT(ISNUMBER($BC$42)),"",IF(AND(ISNUMBER($CC$71),$CC$71&lt;0),"Redução negativa: usando 0",IF($BQ$42=1,"Quebra! Dano de Quebra em C5b; Atrasa 1 casa; Quebrado até o fim do próximo turno dele; +10 de Energia para quem quebrou (20.4)",""))))</f>
        <v/>
      </c>
      <c r="CC71" s="19">
        <f>IF(ISERROR($C$71),"",IF(ISBLANK($C$71),"",$C$71))</f>
        <v/>
      </c>
      <c r="CK71" s="19">
        <f>ISERROR($C$71)*1</f>
        <v/>
      </c>
    </row>
    <row r="72"/>
    <row r="73" ht="20" customHeight="1">
      <c r="A73" s="12" t="inlineStr">
        <is>
          <t>C5b · Quebra: Dano de Quebra e efeito do Elemento (20.4, 20.5)</t>
        </is>
      </c>
    </row>
    <row r="74" ht="26" customHeight="1">
      <c r="A74" s="7" t="inlineStr">
        <is>
          <t>Inimigo</t>
        </is>
      </c>
      <c r="B74" s="7" t="inlineStr">
        <is>
          <t>Elemento que quebrou</t>
        </is>
      </c>
      <c r="C74" s="7" t="inlineStr">
        <is>
          <t>Quem quebrou</t>
        </is>
      </c>
      <c r="D74" s="7" t="inlineStr">
        <is>
          <t>Dano de Quebra e efeito (com a Eficiência do grupo)</t>
        </is>
      </c>
      <c r="E74" s="20" t="n"/>
      <c r="F74" s="20" t="n"/>
      <c r="G74" s="20" t="n"/>
      <c r="H74" s="20" t="n"/>
      <c r="I74" s="20" t="n"/>
      <c r="J74" s="20" t="n"/>
      <c r="K74" s="7" t="inlineStr">
        <is>
          <t>Aviso</t>
        </is>
      </c>
      <c r="L74" s="20" t="n"/>
    </row>
    <row r="75" ht="48" customHeight="1">
      <c r="A75" s="32">
        <f>IF(LEN($N$17)&gt;0,$N$17,"Inimigo 1")</f>
        <v/>
      </c>
      <c r="B75" s="36" t="n"/>
      <c r="C75" s="3" t="n"/>
      <c r="D75" s="4">
        <f>IF(OR(NOT(ISNUMBER($BC$33)),LEN($CB$75)=0),"",IFERROR($CB$75&amp;": "&amp;IF(INDEX('Dados'!$C$301:$C$307,MATCH($CB$75,'Dados'!$A$301:$A$307,0))&gt;0,INDEX('Dados'!$C$301:$C$307,MATCH($CB$75,'Dados'!$A$301:$A$307,0))&amp;"d"&amp;INDEX('Dados'!$D$301:$D$307,MATCH($CB$75,'Dados'!$A$301:$A$307,0))&amp;" + "&amp;(INDEX('Dados'!$E$301:$E$307,MATCH($CB$75,'Dados'!$A$301:$A$307,0))*'Campanha'!$B$20)&amp;" · média "&amp;(INT(INDEX('Dados'!$C$301:$C$307,MATCH($CB$75,'Dados'!$A$301:$A$307,0))*(INDEX('Dados'!$D$301:$D$307,MATCH($CB$75,'Dados'!$A$301:$A$307,0))+1)/2)+(INDEX('Dados'!$E$301:$E$307,MATCH($CB$75,'Dados'!$A$301:$A$307,0))*'Campanha'!$B$20)),(INDEX('Dados'!$E$301:$E$307,MATCH($CB$75,'Dados'!$A$301:$A$307,0))*'Campanha'!$B$20)&amp;"")&amp;" (menos RD "&amp;$BS$33&amp;" = "&amp;MAX(1,(INT(INDEX('Dados'!$C$301:$C$307,MATCH($CB$75,'Dados'!$A$301:$A$307,0))*(INDEX('Dados'!$D$301:$D$307,MATCH($CB$75,'Dados'!$A$301:$A$307,0))+1)/2)+(INDEX('Dados'!$E$301:$E$307,MATCH($CB$75,'Dados'!$A$301:$A$307,0))*'Campanha'!$B$20))-$BS$33)&amp;")"&amp;IF($CB$75="Físico"," + Sangramento ("&amp;MIN(INT(5*$AQ$17/100),3*'Campanha'!$B$20)&amp;" por turno, 2 turnos, ignora RD)",IF($CB$75="Fogo"," + Queimadura (2d6 + "&amp;'Campanha'!$B$20&amp;" por turno, 2 turnos, ignora RD)",IF($CB$75="Raio"," + Choque (1d6 + "&amp;'Campanha'!$B$20&amp;" por turno, 2 turnos, ignora RD)",IF($CB$75="Vento"," + Cisalhamento de Vento (1d6 por acúmulo por turno, até 5, 2 turnos)",IF($CB$75="Gelo",IF($BW$33="Comum"," + Congelamento: perde o turno (19.6)"," + Congelamento: Atrasado 2 casas e sem ação especial no turno seguinte (19.6)"),IF($CB$75="Quântico"," + Embaraço (1d6 por acúmulo, Atrasa 1 casa)",IF($CB$75="Imaginário"," + Aprisionamento (1d6 + "&amp;'Campanha'!$B$20&amp;", Atrasa 2 casas)","")))))))&amp;". Quebrado até o fim do próximo turno dele: −2 de Defesa e +1 dado; Atrasa 1 casa.",""))</f>
        <v/>
      </c>
      <c r="K75" s="18">
        <f>IF(CK75&gt;0,"O Google leu como fórmula: escolha de novo na lista.",IF(AND(ISNUMBER($BC$33),$BQ$33=1,LEN($CB$75)=0),"Diga o Elemento que quebrou (20.5)",""))</f>
        <v/>
      </c>
      <c r="CB75" s="19">
        <f>IF(ISERROR($B$75),"",IF(ISBLANK($B$75),"",$B$75))</f>
        <v/>
      </c>
      <c r="CK75" s="19">
        <f>ISERROR($B$75)*1+ISERROR($C$75)*1</f>
        <v/>
      </c>
    </row>
    <row r="76" ht="48" customHeight="1">
      <c r="A76" s="33">
        <f>IF(LEN($N$18)&gt;0,$N$18,"Inimigo 2")</f>
        <v/>
      </c>
      <c r="B76" s="42" t="n"/>
      <c r="C76" s="28" t="n"/>
      <c r="D76" s="9">
        <f>IF(OR(NOT(ISNUMBER($BC$34)),LEN($CB$76)=0),"",IFERROR($CB$76&amp;": "&amp;IF(INDEX('Dados'!$C$301:$C$307,MATCH($CB$76,'Dados'!$A$301:$A$307,0))&gt;0,INDEX('Dados'!$C$301:$C$307,MATCH($CB$76,'Dados'!$A$301:$A$307,0))&amp;"d"&amp;INDEX('Dados'!$D$301:$D$307,MATCH($CB$76,'Dados'!$A$301:$A$307,0))&amp;" + "&amp;(INDEX('Dados'!$E$301:$E$307,MATCH($CB$76,'Dados'!$A$301:$A$307,0))*'Campanha'!$B$20)&amp;" · média "&amp;(INT(INDEX('Dados'!$C$301:$C$307,MATCH($CB$76,'Dados'!$A$301:$A$307,0))*(INDEX('Dados'!$D$301:$D$307,MATCH($CB$76,'Dados'!$A$301:$A$307,0))+1)/2)+(INDEX('Dados'!$E$301:$E$307,MATCH($CB$76,'Dados'!$A$301:$A$307,0))*'Campanha'!$B$20)),(INDEX('Dados'!$E$301:$E$307,MATCH($CB$76,'Dados'!$A$301:$A$307,0))*'Campanha'!$B$20)&amp;"")&amp;" (menos RD "&amp;$BS$34&amp;" = "&amp;MAX(1,(INT(INDEX('Dados'!$C$301:$C$307,MATCH($CB$76,'Dados'!$A$301:$A$307,0))*(INDEX('Dados'!$D$301:$D$307,MATCH($CB$76,'Dados'!$A$301:$A$307,0))+1)/2)+(INDEX('Dados'!$E$301:$E$307,MATCH($CB$76,'Dados'!$A$301:$A$307,0))*'Campanha'!$B$20))-$BS$34)&amp;")"&amp;IF($CB$76="Físico"," + Sangramento ("&amp;MIN(INT(5*$AQ$18/100),3*'Campanha'!$B$20)&amp;" por turno, 2 turnos, ignora RD)",IF($CB$76="Fogo"," + Queimadura (2d6 + "&amp;'Campanha'!$B$20&amp;" por turno, 2 turnos, ignora RD)",IF($CB$76="Raio"," + Choque (1d6 + "&amp;'Campanha'!$B$20&amp;" por turno, 2 turnos, ignora RD)",IF($CB$76="Vento"," + Cisalhamento de Vento (1d6 por acúmulo por turno, até 5, 2 turnos)",IF($CB$76="Gelo",IF($BW$34="Comum"," + Congelamento: perde o turno (19.6)"," + Congelamento: Atrasado 2 casas e sem ação especial no turno seguinte (19.6)"),IF($CB$76="Quântico"," + Embaraço (1d6 por acúmulo, Atrasa 1 casa)",IF($CB$76="Imaginário"," + Aprisionamento (1d6 + "&amp;'Campanha'!$B$20&amp;", Atrasa 2 casas)","")))))))&amp;". Quebrado até o fim do próximo turno dele: −2 de Defesa e +1 dado; Atrasa 1 casa.",""))</f>
        <v/>
      </c>
      <c r="K76" s="26">
        <f>IF(CK76&gt;0,"O Google leu como fórmula: escolha de novo na lista.",IF(AND(ISNUMBER($BC$34),$BQ$34=1,LEN($CB$76)=0),"Diga o Elemento que quebrou (20.5)",""))</f>
        <v/>
      </c>
      <c r="CB76" s="19">
        <f>IF(ISERROR($B$76),"",IF(ISBLANK($B$76),"",$B$76))</f>
        <v/>
      </c>
      <c r="CK76" s="19">
        <f>ISERROR($B$76)*1+ISERROR($C$76)*1</f>
        <v/>
      </c>
    </row>
    <row r="77" ht="48" customHeight="1">
      <c r="A77" s="32">
        <f>IF(LEN($N$19)&gt;0,$N$19,"Inimigo 3")</f>
        <v/>
      </c>
      <c r="B77" s="36" t="n"/>
      <c r="C77" s="3" t="n"/>
      <c r="D77" s="4">
        <f>IF(OR(NOT(ISNUMBER($BC$35)),LEN($CB$77)=0),"",IFERROR($CB$77&amp;": "&amp;IF(INDEX('Dados'!$C$301:$C$307,MATCH($CB$77,'Dados'!$A$301:$A$307,0))&gt;0,INDEX('Dados'!$C$301:$C$307,MATCH($CB$77,'Dados'!$A$301:$A$307,0))&amp;"d"&amp;INDEX('Dados'!$D$301:$D$307,MATCH($CB$77,'Dados'!$A$301:$A$307,0))&amp;" + "&amp;(INDEX('Dados'!$E$301:$E$307,MATCH($CB$77,'Dados'!$A$301:$A$307,0))*'Campanha'!$B$20)&amp;" · média "&amp;(INT(INDEX('Dados'!$C$301:$C$307,MATCH($CB$77,'Dados'!$A$301:$A$307,0))*(INDEX('Dados'!$D$301:$D$307,MATCH($CB$77,'Dados'!$A$301:$A$307,0))+1)/2)+(INDEX('Dados'!$E$301:$E$307,MATCH($CB$77,'Dados'!$A$301:$A$307,0))*'Campanha'!$B$20)),(INDEX('Dados'!$E$301:$E$307,MATCH($CB$77,'Dados'!$A$301:$A$307,0))*'Campanha'!$B$20)&amp;"")&amp;" (menos RD "&amp;$BS$35&amp;" = "&amp;MAX(1,(INT(INDEX('Dados'!$C$301:$C$307,MATCH($CB$77,'Dados'!$A$301:$A$307,0))*(INDEX('Dados'!$D$301:$D$307,MATCH($CB$77,'Dados'!$A$301:$A$307,0))+1)/2)+(INDEX('Dados'!$E$301:$E$307,MATCH($CB$77,'Dados'!$A$301:$A$307,0))*'Campanha'!$B$20))-$BS$35)&amp;")"&amp;IF($CB$77="Físico"," + Sangramento ("&amp;MIN(INT(5*$AQ$19/100),3*'Campanha'!$B$20)&amp;" por turno, 2 turnos, ignora RD)",IF($CB$77="Fogo"," + Queimadura (2d6 + "&amp;'Campanha'!$B$20&amp;" por turno, 2 turnos, ignora RD)",IF($CB$77="Raio"," + Choque (1d6 + "&amp;'Campanha'!$B$20&amp;" por turno, 2 turnos, ignora RD)",IF($CB$77="Vento"," + Cisalhamento de Vento (1d6 por acúmulo por turno, até 5, 2 turnos)",IF($CB$77="Gelo",IF($BW$35="Comum"," + Congelamento: perde o turno (19.6)"," + Congelamento: Atrasado 2 casas e sem ação especial no turno seguinte (19.6)"),IF($CB$77="Quântico"," + Embaraço (1d6 por acúmulo, Atrasa 1 casa)",IF($CB$77="Imaginário"," + Aprisionamento (1d6 + "&amp;'Campanha'!$B$20&amp;", Atrasa 2 casas)","")))))))&amp;". Quebrado até o fim do próximo turno dele: −2 de Defesa e +1 dado; Atrasa 1 casa.",""))</f>
        <v/>
      </c>
      <c r="K77" s="18">
        <f>IF(CK77&gt;0,"O Google leu como fórmula: escolha de novo na lista.",IF(AND(ISNUMBER($BC$35),$BQ$35=1,LEN($CB$77)=0),"Diga o Elemento que quebrou (20.5)",""))</f>
        <v/>
      </c>
      <c r="CB77" s="19">
        <f>IF(ISERROR($B$77),"",IF(ISBLANK($B$77),"",$B$77))</f>
        <v/>
      </c>
      <c r="CK77" s="19">
        <f>ISERROR($B$77)*1+ISERROR($C$77)*1</f>
        <v/>
      </c>
    </row>
    <row r="78" ht="48" customHeight="1">
      <c r="A78" s="33">
        <f>IF(LEN($N$20)&gt;0,$N$20,"Inimigo 4")</f>
        <v/>
      </c>
      <c r="B78" s="42" t="n"/>
      <c r="C78" s="28" t="n"/>
      <c r="D78" s="9">
        <f>IF(OR(NOT(ISNUMBER($BC$36)),LEN($CB$78)=0),"",IFERROR($CB$78&amp;": "&amp;IF(INDEX('Dados'!$C$301:$C$307,MATCH($CB$78,'Dados'!$A$301:$A$307,0))&gt;0,INDEX('Dados'!$C$301:$C$307,MATCH($CB$78,'Dados'!$A$301:$A$307,0))&amp;"d"&amp;INDEX('Dados'!$D$301:$D$307,MATCH($CB$78,'Dados'!$A$301:$A$307,0))&amp;" + "&amp;(INDEX('Dados'!$E$301:$E$307,MATCH($CB$78,'Dados'!$A$301:$A$307,0))*'Campanha'!$B$20)&amp;" · média "&amp;(INT(INDEX('Dados'!$C$301:$C$307,MATCH($CB$78,'Dados'!$A$301:$A$307,0))*(INDEX('Dados'!$D$301:$D$307,MATCH($CB$78,'Dados'!$A$301:$A$307,0))+1)/2)+(INDEX('Dados'!$E$301:$E$307,MATCH($CB$78,'Dados'!$A$301:$A$307,0))*'Campanha'!$B$20)),(INDEX('Dados'!$E$301:$E$307,MATCH($CB$78,'Dados'!$A$301:$A$307,0))*'Campanha'!$B$20)&amp;"")&amp;" (menos RD "&amp;$BS$36&amp;" = "&amp;MAX(1,(INT(INDEX('Dados'!$C$301:$C$307,MATCH($CB$78,'Dados'!$A$301:$A$307,0))*(INDEX('Dados'!$D$301:$D$307,MATCH($CB$78,'Dados'!$A$301:$A$307,0))+1)/2)+(INDEX('Dados'!$E$301:$E$307,MATCH($CB$78,'Dados'!$A$301:$A$307,0))*'Campanha'!$B$20))-$BS$36)&amp;")"&amp;IF($CB$78="Físico"," + Sangramento ("&amp;MIN(INT(5*$AQ$20/100),3*'Campanha'!$B$20)&amp;" por turno, 2 turnos, ignora RD)",IF($CB$78="Fogo"," + Queimadura (2d6 + "&amp;'Campanha'!$B$20&amp;" por turno, 2 turnos, ignora RD)",IF($CB$78="Raio"," + Choque (1d6 + "&amp;'Campanha'!$B$20&amp;" por turno, 2 turnos, ignora RD)",IF($CB$78="Vento"," + Cisalhamento de Vento (1d6 por acúmulo por turno, até 5, 2 turnos)",IF($CB$78="Gelo",IF($BW$36="Comum"," + Congelamento: perde o turno (19.6)"," + Congelamento: Atrasado 2 casas e sem ação especial no turno seguinte (19.6)"),IF($CB$78="Quântico"," + Embaraço (1d6 por acúmulo, Atrasa 1 casa)",IF($CB$78="Imaginário"," + Aprisionamento (1d6 + "&amp;'Campanha'!$B$20&amp;", Atrasa 2 casas)","")))))))&amp;". Quebrado até o fim do próximo turno dele: −2 de Defesa e +1 dado; Atrasa 1 casa.",""))</f>
        <v/>
      </c>
      <c r="K78" s="26">
        <f>IF(CK78&gt;0,"O Google leu como fórmula: escolha de novo na lista.",IF(AND(ISNUMBER($BC$36),$BQ$36=1,LEN($CB$78)=0),"Diga o Elemento que quebrou (20.5)",""))</f>
        <v/>
      </c>
      <c r="CB78" s="19">
        <f>IF(ISERROR($B$78),"",IF(ISBLANK($B$78),"",$B$78))</f>
        <v/>
      </c>
      <c r="CK78" s="19">
        <f>ISERROR($B$78)*1+ISERROR($C$78)*1</f>
        <v/>
      </c>
    </row>
    <row r="79" ht="48" customHeight="1">
      <c r="A79" s="32">
        <f>IF(LEN($N$21)&gt;0,$N$21,"Inimigo 5")</f>
        <v/>
      </c>
      <c r="B79" s="36" t="n"/>
      <c r="C79" s="3" t="n"/>
      <c r="D79" s="4">
        <f>IF(OR(NOT(ISNUMBER($BC$37)),LEN($CB$79)=0),"",IFERROR($CB$79&amp;": "&amp;IF(INDEX('Dados'!$C$301:$C$307,MATCH($CB$79,'Dados'!$A$301:$A$307,0))&gt;0,INDEX('Dados'!$C$301:$C$307,MATCH($CB$79,'Dados'!$A$301:$A$307,0))&amp;"d"&amp;INDEX('Dados'!$D$301:$D$307,MATCH($CB$79,'Dados'!$A$301:$A$307,0))&amp;" + "&amp;(INDEX('Dados'!$E$301:$E$307,MATCH($CB$79,'Dados'!$A$301:$A$307,0))*'Campanha'!$B$20)&amp;" · média "&amp;(INT(INDEX('Dados'!$C$301:$C$307,MATCH($CB$79,'Dados'!$A$301:$A$307,0))*(INDEX('Dados'!$D$301:$D$307,MATCH($CB$79,'Dados'!$A$301:$A$307,0))+1)/2)+(INDEX('Dados'!$E$301:$E$307,MATCH($CB$79,'Dados'!$A$301:$A$307,0))*'Campanha'!$B$20)),(INDEX('Dados'!$E$301:$E$307,MATCH($CB$79,'Dados'!$A$301:$A$307,0))*'Campanha'!$B$20)&amp;"")&amp;" (menos RD "&amp;$BS$37&amp;" = "&amp;MAX(1,(INT(INDEX('Dados'!$C$301:$C$307,MATCH($CB$79,'Dados'!$A$301:$A$307,0))*(INDEX('Dados'!$D$301:$D$307,MATCH($CB$79,'Dados'!$A$301:$A$307,0))+1)/2)+(INDEX('Dados'!$E$301:$E$307,MATCH($CB$79,'Dados'!$A$301:$A$307,0))*'Campanha'!$B$20))-$BS$37)&amp;")"&amp;IF($CB$79="Físico"," + Sangramento ("&amp;MIN(INT(5*$AQ$21/100),3*'Campanha'!$B$20)&amp;" por turno, 2 turnos, ignora RD)",IF($CB$79="Fogo"," + Queimadura (2d6 + "&amp;'Campanha'!$B$20&amp;" por turno, 2 turnos, ignora RD)",IF($CB$79="Raio"," + Choque (1d6 + "&amp;'Campanha'!$B$20&amp;" por turno, 2 turnos, ignora RD)",IF($CB$79="Vento"," + Cisalhamento de Vento (1d6 por acúmulo por turno, até 5, 2 turnos)",IF($CB$79="Gelo",IF($BW$37="Comum"," + Congelamento: perde o turno (19.6)"," + Congelamento: Atrasado 2 casas e sem ação especial no turno seguinte (19.6)"),IF($CB$79="Quântico"," + Embaraço (1d6 por acúmulo, Atrasa 1 casa)",IF($CB$79="Imaginário"," + Aprisionamento (1d6 + "&amp;'Campanha'!$B$20&amp;", Atrasa 2 casas)","")))))))&amp;". Quebrado até o fim do próximo turno dele: −2 de Defesa e +1 dado; Atrasa 1 casa.",""))</f>
        <v/>
      </c>
      <c r="K79" s="18">
        <f>IF(CK79&gt;0,"O Google leu como fórmula: escolha de novo na lista.",IF(AND(ISNUMBER($BC$37),$BQ$37=1,LEN($CB$79)=0),"Diga o Elemento que quebrou (20.5)",""))</f>
        <v/>
      </c>
      <c r="CB79" s="19">
        <f>IF(ISERROR($B$79),"",IF(ISBLANK($B$79),"",$B$79))</f>
        <v/>
      </c>
      <c r="CK79" s="19">
        <f>ISERROR($B$79)*1+ISERROR($C$79)*1</f>
        <v/>
      </c>
    </row>
    <row r="80" ht="48" customHeight="1">
      <c r="A80" s="33">
        <f>IF(LEN($N$22)&gt;0,$N$22,"Inimigo 6")</f>
        <v/>
      </c>
      <c r="B80" s="42" t="n"/>
      <c r="C80" s="28" t="n"/>
      <c r="D80" s="9">
        <f>IF(OR(NOT(ISNUMBER($BC$38)),LEN($CB$80)=0),"",IFERROR($CB$80&amp;": "&amp;IF(INDEX('Dados'!$C$301:$C$307,MATCH($CB$80,'Dados'!$A$301:$A$307,0))&gt;0,INDEX('Dados'!$C$301:$C$307,MATCH($CB$80,'Dados'!$A$301:$A$307,0))&amp;"d"&amp;INDEX('Dados'!$D$301:$D$307,MATCH($CB$80,'Dados'!$A$301:$A$307,0))&amp;" + "&amp;(INDEX('Dados'!$E$301:$E$307,MATCH($CB$80,'Dados'!$A$301:$A$307,0))*'Campanha'!$B$20)&amp;" · média "&amp;(INT(INDEX('Dados'!$C$301:$C$307,MATCH($CB$80,'Dados'!$A$301:$A$307,0))*(INDEX('Dados'!$D$301:$D$307,MATCH($CB$80,'Dados'!$A$301:$A$307,0))+1)/2)+(INDEX('Dados'!$E$301:$E$307,MATCH($CB$80,'Dados'!$A$301:$A$307,0))*'Campanha'!$B$20)),(INDEX('Dados'!$E$301:$E$307,MATCH($CB$80,'Dados'!$A$301:$A$307,0))*'Campanha'!$B$20)&amp;"")&amp;" (menos RD "&amp;$BS$38&amp;" = "&amp;MAX(1,(INT(INDEX('Dados'!$C$301:$C$307,MATCH($CB$80,'Dados'!$A$301:$A$307,0))*(INDEX('Dados'!$D$301:$D$307,MATCH($CB$80,'Dados'!$A$301:$A$307,0))+1)/2)+(INDEX('Dados'!$E$301:$E$307,MATCH($CB$80,'Dados'!$A$301:$A$307,0))*'Campanha'!$B$20))-$BS$38)&amp;")"&amp;IF($CB$80="Físico"," + Sangramento ("&amp;MIN(INT(5*$AQ$22/100),3*'Campanha'!$B$20)&amp;" por turno, 2 turnos, ignora RD)",IF($CB$80="Fogo"," + Queimadura (2d6 + "&amp;'Campanha'!$B$20&amp;" por turno, 2 turnos, ignora RD)",IF($CB$80="Raio"," + Choque (1d6 + "&amp;'Campanha'!$B$20&amp;" por turno, 2 turnos, ignora RD)",IF($CB$80="Vento"," + Cisalhamento de Vento (1d6 por acúmulo por turno, até 5, 2 turnos)",IF($CB$80="Gelo",IF($BW$38="Comum"," + Congelamento: perde o turno (19.6)"," + Congelamento: Atrasado 2 casas e sem ação especial no turno seguinte (19.6)"),IF($CB$80="Quântico"," + Embaraço (1d6 por acúmulo, Atrasa 1 casa)",IF($CB$80="Imaginário"," + Aprisionamento (1d6 + "&amp;'Campanha'!$B$20&amp;", Atrasa 2 casas)","")))))))&amp;". Quebrado até o fim do próximo turno dele: −2 de Defesa e +1 dado; Atrasa 1 casa.",""))</f>
        <v/>
      </c>
      <c r="K80" s="26">
        <f>IF(CK80&gt;0,"O Google leu como fórmula: escolha de novo na lista.",IF(AND(ISNUMBER($BC$38),$BQ$38=1,LEN($CB$80)=0),"Diga o Elemento que quebrou (20.5)",""))</f>
        <v/>
      </c>
      <c r="CB80" s="19">
        <f>IF(ISERROR($B$80),"",IF(ISBLANK($B$80),"",$B$80))</f>
        <v/>
      </c>
      <c r="CK80" s="19">
        <f>ISERROR($B$80)*1+ISERROR($C$80)*1</f>
        <v/>
      </c>
    </row>
    <row r="81" ht="48" customHeight="1">
      <c r="A81" s="32">
        <f>IF(LEN($N$23)&gt;0,$N$23,"Inimigo 7")</f>
        <v/>
      </c>
      <c r="B81" s="36" t="n"/>
      <c r="C81" s="3" t="n"/>
      <c r="D81" s="4">
        <f>IF(OR(NOT(ISNUMBER($BC$39)),LEN($CB$81)=0),"",IFERROR($CB$81&amp;": "&amp;IF(INDEX('Dados'!$C$301:$C$307,MATCH($CB$81,'Dados'!$A$301:$A$307,0))&gt;0,INDEX('Dados'!$C$301:$C$307,MATCH($CB$81,'Dados'!$A$301:$A$307,0))&amp;"d"&amp;INDEX('Dados'!$D$301:$D$307,MATCH($CB$81,'Dados'!$A$301:$A$307,0))&amp;" + "&amp;(INDEX('Dados'!$E$301:$E$307,MATCH($CB$81,'Dados'!$A$301:$A$307,0))*'Campanha'!$B$20)&amp;" · média "&amp;(INT(INDEX('Dados'!$C$301:$C$307,MATCH($CB$81,'Dados'!$A$301:$A$307,0))*(INDEX('Dados'!$D$301:$D$307,MATCH($CB$81,'Dados'!$A$301:$A$307,0))+1)/2)+(INDEX('Dados'!$E$301:$E$307,MATCH($CB$81,'Dados'!$A$301:$A$307,0))*'Campanha'!$B$20)),(INDEX('Dados'!$E$301:$E$307,MATCH($CB$81,'Dados'!$A$301:$A$307,0))*'Campanha'!$B$20)&amp;"")&amp;" (menos RD "&amp;$BS$39&amp;" = "&amp;MAX(1,(INT(INDEX('Dados'!$C$301:$C$307,MATCH($CB$81,'Dados'!$A$301:$A$307,0))*(INDEX('Dados'!$D$301:$D$307,MATCH($CB$81,'Dados'!$A$301:$A$307,0))+1)/2)+(INDEX('Dados'!$E$301:$E$307,MATCH($CB$81,'Dados'!$A$301:$A$307,0))*'Campanha'!$B$20))-$BS$39)&amp;")"&amp;IF($CB$81="Físico"," + Sangramento ("&amp;MIN(INT(5*$AQ$23/100),3*'Campanha'!$B$20)&amp;" por turno, 2 turnos, ignora RD)",IF($CB$81="Fogo"," + Queimadura (2d6 + "&amp;'Campanha'!$B$20&amp;" por turno, 2 turnos, ignora RD)",IF($CB$81="Raio"," + Choque (1d6 + "&amp;'Campanha'!$B$20&amp;" por turno, 2 turnos, ignora RD)",IF($CB$81="Vento"," + Cisalhamento de Vento (1d6 por acúmulo por turno, até 5, 2 turnos)",IF($CB$81="Gelo",IF($BW$39="Comum"," + Congelamento: perde o turno (19.6)"," + Congelamento: Atrasado 2 casas e sem ação especial no turno seguinte (19.6)"),IF($CB$81="Quântico"," + Embaraço (1d6 por acúmulo, Atrasa 1 casa)",IF($CB$81="Imaginário"," + Aprisionamento (1d6 + "&amp;'Campanha'!$B$20&amp;", Atrasa 2 casas)","")))))))&amp;". Quebrado até o fim do próximo turno dele: −2 de Defesa e +1 dado; Atrasa 1 casa.",""))</f>
        <v/>
      </c>
      <c r="K81" s="18">
        <f>IF(CK81&gt;0,"O Google leu como fórmula: escolha de novo na lista.",IF(AND(ISNUMBER($BC$39),$BQ$39=1,LEN($CB$81)=0),"Diga o Elemento que quebrou (20.5)",""))</f>
        <v/>
      </c>
      <c r="CB81" s="19">
        <f>IF(ISERROR($B$81),"",IF(ISBLANK($B$81),"",$B$81))</f>
        <v/>
      </c>
      <c r="CK81" s="19">
        <f>ISERROR($B$81)*1+ISERROR($C$81)*1</f>
        <v/>
      </c>
    </row>
    <row r="82" ht="48" customHeight="1">
      <c r="A82" s="33">
        <f>IF(LEN($N$24)&gt;0,$N$24,"Inimigo 8")</f>
        <v/>
      </c>
      <c r="B82" s="42" t="n"/>
      <c r="C82" s="28" t="n"/>
      <c r="D82" s="9">
        <f>IF(OR(NOT(ISNUMBER($BC$40)),LEN($CB$82)=0),"",IFERROR($CB$82&amp;": "&amp;IF(INDEX('Dados'!$C$301:$C$307,MATCH($CB$82,'Dados'!$A$301:$A$307,0))&gt;0,INDEX('Dados'!$C$301:$C$307,MATCH($CB$82,'Dados'!$A$301:$A$307,0))&amp;"d"&amp;INDEX('Dados'!$D$301:$D$307,MATCH($CB$82,'Dados'!$A$301:$A$307,0))&amp;" + "&amp;(INDEX('Dados'!$E$301:$E$307,MATCH($CB$82,'Dados'!$A$301:$A$307,0))*'Campanha'!$B$20)&amp;" · média "&amp;(INT(INDEX('Dados'!$C$301:$C$307,MATCH($CB$82,'Dados'!$A$301:$A$307,0))*(INDEX('Dados'!$D$301:$D$307,MATCH($CB$82,'Dados'!$A$301:$A$307,0))+1)/2)+(INDEX('Dados'!$E$301:$E$307,MATCH($CB$82,'Dados'!$A$301:$A$307,0))*'Campanha'!$B$20)),(INDEX('Dados'!$E$301:$E$307,MATCH($CB$82,'Dados'!$A$301:$A$307,0))*'Campanha'!$B$20)&amp;"")&amp;" (menos RD "&amp;$BS$40&amp;" = "&amp;MAX(1,(INT(INDEX('Dados'!$C$301:$C$307,MATCH($CB$82,'Dados'!$A$301:$A$307,0))*(INDEX('Dados'!$D$301:$D$307,MATCH($CB$82,'Dados'!$A$301:$A$307,0))+1)/2)+(INDEX('Dados'!$E$301:$E$307,MATCH($CB$82,'Dados'!$A$301:$A$307,0))*'Campanha'!$B$20))-$BS$40)&amp;")"&amp;IF($CB$82="Físico"," + Sangramento ("&amp;MIN(INT(5*$AQ$24/100),3*'Campanha'!$B$20)&amp;" por turno, 2 turnos, ignora RD)",IF($CB$82="Fogo"," + Queimadura (2d6 + "&amp;'Campanha'!$B$20&amp;" por turno, 2 turnos, ignora RD)",IF($CB$82="Raio"," + Choque (1d6 + "&amp;'Campanha'!$B$20&amp;" por turno, 2 turnos, ignora RD)",IF($CB$82="Vento"," + Cisalhamento de Vento (1d6 por acúmulo por turno, até 5, 2 turnos)",IF($CB$82="Gelo",IF($BW$40="Comum"," + Congelamento: perde o turno (19.6)"," + Congelamento: Atrasado 2 casas e sem ação especial no turno seguinte (19.6)"),IF($CB$82="Quântico"," + Embaraço (1d6 por acúmulo, Atrasa 1 casa)",IF($CB$82="Imaginário"," + Aprisionamento (1d6 + "&amp;'Campanha'!$B$20&amp;", Atrasa 2 casas)","")))))))&amp;". Quebrado até o fim do próximo turno dele: −2 de Defesa e +1 dado; Atrasa 1 casa.",""))</f>
        <v/>
      </c>
      <c r="K82" s="26">
        <f>IF(CK82&gt;0,"O Google leu como fórmula: escolha de novo na lista.",IF(AND(ISNUMBER($BC$40),$BQ$40=1,LEN($CB$82)=0),"Diga o Elemento que quebrou (20.5)",""))</f>
        <v/>
      </c>
      <c r="CB82" s="19">
        <f>IF(ISERROR($B$82),"",IF(ISBLANK($B$82),"",$B$82))</f>
        <v/>
      </c>
      <c r="CK82" s="19">
        <f>ISERROR($B$82)*1+ISERROR($C$82)*1</f>
        <v/>
      </c>
    </row>
    <row r="83" ht="48" customHeight="1">
      <c r="A83" s="32">
        <f>IF(LEN($N$25)&gt;0,$N$25,"Inimigo 9")</f>
        <v/>
      </c>
      <c r="B83" s="36" t="n"/>
      <c r="C83" s="3" t="n"/>
      <c r="D83" s="4">
        <f>IF(OR(NOT(ISNUMBER($BC$41)),LEN($CB$83)=0),"",IFERROR($CB$83&amp;": "&amp;IF(INDEX('Dados'!$C$301:$C$307,MATCH($CB$83,'Dados'!$A$301:$A$307,0))&gt;0,INDEX('Dados'!$C$301:$C$307,MATCH($CB$83,'Dados'!$A$301:$A$307,0))&amp;"d"&amp;INDEX('Dados'!$D$301:$D$307,MATCH($CB$83,'Dados'!$A$301:$A$307,0))&amp;" + "&amp;(INDEX('Dados'!$E$301:$E$307,MATCH($CB$83,'Dados'!$A$301:$A$307,0))*'Campanha'!$B$20)&amp;" · média "&amp;(INT(INDEX('Dados'!$C$301:$C$307,MATCH($CB$83,'Dados'!$A$301:$A$307,0))*(INDEX('Dados'!$D$301:$D$307,MATCH($CB$83,'Dados'!$A$301:$A$307,0))+1)/2)+(INDEX('Dados'!$E$301:$E$307,MATCH($CB$83,'Dados'!$A$301:$A$307,0))*'Campanha'!$B$20)),(INDEX('Dados'!$E$301:$E$307,MATCH($CB$83,'Dados'!$A$301:$A$307,0))*'Campanha'!$B$20)&amp;"")&amp;" (menos RD "&amp;$BS$41&amp;" = "&amp;MAX(1,(INT(INDEX('Dados'!$C$301:$C$307,MATCH($CB$83,'Dados'!$A$301:$A$307,0))*(INDEX('Dados'!$D$301:$D$307,MATCH($CB$83,'Dados'!$A$301:$A$307,0))+1)/2)+(INDEX('Dados'!$E$301:$E$307,MATCH($CB$83,'Dados'!$A$301:$A$307,0))*'Campanha'!$B$20))-$BS$41)&amp;")"&amp;IF($CB$83="Físico"," + Sangramento ("&amp;MIN(INT(5*$AQ$25/100),3*'Campanha'!$B$20)&amp;" por turno, 2 turnos, ignora RD)",IF($CB$83="Fogo"," + Queimadura (2d6 + "&amp;'Campanha'!$B$20&amp;" por turno, 2 turnos, ignora RD)",IF($CB$83="Raio"," + Choque (1d6 + "&amp;'Campanha'!$B$20&amp;" por turno, 2 turnos, ignora RD)",IF($CB$83="Vento"," + Cisalhamento de Vento (1d6 por acúmulo por turno, até 5, 2 turnos)",IF($CB$83="Gelo",IF($BW$41="Comum"," + Congelamento: perde o turno (19.6)"," + Congelamento: Atrasado 2 casas e sem ação especial no turno seguinte (19.6)"),IF($CB$83="Quântico"," + Embaraço (1d6 por acúmulo, Atrasa 1 casa)",IF($CB$83="Imaginário"," + Aprisionamento (1d6 + "&amp;'Campanha'!$B$20&amp;", Atrasa 2 casas)","")))))))&amp;". Quebrado até o fim do próximo turno dele: −2 de Defesa e +1 dado; Atrasa 1 casa.",""))</f>
        <v/>
      </c>
      <c r="K83" s="18">
        <f>IF(CK83&gt;0,"O Google leu como fórmula: escolha de novo na lista.",IF(AND(ISNUMBER($BC$41),$BQ$41=1,LEN($CB$83)=0),"Diga o Elemento que quebrou (20.5)",""))</f>
        <v/>
      </c>
      <c r="CB83" s="19">
        <f>IF(ISERROR($B$83),"",IF(ISBLANK($B$83),"",$B$83))</f>
        <v/>
      </c>
      <c r="CK83" s="19">
        <f>ISERROR($B$83)*1+ISERROR($C$83)*1</f>
        <v/>
      </c>
    </row>
    <row r="84" ht="48" customHeight="1">
      <c r="A84" s="33">
        <f>IF(LEN($N$26)&gt;0,$N$26,"Inimigo 10")</f>
        <v/>
      </c>
      <c r="B84" s="42" t="n"/>
      <c r="C84" s="28" t="n"/>
      <c r="D84" s="9">
        <f>IF(OR(NOT(ISNUMBER($BC$42)),LEN($CB$84)=0),"",IFERROR($CB$84&amp;": "&amp;IF(INDEX('Dados'!$C$301:$C$307,MATCH($CB$84,'Dados'!$A$301:$A$307,0))&gt;0,INDEX('Dados'!$C$301:$C$307,MATCH($CB$84,'Dados'!$A$301:$A$307,0))&amp;"d"&amp;INDEX('Dados'!$D$301:$D$307,MATCH($CB$84,'Dados'!$A$301:$A$307,0))&amp;" + "&amp;(INDEX('Dados'!$E$301:$E$307,MATCH($CB$84,'Dados'!$A$301:$A$307,0))*'Campanha'!$B$20)&amp;" · média "&amp;(INT(INDEX('Dados'!$C$301:$C$307,MATCH($CB$84,'Dados'!$A$301:$A$307,0))*(INDEX('Dados'!$D$301:$D$307,MATCH($CB$84,'Dados'!$A$301:$A$307,0))+1)/2)+(INDEX('Dados'!$E$301:$E$307,MATCH($CB$84,'Dados'!$A$301:$A$307,0))*'Campanha'!$B$20)),(INDEX('Dados'!$E$301:$E$307,MATCH($CB$84,'Dados'!$A$301:$A$307,0))*'Campanha'!$B$20)&amp;"")&amp;" (menos RD "&amp;$BS$42&amp;" = "&amp;MAX(1,(INT(INDEX('Dados'!$C$301:$C$307,MATCH($CB$84,'Dados'!$A$301:$A$307,0))*(INDEX('Dados'!$D$301:$D$307,MATCH($CB$84,'Dados'!$A$301:$A$307,0))+1)/2)+(INDEX('Dados'!$E$301:$E$307,MATCH($CB$84,'Dados'!$A$301:$A$307,0))*'Campanha'!$B$20))-$BS$42)&amp;")"&amp;IF($CB$84="Físico"," + Sangramento ("&amp;MIN(INT(5*$AQ$26/100),3*'Campanha'!$B$20)&amp;" por turno, 2 turnos, ignora RD)",IF($CB$84="Fogo"," + Queimadura (2d6 + "&amp;'Campanha'!$B$20&amp;" por turno, 2 turnos, ignora RD)",IF($CB$84="Raio"," + Choque (1d6 + "&amp;'Campanha'!$B$20&amp;" por turno, 2 turnos, ignora RD)",IF($CB$84="Vento"," + Cisalhamento de Vento (1d6 por acúmulo por turno, até 5, 2 turnos)",IF($CB$84="Gelo",IF($BW$42="Comum"," + Congelamento: perde o turno (19.6)"," + Congelamento: Atrasado 2 casas e sem ação especial no turno seguinte (19.6)"),IF($CB$84="Quântico"," + Embaraço (1d6 por acúmulo, Atrasa 1 casa)",IF($CB$84="Imaginário"," + Aprisionamento (1d6 + "&amp;'Campanha'!$B$20&amp;", Atrasa 2 casas)","")))))))&amp;". Quebrado até o fim do próximo turno dele: −2 de Defesa e +1 dado; Atrasa 1 casa.",""))</f>
        <v/>
      </c>
      <c r="K84" s="26">
        <f>IF(CK84&gt;0,"O Google leu como fórmula: escolha de novo na lista.",IF(AND(ISNUMBER($BC$42),$BQ$42=1,LEN($CB$84)=0),"Diga o Elemento que quebrou (20.5)",""))</f>
        <v/>
      </c>
      <c r="CB84" s="19">
        <f>IF(ISERROR($B$84),"",IF(ISBLANK($B$84),"",$B$84))</f>
        <v/>
      </c>
      <c r="CK84" s="19">
        <f>ISERROR($B$84)*1+ISERROR($C$84)*1</f>
        <v/>
      </c>
    </row>
    <row r="85" ht="26" customHeight="1">
      <c r="A85" s="43" t="inlineStr">
        <is>
          <t>Quebra em 5 passos (20.4): Dano de Quebra + efeito; Atrasa 1 casa (em C8, entra na Firmeza); Quebrado até o fim do próximo turno dele (−2 de Defesa, +1 dado de qualquer fonte); quem quebrou +10 de Energia (1 por Ciclo); Tenacidade volta ao máximo no fim do próximo turno dele (apague a Redução acumulada).</t>
        </is>
      </c>
    </row>
    <row r="86"/>
    <row r="87" ht="20" customHeight="1">
      <c r="A87" s="12" t="inlineStr">
        <is>
          <t>C6 · Inimigos — recargas das ações especiais (28.4)</t>
        </is>
      </c>
    </row>
    <row r="88" ht="26" customHeight="1">
      <c r="A88" s="7" t="inlineStr">
        <is>
          <t>Inimigo</t>
        </is>
      </c>
      <c r="B88" s="7" t="inlineStr">
        <is>
          <t>Especial 1</t>
        </is>
      </c>
      <c r="C88" s="7" t="inlineStr">
        <is>
          <t>Usada no Ciclo</t>
        </is>
      </c>
      <c r="D88" s="7" t="inlineStr">
        <is>
          <t>Disponível?</t>
        </is>
      </c>
      <c r="E88" s="7" t="inlineStr">
        <is>
          <t>Especial 2</t>
        </is>
      </c>
      <c r="F88" s="7" t="inlineStr">
        <is>
          <t>Usada no Ciclo</t>
        </is>
      </c>
      <c r="G88" s="7" t="inlineStr">
        <is>
          <t>Disponível?</t>
        </is>
      </c>
      <c r="H88" s="7" t="inlineStr">
        <is>
          <t>Especial 3</t>
        </is>
      </c>
      <c r="I88" s="7" t="inlineStr">
        <is>
          <t>Usada no Ciclo</t>
        </is>
      </c>
      <c r="J88" s="7" t="inlineStr">
        <is>
          <t>Disponível?</t>
        </is>
      </c>
      <c r="K88" s="7" t="inlineStr">
        <is>
          <t>Aviso</t>
        </is>
      </c>
      <c r="L88" s="20" t="n"/>
    </row>
    <row r="89" ht="48" customHeight="1">
      <c r="A89" s="32">
        <f>IF(LEN($N$17)&gt;0,$N$17,"Inimigo 1")</f>
        <v/>
      </c>
      <c r="B89" s="4">
        <f>IF(ISNUMBER($BC$33),INDEX('Inimigos'!$AW$11:$AW$54,$BC$33)&amp;"","")</f>
        <v/>
      </c>
      <c r="C89" s="15" t="n"/>
      <c r="D89" s="17">
        <f>IF(NOT(ISNUMBER($BC$33)),"",IFERROR(IF(LEN(INDEX('Inimigos'!$AW$11:$AW$54,$BC$33)&amp;"")=0,"",IF(NOT(ISNUMBER($CC$89)),"Sim",IF(NOT(ISNUMBER(INDEX('Inimigos'!$AX$11:$AX$54,$BC$33))),"Usada",IF($N$8&gt;=$CC$89+INDEX('Inimigos'!$AX$11:$AX$54,$BC$33),"Sim","No Ciclo "&amp;($CC$89+INDEX('Inimigos'!$AX$11:$AX$54,$BC$33)))))),""))</f>
        <v/>
      </c>
      <c r="E89" s="4">
        <f>IF(ISNUMBER($BC$33),INDEX('Inimigos'!$AY$11:$AY$54,$BC$33)&amp;"","")</f>
        <v/>
      </c>
      <c r="F89" s="15" t="n"/>
      <c r="G89" s="17">
        <f>IF(NOT(ISNUMBER($BC$33)),"",IFERROR(IF(LEN(INDEX('Inimigos'!$AY$11:$AY$54,$BC$33)&amp;"")=0,"",IF(NOT(ISNUMBER($CF$89)),"Sim",IF(NOT(ISNUMBER(INDEX('Inimigos'!$AZ$11:$AZ$54,$BC$33))),"Usada",IF($N$8&gt;=$CF$89+INDEX('Inimigos'!$AZ$11:$AZ$54,$BC$33),"Sim","No Ciclo "&amp;($CF$89+INDEX('Inimigos'!$AZ$11:$AZ$54,$BC$33)))))),""))</f>
        <v/>
      </c>
      <c r="H89" s="4">
        <f>IF(ISNUMBER($BC$33),INDEX('Inimigos'!$BA$11:$BA$54,$BC$33)&amp;"","")</f>
        <v/>
      </c>
      <c r="I89" s="15" t="n"/>
      <c r="J89" s="17">
        <f>IF(NOT(ISNUMBER($BC$33)),"",IFERROR(IF(LEN(INDEX('Inimigos'!$BA$11:$BA$54,$BC$33)&amp;"")=0,"",IF(NOT(ISNUMBER($CI$89)),"Sim",IF(NOT(ISNUMBER(INDEX('Inimigos'!$BB$11:$BB$54,$BC$33))),"Usada",IF($N$8&gt;=$CI$89+INDEX('Inimigos'!$BB$11:$BB$54,$BC$33),"Sim","No Ciclo "&amp;($CI$89+INDEX('Inimigos'!$BB$11:$BB$54,$BC$33)))))),""))</f>
        <v/>
      </c>
      <c r="K89" s="18">
        <f>IF(CK89&gt;0,"O Google leu como fórmula: digite de novo com ' na frente.",IF(AND(ISNUMBER($BC$33),$AA$17=1,$BW$33&lt;&gt;"Comum"),"Congelado: sem ação especial no turno seguinte (19.6)",""))</f>
        <v/>
      </c>
      <c r="CC89" s="19">
        <f>IF(ISERROR($C$89),"",IF(ISBLANK($C$89),"",$C$89))</f>
        <v/>
      </c>
      <c r="CF89" s="19">
        <f>IF(ISERROR($F$89),"",IF(ISBLANK($F$89),"",$F$89))</f>
        <v/>
      </c>
      <c r="CI89" s="19">
        <f>IF(ISERROR($I$89),"",IF(ISBLANK($I$89),"",$I$89))</f>
        <v/>
      </c>
      <c r="CK89" s="19">
        <f>ISERROR($C$89)*1+ISERROR($F$89)*1+ISERROR($I$89)*1</f>
        <v/>
      </c>
    </row>
    <row r="90" ht="48" customHeight="1">
      <c r="A90" s="33">
        <f>IF(LEN($N$18)&gt;0,$N$18,"Inimigo 2")</f>
        <v/>
      </c>
      <c r="B90" s="9">
        <f>IF(ISNUMBER($BC$34),INDEX('Inimigos'!$AW$11:$AW$54,$BC$34)&amp;"","")</f>
        <v/>
      </c>
      <c r="C90" s="34" t="n"/>
      <c r="D90" s="29">
        <f>IF(NOT(ISNUMBER($BC$34)),"",IFERROR(IF(LEN(INDEX('Inimigos'!$AW$11:$AW$54,$BC$34)&amp;"")=0,"",IF(NOT(ISNUMBER($CC$90)),"Sim",IF(NOT(ISNUMBER(INDEX('Inimigos'!$AX$11:$AX$54,$BC$34))),"Usada",IF($N$8&gt;=$CC$90+INDEX('Inimigos'!$AX$11:$AX$54,$BC$34),"Sim","No Ciclo "&amp;($CC$90+INDEX('Inimigos'!$AX$11:$AX$54,$BC$34)))))),""))</f>
        <v/>
      </c>
      <c r="E90" s="9">
        <f>IF(ISNUMBER($BC$34),INDEX('Inimigos'!$AY$11:$AY$54,$BC$34)&amp;"","")</f>
        <v/>
      </c>
      <c r="F90" s="34" t="n"/>
      <c r="G90" s="29">
        <f>IF(NOT(ISNUMBER($BC$34)),"",IFERROR(IF(LEN(INDEX('Inimigos'!$AY$11:$AY$54,$BC$34)&amp;"")=0,"",IF(NOT(ISNUMBER($CF$90)),"Sim",IF(NOT(ISNUMBER(INDEX('Inimigos'!$AZ$11:$AZ$54,$BC$34))),"Usada",IF($N$8&gt;=$CF$90+INDEX('Inimigos'!$AZ$11:$AZ$54,$BC$34),"Sim","No Ciclo "&amp;($CF$90+INDEX('Inimigos'!$AZ$11:$AZ$54,$BC$34)))))),""))</f>
        <v/>
      </c>
      <c r="H90" s="9">
        <f>IF(ISNUMBER($BC$34),INDEX('Inimigos'!$BA$11:$BA$54,$BC$34)&amp;"","")</f>
        <v/>
      </c>
      <c r="I90" s="34" t="n"/>
      <c r="J90" s="29">
        <f>IF(NOT(ISNUMBER($BC$34)),"",IFERROR(IF(LEN(INDEX('Inimigos'!$BA$11:$BA$54,$BC$34)&amp;"")=0,"",IF(NOT(ISNUMBER($CI$90)),"Sim",IF(NOT(ISNUMBER(INDEX('Inimigos'!$BB$11:$BB$54,$BC$34))),"Usada",IF($N$8&gt;=$CI$90+INDEX('Inimigos'!$BB$11:$BB$54,$BC$34),"Sim","No Ciclo "&amp;($CI$90+INDEX('Inimigos'!$BB$11:$BB$54,$BC$34)))))),""))</f>
        <v/>
      </c>
      <c r="K90" s="26">
        <f>IF(CK90&gt;0,"O Google leu como fórmula: digite de novo com ' na frente.",IF(AND(ISNUMBER($BC$34),$AA$18=1,$BW$34&lt;&gt;"Comum"),"Congelado: sem ação especial no turno seguinte (19.6)",""))</f>
        <v/>
      </c>
      <c r="CC90" s="19">
        <f>IF(ISERROR($C$90),"",IF(ISBLANK($C$90),"",$C$90))</f>
        <v/>
      </c>
      <c r="CF90" s="19">
        <f>IF(ISERROR($F$90),"",IF(ISBLANK($F$90),"",$F$90))</f>
        <v/>
      </c>
      <c r="CI90" s="19">
        <f>IF(ISERROR($I$90),"",IF(ISBLANK($I$90),"",$I$90))</f>
        <v/>
      </c>
      <c r="CK90" s="19">
        <f>ISERROR($C$90)*1+ISERROR($F$90)*1+ISERROR($I$90)*1</f>
        <v/>
      </c>
    </row>
    <row r="91" ht="48" customHeight="1">
      <c r="A91" s="32">
        <f>IF(LEN($N$19)&gt;0,$N$19,"Inimigo 3")</f>
        <v/>
      </c>
      <c r="B91" s="4">
        <f>IF(ISNUMBER($BC$35),INDEX('Inimigos'!$AW$11:$AW$54,$BC$35)&amp;"","")</f>
        <v/>
      </c>
      <c r="C91" s="15" t="n"/>
      <c r="D91" s="17">
        <f>IF(NOT(ISNUMBER($BC$35)),"",IFERROR(IF(LEN(INDEX('Inimigos'!$AW$11:$AW$54,$BC$35)&amp;"")=0,"",IF(NOT(ISNUMBER($CC$91)),"Sim",IF(NOT(ISNUMBER(INDEX('Inimigos'!$AX$11:$AX$54,$BC$35))),"Usada",IF($N$8&gt;=$CC$91+INDEX('Inimigos'!$AX$11:$AX$54,$BC$35),"Sim","No Ciclo "&amp;($CC$91+INDEX('Inimigos'!$AX$11:$AX$54,$BC$35)))))),""))</f>
        <v/>
      </c>
      <c r="E91" s="4">
        <f>IF(ISNUMBER($BC$35),INDEX('Inimigos'!$AY$11:$AY$54,$BC$35)&amp;"","")</f>
        <v/>
      </c>
      <c r="F91" s="15" t="n"/>
      <c r="G91" s="17">
        <f>IF(NOT(ISNUMBER($BC$35)),"",IFERROR(IF(LEN(INDEX('Inimigos'!$AY$11:$AY$54,$BC$35)&amp;"")=0,"",IF(NOT(ISNUMBER($CF$91)),"Sim",IF(NOT(ISNUMBER(INDEX('Inimigos'!$AZ$11:$AZ$54,$BC$35))),"Usada",IF($N$8&gt;=$CF$91+INDEX('Inimigos'!$AZ$11:$AZ$54,$BC$35),"Sim","No Ciclo "&amp;($CF$91+INDEX('Inimigos'!$AZ$11:$AZ$54,$BC$35)))))),""))</f>
        <v/>
      </c>
      <c r="H91" s="4">
        <f>IF(ISNUMBER($BC$35),INDEX('Inimigos'!$BA$11:$BA$54,$BC$35)&amp;"","")</f>
        <v/>
      </c>
      <c r="I91" s="15" t="n"/>
      <c r="J91" s="17">
        <f>IF(NOT(ISNUMBER($BC$35)),"",IFERROR(IF(LEN(INDEX('Inimigos'!$BA$11:$BA$54,$BC$35)&amp;"")=0,"",IF(NOT(ISNUMBER($CI$91)),"Sim",IF(NOT(ISNUMBER(INDEX('Inimigos'!$BB$11:$BB$54,$BC$35))),"Usada",IF($N$8&gt;=$CI$91+INDEX('Inimigos'!$BB$11:$BB$54,$BC$35),"Sim","No Ciclo "&amp;($CI$91+INDEX('Inimigos'!$BB$11:$BB$54,$BC$35)))))),""))</f>
        <v/>
      </c>
      <c r="K91" s="18">
        <f>IF(CK91&gt;0,"O Google leu como fórmula: digite de novo com ' na frente.",IF(AND(ISNUMBER($BC$35),$AA$19=1,$BW$35&lt;&gt;"Comum"),"Congelado: sem ação especial no turno seguinte (19.6)",""))</f>
        <v/>
      </c>
      <c r="CC91" s="19">
        <f>IF(ISERROR($C$91),"",IF(ISBLANK($C$91),"",$C$91))</f>
        <v/>
      </c>
      <c r="CF91" s="19">
        <f>IF(ISERROR($F$91),"",IF(ISBLANK($F$91),"",$F$91))</f>
        <v/>
      </c>
      <c r="CI91" s="19">
        <f>IF(ISERROR($I$91),"",IF(ISBLANK($I$91),"",$I$91))</f>
        <v/>
      </c>
      <c r="CK91" s="19">
        <f>ISERROR($C$91)*1+ISERROR($F$91)*1+ISERROR($I$91)*1</f>
        <v/>
      </c>
    </row>
    <row r="92" ht="48" customHeight="1">
      <c r="A92" s="33">
        <f>IF(LEN($N$20)&gt;0,$N$20,"Inimigo 4")</f>
        <v/>
      </c>
      <c r="B92" s="9">
        <f>IF(ISNUMBER($BC$36),INDEX('Inimigos'!$AW$11:$AW$54,$BC$36)&amp;"","")</f>
        <v/>
      </c>
      <c r="C92" s="34" t="n"/>
      <c r="D92" s="29">
        <f>IF(NOT(ISNUMBER($BC$36)),"",IFERROR(IF(LEN(INDEX('Inimigos'!$AW$11:$AW$54,$BC$36)&amp;"")=0,"",IF(NOT(ISNUMBER($CC$92)),"Sim",IF(NOT(ISNUMBER(INDEX('Inimigos'!$AX$11:$AX$54,$BC$36))),"Usada",IF($N$8&gt;=$CC$92+INDEX('Inimigos'!$AX$11:$AX$54,$BC$36),"Sim","No Ciclo "&amp;($CC$92+INDEX('Inimigos'!$AX$11:$AX$54,$BC$36)))))),""))</f>
        <v/>
      </c>
      <c r="E92" s="9">
        <f>IF(ISNUMBER($BC$36),INDEX('Inimigos'!$AY$11:$AY$54,$BC$36)&amp;"","")</f>
        <v/>
      </c>
      <c r="F92" s="34" t="n"/>
      <c r="G92" s="29">
        <f>IF(NOT(ISNUMBER($BC$36)),"",IFERROR(IF(LEN(INDEX('Inimigos'!$AY$11:$AY$54,$BC$36)&amp;"")=0,"",IF(NOT(ISNUMBER($CF$92)),"Sim",IF(NOT(ISNUMBER(INDEX('Inimigos'!$AZ$11:$AZ$54,$BC$36))),"Usada",IF($N$8&gt;=$CF$92+INDEX('Inimigos'!$AZ$11:$AZ$54,$BC$36),"Sim","No Ciclo "&amp;($CF$92+INDEX('Inimigos'!$AZ$11:$AZ$54,$BC$36)))))),""))</f>
        <v/>
      </c>
      <c r="H92" s="9">
        <f>IF(ISNUMBER($BC$36),INDEX('Inimigos'!$BA$11:$BA$54,$BC$36)&amp;"","")</f>
        <v/>
      </c>
      <c r="I92" s="34" t="n"/>
      <c r="J92" s="29">
        <f>IF(NOT(ISNUMBER($BC$36)),"",IFERROR(IF(LEN(INDEX('Inimigos'!$BA$11:$BA$54,$BC$36)&amp;"")=0,"",IF(NOT(ISNUMBER($CI$92)),"Sim",IF(NOT(ISNUMBER(INDEX('Inimigos'!$BB$11:$BB$54,$BC$36))),"Usada",IF($N$8&gt;=$CI$92+INDEX('Inimigos'!$BB$11:$BB$54,$BC$36),"Sim","No Ciclo "&amp;($CI$92+INDEX('Inimigos'!$BB$11:$BB$54,$BC$36)))))),""))</f>
        <v/>
      </c>
      <c r="K92" s="26">
        <f>IF(CK92&gt;0,"O Google leu como fórmula: digite de novo com ' na frente.",IF(AND(ISNUMBER($BC$36),$AA$20=1,$BW$36&lt;&gt;"Comum"),"Congelado: sem ação especial no turno seguinte (19.6)",""))</f>
        <v/>
      </c>
      <c r="CC92" s="19">
        <f>IF(ISERROR($C$92),"",IF(ISBLANK($C$92),"",$C$92))</f>
        <v/>
      </c>
      <c r="CF92" s="19">
        <f>IF(ISERROR($F$92),"",IF(ISBLANK($F$92),"",$F$92))</f>
        <v/>
      </c>
      <c r="CI92" s="19">
        <f>IF(ISERROR($I$92),"",IF(ISBLANK($I$92),"",$I$92))</f>
        <v/>
      </c>
      <c r="CK92" s="19">
        <f>ISERROR($C$92)*1+ISERROR($F$92)*1+ISERROR($I$92)*1</f>
        <v/>
      </c>
    </row>
    <row r="93" ht="48" customHeight="1">
      <c r="A93" s="32">
        <f>IF(LEN($N$21)&gt;0,$N$21,"Inimigo 5")</f>
        <v/>
      </c>
      <c r="B93" s="4">
        <f>IF(ISNUMBER($BC$37),INDEX('Inimigos'!$AW$11:$AW$54,$BC$37)&amp;"","")</f>
        <v/>
      </c>
      <c r="C93" s="15" t="n"/>
      <c r="D93" s="17">
        <f>IF(NOT(ISNUMBER($BC$37)),"",IFERROR(IF(LEN(INDEX('Inimigos'!$AW$11:$AW$54,$BC$37)&amp;"")=0,"",IF(NOT(ISNUMBER($CC$93)),"Sim",IF(NOT(ISNUMBER(INDEX('Inimigos'!$AX$11:$AX$54,$BC$37))),"Usada",IF($N$8&gt;=$CC$93+INDEX('Inimigos'!$AX$11:$AX$54,$BC$37),"Sim","No Ciclo "&amp;($CC$93+INDEX('Inimigos'!$AX$11:$AX$54,$BC$37)))))),""))</f>
        <v/>
      </c>
      <c r="E93" s="4">
        <f>IF(ISNUMBER($BC$37),INDEX('Inimigos'!$AY$11:$AY$54,$BC$37)&amp;"","")</f>
        <v/>
      </c>
      <c r="F93" s="15" t="n"/>
      <c r="G93" s="17">
        <f>IF(NOT(ISNUMBER($BC$37)),"",IFERROR(IF(LEN(INDEX('Inimigos'!$AY$11:$AY$54,$BC$37)&amp;"")=0,"",IF(NOT(ISNUMBER($CF$93)),"Sim",IF(NOT(ISNUMBER(INDEX('Inimigos'!$AZ$11:$AZ$54,$BC$37))),"Usada",IF($N$8&gt;=$CF$93+INDEX('Inimigos'!$AZ$11:$AZ$54,$BC$37),"Sim","No Ciclo "&amp;($CF$93+INDEX('Inimigos'!$AZ$11:$AZ$54,$BC$37)))))),""))</f>
        <v/>
      </c>
      <c r="H93" s="4">
        <f>IF(ISNUMBER($BC$37),INDEX('Inimigos'!$BA$11:$BA$54,$BC$37)&amp;"","")</f>
        <v/>
      </c>
      <c r="I93" s="15" t="n"/>
      <c r="J93" s="17">
        <f>IF(NOT(ISNUMBER($BC$37)),"",IFERROR(IF(LEN(INDEX('Inimigos'!$BA$11:$BA$54,$BC$37)&amp;"")=0,"",IF(NOT(ISNUMBER($CI$93)),"Sim",IF(NOT(ISNUMBER(INDEX('Inimigos'!$BB$11:$BB$54,$BC$37))),"Usada",IF($N$8&gt;=$CI$93+INDEX('Inimigos'!$BB$11:$BB$54,$BC$37),"Sim","No Ciclo "&amp;($CI$93+INDEX('Inimigos'!$BB$11:$BB$54,$BC$37)))))),""))</f>
        <v/>
      </c>
      <c r="K93" s="18">
        <f>IF(CK93&gt;0,"O Google leu como fórmula: digite de novo com ' na frente.",IF(AND(ISNUMBER($BC$37),$AA$21=1,$BW$37&lt;&gt;"Comum"),"Congelado: sem ação especial no turno seguinte (19.6)",""))</f>
        <v/>
      </c>
      <c r="CC93" s="19">
        <f>IF(ISERROR($C$93),"",IF(ISBLANK($C$93),"",$C$93))</f>
        <v/>
      </c>
      <c r="CF93" s="19">
        <f>IF(ISERROR($F$93),"",IF(ISBLANK($F$93),"",$F$93))</f>
        <v/>
      </c>
      <c r="CI93" s="19">
        <f>IF(ISERROR($I$93),"",IF(ISBLANK($I$93),"",$I$93))</f>
        <v/>
      </c>
      <c r="CK93" s="19">
        <f>ISERROR($C$93)*1+ISERROR($F$93)*1+ISERROR($I$93)*1</f>
        <v/>
      </c>
    </row>
    <row r="94" ht="48" customHeight="1">
      <c r="A94" s="33">
        <f>IF(LEN($N$22)&gt;0,$N$22,"Inimigo 6")</f>
        <v/>
      </c>
      <c r="B94" s="9">
        <f>IF(ISNUMBER($BC$38),INDEX('Inimigos'!$AW$11:$AW$54,$BC$38)&amp;"","")</f>
        <v/>
      </c>
      <c r="C94" s="34" t="n"/>
      <c r="D94" s="29">
        <f>IF(NOT(ISNUMBER($BC$38)),"",IFERROR(IF(LEN(INDEX('Inimigos'!$AW$11:$AW$54,$BC$38)&amp;"")=0,"",IF(NOT(ISNUMBER($CC$94)),"Sim",IF(NOT(ISNUMBER(INDEX('Inimigos'!$AX$11:$AX$54,$BC$38))),"Usada",IF($N$8&gt;=$CC$94+INDEX('Inimigos'!$AX$11:$AX$54,$BC$38),"Sim","No Ciclo "&amp;($CC$94+INDEX('Inimigos'!$AX$11:$AX$54,$BC$38)))))),""))</f>
        <v/>
      </c>
      <c r="E94" s="9">
        <f>IF(ISNUMBER($BC$38),INDEX('Inimigos'!$AY$11:$AY$54,$BC$38)&amp;"","")</f>
        <v/>
      </c>
      <c r="F94" s="34" t="n"/>
      <c r="G94" s="29">
        <f>IF(NOT(ISNUMBER($BC$38)),"",IFERROR(IF(LEN(INDEX('Inimigos'!$AY$11:$AY$54,$BC$38)&amp;"")=0,"",IF(NOT(ISNUMBER($CF$94)),"Sim",IF(NOT(ISNUMBER(INDEX('Inimigos'!$AZ$11:$AZ$54,$BC$38))),"Usada",IF($N$8&gt;=$CF$94+INDEX('Inimigos'!$AZ$11:$AZ$54,$BC$38),"Sim","No Ciclo "&amp;($CF$94+INDEX('Inimigos'!$AZ$11:$AZ$54,$BC$38)))))),""))</f>
        <v/>
      </c>
      <c r="H94" s="9">
        <f>IF(ISNUMBER($BC$38),INDEX('Inimigos'!$BA$11:$BA$54,$BC$38)&amp;"","")</f>
        <v/>
      </c>
      <c r="I94" s="34" t="n"/>
      <c r="J94" s="29">
        <f>IF(NOT(ISNUMBER($BC$38)),"",IFERROR(IF(LEN(INDEX('Inimigos'!$BA$11:$BA$54,$BC$38)&amp;"")=0,"",IF(NOT(ISNUMBER($CI$94)),"Sim",IF(NOT(ISNUMBER(INDEX('Inimigos'!$BB$11:$BB$54,$BC$38))),"Usada",IF($N$8&gt;=$CI$94+INDEX('Inimigos'!$BB$11:$BB$54,$BC$38),"Sim","No Ciclo "&amp;($CI$94+INDEX('Inimigos'!$BB$11:$BB$54,$BC$38)))))),""))</f>
        <v/>
      </c>
      <c r="K94" s="26">
        <f>IF(CK94&gt;0,"O Google leu como fórmula: digite de novo com ' na frente.",IF(AND(ISNUMBER($BC$38),$AA$22=1,$BW$38&lt;&gt;"Comum"),"Congelado: sem ação especial no turno seguinte (19.6)",""))</f>
        <v/>
      </c>
      <c r="CC94" s="19">
        <f>IF(ISERROR($C$94),"",IF(ISBLANK($C$94),"",$C$94))</f>
        <v/>
      </c>
      <c r="CF94" s="19">
        <f>IF(ISERROR($F$94),"",IF(ISBLANK($F$94),"",$F$94))</f>
        <v/>
      </c>
      <c r="CI94" s="19">
        <f>IF(ISERROR($I$94),"",IF(ISBLANK($I$94),"",$I$94))</f>
        <v/>
      </c>
      <c r="CK94" s="19">
        <f>ISERROR($C$94)*1+ISERROR($F$94)*1+ISERROR($I$94)*1</f>
        <v/>
      </c>
    </row>
    <row r="95" ht="48" customHeight="1">
      <c r="A95" s="32">
        <f>IF(LEN($N$23)&gt;0,$N$23,"Inimigo 7")</f>
        <v/>
      </c>
      <c r="B95" s="4">
        <f>IF(ISNUMBER($BC$39),INDEX('Inimigos'!$AW$11:$AW$54,$BC$39)&amp;"","")</f>
        <v/>
      </c>
      <c r="C95" s="15" t="n"/>
      <c r="D95" s="17">
        <f>IF(NOT(ISNUMBER($BC$39)),"",IFERROR(IF(LEN(INDEX('Inimigos'!$AW$11:$AW$54,$BC$39)&amp;"")=0,"",IF(NOT(ISNUMBER($CC$95)),"Sim",IF(NOT(ISNUMBER(INDEX('Inimigos'!$AX$11:$AX$54,$BC$39))),"Usada",IF($N$8&gt;=$CC$95+INDEX('Inimigos'!$AX$11:$AX$54,$BC$39),"Sim","No Ciclo "&amp;($CC$95+INDEX('Inimigos'!$AX$11:$AX$54,$BC$39)))))),""))</f>
        <v/>
      </c>
      <c r="E95" s="4">
        <f>IF(ISNUMBER($BC$39),INDEX('Inimigos'!$AY$11:$AY$54,$BC$39)&amp;"","")</f>
        <v/>
      </c>
      <c r="F95" s="15" t="n"/>
      <c r="G95" s="17">
        <f>IF(NOT(ISNUMBER($BC$39)),"",IFERROR(IF(LEN(INDEX('Inimigos'!$AY$11:$AY$54,$BC$39)&amp;"")=0,"",IF(NOT(ISNUMBER($CF$95)),"Sim",IF(NOT(ISNUMBER(INDEX('Inimigos'!$AZ$11:$AZ$54,$BC$39))),"Usada",IF($N$8&gt;=$CF$95+INDEX('Inimigos'!$AZ$11:$AZ$54,$BC$39),"Sim","No Ciclo "&amp;($CF$95+INDEX('Inimigos'!$AZ$11:$AZ$54,$BC$39)))))),""))</f>
        <v/>
      </c>
      <c r="H95" s="4">
        <f>IF(ISNUMBER($BC$39),INDEX('Inimigos'!$BA$11:$BA$54,$BC$39)&amp;"","")</f>
        <v/>
      </c>
      <c r="I95" s="15" t="n"/>
      <c r="J95" s="17">
        <f>IF(NOT(ISNUMBER($BC$39)),"",IFERROR(IF(LEN(INDEX('Inimigos'!$BA$11:$BA$54,$BC$39)&amp;"")=0,"",IF(NOT(ISNUMBER($CI$95)),"Sim",IF(NOT(ISNUMBER(INDEX('Inimigos'!$BB$11:$BB$54,$BC$39))),"Usada",IF($N$8&gt;=$CI$95+INDEX('Inimigos'!$BB$11:$BB$54,$BC$39),"Sim","No Ciclo "&amp;($CI$95+INDEX('Inimigos'!$BB$11:$BB$54,$BC$39)))))),""))</f>
        <v/>
      </c>
      <c r="K95" s="18">
        <f>IF(CK95&gt;0,"O Google leu como fórmula: digite de novo com ' na frente.",IF(AND(ISNUMBER($BC$39),$AA$23=1,$BW$39&lt;&gt;"Comum"),"Congelado: sem ação especial no turno seguinte (19.6)",""))</f>
        <v/>
      </c>
      <c r="CC95" s="19">
        <f>IF(ISERROR($C$95),"",IF(ISBLANK($C$95),"",$C$95))</f>
        <v/>
      </c>
      <c r="CF95" s="19">
        <f>IF(ISERROR($F$95),"",IF(ISBLANK($F$95),"",$F$95))</f>
        <v/>
      </c>
      <c r="CI95" s="19">
        <f>IF(ISERROR($I$95),"",IF(ISBLANK($I$95),"",$I$95))</f>
        <v/>
      </c>
      <c r="CK95" s="19">
        <f>ISERROR($C$95)*1+ISERROR($F$95)*1+ISERROR($I$95)*1</f>
        <v/>
      </c>
    </row>
    <row r="96" ht="48" customHeight="1">
      <c r="A96" s="33">
        <f>IF(LEN($N$24)&gt;0,$N$24,"Inimigo 8")</f>
        <v/>
      </c>
      <c r="B96" s="9">
        <f>IF(ISNUMBER($BC$40),INDEX('Inimigos'!$AW$11:$AW$54,$BC$40)&amp;"","")</f>
        <v/>
      </c>
      <c r="C96" s="34" t="n"/>
      <c r="D96" s="29">
        <f>IF(NOT(ISNUMBER($BC$40)),"",IFERROR(IF(LEN(INDEX('Inimigos'!$AW$11:$AW$54,$BC$40)&amp;"")=0,"",IF(NOT(ISNUMBER($CC$96)),"Sim",IF(NOT(ISNUMBER(INDEX('Inimigos'!$AX$11:$AX$54,$BC$40))),"Usada",IF($N$8&gt;=$CC$96+INDEX('Inimigos'!$AX$11:$AX$54,$BC$40),"Sim","No Ciclo "&amp;($CC$96+INDEX('Inimigos'!$AX$11:$AX$54,$BC$40)))))),""))</f>
        <v/>
      </c>
      <c r="E96" s="9">
        <f>IF(ISNUMBER($BC$40),INDEX('Inimigos'!$AY$11:$AY$54,$BC$40)&amp;"","")</f>
        <v/>
      </c>
      <c r="F96" s="34" t="n"/>
      <c r="G96" s="29">
        <f>IF(NOT(ISNUMBER($BC$40)),"",IFERROR(IF(LEN(INDEX('Inimigos'!$AY$11:$AY$54,$BC$40)&amp;"")=0,"",IF(NOT(ISNUMBER($CF$96)),"Sim",IF(NOT(ISNUMBER(INDEX('Inimigos'!$AZ$11:$AZ$54,$BC$40))),"Usada",IF($N$8&gt;=$CF$96+INDEX('Inimigos'!$AZ$11:$AZ$54,$BC$40),"Sim","No Ciclo "&amp;($CF$96+INDEX('Inimigos'!$AZ$11:$AZ$54,$BC$40)))))),""))</f>
        <v/>
      </c>
      <c r="H96" s="9">
        <f>IF(ISNUMBER($BC$40),INDEX('Inimigos'!$BA$11:$BA$54,$BC$40)&amp;"","")</f>
        <v/>
      </c>
      <c r="I96" s="34" t="n"/>
      <c r="J96" s="29">
        <f>IF(NOT(ISNUMBER($BC$40)),"",IFERROR(IF(LEN(INDEX('Inimigos'!$BA$11:$BA$54,$BC$40)&amp;"")=0,"",IF(NOT(ISNUMBER($CI$96)),"Sim",IF(NOT(ISNUMBER(INDEX('Inimigos'!$BB$11:$BB$54,$BC$40))),"Usada",IF($N$8&gt;=$CI$96+INDEX('Inimigos'!$BB$11:$BB$54,$BC$40),"Sim","No Ciclo "&amp;($CI$96+INDEX('Inimigos'!$BB$11:$BB$54,$BC$40)))))),""))</f>
        <v/>
      </c>
      <c r="K96" s="26">
        <f>IF(CK96&gt;0,"O Google leu como fórmula: digite de novo com ' na frente.",IF(AND(ISNUMBER($BC$40),$AA$24=1,$BW$40&lt;&gt;"Comum"),"Congelado: sem ação especial no turno seguinte (19.6)",""))</f>
        <v/>
      </c>
      <c r="CC96" s="19">
        <f>IF(ISERROR($C$96),"",IF(ISBLANK($C$96),"",$C$96))</f>
        <v/>
      </c>
      <c r="CF96" s="19">
        <f>IF(ISERROR($F$96),"",IF(ISBLANK($F$96),"",$F$96))</f>
        <v/>
      </c>
      <c r="CI96" s="19">
        <f>IF(ISERROR($I$96),"",IF(ISBLANK($I$96),"",$I$96))</f>
        <v/>
      </c>
      <c r="CK96" s="19">
        <f>ISERROR($C$96)*1+ISERROR($F$96)*1+ISERROR($I$96)*1</f>
        <v/>
      </c>
    </row>
    <row r="97" ht="48" customHeight="1">
      <c r="A97" s="32">
        <f>IF(LEN($N$25)&gt;0,$N$25,"Inimigo 9")</f>
        <v/>
      </c>
      <c r="B97" s="4">
        <f>IF(ISNUMBER($BC$41),INDEX('Inimigos'!$AW$11:$AW$54,$BC$41)&amp;"","")</f>
        <v/>
      </c>
      <c r="C97" s="15" t="n"/>
      <c r="D97" s="17">
        <f>IF(NOT(ISNUMBER($BC$41)),"",IFERROR(IF(LEN(INDEX('Inimigos'!$AW$11:$AW$54,$BC$41)&amp;"")=0,"",IF(NOT(ISNUMBER($CC$97)),"Sim",IF(NOT(ISNUMBER(INDEX('Inimigos'!$AX$11:$AX$54,$BC$41))),"Usada",IF($N$8&gt;=$CC$97+INDEX('Inimigos'!$AX$11:$AX$54,$BC$41),"Sim","No Ciclo "&amp;($CC$97+INDEX('Inimigos'!$AX$11:$AX$54,$BC$41)))))),""))</f>
        <v/>
      </c>
      <c r="E97" s="4">
        <f>IF(ISNUMBER($BC$41),INDEX('Inimigos'!$AY$11:$AY$54,$BC$41)&amp;"","")</f>
        <v/>
      </c>
      <c r="F97" s="15" t="n"/>
      <c r="G97" s="17">
        <f>IF(NOT(ISNUMBER($BC$41)),"",IFERROR(IF(LEN(INDEX('Inimigos'!$AY$11:$AY$54,$BC$41)&amp;"")=0,"",IF(NOT(ISNUMBER($CF$97)),"Sim",IF(NOT(ISNUMBER(INDEX('Inimigos'!$AZ$11:$AZ$54,$BC$41))),"Usada",IF($N$8&gt;=$CF$97+INDEX('Inimigos'!$AZ$11:$AZ$54,$BC$41),"Sim","No Ciclo "&amp;($CF$97+INDEX('Inimigos'!$AZ$11:$AZ$54,$BC$41)))))),""))</f>
        <v/>
      </c>
      <c r="H97" s="4">
        <f>IF(ISNUMBER($BC$41),INDEX('Inimigos'!$BA$11:$BA$54,$BC$41)&amp;"","")</f>
        <v/>
      </c>
      <c r="I97" s="15" t="n"/>
      <c r="J97" s="17">
        <f>IF(NOT(ISNUMBER($BC$41)),"",IFERROR(IF(LEN(INDEX('Inimigos'!$BA$11:$BA$54,$BC$41)&amp;"")=0,"",IF(NOT(ISNUMBER($CI$97)),"Sim",IF(NOT(ISNUMBER(INDEX('Inimigos'!$BB$11:$BB$54,$BC$41))),"Usada",IF($N$8&gt;=$CI$97+INDEX('Inimigos'!$BB$11:$BB$54,$BC$41),"Sim","No Ciclo "&amp;($CI$97+INDEX('Inimigos'!$BB$11:$BB$54,$BC$41)))))),""))</f>
        <v/>
      </c>
      <c r="K97" s="18">
        <f>IF(CK97&gt;0,"O Google leu como fórmula: digite de novo com ' na frente.",IF(AND(ISNUMBER($BC$41),$AA$25=1,$BW$41&lt;&gt;"Comum"),"Congelado: sem ação especial no turno seguinte (19.6)",""))</f>
        <v/>
      </c>
      <c r="CC97" s="19">
        <f>IF(ISERROR($C$97),"",IF(ISBLANK($C$97),"",$C$97))</f>
        <v/>
      </c>
      <c r="CF97" s="19">
        <f>IF(ISERROR($F$97),"",IF(ISBLANK($F$97),"",$F$97))</f>
        <v/>
      </c>
      <c r="CI97" s="19">
        <f>IF(ISERROR($I$97),"",IF(ISBLANK($I$97),"",$I$97))</f>
        <v/>
      </c>
      <c r="CK97" s="19">
        <f>ISERROR($C$97)*1+ISERROR($F$97)*1+ISERROR($I$97)*1</f>
        <v/>
      </c>
    </row>
    <row r="98" ht="48" customHeight="1">
      <c r="A98" s="33">
        <f>IF(LEN($N$26)&gt;0,$N$26,"Inimigo 10")</f>
        <v/>
      </c>
      <c r="B98" s="9">
        <f>IF(ISNUMBER($BC$42),INDEX('Inimigos'!$AW$11:$AW$54,$BC$42)&amp;"","")</f>
        <v/>
      </c>
      <c r="C98" s="34" t="n"/>
      <c r="D98" s="29">
        <f>IF(NOT(ISNUMBER($BC$42)),"",IFERROR(IF(LEN(INDEX('Inimigos'!$AW$11:$AW$54,$BC$42)&amp;"")=0,"",IF(NOT(ISNUMBER($CC$98)),"Sim",IF(NOT(ISNUMBER(INDEX('Inimigos'!$AX$11:$AX$54,$BC$42))),"Usada",IF($N$8&gt;=$CC$98+INDEX('Inimigos'!$AX$11:$AX$54,$BC$42),"Sim","No Ciclo "&amp;($CC$98+INDEX('Inimigos'!$AX$11:$AX$54,$BC$42)))))),""))</f>
        <v/>
      </c>
      <c r="E98" s="9">
        <f>IF(ISNUMBER($BC$42),INDEX('Inimigos'!$AY$11:$AY$54,$BC$42)&amp;"","")</f>
        <v/>
      </c>
      <c r="F98" s="34" t="n"/>
      <c r="G98" s="29">
        <f>IF(NOT(ISNUMBER($BC$42)),"",IFERROR(IF(LEN(INDEX('Inimigos'!$AY$11:$AY$54,$BC$42)&amp;"")=0,"",IF(NOT(ISNUMBER($CF$98)),"Sim",IF(NOT(ISNUMBER(INDEX('Inimigos'!$AZ$11:$AZ$54,$BC$42))),"Usada",IF($N$8&gt;=$CF$98+INDEX('Inimigos'!$AZ$11:$AZ$54,$BC$42),"Sim","No Ciclo "&amp;($CF$98+INDEX('Inimigos'!$AZ$11:$AZ$54,$BC$42)))))),""))</f>
        <v/>
      </c>
      <c r="H98" s="9">
        <f>IF(ISNUMBER($BC$42),INDEX('Inimigos'!$BA$11:$BA$54,$BC$42)&amp;"","")</f>
        <v/>
      </c>
      <c r="I98" s="34" t="n"/>
      <c r="J98" s="29">
        <f>IF(NOT(ISNUMBER($BC$42)),"",IFERROR(IF(LEN(INDEX('Inimigos'!$BA$11:$BA$54,$BC$42)&amp;"")=0,"",IF(NOT(ISNUMBER($CI$98)),"Sim",IF(NOT(ISNUMBER(INDEX('Inimigos'!$BB$11:$BB$54,$BC$42))),"Usada",IF($N$8&gt;=$CI$98+INDEX('Inimigos'!$BB$11:$BB$54,$BC$42),"Sim","No Ciclo "&amp;($CI$98+INDEX('Inimigos'!$BB$11:$BB$54,$BC$42)))))),""))</f>
        <v/>
      </c>
      <c r="K98" s="26">
        <f>IF(CK98&gt;0,"O Google leu como fórmula: digite de novo com ' na frente.",IF(AND(ISNUMBER($BC$42),$AA$26=1,$BW$42&lt;&gt;"Comum"),"Congelado: sem ação especial no turno seguinte (19.6)",""))</f>
        <v/>
      </c>
      <c r="CC98" s="19">
        <f>IF(ISERROR($C$98),"",IF(ISBLANK($C$98),"",$C$98))</f>
        <v/>
      </c>
      <c r="CF98" s="19">
        <f>IF(ISERROR($F$98),"",IF(ISBLANK($F$98),"",$F$98))</f>
        <v/>
      </c>
      <c r="CI98" s="19">
        <f>IF(ISERROR($I$98),"",IF(ISBLANK($I$98),"",$I$98))</f>
        <v/>
      </c>
      <c r="CK98" s="19">
        <f>ISERROR($C$98)*1+ISERROR($F$98)*1+ISERROR($I$98)*1</f>
        <v/>
      </c>
    </row>
    <row r="99"/>
    <row r="100" ht="20" customHeight="1">
      <c r="A100" s="12" t="inlineStr">
        <is>
          <t>C8 · Fila — entradas do Ciclo (19.3–19.6)</t>
        </is>
      </c>
    </row>
    <row r="101" ht="48" customHeight="1">
      <c r="A101" s="7" t="inlineStr">
        <is>
          <t>Combatente</t>
        </is>
      </c>
      <c r="B101" s="7" t="inlineStr">
        <is>
          <t>VEL efetiva</t>
        </is>
      </c>
      <c r="C101" s="7" t="inlineStr">
        <is>
          <t>Ordem entre empatados (PJ, 1–5)</t>
        </is>
      </c>
      <c r="D101" s="7" t="inlineStr">
        <is>
          <t>Atraso deste Ciclo (casas)</t>
        </is>
      </c>
      <c r="E101" s="7" t="inlineStr">
        <is>
          <t>Atraso pendente do Ciclo anterior</t>
        </is>
      </c>
      <c r="F101" s="7" t="inlineStr">
        <is>
          <t>Avançar</t>
        </is>
      </c>
      <c r="G101" s="7" t="inlineStr">
        <is>
          <t>Avanço Total</t>
        </is>
      </c>
      <c r="H101" s="7" t="inlineStr">
        <is>
          <t>Já agiu?</t>
        </is>
      </c>
      <c r="I101" s="7" t="inlineStr">
        <is>
          <t>Casa manual</t>
        </is>
      </c>
      <c r="J101" s="7" t="inlineStr">
        <is>
          <t>Pendente para o Ciclo seguinte</t>
        </is>
      </c>
      <c r="K101" s="7" t="inlineStr">
        <is>
          <t>Aviso</t>
        </is>
      </c>
      <c r="L101" s="20" t="n"/>
    </row>
    <row r="102" ht="37" customHeight="1">
      <c r="A102" s="32">
        <f>IF(LEN($N$11)&gt;0,$N$11,"1 · (vazio)")</f>
        <v/>
      </c>
      <c r="B102" s="17">
        <f>IF($P$11=1,$U$11,"")</f>
        <v/>
      </c>
      <c r="C102" s="15" t="n"/>
      <c r="D102" s="15" t="n"/>
      <c r="E102" s="15" t="n"/>
      <c r="F102" s="15" t="n"/>
      <c r="G102" s="36" t="n"/>
      <c r="H102" s="36" t="n"/>
      <c r="I102" s="15" t="n"/>
      <c r="J102" s="17">
        <f>IF($P$11=1,$AN$11,"")</f>
        <v/>
      </c>
      <c r="K102" s="18">
        <f>IF(CK102&gt;0,"O Google leu como fórmula: escolha de novo ou digite com ' na frente.",IF($P$11=0,"",IF(AND($AA$11=1,$O$11="Comum"),"Congelado: fora da Fila neste Ciclo; pendentes descartados (19.6)",IF(AND($AA$11=1,$AC$11&gt;0),"Congelado: o Atraso 2 já é o teto; nada mais soma (19.6)",IF(AND(ISNUMBER($CF$102),$CF$102&gt;0,$AF$11=1),"Avançar não vale em quem já agiu (19.5)",IF($AD$11&lt;$AC$11,"Teto/Firmeza: "&amp;$AC$11&amp;" casa(s) viram "&amp;$AD$11&amp;" (19.4)",IF($AU$11=1,"Avanço Total: age logo após o turno atual, 1 por Ciclo (19.5); use Casa manual se quiser fixar","")))))))</f>
        <v/>
      </c>
      <c r="CC102" s="19">
        <f>IF(ISERROR($C$102),"",IF(ISBLANK($C$102),"",$C$102))</f>
        <v/>
      </c>
      <c r="CD102" s="19">
        <f>IF(ISERROR($D$102),"",IF(ISBLANK($D$102),"",$D$102))</f>
        <v/>
      </c>
      <c r="CE102" s="19">
        <f>IF(ISERROR($E$102),"",IF(ISBLANK($E$102),"",$E$102))</f>
        <v/>
      </c>
      <c r="CF102" s="19">
        <f>IF(ISERROR($F$102),"",IF(ISBLANK($F$102),"",$F$102))</f>
        <v/>
      </c>
      <c r="CG102" s="19">
        <f>IF(ISERROR($G$102),"",IF(ISBLANK($G$102),"",$G$102))</f>
        <v/>
      </c>
      <c r="CH102" s="19">
        <f>IF(ISERROR($H$102),"",IF(ISBLANK($H$102),"",$H$102))</f>
        <v/>
      </c>
      <c r="CI102" s="19">
        <f>IF(ISERROR($I$102),"",IF(ISBLANK($I$102),"",$I$102))</f>
        <v/>
      </c>
      <c r="CK102" s="19">
        <f>ISERROR($C$102)*1+ISERROR($D$102)*1+ISERROR($E$102)*1+ISERROR($F$102)*1+ISERROR($G$102)*1+ISERROR($H$102)*1+ISERROR($I$102)*1</f>
        <v/>
      </c>
    </row>
    <row r="103" ht="37" customHeight="1">
      <c r="A103" s="33">
        <f>IF(LEN($N$12)&gt;0,$N$12,"2 · (vazio)")</f>
        <v/>
      </c>
      <c r="B103" s="29">
        <f>IF($P$12=1,$U$12,"")</f>
        <v/>
      </c>
      <c r="C103" s="34" t="n"/>
      <c r="D103" s="34" t="n"/>
      <c r="E103" s="34" t="n"/>
      <c r="F103" s="34" t="n"/>
      <c r="G103" s="42" t="n"/>
      <c r="H103" s="42" t="n"/>
      <c r="I103" s="34" t="n"/>
      <c r="J103" s="29">
        <f>IF($P$12=1,$AN$12,"")</f>
        <v/>
      </c>
      <c r="K103" s="26">
        <f>IF(CK103&gt;0,"O Google leu como fórmula: escolha de novo ou digite com ' na frente.",IF($P$12=0,"",IF(AND($AA$12=1,$O$12="Comum"),"Congelado: fora da Fila neste Ciclo; pendentes descartados (19.6)",IF(AND($AA$12=1,$AC$12&gt;0),"Congelado: o Atraso 2 já é o teto; nada mais soma (19.6)",IF(AND(ISNUMBER($CF$103),$CF$103&gt;0,$AF$12=1),"Avançar não vale em quem já agiu (19.5)",IF($AD$12&lt;$AC$12,"Teto/Firmeza: "&amp;$AC$12&amp;" casa(s) viram "&amp;$AD$12&amp;" (19.4)",IF($AU$12=1,"Avanço Total: age logo após o turno atual, 1 por Ciclo (19.5); use Casa manual se quiser fixar","")))))))</f>
        <v/>
      </c>
      <c r="CC103" s="19">
        <f>IF(ISERROR($C$103),"",IF(ISBLANK($C$103),"",$C$103))</f>
        <v/>
      </c>
      <c r="CD103" s="19">
        <f>IF(ISERROR($D$103),"",IF(ISBLANK($D$103),"",$D$103))</f>
        <v/>
      </c>
      <c r="CE103" s="19">
        <f>IF(ISERROR($E$103),"",IF(ISBLANK($E$103),"",$E$103))</f>
        <v/>
      </c>
      <c r="CF103" s="19">
        <f>IF(ISERROR($F$103),"",IF(ISBLANK($F$103),"",$F$103))</f>
        <v/>
      </c>
      <c r="CG103" s="19">
        <f>IF(ISERROR($G$103),"",IF(ISBLANK($G$103),"",$G$103))</f>
        <v/>
      </c>
      <c r="CH103" s="19">
        <f>IF(ISERROR($H$103),"",IF(ISBLANK($H$103),"",$H$103))</f>
        <v/>
      </c>
      <c r="CI103" s="19">
        <f>IF(ISERROR($I$103),"",IF(ISBLANK($I$103),"",$I$103))</f>
        <v/>
      </c>
      <c r="CK103" s="19">
        <f>ISERROR($C$103)*1+ISERROR($D$103)*1+ISERROR($E$103)*1+ISERROR($F$103)*1+ISERROR($G$103)*1+ISERROR($H$103)*1+ISERROR($I$103)*1</f>
        <v/>
      </c>
    </row>
    <row r="104" ht="37" customHeight="1">
      <c r="A104" s="32">
        <f>IF(LEN($N$13)&gt;0,$N$13,"3 · (vazio)")</f>
        <v/>
      </c>
      <c r="B104" s="17">
        <f>IF($P$13=1,$U$13,"")</f>
        <v/>
      </c>
      <c r="C104" s="15" t="n"/>
      <c r="D104" s="15" t="n"/>
      <c r="E104" s="15" t="n"/>
      <c r="F104" s="15" t="n"/>
      <c r="G104" s="36" t="n"/>
      <c r="H104" s="36" t="n"/>
      <c r="I104" s="15" t="n"/>
      <c r="J104" s="17">
        <f>IF($P$13=1,$AN$13,"")</f>
        <v/>
      </c>
      <c r="K104" s="18">
        <f>IF(CK104&gt;0,"O Google leu como fórmula: escolha de novo ou digite com ' na frente.",IF($P$13=0,"",IF(AND($AA$13=1,$O$13="Comum"),"Congelado: fora da Fila neste Ciclo; pendentes descartados (19.6)",IF(AND($AA$13=1,$AC$13&gt;0),"Congelado: o Atraso 2 já é o teto; nada mais soma (19.6)",IF(AND(ISNUMBER($CF$104),$CF$104&gt;0,$AF$13=1),"Avançar não vale em quem já agiu (19.5)",IF($AD$13&lt;$AC$13,"Teto/Firmeza: "&amp;$AC$13&amp;" casa(s) viram "&amp;$AD$13&amp;" (19.4)",IF($AU$13=1,"Avanço Total: age logo após o turno atual, 1 por Ciclo (19.5); use Casa manual se quiser fixar","")))))))</f>
        <v/>
      </c>
      <c r="CC104" s="19">
        <f>IF(ISERROR($C$104),"",IF(ISBLANK($C$104),"",$C$104))</f>
        <v/>
      </c>
      <c r="CD104" s="19">
        <f>IF(ISERROR($D$104),"",IF(ISBLANK($D$104),"",$D$104))</f>
        <v/>
      </c>
      <c r="CE104" s="19">
        <f>IF(ISERROR($E$104),"",IF(ISBLANK($E$104),"",$E$104))</f>
        <v/>
      </c>
      <c r="CF104" s="19">
        <f>IF(ISERROR($F$104),"",IF(ISBLANK($F$104),"",$F$104))</f>
        <v/>
      </c>
      <c r="CG104" s="19">
        <f>IF(ISERROR($G$104),"",IF(ISBLANK($G$104),"",$G$104))</f>
        <v/>
      </c>
      <c r="CH104" s="19">
        <f>IF(ISERROR($H$104),"",IF(ISBLANK($H$104),"",$H$104))</f>
        <v/>
      </c>
      <c r="CI104" s="19">
        <f>IF(ISERROR($I$104),"",IF(ISBLANK($I$104),"",$I$104))</f>
        <v/>
      </c>
      <c r="CK104" s="19">
        <f>ISERROR($C$104)*1+ISERROR($D$104)*1+ISERROR($E$104)*1+ISERROR($F$104)*1+ISERROR($G$104)*1+ISERROR($H$104)*1+ISERROR($I$104)*1</f>
        <v/>
      </c>
    </row>
    <row r="105" ht="37" customHeight="1">
      <c r="A105" s="33">
        <f>IF(LEN($N$14)&gt;0,$N$14,"4 · (vazio)")</f>
        <v/>
      </c>
      <c r="B105" s="29">
        <f>IF($P$14=1,$U$14,"")</f>
        <v/>
      </c>
      <c r="C105" s="34" t="n"/>
      <c r="D105" s="34" t="n"/>
      <c r="E105" s="34" t="n"/>
      <c r="F105" s="34" t="n"/>
      <c r="G105" s="42" t="n"/>
      <c r="H105" s="42" t="n"/>
      <c r="I105" s="34" t="n"/>
      <c r="J105" s="29">
        <f>IF($P$14=1,$AN$14,"")</f>
        <v/>
      </c>
      <c r="K105" s="26">
        <f>IF(CK105&gt;0,"O Google leu como fórmula: escolha de novo ou digite com ' na frente.",IF($P$14=0,"",IF(AND($AA$14=1,$O$14="Comum"),"Congelado: fora da Fila neste Ciclo; pendentes descartados (19.6)",IF(AND($AA$14=1,$AC$14&gt;0),"Congelado: o Atraso 2 já é o teto; nada mais soma (19.6)",IF(AND(ISNUMBER($CF$105),$CF$105&gt;0,$AF$14=1),"Avançar não vale em quem já agiu (19.5)",IF($AD$14&lt;$AC$14,"Teto/Firmeza: "&amp;$AC$14&amp;" casa(s) viram "&amp;$AD$14&amp;" (19.4)",IF($AU$14=1,"Avanço Total: age logo após o turno atual, 1 por Ciclo (19.5); use Casa manual se quiser fixar","")))))))</f>
        <v/>
      </c>
      <c r="CC105" s="19">
        <f>IF(ISERROR($C$105),"",IF(ISBLANK($C$105),"",$C$105))</f>
        <v/>
      </c>
      <c r="CD105" s="19">
        <f>IF(ISERROR($D$105),"",IF(ISBLANK($D$105),"",$D$105))</f>
        <v/>
      </c>
      <c r="CE105" s="19">
        <f>IF(ISERROR($E$105),"",IF(ISBLANK($E$105),"",$E$105))</f>
        <v/>
      </c>
      <c r="CF105" s="19">
        <f>IF(ISERROR($F$105),"",IF(ISBLANK($F$105),"",$F$105))</f>
        <v/>
      </c>
      <c r="CG105" s="19">
        <f>IF(ISERROR($G$105),"",IF(ISBLANK($G$105),"",$G$105))</f>
        <v/>
      </c>
      <c r="CH105" s="19">
        <f>IF(ISERROR($H$105),"",IF(ISBLANK($H$105),"",$H$105))</f>
        <v/>
      </c>
      <c r="CI105" s="19">
        <f>IF(ISERROR($I$105),"",IF(ISBLANK($I$105),"",$I$105))</f>
        <v/>
      </c>
      <c r="CK105" s="19">
        <f>ISERROR($C$105)*1+ISERROR($D$105)*1+ISERROR($E$105)*1+ISERROR($F$105)*1+ISERROR($G$105)*1+ISERROR($H$105)*1+ISERROR($I$105)*1</f>
        <v/>
      </c>
    </row>
    <row r="106" ht="37" customHeight="1">
      <c r="A106" s="32">
        <f>IF(LEN($N$15)&gt;0,$N$15,"5 · (vazio)")</f>
        <v/>
      </c>
      <c r="B106" s="17">
        <f>IF($P$15=1,$U$15,"")</f>
        <v/>
      </c>
      <c r="C106" s="15" t="n"/>
      <c r="D106" s="15" t="n"/>
      <c r="E106" s="15" t="n"/>
      <c r="F106" s="15" t="n"/>
      <c r="G106" s="36" t="n"/>
      <c r="H106" s="36" t="n"/>
      <c r="I106" s="15" t="n"/>
      <c r="J106" s="17">
        <f>IF($P$15=1,$AN$15,"")</f>
        <v/>
      </c>
      <c r="K106" s="18">
        <f>IF(CK106&gt;0,"O Google leu como fórmula: escolha de novo ou digite com ' na frente.",IF($P$15=0,"",IF(AND($AA$15=1,$O$15="Comum"),"Congelado: fora da Fila neste Ciclo; pendentes descartados (19.6)",IF(AND($AA$15=1,$AC$15&gt;0),"Congelado: o Atraso 2 já é o teto; nada mais soma (19.6)",IF(AND(ISNUMBER($CF$106),$CF$106&gt;0,$AF$15=1),"Avançar não vale em quem já agiu (19.5)",IF($AD$15&lt;$AC$15,"Teto/Firmeza: "&amp;$AC$15&amp;" casa(s) viram "&amp;$AD$15&amp;" (19.4)",IF($AU$15=1,"Avanço Total: age logo após o turno atual, 1 por Ciclo (19.5); use Casa manual se quiser fixar","")))))))</f>
        <v/>
      </c>
      <c r="CC106" s="19">
        <f>IF(ISERROR($C$106),"",IF(ISBLANK($C$106),"",$C$106))</f>
        <v/>
      </c>
      <c r="CD106" s="19">
        <f>IF(ISERROR($D$106),"",IF(ISBLANK($D$106),"",$D$106))</f>
        <v/>
      </c>
      <c r="CE106" s="19">
        <f>IF(ISERROR($E$106),"",IF(ISBLANK($E$106),"",$E$106))</f>
        <v/>
      </c>
      <c r="CF106" s="19">
        <f>IF(ISERROR($F$106),"",IF(ISBLANK($F$106),"",$F$106))</f>
        <v/>
      </c>
      <c r="CG106" s="19">
        <f>IF(ISERROR($G$106),"",IF(ISBLANK($G$106),"",$G$106))</f>
        <v/>
      </c>
      <c r="CH106" s="19">
        <f>IF(ISERROR($H$106),"",IF(ISBLANK($H$106),"",$H$106))</f>
        <v/>
      </c>
      <c r="CI106" s="19">
        <f>IF(ISERROR($I$106),"",IF(ISBLANK($I$106),"",$I$106))</f>
        <v/>
      </c>
      <c r="CK106" s="19">
        <f>ISERROR($C$106)*1+ISERROR($D$106)*1+ISERROR($E$106)*1+ISERROR($F$106)*1+ISERROR($G$106)*1+ISERROR($H$106)*1+ISERROR($I$106)*1</f>
        <v/>
      </c>
    </row>
    <row r="107" ht="37" customHeight="1">
      <c r="A107" s="33">
        <f>IF(LEN($N$16)&gt;0,$N$16,"6 · (vazio)")</f>
        <v/>
      </c>
      <c r="B107" s="29">
        <f>IF($P$16=1,$U$16,"")</f>
        <v/>
      </c>
      <c r="C107" s="34" t="n"/>
      <c r="D107" s="34" t="n"/>
      <c r="E107" s="34" t="n"/>
      <c r="F107" s="34" t="n"/>
      <c r="G107" s="42" t="n"/>
      <c r="H107" s="42" t="n"/>
      <c r="I107" s="34" t="n"/>
      <c r="J107" s="29">
        <f>IF($P$16=1,$AN$16,"")</f>
        <v/>
      </c>
      <c r="K107" s="26">
        <f>IF(CK107&gt;0,"O Google leu como fórmula: escolha de novo ou digite com ' na frente.",IF($P$16=0,"",IF(AND($AA$16=1,$O$16="Comum"),"Congelado: fora da Fila neste Ciclo; pendentes descartados (19.6)",IF(AND($AA$16=1,$AC$16&gt;0),"Congelado: o Atraso 2 já é o teto; nada mais soma (19.6)",IF(AND(ISNUMBER($CF$107),$CF$107&gt;0,$AF$16=1),"Avançar não vale em quem já agiu (19.5)",IF($AD$16&lt;$AC$16,"Teto/Firmeza: "&amp;$AC$16&amp;" casa(s) viram "&amp;$AD$16&amp;" (19.4)",IF($AU$16=1,"Avanço Total: age logo após o turno atual, 1 por Ciclo (19.5); use Casa manual se quiser fixar","")))))))</f>
        <v/>
      </c>
      <c r="CC107" s="19">
        <f>IF(ISERROR($C$107),"",IF(ISBLANK($C$107),"",$C$107))</f>
        <v/>
      </c>
      <c r="CD107" s="19">
        <f>IF(ISERROR($D$107),"",IF(ISBLANK($D$107),"",$D$107))</f>
        <v/>
      </c>
      <c r="CE107" s="19">
        <f>IF(ISERROR($E$107),"",IF(ISBLANK($E$107),"",$E$107))</f>
        <v/>
      </c>
      <c r="CF107" s="19">
        <f>IF(ISERROR($F$107),"",IF(ISBLANK($F$107),"",$F$107))</f>
        <v/>
      </c>
      <c r="CG107" s="19">
        <f>IF(ISERROR($G$107),"",IF(ISBLANK($G$107),"",$G$107))</f>
        <v/>
      </c>
      <c r="CH107" s="19">
        <f>IF(ISERROR($H$107),"",IF(ISBLANK($H$107),"",$H$107))</f>
        <v/>
      </c>
      <c r="CI107" s="19">
        <f>IF(ISERROR($I$107),"",IF(ISBLANK($I$107),"",$I$107))</f>
        <v/>
      </c>
      <c r="CK107" s="19">
        <f>ISERROR($C$107)*1+ISERROR($D$107)*1+ISERROR($E$107)*1+ISERROR($F$107)*1+ISERROR($G$107)*1+ISERROR($H$107)*1+ISERROR($I$107)*1</f>
        <v/>
      </c>
    </row>
    <row r="108" ht="37" customHeight="1">
      <c r="A108" s="32">
        <f>IF(LEN($N$17)&gt;0,$N$17,"7 · (vazio)")</f>
        <v/>
      </c>
      <c r="B108" s="17">
        <f>IF($P$17=1,$U$17,"")</f>
        <v/>
      </c>
      <c r="C108" s="17">
        <f>"—"</f>
        <v/>
      </c>
      <c r="D108" s="15" t="n"/>
      <c r="E108" s="15" t="n"/>
      <c r="F108" s="15" t="n"/>
      <c r="G108" s="36" t="n"/>
      <c r="H108" s="36" t="n"/>
      <c r="I108" s="15" t="n"/>
      <c r="J108" s="17">
        <f>IF($P$17=1,$AN$17,"")</f>
        <v/>
      </c>
      <c r="K108" s="18">
        <f>IF(CK108&gt;0,"O Google leu como fórmula: escolha de novo ou digite com ' na frente.",IF($P$17=0,"",IF(AND($AA$17=1,$O$17="Comum"),"Congelado: fora da Fila neste Ciclo; pendentes descartados (19.6)",IF(AND($AA$17=1,$AC$17&gt;0),"Congelado: o Atraso 2 já é o teto; nada mais soma (19.6)",IF(AND(ISNUMBER($CF$108),$CF$108&gt;0,$AF$17=1),"Avançar não vale em quem já agiu (19.5)",IF($AD$17&lt;$AC$17,"Teto/Firmeza: "&amp;$AC$17&amp;" casa(s) viram "&amp;$AD$17&amp;" (19.4)",IF($AU$17=1,"Avanço Total: age logo após o turno atual, 1 por Ciclo (19.5); use Casa manual se quiser fixar","")))))))</f>
        <v/>
      </c>
      <c r="CD108" s="19">
        <f>IF(ISERROR($D$108),"",IF(ISBLANK($D$108),"",$D$108))</f>
        <v/>
      </c>
      <c r="CE108" s="19">
        <f>IF(ISERROR($E$108),"",IF(ISBLANK($E$108),"",$E$108))</f>
        <v/>
      </c>
      <c r="CF108" s="19">
        <f>IF(ISERROR($F$108),"",IF(ISBLANK($F$108),"",$F$108))</f>
        <v/>
      </c>
      <c r="CG108" s="19">
        <f>IF(ISERROR($G$108),"",IF(ISBLANK($G$108),"",$G$108))</f>
        <v/>
      </c>
      <c r="CH108" s="19">
        <f>IF(ISERROR($H$108),"",IF(ISBLANK($H$108),"",$H$108))</f>
        <v/>
      </c>
      <c r="CI108" s="19">
        <f>IF(ISERROR($I$108),"",IF(ISBLANK($I$108),"",$I$108))</f>
        <v/>
      </c>
      <c r="CK108" s="19">
        <f>ISERROR($D$108)*1+ISERROR($E$108)*1+ISERROR($F$108)*1+ISERROR($G$108)*1+ISERROR($H$108)*1+ISERROR($I$108)*1</f>
        <v/>
      </c>
    </row>
    <row r="109" ht="37" customHeight="1">
      <c r="A109" s="33">
        <f>IF(LEN($N$18)&gt;0,$N$18,"8 · (vazio)")</f>
        <v/>
      </c>
      <c r="B109" s="29">
        <f>IF($P$18=1,$U$18,"")</f>
        <v/>
      </c>
      <c r="C109" s="29">
        <f>"—"</f>
        <v/>
      </c>
      <c r="D109" s="34" t="n"/>
      <c r="E109" s="34" t="n"/>
      <c r="F109" s="34" t="n"/>
      <c r="G109" s="42" t="n"/>
      <c r="H109" s="42" t="n"/>
      <c r="I109" s="34" t="n"/>
      <c r="J109" s="29">
        <f>IF($P$18=1,$AN$18,"")</f>
        <v/>
      </c>
      <c r="K109" s="26">
        <f>IF(CK109&gt;0,"O Google leu como fórmula: escolha de novo ou digite com ' na frente.",IF($P$18=0,"",IF(AND($AA$18=1,$O$18="Comum"),"Congelado: fora da Fila neste Ciclo; pendentes descartados (19.6)",IF(AND($AA$18=1,$AC$18&gt;0),"Congelado: o Atraso 2 já é o teto; nada mais soma (19.6)",IF(AND(ISNUMBER($CF$109),$CF$109&gt;0,$AF$18=1),"Avançar não vale em quem já agiu (19.5)",IF($AD$18&lt;$AC$18,"Teto/Firmeza: "&amp;$AC$18&amp;" casa(s) viram "&amp;$AD$18&amp;" (19.4)",IF($AU$18=1,"Avanço Total: age logo após o turno atual, 1 por Ciclo (19.5); use Casa manual se quiser fixar","")))))))</f>
        <v/>
      </c>
      <c r="CD109" s="19">
        <f>IF(ISERROR($D$109),"",IF(ISBLANK($D$109),"",$D$109))</f>
        <v/>
      </c>
      <c r="CE109" s="19">
        <f>IF(ISERROR($E$109),"",IF(ISBLANK($E$109),"",$E$109))</f>
        <v/>
      </c>
      <c r="CF109" s="19">
        <f>IF(ISERROR($F$109),"",IF(ISBLANK($F$109),"",$F$109))</f>
        <v/>
      </c>
      <c r="CG109" s="19">
        <f>IF(ISERROR($G$109),"",IF(ISBLANK($G$109),"",$G$109))</f>
        <v/>
      </c>
      <c r="CH109" s="19">
        <f>IF(ISERROR($H$109),"",IF(ISBLANK($H$109),"",$H$109))</f>
        <v/>
      </c>
      <c r="CI109" s="19">
        <f>IF(ISERROR($I$109),"",IF(ISBLANK($I$109),"",$I$109))</f>
        <v/>
      </c>
      <c r="CK109" s="19">
        <f>ISERROR($D$109)*1+ISERROR($E$109)*1+ISERROR($F$109)*1+ISERROR($G$109)*1+ISERROR($H$109)*1+ISERROR($I$109)*1</f>
        <v/>
      </c>
    </row>
    <row r="110" ht="37" customHeight="1">
      <c r="A110" s="32">
        <f>IF(LEN($N$19)&gt;0,$N$19,"9 · (vazio)")</f>
        <v/>
      </c>
      <c r="B110" s="17">
        <f>IF($P$19=1,$U$19,"")</f>
        <v/>
      </c>
      <c r="C110" s="17">
        <f>"—"</f>
        <v/>
      </c>
      <c r="D110" s="15" t="n"/>
      <c r="E110" s="15" t="n"/>
      <c r="F110" s="15" t="n"/>
      <c r="G110" s="36" t="n"/>
      <c r="H110" s="36" t="n"/>
      <c r="I110" s="15" t="n"/>
      <c r="J110" s="17">
        <f>IF($P$19=1,$AN$19,"")</f>
        <v/>
      </c>
      <c r="K110" s="18">
        <f>IF(CK110&gt;0,"O Google leu como fórmula: escolha de novo ou digite com ' na frente.",IF($P$19=0,"",IF(AND($AA$19=1,$O$19="Comum"),"Congelado: fora da Fila neste Ciclo; pendentes descartados (19.6)",IF(AND($AA$19=1,$AC$19&gt;0),"Congelado: o Atraso 2 já é o teto; nada mais soma (19.6)",IF(AND(ISNUMBER($CF$110),$CF$110&gt;0,$AF$19=1),"Avançar não vale em quem já agiu (19.5)",IF($AD$19&lt;$AC$19,"Teto/Firmeza: "&amp;$AC$19&amp;" casa(s) viram "&amp;$AD$19&amp;" (19.4)",IF($AU$19=1,"Avanço Total: age logo após o turno atual, 1 por Ciclo (19.5); use Casa manual se quiser fixar","")))))))</f>
        <v/>
      </c>
      <c r="CD110" s="19">
        <f>IF(ISERROR($D$110),"",IF(ISBLANK($D$110),"",$D$110))</f>
        <v/>
      </c>
      <c r="CE110" s="19">
        <f>IF(ISERROR($E$110),"",IF(ISBLANK($E$110),"",$E$110))</f>
        <v/>
      </c>
      <c r="CF110" s="19">
        <f>IF(ISERROR($F$110),"",IF(ISBLANK($F$110),"",$F$110))</f>
        <v/>
      </c>
      <c r="CG110" s="19">
        <f>IF(ISERROR($G$110),"",IF(ISBLANK($G$110),"",$G$110))</f>
        <v/>
      </c>
      <c r="CH110" s="19">
        <f>IF(ISERROR($H$110),"",IF(ISBLANK($H$110),"",$H$110))</f>
        <v/>
      </c>
      <c r="CI110" s="19">
        <f>IF(ISERROR($I$110),"",IF(ISBLANK($I$110),"",$I$110))</f>
        <v/>
      </c>
      <c r="CK110" s="19">
        <f>ISERROR($D$110)*1+ISERROR($E$110)*1+ISERROR($F$110)*1+ISERROR($G$110)*1+ISERROR($H$110)*1+ISERROR($I$110)*1</f>
        <v/>
      </c>
    </row>
    <row r="111" ht="37" customHeight="1">
      <c r="A111" s="33">
        <f>IF(LEN($N$20)&gt;0,$N$20,"10 · (vazio)")</f>
        <v/>
      </c>
      <c r="B111" s="29">
        <f>IF($P$20=1,$U$20,"")</f>
        <v/>
      </c>
      <c r="C111" s="29">
        <f>"—"</f>
        <v/>
      </c>
      <c r="D111" s="34" t="n"/>
      <c r="E111" s="34" t="n"/>
      <c r="F111" s="34" t="n"/>
      <c r="G111" s="42" t="n"/>
      <c r="H111" s="42" t="n"/>
      <c r="I111" s="34" t="n"/>
      <c r="J111" s="29">
        <f>IF($P$20=1,$AN$20,"")</f>
        <v/>
      </c>
      <c r="K111" s="26">
        <f>IF(CK111&gt;0,"O Google leu como fórmula: escolha de novo ou digite com ' na frente.",IF($P$20=0,"",IF(AND($AA$20=1,$O$20="Comum"),"Congelado: fora da Fila neste Ciclo; pendentes descartados (19.6)",IF(AND($AA$20=1,$AC$20&gt;0),"Congelado: o Atraso 2 já é o teto; nada mais soma (19.6)",IF(AND(ISNUMBER($CF$111),$CF$111&gt;0,$AF$20=1),"Avançar não vale em quem já agiu (19.5)",IF($AD$20&lt;$AC$20,"Teto/Firmeza: "&amp;$AC$20&amp;" casa(s) viram "&amp;$AD$20&amp;" (19.4)",IF($AU$20=1,"Avanço Total: age logo após o turno atual, 1 por Ciclo (19.5); use Casa manual se quiser fixar","")))))))</f>
        <v/>
      </c>
      <c r="CD111" s="19">
        <f>IF(ISERROR($D$111),"",IF(ISBLANK($D$111),"",$D$111))</f>
        <v/>
      </c>
      <c r="CE111" s="19">
        <f>IF(ISERROR($E$111),"",IF(ISBLANK($E$111),"",$E$111))</f>
        <v/>
      </c>
      <c r="CF111" s="19">
        <f>IF(ISERROR($F$111),"",IF(ISBLANK($F$111),"",$F$111))</f>
        <v/>
      </c>
      <c r="CG111" s="19">
        <f>IF(ISERROR($G$111),"",IF(ISBLANK($G$111),"",$G$111))</f>
        <v/>
      </c>
      <c r="CH111" s="19">
        <f>IF(ISERROR($H$111),"",IF(ISBLANK($H$111),"",$H$111))</f>
        <v/>
      </c>
      <c r="CI111" s="19">
        <f>IF(ISERROR($I$111),"",IF(ISBLANK($I$111),"",$I$111))</f>
        <v/>
      </c>
      <c r="CK111" s="19">
        <f>ISERROR($D$111)*1+ISERROR($E$111)*1+ISERROR($F$111)*1+ISERROR($G$111)*1+ISERROR($H$111)*1+ISERROR($I$111)*1</f>
        <v/>
      </c>
    </row>
    <row r="112" ht="48" customHeight="1">
      <c r="A112" s="7" t="inlineStr">
        <is>
          <t>Combatente</t>
        </is>
      </c>
      <c r="B112" s="7" t="inlineStr">
        <is>
          <t>VEL efetiva</t>
        </is>
      </c>
      <c r="C112" s="7" t="inlineStr">
        <is>
          <t>Ordem entre empatados (PJ, 1–5)</t>
        </is>
      </c>
      <c r="D112" s="7" t="inlineStr">
        <is>
          <t>Atraso deste Ciclo (casas)</t>
        </is>
      </c>
      <c r="E112" s="7" t="inlineStr">
        <is>
          <t>Atraso pendente do Ciclo anterior</t>
        </is>
      </c>
      <c r="F112" s="7" t="inlineStr">
        <is>
          <t>Avançar</t>
        </is>
      </c>
      <c r="G112" s="7" t="inlineStr">
        <is>
          <t>Avanço Total</t>
        </is>
      </c>
      <c r="H112" s="7" t="inlineStr">
        <is>
          <t>Já agiu?</t>
        </is>
      </c>
      <c r="I112" s="7" t="inlineStr">
        <is>
          <t>Casa manual</t>
        </is>
      </c>
      <c r="J112" s="7" t="inlineStr">
        <is>
          <t>Pendente para o Ciclo seguinte</t>
        </is>
      </c>
      <c r="K112" s="7" t="inlineStr">
        <is>
          <t>Aviso</t>
        </is>
      </c>
      <c r="L112" s="20" t="n"/>
    </row>
    <row r="113" ht="37" customHeight="1">
      <c r="A113" s="32">
        <f>IF(LEN($N$21)&gt;0,$N$21,"11 · (vazio)")</f>
        <v/>
      </c>
      <c r="B113" s="17">
        <f>IF($P$21=1,$U$21,"")</f>
        <v/>
      </c>
      <c r="C113" s="17">
        <f>"—"</f>
        <v/>
      </c>
      <c r="D113" s="15" t="n"/>
      <c r="E113" s="15" t="n"/>
      <c r="F113" s="15" t="n"/>
      <c r="G113" s="36" t="n"/>
      <c r="H113" s="36" t="n"/>
      <c r="I113" s="15" t="n"/>
      <c r="J113" s="17">
        <f>IF($P$21=1,$AN$21,"")</f>
        <v/>
      </c>
      <c r="K113" s="18">
        <f>IF(CK113&gt;0,"O Google leu como fórmula: escolha de novo ou digite com ' na frente.",IF($P$21=0,"",IF(AND($AA$21=1,$O$21="Comum"),"Congelado: fora da Fila neste Ciclo; pendentes descartados (19.6)",IF(AND($AA$21=1,$AC$21&gt;0),"Congelado: o Atraso 2 já é o teto; nada mais soma (19.6)",IF(AND(ISNUMBER($CF$113),$CF$113&gt;0,$AF$21=1),"Avançar não vale em quem já agiu (19.5)",IF($AD$21&lt;$AC$21,"Teto/Firmeza: "&amp;$AC$21&amp;" casa(s) viram "&amp;$AD$21&amp;" (19.4)",IF($AU$21=1,"Avanço Total: age logo após o turno atual, 1 por Ciclo (19.5); use Casa manual se quiser fixar","")))))))</f>
        <v/>
      </c>
      <c r="CD113" s="19">
        <f>IF(ISERROR($D$113),"",IF(ISBLANK($D$113),"",$D$113))</f>
        <v/>
      </c>
      <c r="CE113" s="19">
        <f>IF(ISERROR($E$113),"",IF(ISBLANK($E$113),"",$E$113))</f>
        <v/>
      </c>
      <c r="CF113" s="19">
        <f>IF(ISERROR($F$113),"",IF(ISBLANK($F$113),"",$F$113))</f>
        <v/>
      </c>
      <c r="CG113" s="19">
        <f>IF(ISERROR($G$113),"",IF(ISBLANK($G$113),"",$G$113))</f>
        <v/>
      </c>
      <c r="CH113" s="19">
        <f>IF(ISERROR($H$113),"",IF(ISBLANK($H$113),"",$H$113))</f>
        <v/>
      </c>
      <c r="CI113" s="19">
        <f>IF(ISERROR($I$113),"",IF(ISBLANK($I$113),"",$I$113))</f>
        <v/>
      </c>
      <c r="CK113" s="19">
        <f>ISERROR($D$113)*1+ISERROR($E$113)*1+ISERROR($F$113)*1+ISERROR($G$113)*1+ISERROR($H$113)*1+ISERROR($I$113)*1</f>
        <v/>
      </c>
    </row>
    <row r="114" ht="37" customHeight="1">
      <c r="A114" s="33">
        <f>IF(LEN($N$22)&gt;0,$N$22,"12 · (vazio)")</f>
        <v/>
      </c>
      <c r="B114" s="29">
        <f>IF($P$22=1,$U$22,"")</f>
        <v/>
      </c>
      <c r="C114" s="29">
        <f>"—"</f>
        <v/>
      </c>
      <c r="D114" s="34" t="n"/>
      <c r="E114" s="34" t="n"/>
      <c r="F114" s="34" t="n"/>
      <c r="G114" s="42" t="n"/>
      <c r="H114" s="42" t="n"/>
      <c r="I114" s="34" t="n"/>
      <c r="J114" s="29">
        <f>IF($P$22=1,$AN$22,"")</f>
        <v/>
      </c>
      <c r="K114" s="26">
        <f>IF(CK114&gt;0,"O Google leu como fórmula: escolha de novo ou digite com ' na frente.",IF($P$22=0,"",IF(AND($AA$22=1,$O$22="Comum"),"Congelado: fora da Fila neste Ciclo; pendentes descartados (19.6)",IF(AND($AA$22=1,$AC$22&gt;0),"Congelado: o Atraso 2 já é o teto; nada mais soma (19.6)",IF(AND(ISNUMBER($CF$114),$CF$114&gt;0,$AF$22=1),"Avançar não vale em quem já agiu (19.5)",IF($AD$22&lt;$AC$22,"Teto/Firmeza: "&amp;$AC$22&amp;" casa(s) viram "&amp;$AD$22&amp;" (19.4)",IF($AU$22=1,"Avanço Total: age logo após o turno atual, 1 por Ciclo (19.5); use Casa manual se quiser fixar","")))))))</f>
        <v/>
      </c>
      <c r="CD114" s="19">
        <f>IF(ISERROR($D$114),"",IF(ISBLANK($D$114),"",$D$114))</f>
        <v/>
      </c>
      <c r="CE114" s="19">
        <f>IF(ISERROR($E$114),"",IF(ISBLANK($E$114),"",$E$114))</f>
        <v/>
      </c>
      <c r="CF114" s="19">
        <f>IF(ISERROR($F$114),"",IF(ISBLANK($F$114),"",$F$114))</f>
        <v/>
      </c>
      <c r="CG114" s="19">
        <f>IF(ISERROR($G$114),"",IF(ISBLANK($G$114),"",$G$114))</f>
        <v/>
      </c>
      <c r="CH114" s="19">
        <f>IF(ISERROR($H$114),"",IF(ISBLANK($H$114),"",$H$114))</f>
        <v/>
      </c>
      <c r="CI114" s="19">
        <f>IF(ISERROR($I$114),"",IF(ISBLANK($I$114),"",$I$114))</f>
        <v/>
      </c>
      <c r="CK114" s="19">
        <f>ISERROR($D$114)*1+ISERROR($E$114)*1+ISERROR($F$114)*1+ISERROR($G$114)*1+ISERROR($H$114)*1+ISERROR($I$114)*1</f>
        <v/>
      </c>
    </row>
    <row r="115" ht="37" customHeight="1">
      <c r="A115" s="32">
        <f>IF(LEN($N$23)&gt;0,$N$23,"13 · (vazio)")</f>
        <v/>
      </c>
      <c r="B115" s="17">
        <f>IF($P$23=1,$U$23,"")</f>
        <v/>
      </c>
      <c r="C115" s="17">
        <f>"—"</f>
        <v/>
      </c>
      <c r="D115" s="15" t="n"/>
      <c r="E115" s="15" t="n"/>
      <c r="F115" s="15" t="n"/>
      <c r="G115" s="36" t="n"/>
      <c r="H115" s="36" t="n"/>
      <c r="I115" s="15" t="n"/>
      <c r="J115" s="17">
        <f>IF($P$23=1,$AN$23,"")</f>
        <v/>
      </c>
      <c r="K115" s="18">
        <f>IF(CK115&gt;0,"O Google leu como fórmula: escolha de novo ou digite com ' na frente.",IF($P$23=0,"",IF(AND($AA$23=1,$O$23="Comum"),"Congelado: fora da Fila neste Ciclo; pendentes descartados (19.6)",IF(AND($AA$23=1,$AC$23&gt;0),"Congelado: o Atraso 2 já é o teto; nada mais soma (19.6)",IF(AND(ISNUMBER($CF$115),$CF$115&gt;0,$AF$23=1),"Avançar não vale em quem já agiu (19.5)",IF($AD$23&lt;$AC$23,"Teto/Firmeza: "&amp;$AC$23&amp;" casa(s) viram "&amp;$AD$23&amp;" (19.4)",IF($AU$23=1,"Avanço Total: age logo após o turno atual, 1 por Ciclo (19.5); use Casa manual se quiser fixar","")))))))</f>
        <v/>
      </c>
      <c r="CD115" s="19">
        <f>IF(ISERROR($D$115),"",IF(ISBLANK($D$115),"",$D$115))</f>
        <v/>
      </c>
      <c r="CE115" s="19">
        <f>IF(ISERROR($E$115),"",IF(ISBLANK($E$115),"",$E$115))</f>
        <v/>
      </c>
      <c r="CF115" s="19">
        <f>IF(ISERROR($F$115),"",IF(ISBLANK($F$115),"",$F$115))</f>
        <v/>
      </c>
      <c r="CG115" s="19">
        <f>IF(ISERROR($G$115),"",IF(ISBLANK($G$115),"",$G$115))</f>
        <v/>
      </c>
      <c r="CH115" s="19">
        <f>IF(ISERROR($H$115),"",IF(ISBLANK($H$115),"",$H$115))</f>
        <v/>
      </c>
      <c r="CI115" s="19">
        <f>IF(ISERROR($I$115),"",IF(ISBLANK($I$115),"",$I$115))</f>
        <v/>
      </c>
      <c r="CK115" s="19">
        <f>ISERROR($D$115)*1+ISERROR($E$115)*1+ISERROR($F$115)*1+ISERROR($G$115)*1+ISERROR($H$115)*1+ISERROR($I$115)*1</f>
        <v/>
      </c>
    </row>
    <row r="116" ht="37" customHeight="1">
      <c r="A116" s="33">
        <f>IF(LEN($N$24)&gt;0,$N$24,"14 · (vazio)")</f>
        <v/>
      </c>
      <c r="B116" s="29">
        <f>IF($P$24=1,$U$24,"")</f>
        <v/>
      </c>
      <c r="C116" s="29">
        <f>"—"</f>
        <v/>
      </c>
      <c r="D116" s="34" t="n"/>
      <c r="E116" s="34" t="n"/>
      <c r="F116" s="34" t="n"/>
      <c r="G116" s="42" t="n"/>
      <c r="H116" s="42" t="n"/>
      <c r="I116" s="34" t="n"/>
      <c r="J116" s="29">
        <f>IF($P$24=1,$AN$24,"")</f>
        <v/>
      </c>
      <c r="K116" s="26">
        <f>IF(CK116&gt;0,"O Google leu como fórmula: escolha de novo ou digite com ' na frente.",IF($P$24=0,"",IF(AND($AA$24=1,$O$24="Comum"),"Congelado: fora da Fila neste Ciclo; pendentes descartados (19.6)",IF(AND($AA$24=1,$AC$24&gt;0),"Congelado: o Atraso 2 já é o teto; nada mais soma (19.6)",IF(AND(ISNUMBER($CF$116),$CF$116&gt;0,$AF$24=1),"Avançar não vale em quem já agiu (19.5)",IF($AD$24&lt;$AC$24,"Teto/Firmeza: "&amp;$AC$24&amp;" casa(s) viram "&amp;$AD$24&amp;" (19.4)",IF($AU$24=1,"Avanço Total: age logo após o turno atual, 1 por Ciclo (19.5); use Casa manual se quiser fixar","")))))))</f>
        <v/>
      </c>
      <c r="CD116" s="19">
        <f>IF(ISERROR($D$116),"",IF(ISBLANK($D$116),"",$D$116))</f>
        <v/>
      </c>
      <c r="CE116" s="19">
        <f>IF(ISERROR($E$116),"",IF(ISBLANK($E$116),"",$E$116))</f>
        <v/>
      </c>
      <c r="CF116" s="19">
        <f>IF(ISERROR($F$116),"",IF(ISBLANK($F$116),"",$F$116))</f>
        <v/>
      </c>
      <c r="CG116" s="19">
        <f>IF(ISERROR($G$116),"",IF(ISBLANK($G$116),"",$G$116))</f>
        <v/>
      </c>
      <c r="CH116" s="19">
        <f>IF(ISERROR($H$116),"",IF(ISBLANK($H$116),"",$H$116))</f>
        <v/>
      </c>
      <c r="CI116" s="19">
        <f>IF(ISERROR($I$116),"",IF(ISBLANK($I$116),"",$I$116))</f>
        <v/>
      </c>
      <c r="CK116" s="19">
        <f>ISERROR($D$116)*1+ISERROR($E$116)*1+ISERROR($F$116)*1+ISERROR($G$116)*1+ISERROR($H$116)*1+ISERROR($I$116)*1</f>
        <v/>
      </c>
    </row>
    <row r="117" ht="37" customHeight="1">
      <c r="A117" s="32">
        <f>IF(LEN($N$25)&gt;0,$N$25,"15 · (vazio)")</f>
        <v/>
      </c>
      <c r="B117" s="17">
        <f>IF($P$25=1,$U$25,"")</f>
        <v/>
      </c>
      <c r="C117" s="17">
        <f>"—"</f>
        <v/>
      </c>
      <c r="D117" s="15" t="n"/>
      <c r="E117" s="15" t="n"/>
      <c r="F117" s="15" t="n"/>
      <c r="G117" s="36" t="n"/>
      <c r="H117" s="36" t="n"/>
      <c r="I117" s="15" t="n"/>
      <c r="J117" s="17">
        <f>IF($P$25=1,$AN$25,"")</f>
        <v/>
      </c>
      <c r="K117" s="18">
        <f>IF(CK117&gt;0,"O Google leu como fórmula: escolha de novo ou digite com ' na frente.",IF($P$25=0,"",IF(AND($AA$25=1,$O$25="Comum"),"Congelado: fora da Fila neste Ciclo; pendentes descartados (19.6)",IF(AND($AA$25=1,$AC$25&gt;0),"Congelado: o Atraso 2 já é o teto; nada mais soma (19.6)",IF(AND(ISNUMBER($CF$117),$CF$117&gt;0,$AF$25=1),"Avançar não vale em quem já agiu (19.5)",IF($AD$25&lt;$AC$25,"Teto/Firmeza: "&amp;$AC$25&amp;" casa(s) viram "&amp;$AD$25&amp;" (19.4)",IF($AU$25=1,"Avanço Total: age logo após o turno atual, 1 por Ciclo (19.5); use Casa manual se quiser fixar","")))))))</f>
        <v/>
      </c>
      <c r="CD117" s="19">
        <f>IF(ISERROR($D$117),"",IF(ISBLANK($D$117),"",$D$117))</f>
        <v/>
      </c>
      <c r="CE117" s="19">
        <f>IF(ISERROR($E$117),"",IF(ISBLANK($E$117),"",$E$117))</f>
        <v/>
      </c>
      <c r="CF117" s="19">
        <f>IF(ISERROR($F$117),"",IF(ISBLANK($F$117),"",$F$117))</f>
        <v/>
      </c>
      <c r="CG117" s="19">
        <f>IF(ISERROR($G$117),"",IF(ISBLANK($G$117),"",$G$117))</f>
        <v/>
      </c>
      <c r="CH117" s="19">
        <f>IF(ISERROR($H$117),"",IF(ISBLANK($H$117),"",$H$117))</f>
        <v/>
      </c>
      <c r="CI117" s="19">
        <f>IF(ISERROR($I$117),"",IF(ISBLANK($I$117),"",$I$117))</f>
        <v/>
      </c>
      <c r="CK117" s="19">
        <f>ISERROR($D$117)*1+ISERROR($E$117)*1+ISERROR($F$117)*1+ISERROR($G$117)*1+ISERROR($H$117)*1+ISERROR($I$117)*1</f>
        <v/>
      </c>
    </row>
    <row r="118" ht="37" customHeight="1">
      <c r="A118" s="33">
        <f>IF(LEN($N$26)&gt;0,$N$26,"16 · (vazio)")</f>
        <v/>
      </c>
      <c r="B118" s="29">
        <f>IF($P$26=1,$U$26,"")</f>
        <v/>
      </c>
      <c r="C118" s="29">
        <f>"—"</f>
        <v/>
      </c>
      <c r="D118" s="34" t="n"/>
      <c r="E118" s="34" t="n"/>
      <c r="F118" s="34" t="n"/>
      <c r="G118" s="42" t="n"/>
      <c r="H118" s="42" t="n"/>
      <c r="I118" s="34" t="n"/>
      <c r="J118" s="29">
        <f>IF($P$26=1,$AN$26,"")</f>
        <v/>
      </c>
      <c r="K118" s="26">
        <f>IF(CK118&gt;0,"O Google leu como fórmula: escolha de novo ou digite com ' na frente.",IF($P$26=0,"",IF(AND($AA$26=1,$O$26="Comum"),"Congelado: fora da Fila neste Ciclo; pendentes descartados (19.6)",IF(AND($AA$26=1,$AC$26&gt;0),"Congelado: o Atraso 2 já é o teto; nada mais soma (19.6)",IF(AND(ISNUMBER($CF$118),$CF$118&gt;0,$AF$26=1),"Avançar não vale em quem já agiu (19.5)",IF($AD$26&lt;$AC$26,"Teto/Firmeza: "&amp;$AC$26&amp;" casa(s) viram "&amp;$AD$26&amp;" (19.4)",IF($AU$26=1,"Avanço Total: age logo após o turno atual, 1 por Ciclo (19.5); use Casa manual se quiser fixar","")))))))</f>
        <v/>
      </c>
      <c r="CD118" s="19">
        <f>IF(ISERROR($D$118),"",IF(ISBLANK($D$118),"",$D$118))</f>
        <v/>
      </c>
      <c r="CE118" s="19">
        <f>IF(ISERROR($E$118),"",IF(ISBLANK($E$118),"",$E$118))</f>
        <v/>
      </c>
      <c r="CF118" s="19">
        <f>IF(ISERROR($F$118),"",IF(ISBLANK($F$118),"",$F$118))</f>
        <v/>
      </c>
      <c r="CG118" s="19">
        <f>IF(ISERROR($G$118),"",IF(ISBLANK($G$118),"",$G$118))</f>
        <v/>
      </c>
      <c r="CH118" s="19">
        <f>IF(ISERROR($H$118),"",IF(ISBLANK($H$118),"",$H$118))</f>
        <v/>
      </c>
      <c r="CI118" s="19">
        <f>IF(ISERROR($I$118),"",IF(ISBLANK($I$118),"",$I$118))</f>
        <v/>
      </c>
      <c r="CK118" s="19">
        <f>ISERROR($D$118)*1+ISERROR($E$118)*1+ISERROR($F$118)*1+ISERROR($G$118)*1+ISERROR($H$118)*1+ISERROR($I$118)*1</f>
        <v/>
      </c>
    </row>
    <row r="119"/>
    <row r="120" ht="20" customHeight="1">
      <c r="A120" s="12" t="inlineStr">
        <is>
          <t>C9 · Fila do Ciclo atual (à esquerda) e Fila prevista do Ciclo seguinte (à direita)</t>
        </is>
      </c>
    </row>
    <row r="121" ht="26" customHeight="1">
      <c r="A121" s="7" t="inlineStr">
        <is>
          <t>Casa</t>
        </is>
      </c>
      <c r="B121" s="7" t="inlineStr">
        <is>
          <t>Combatente</t>
        </is>
      </c>
      <c r="C121" s="20" t="n"/>
      <c r="D121" s="7" t="inlineStr">
        <is>
          <t>VEL</t>
        </is>
      </c>
      <c r="E121" s="7" t="inlineStr">
        <is>
          <t>Situação</t>
        </is>
      </c>
      <c r="F121" s="7" t="inlineStr">
        <is>
          <t>Ciclo seguinte: combatente</t>
        </is>
      </c>
      <c r="G121" s="20" t="n"/>
      <c r="H121" s="20" t="n"/>
      <c r="I121" s="7" t="inlineStr">
        <is>
          <t>VEL</t>
        </is>
      </c>
      <c r="J121" s="7" t="inlineStr">
        <is>
          <t>Pendente aplicado</t>
        </is>
      </c>
    </row>
    <row r="122" ht="26" customHeight="1">
      <c r="A122" s="44">
        <f>IF($N$122="","",1)</f>
        <v/>
      </c>
      <c r="B122" s="4">
        <f>IF($N$122="","",INDEX($N$11:$N$26,$N$122))</f>
        <v/>
      </c>
      <c r="D122" s="17">
        <f>IF($N$122="","",INDEX($U$11:$U$26,$N$122))</f>
        <v/>
      </c>
      <c r="E122" s="4">
        <f>IF($N$122="","",IF(INDEX($AB$11:$AB$26,$N$122)=1,"Surpreso: casa pulada",IF(INDEX($AF$11:$AF$26,$N$122)=1,"Já agiu",IF(AND($O$122=1,$P$122=1),"Agindo agora",""))))</f>
        <v/>
      </c>
      <c r="F122" s="4">
        <f>IF($Q$122="","",INDEX($N$11:$N$26,$Q$122))</f>
        <v/>
      </c>
      <c r="I122" s="17">
        <f>IF($Q$122="","",INDEX($U$11:$U$26,$Q$122))</f>
        <v/>
      </c>
      <c r="J122" s="17">
        <f>IF($Q$122="","",INDEX($AN$11:$AN$26,$Q$122))</f>
        <v/>
      </c>
      <c r="N122" s="19">
        <f>IF(1&gt;$J$7,"",MATCH(SMALL($AM$11:$AM$26,1),$AM$11:$AM$26,0))</f>
        <v/>
      </c>
      <c r="O122" s="19">
        <f>IF($N$122="",0,INDEX($AT$11:$AT$26,$N$122))</f>
        <v/>
      </c>
      <c r="P122" s="19">
        <f>0+$O$122</f>
        <v/>
      </c>
      <c r="Q122" s="19">
        <f>IF(1&gt;SUM($S$11:$S$26),"",MATCH(SMALL($AP$11:$AP$26,1),$AP$11:$AP$26,0))</f>
        <v/>
      </c>
    </row>
    <row r="123" ht="26" customHeight="1">
      <c r="A123" s="45">
        <f>IF($N$123="","",2)</f>
        <v/>
      </c>
      <c r="B123" s="9">
        <f>IF($N$123="","",INDEX($N$11:$N$26,$N$123))</f>
        <v/>
      </c>
      <c r="D123" s="29">
        <f>IF($N$123="","",INDEX($U$11:$U$26,$N$123))</f>
        <v/>
      </c>
      <c r="E123" s="9">
        <f>IF($N$123="","",IF(INDEX($AB$11:$AB$26,$N$123)=1,"Surpreso: casa pulada",IF(INDEX($AF$11:$AF$26,$N$123)=1,"Já agiu",IF(AND($O$123=1,$P$123=1),"Agindo agora",""))))</f>
        <v/>
      </c>
      <c r="F123" s="9">
        <f>IF($Q$123="","",INDEX($N$11:$N$26,$Q$123))</f>
        <v/>
      </c>
      <c r="I123" s="29">
        <f>IF($Q$123="","",INDEX($U$11:$U$26,$Q$123))</f>
        <v/>
      </c>
      <c r="J123" s="29">
        <f>IF($Q$123="","",INDEX($AN$11:$AN$26,$Q$123))</f>
        <v/>
      </c>
      <c r="N123" s="19">
        <f>IF(2&gt;$J$7,"",MATCH(SMALL($AM$11:$AM$26,2),$AM$11:$AM$26,0))</f>
        <v/>
      </c>
      <c r="O123" s="19">
        <f>IF($N$123="",0,INDEX($AT$11:$AT$26,$N$123))</f>
        <v/>
      </c>
      <c r="P123" s="19">
        <f>$P$122+$O$123</f>
        <v/>
      </c>
      <c r="Q123" s="19">
        <f>IF(2&gt;SUM($S$11:$S$26),"",MATCH(SMALL($AP$11:$AP$26,2),$AP$11:$AP$26,0))</f>
        <v/>
      </c>
    </row>
    <row r="124" ht="26" customHeight="1">
      <c r="A124" s="44">
        <f>IF($N$124="","",3)</f>
        <v/>
      </c>
      <c r="B124" s="4">
        <f>IF($N$124="","",INDEX($N$11:$N$26,$N$124))</f>
        <v/>
      </c>
      <c r="D124" s="17">
        <f>IF($N$124="","",INDEX($U$11:$U$26,$N$124))</f>
        <v/>
      </c>
      <c r="E124" s="4">
        <f>IF($N$124="","",IF(INDEX($AB$11:$AB$26,$N$124)=1,"Surpreso: casa pulada",IF(INDEX($AF$11:$AF$26,$N$124)=1,"Já agiu",IF(AND($O$124=1,$P$124=1),"Agindo agora",""))))</f>
        <v/>
      </c>
      <c r="F124" s="4">
        <f>IF($Q$124="","",INDEX($N$11:$N$26,$Q$124))</f>
        <v/>
      </c>
      <c r="I124" s="17">
        <f>IF($Q$124="","",INDEX($U$11:$U$26,$Q$124))</f>
        <v/>
      </c>
      <c r="J124" s="17">
        <f>IF($Q$124="","",INDEX($AN$11:$AN$26,$Q$124))</f>
        <v/>
      </c>
      <c r="N124" s="19">
        <f>IF(3&gt;$J$7,"",MATCH(SMALL($AM$11:$AM$26,3),$AM$11:$AM$26,0))</f>
        <v/>
      </c>
      <c r="O124" s="19">
        <f>IF($N$124="",0,INDEX($AT$11:$AT$26,$N$124))</f>
        <v/>
      </c>
      <c r="P124" s="19">
        <f>$P$123+$O$124</f>
        <v/>
      </c>
      <c r="Q124" s="19">
        <f>IF(3&gt;SUM($S$11:$S$26),"",MATCH(SMALL($AP$11:$AP$26,3),$AP$11:$AP$26,0))</f>
        <v/>
      </c>
    </row>
    <row r="125" ht="26" customHeight="1">
      <c r="A125" s="45">
        <f>IF($N$125="","",4)</f>
        <v/>
      </c>
      <c r="B125" s="9">
        <f>IF($N$125="","",INDEX($N$11:$N$26,$N$125))</f>
        <v/>
      </c>
      <c r="D125" s="29">
        <f>IF($N$125="","",INDEX($U$11:$U$26,$N$125))</f>
        <v/>
      </c>
      <c r="E125" s="9">
        <f>IF($N$125="","",IF(INDEX($AB$11:$AB$26,$N$125)=1,"Surpreso: casa pulada",IF(INDEX($AF$11:$AF$26,$N$125)=1,"Já agiu",IF(AND($O$125=1,$P$125=1),"Agindo agora",""))))</f>
        <v/>
      </c>
      <c r="F125" s="9">
        <f>IF($Q$125="","",INDEX($N$11:$N$26,$Q$125))</f>
        <v/>
      </c>
      <c r="I125" s="29">
        <f>IF($Q$125="","",INDEX($U$11:$U$26,$Q$125))</f>
        <v/>
      </c>
      <c r="J125" s="29">
        <f>IF($Q$125="","",INDEX($AN$11:$AN$26,$Q$125))</f>
        <v/>
      </c>
      <c r="N125" s="19">
        <f>IF(4&gt;$J$7,"",MATCH(SMALL($AM$11:$AM$26,4),$AM$11:$AM$26,0))</f>
        <v/>
      </c>
      <c r="O125" s="19">
        <f>IF($N$125="",0,INDEX($AT$11:$AT$26,$N$125))</f>
        <v/>
      </c>
      <c r="P125" s="19">
        <f>$P$124+$O$125</f>
        <v/>
      </c>
      <c r="Q125" s="19">
        <f>IF(4&gt;SUM($S$11:$S$26),"",MATCH(SMALL($AP$11:$AP$26,4),$AP$11:$AP$26,0))</f>
        <v/>
      </c>
    </row>
    <row r="126" ht="26" customHeight="1">
      <c r="A126" s="44">
        <f>IF($N$126="","",5)</f>
        <v/>
      </c>
      <c r="B126" s="4">
        <f>IF($N$126="","",INDEX($N$11:$N$26,$N$126))</f>
        <v/>
      </c>
      <c r="D126" s="17">
        <f>IF($N$126="","",INDEX($U$11:$U$26,$N$126))</f>
        <v/>
      </c>
      <c r="E126" s="4">
        <f>IF($N$126="","",IF(INDEX($AB$11:$AB$26,$N$126)=1,"Surpreso: casa pulada",IF(INDEX($AF$11:$AF$26,$N$126)=1,"Já agiu",IF(AND($O$126=1,$P$126=1),"Agindo agora",""))))</f>
        <v/>
      </c>
      <c r="F126" s="4">
        <f>IF($Q$126="","",INDEX($N$11:$N$26,$Q$126))</f>
        <v/>
      </c>
      <c r="I126" s="17">
        <f>IF($Q$126="","",INDEX($U$11:$U$26,$Q$126))</f>
        <v/>
      </c>
      <c r="J126" s="17">
        <f>IF($Q$126="","",INDEX($AN$11:$AN$26,$Q$126))</f>
        <v/>
      </c>
      <c r="N126" s="19">
        <f>IF(5&gt;$J$7,"",MATCH(SMALL($AM$11:$AM$26,5),$AM$11:$AM$26,0))</f>
        <v/>
      </c>
      <c r="O126" s="19">
        <f>IF($N$126="",0,INDEX($AT$11:$AT$26,$N$126))</f>
        <v/>
      </c>
      <c r="P126" s="19">
        <f>$P$125+$O$126</f>
        <v/>
      </c>
      <c r="Q126" s="19">
        <f>IF(5&gt;SUM($S$11:$S$26),"",MATCH(SMALL($AP$11:$AP$26,5),$AP$11:$AP$26,0))</f>
        <v/>
      </c>
    </row>
    <row r="127" ht="26" customHeight="1">
      <c r="A127" s="45">
        <f>IF($N$127="","",6)</f>
        <v/>
      </c>
      <c r="B127" s="9">
        <f>IF($N$127="","",INDEX($N$11:$N$26,$N$127))</f>
        <v/>
      </c>
      <c r="D127" s="29">
        <f>IF($N$127="","",INDEX($U$11:$U$26,$N$127))</f>
        <v/>
      </c>
      <c r="E127" s="9">
        <f>IF($N$127="","",IF(INDEX($AB$11:$AB$26,$N$127)=1,"Surpreso: casa pulada",IF(INDEX($AF$11:$AF$26,$N$127)=1,"Já agiu",IF(AND($O$127=1,$P$127=1),"Agindo agora",""))))</f>
        <v/>
      </c>
      <c r="F127" s="9">
        <f>IF($Q$127="","",INDEX($N$11:$N$26,$Q$127))</f>
        <v/>
      </c>
      <c r="I127" s="29">
        <f>IF($Q$127="","",INDEX($U$11:$U$26,$Q$127))</f>
        <v/>
      </c>
      <c r="J127" s="29">
        <f>IF($Q$127="","",INDEX($AN$11:$AN$26,$Q$127))</f>
        <v/>
      </c>
      <c r="N127" s="19">
        <f>IF(6&gt;$J$7,"",MATCH(SMALL($AM$11:$AM$26,6),$AM$11:$AM$26,0))</f>
        <v/>
      </c>
      <c r="O127" s="19">
        <f>IF($N$127="",0,INDEX($AT$11:$AT$26,$N$127))</f>
        <v/>
      </c>
      <c r="P127" s="19">
        <f>$P$126+$O$127</f>
        <v/>
      </c>
      <c r="Q127" s="19">
        <f>IF(6&gt;SUM($S$11:$S$26),"",MATCH(SMALL($AP$11:$AP$26,6),$AP$11:$AP$26,0))</f>
        <v/>
      </c>
    </row>
    <row r="128" ht="26" customHeight="1">
      <c r="A128" s="44">
        <f>IF($N$128="","",7)</f>
        <v/>
      </c>
      <c r="B128" s="4">
        <f>IF($N$128="","",INDEX($N$11:$N$26,$N$128))</f>
        <v/>
      </c>
      <c r="D128" s="17">
        <f>IF($N$128="","",INDEX($U$11:$U$26,$N$128))</f>
        <v/>
      </c>
      <c r="E128" s="4">
        <f>IF($N$128="","",IF(INDEX($AB$11:$AB$26,$N$128)=1,"Surpreso: casa pulada",IF(INDEX($AF$11:$AF$26,$N$128)=1,"Já agiu",IF(AND($O$128=1,$P$128=1),"Agindo agora",""))))</f>
        <v/>
      </c>
      <c r="F128" s="4">
        <f>IF($Q$128="","",INDEX($N$11:$N$26,$Q$128))</f>
        <v/>
      </c>
      <c r="I128" s="17">
        <f>IF($Q$128="","",INDEX($U$11:$U$26,$Q$128))</f>
        <v/>
      </c>
      <c r="J128" s="17">
        <f>IF($Q$128="","",INDEX($AN$11:$AN$26,$Q$128))</f>
        <v/>
      </c>
      <c r="N128" s="19">
        <f>IF(7&gt;$J$7,"",MATCH(SMALL($AM$11:$AM$26,7),$AM$11:$AM$26,0))</f>
        <v/>
      </c>
      <c r="O128" s="19">
        <f>IF($N$128="",0,INDEX($AT$11:$AT$26,$N$128))</f>
        <v/>
      </c>
      <c r="P128" s="19">
        <f>$P$127+$O$128</f>
        <v/>
      </c>
      <c r="Q128" s="19">
        <f>IF(7&gt;SUM($S$11:$S$26),"",MATCH(SMALL($AP$11:$AP$26,7),$AP$11:$AP$26,0))</f>
        <v/>
      </c>
    </row>
    <row r="129" ht="26" customHeight="1">
      <c r="A129" s="45">
        <f>IF($N$129="","",8)</f>
        <v/>
      </c>
      <c r="B129" s="9">
        <f>IF($N$129="","",INDEX($N$11:$N$26,$N$129))</f>
        <v/>
      </c>
      <c r="D129" s="29">
        <f>IF($N$129="","",INDEX($U$11:$U$26,$N$129))</f>
        <v/>
      </c>
      <c r="E129" s="9">
        <f>IF($N$129="","",IF(INDEX($AB$11:$AB$26,$N$129)=1,"Surpreso: casa pulada",IF(INDEX($AF$11:$AF$26,$N$129)=1,"Já agiu",IF(AND($O$129=1,$P$129=1),"Agindo agora",""))))</f>
        <v/>
      </c>
      <c r="F129" s="9">
        <f>IF($Q$129="","",INDEX($N$11:$N$26,$Q$129))</f>
        <v/>
      </c>
      <c r="I129" s="29">
        <f>IF($Q$129="","",INDEX($U$11:$U$26,$Q$129))</f>
        <v/>
      </c>
      <c r="J129" s="29">
        <f>IF($Q$129="","",INDEX($AN$11:$AN$26,$Q$129))</f>
        <v/>
      </c>
      <c r="N129" s="19">
        <f>IF(8&gt;$J$7,"",MATCH(SMALL($AM$11:$AM$26,8),$AM$11:$AM$26,0))</f>
        <v/>
      </c>
      <c r="O129" s="19">
        <f>IF($N$129="",0,INDEX($AT$11:$AT$26,$N$129))</f>
        <v/>
      </c>
      <c r="P129" s="19">
        <f>$P$128+$O$129</f>
        <v/>
      </c>
      <c r="Q129" s="19">
        <f>IF(8&gt;SUM($S$11:$S$26),"",MATCH(SMALL($AP$11:$AP$26,8),$AP$11:$AP$26,0))</f>
        <v/>
      </c>
    </row>
    <row r="130" ht="26" customHeight="1">
      <c r="A130" s="44">
        <f>IF($N$130="","",9)</f>
        <v/>
      </c>
      <c r="B130" s="4">
        <f>IF($N$130="","",INDEX($N$11:$N$26,$N$130))</f>
        <v/>
      </c>
      <c r="D130" s="17">
        <f>IF($N$130="","",INDEX($U$11:$U$26,$N$130))</f>
        <v/>
      </c>
      <c r="E130" s="4">
        <f>IF($N$130="","",IF(INDEX($AB$11:$AB$26,$N$130)=1,"Surpreso: casa pulada",IF(INDEX($AF$11:$AF$26,$N$130)=1,"Já agiu",IF(AND($O$130=1,$P$130=1),"Agindo agora",""))))</f>
        <v/>
      </c>
      <c r="F130" s="4">
        <f>IF($Q$130="","",INDEX($N$11:$N$26,$Q$130))</f>
        <v/>
      </c>
      <c r="I130" s="17">
        <f>IF($Q$130="","",INDEX($U$11:$U$26,$Q$130))</f>
        <v/>
      </c>
      <c r="J130" s="17">
        <f>IF($Q$130="","",INDEX($AN$11:$AN$26,$Q$130))</f>
        <v/>
      </c>
      <c r="N130" s="19">
        <f>IF(9&gt;$J$7,"",MATCH(SMALL($AM$11:$AM$26,9),$AM$11:$AM$26,0))</f>
        <v/>
      </c>
      <c r="O130" s="19">
        <f>IF($N$130="",0,INDEX($AT$11:$AT$26,$N$130))</f>
        <v/>
      </c>
      <c r="P130" s="19">
        <f>$P$129+$O$130</f>
        <v/>
      </c>
      <c r="Q130" s="19">
        <f>IF(9&gt;SUM($S$11:$S$26),"",MATCH(SMALL($AP$11:$AP$26,9),$AP$11:$AP$26,0))</f>
        <v/>
      </c>
    </row>
    <row r="131" ht="26" customHeight="1">
      <c r="A131" s="45">
        <f>IF($N$131="","",10)</f>
        <v/>
      </c>
      <c r="B131" s="9">
        <f>IF($N$131="","",INDEX($N$11:$N$26,$N$131))</f>
        <v/>
      </c>
      <c r="D131" s="29">
        <f>IF($N$131="","",INDEX($U$11:$U$26,$N$131))</f>
        <v/>
      </c>
      <c r="E131" s="9">
        <f>IF($N$131="","",IF(INDEX($AB$11:$AB$26,$N$131)=1,"Surpreso: casa pulada",IF(INDEX($AF$11:$AF$26,$N$131)=1,"Já agiu",IF(AND($O$131=1,$P$131=1),"Agindo agora",""))))</f>
        <v/>
      </c>
      <c r="F131" s="9">
        <f>IF($Q$131="","",INDEX($N$11:$N$26,$Q$131))</f>
        <v/>
      </c>
      <c r="I131" s="29">
        <f>IF($Q$131="","",INDEX($U$11:$U$26,$Q$131))</f>
        <v/>
      </c>
      <c r="J131" s="29">
        <f>IF($Q$131="","",INDEX($AN$11:$AN$26,$Q$131))</f>
        <v/>
      </c>
      <c r="N131" s="19">
        <f>IF(10&gt;$J$7,"",MATCH(SMALL($AM$11:$AM$26,10),$AM$11:$AM$26,0))</f>
        <v/>
      </c>
      <c r="O131" s="19">
        <f>IF($N$131="",0,INDEX($AT$11:$AT$26,$N$131))</f>
        <v/>
      </c>
      <c r="P131" s="19">
        <f>$P$130+$O$131</f>
        <v/>
      </c>
      <c r="Q131" s="19">
        <f>IF(10&gt;SUM($S$11:$S$26),"",MATCH(SMALL($AP$11:$AP$26,10),$AP$11:$AP$26,0))</f>
        <v/>
      </c>
    </row>
    <row r="132" ht="26" customHeight="1">
      <c r="A132" s="7" t="inlineStr">
        <is>
          <t>Casa</t>
        </is>
      </c>
      <c r="B132" s="7" t="inlineStr">
        <is>
          <t>Combatente</t>
        </is>
      </c>
      <c r="C132" s="20" t="n"/>
      <c r="D132" s="7" t="inlineStr">
        <is>
          <t>VEL</t>
        </is>
      </c>
      <c r="E132" s="7" t="inlineStr">
        <is>
          <t>Situação</t>
        </is>
      </c>
      <c r="F132" s="7" t="inlineStr">
        <is>
          <t>Ciclo seguinte: combatente</t>
        </is>
      </c>
      <c r="G132" s="20" t="n"/>
      <c r="H132" s="20" t="n"/>
      <c r="I132" s="7" t="inlineStr">
        <is>
          <t>VEL</t>
        </is>
      </c>
      <c r="J132" s="7" t="inlineStr">
        <is>
          <t>Pendente aplicado</t>
        </is>
      </c>
    </row>
    <row r="133" ht="26" customHeight="1">
      <c r="A133" s="44">
        <f>IF($N$133="","",11)</f>
        <v/>
      </c>
      <c r="B133" s="4">
        <f>IF($N$133="","",INDEX($N$11:$N$26,$N$133))</f>
        <v/>
      </c>
      <c r="D133" s="17">
        <f>IF($N$133="","",INDEX($U$11:$U$26,$N$133))</f>
        <v/>
      </c>
      <c r="E133" s="4">
        <f>IF($N$133="","",IF(INDEX($AB$11:$AB$26,$N$133)=1,"Surpreso: casa pulada",IF(INDEX($AF$11:$AF$26,$N$133)=1,"Já agiu",IF(AND($O$133=1,$P$133=1),"Agindo agora",""))))</f>
        <v/>
      </c>
      <c r="F133" s="4">
        <f>IF($Q$133="","",INDEX($N$11:$N$26,$Q$133))</f>
        <v/>
      </c>
      <c r="I133" s="17">
        <f>IF($Q$133="","",INDEX($U$11:$U$26,$Q$133))</f>
        <v/>
      </c>
      <c r="J133" s="17">
        <f>IF($Q$133="","",INDEX($AN$11:$AN$26,$Q$133))</f>
        <v/>
      </c>
      <c r="N133" s="19">
        <f>IF(11&gt;$J$7,"",MATCH(SMALL($AM$11:$AM$26,11),$AM$11:$AM$26,0))</f>
        <v/>
      </c>
      <c r="O133" s="19">
        <f>IF($N$133="",0,INDEX($AT$11:$AT$26,$N$133))</f>
        <v/>
      </c>
      <c r="P133" s="19">
        <f>$P$131+$O$133</f>
        <v/>
      </c>
      <c r="Q133" s="19">
        <f>IF(11&gt;SUM($S$11:$S$26),"",MATCH(SMALL($AP$11:$AP$26,11),$AP$11:$AP$26,0))</f>
        <v/>
      </c>
    </row>
    <row r="134" ht="26" customHeight="1">
      <c r="A134" s="45">
        <f>IF($N$134="","",12)</f>
        <v/>
      </c>
      <c r="B134" s="9">
        <f>IF($N$134="","",INDEX($N$11:$N$26,$N$134))</f>
        <v/>
      </c>
      <c r="D134" s="29">
        <f>IF($N$134="","",INDEX($U$11:$U$26,$N$134))</f>
        <v/>
      </c>
      <c r="E134" s="9">
        <f>IF($N$134="","",IF(INDEX($AB$11:$AB$26,$N$134)=1,"Surpreso: casa pulada",IF(INDEX($AF$11:$AF$26,$N$134)=1,"Já agiu",IF(AND($O$134=1,$P$134=1),"Agindo agora",""))))</f>
        <v/>
      </c>
      <c r="F134" s="9">
        <f>IF($Q$134="","",INDEX($N$11:$N$26,$Q$134))</f>
        <v/>
      </c>
      <c r="I134" s="29">
        <f>IF($Q$134="","",INDEX($U$11:$U$26,$Q$134))</f>
        <v/>
      </c>
      <c r="J134" s="29">
        <f>IF($Q$134="","",INDEX($AN$11:$AN$26,$Q$134))</f>
        <v/>
      </c>
      <c r="N134" s="19">
        <f>IF(12&gt;$J$7,"",MATCH(SMALL($AM$11:$AM$26,12),$AM$11:$AM$26,0))</f>
        <v/>
      </c>
      <c r="O134" s="19">
        <f>IF($N$134="",0,INDEX($AT$11:$AT$26,$N$134))</f>
        <v/>
      </c>
      <c r="P134" s="19">
        <f>$P$133+$O$134</f>
        <v/>
      </c>
      <c r="Q134" s="19">
        <f>IF(12&gt;SUM($S$11:$S$26),"",MATCH(SMALL($AP$11:$AP$26,12),$AP$11:$AP$26,0))</f>
        <v/>
      </c>
    </row>
    <row r="135" ht="26" customHeight="1">
      <c r="A135" s="44">
        <f>IF($N$135="","",13)</f>
        <v/>
      </c>
      <c r="B135" s="4">
        <f>IF($N$135="","",INDEX($N$11:$N$26,$N$135))</f>
        <v/>
      </c>
      <c r="D135" s="17">
        <f>IF($N$135="","",INDEX($U$11:$U$26,$N$135))</f>
        <v/>
      </c>
      <c r="E135" s="4">
        <f>IF($N$135="","",IF(INDEX($AB$11:$AB$26,$N$135)=1,"Surpreso: casa pulada",IF(INDEX($AF$11:$AF$26,$N$135)=1,"Já agiu",IF(AND($O$135=1,$P$135=1),"Agindo agora",""))))</f>
        <v/>
      </c>
      <c r="F135" s="4">
        <f>IF($Q$135="","",INDEX($N$11:$N$26,$Q$135))</f>
        <v/>
      </c>
      <c r="I135" s="17">
        <f>IF($Q$135="","",INDEX($U$11:$U$26,$Q$135))</f>
        <v/>
      </c>
      <c r="J135" s="17">
        <f>IF($Q$135="","",INDEX($AN$11:$AN$26,$Q$135))</f>
        <v/>
      </c>
      <c r="N135" s="19">
        <f>IF(13&gt;$J$7,"",MATCH(SMALL($AM$11:$AM$26,13),$AM$11:$AM$26,0))</f>
        <v/>
      </c>
      <c r="O135" s="19">
        <f>IF($N$135="",0,INDEX($AT$11:$AT$26,$N$135))</f>
        <v/>
      </c>
      <c r="P135" s="19">
        <f>$P$134+$O$135</f>
        <v/>
      </c>
      <c r="Q135" s="19">
        <f>IF(13&gt;SUM($S$11:$S$26),"",MATCH(SMALL($AP$11:$AP$26,13),$AP$11:$AP$26,0))</f>
        <v/>
      </c>
    </row>
    <row r="136" ht="26" customHeight="1">
      <c r="A136" s="45">
        <f>IF($N$136="","",14)</f>
        <v/>
      </c>
      <c r="B136" s="9">
        <f>IF($N$136="","",INDEX($N$11:$N$26,$N$136))</f>
        <v/>
      </c>
      <c r="D136" s="29">
        <f>IF($N$136="","",INDEX($U$11:$U$26,$N$136))</f>
        <v/>
      </c>
      <c r="E136" s="9">
        <f>IF($N$136="","",IF(INDEX($AB$11:$AB$26,$N$136)=1,"Surpreso: casa pulada",IF(INDEX($AF$11:$AF$26,$N$136)=1,"Já agiu",IF(AND($O$136=1,$P$136=1),"Agindo agora",""))))</f>
        <v/>
      </c>
      <c r="F136" s="9">
        <f>IF($Q$136="","",INDEX($N$11:$N$26,$Q$136))</f>
        <v/>
      </c>
      <c r="I136" s="29">
        <f>IF($Q$136="","",INDEX($U$11:$U$26,$Q$136))</f>
        <v/>
      </c>
      <c r="J136" s="29">
        <f>IF($Q$136="","",INDEX($AN$11:$AN$26,$Q$136))</f>
        <v/>
      </c>
      <c r="N136" s="19">
        <f>IF(14&gt;$J$7,"",MATCH(SMALL($AM$11:$AM$26,14),$AM$11:$AM$26,0))</f>
        <v/>
      </c>
      <c r="O136" s="19">
        <f>IF($N$136="",0,INDEX($AT$11:$AT$26,$N$136))</f>
        <v/>
      </c>
      <c r="P136" s="19">
        <f>$P$135+$O$136</f>
        <v/>
      </c>
      <c r="Q136" s="19">
        <f>IF(14&gt;SUM($S$11:$S$26),"",MATCH(SMALL($AP$11:$AP$26,14),$AP$11:$AP$26,0))</f>
        <v/>
      </c>
    </row>
    <row r="137" ht="26" customHeight="1">
      <c r="A137" s="44">
        <f>IF($N$137="","",15)</f>
        <v/>
      </c>
      <c r="B137" s="4">
        <f>IF($N$137="","",INDEX($N$11:$N$26,$N$137))</f>
        <v/>
      </c>
      <c r="D137" s="17">
        <f>IF($N$137="","",INDEX($U$11:$U$26,$N$137))</f>
        <v/>
      </c>
      <c r="E137" s="4">
        <f>IF($N$137="","",IF(INDEX($AB$11:$AB$26,$N$137)=1,"Surpreso: casa pulada",IF(INDEX($AF$11:$AF$26,$N$137)=1,"Já agiu",IF(AND($O$137=1,$P$137=1),"Agindo agora",""))))</f>
        <v/>
      </c>
      <c r="F137" s="4">
        <f>IF($Q$137="","",INDEX($N$11:$N$26,$Q$137))</f>
        <v/>
      </c>
      <c r="I137" s="17">
        <f>IF($Q$137="","",INDEX($U$11:$U$26,$Q$137))</f>
        <v/>
      </c>
      <c r="J137" s="17">
        <f>IF($Q$137="","",INDEX($AN$11:$AN$26,$Q$137))</f>
        <v/>
      </c>
      <c r="N137" s="19">
        <f>IF(15&gt;$J$7,"",MATCH(SMALL($AM$11:$AM$26,15),$AM$11:$AM$26,0))</f>
        <v/>
      </c>
      <c r="O137" s="19">
        <f>IF($N$137="",0,INDEX($AT$11:$AT$26,$N$137))</f>
        <v/>
      </c>
      <c r="P137" s="19">
        <f>$P$136+$O$137</f>
        <v/>
      </c>
      <c r="Q137" s="19">
        <f>IF(15&gt;SUM($S$11:$S$26),"",MATCH(SMALL($AP$11:$AP$26,15),$AP$11:$AP$26,0))</f>
        <v/>
      </c>
    </row>
    <row r="138" ht="26" customHeight="1">
      <c r="A138" s="45">
        <f>IF($N$138="","",16)</f>
        <v/>
      </c>
      <c r="B138" s="9">
        <f>IF($N$138="","",INDEX($N$11:$N$26,$N$138))</f>
        <v/>
      </c>
      <c r="D138" s="29">
        <f>IF($N$138="","",INDEX($U$11:$U$26,$N$138))</f>
        <v/>
      </c>
      <c r="E138" s="9">
        <f>IF($N$138="","",IF(INDEX($AB$11:$AB$26,$N$138)=1,"Surpreso: casa pulada",IF(INDEX($AF$11:$AF$26,$N$138)=1,"Já agiu",IF(AND($O$138=1,$P$138=1),"Agindo agora",""))))</f>
        <v/>
      </c>
      <c r="F138" s="9">
        <f>IF($Q$138="","",INDEX($N$11:$N$26,$Q$138))</f>
        <v/>
      </c>
      <c r="I138" s="29">
        <f>IF($Q$138="","",INDEX($U$11:$U$26,$Q$138))</f>
        <v/>
      </c>
      <c r="J138" s="29">
        <f>IF($Q$138="","",INDEX($AN$11:$AN$26,$Q$138))</f>
        <v/>
      </c>
      <c r="N138" s="19">
        <f>IF(16&gt;$J$7,"",MATCH(SMALL($AM$11:$AM$26,16),$AM$11:$AM$26,0))</f>
        <v/>
      </c>
      <c r="O138" s="19">
        <f>IF($N$138="",0,INDEX($AT$11:$AT$26,$N$138))</f>
        <v/>
      </c>
      <c r="P138" s="19">
        <f>$P$137+$O$138</f>
        <v/>
      </c>
      <c r="Q138" s="19">
        <f>IF(16&gt;SUM($S$11:$S$26),"",MATCH(SMALL($AP$11:$AP$26,16),$AP$11:$AP$26,0))</f>
        <v/>
      </c>
    </row>
    <row r="139"/>
    <row r="140" ht="60" customHeight="1">
      <c r="A140" s="8" t="inlineStr">
        <is>
          <t>PENDENTES</t>
        </is>
      </c>
      <c r="B140" s="4">
        <f>IF(AND($P$11=1,$AN$11&gt;0),$N$11&amp;" −"&amp;$AN$11&amp;" casa(s); ","")&amp;IF(AND($P$12=1,$AN$12&gt;0),$N$12&amp;" −"&amp;$AN$12&amp;" casa(s); ","")&amp;IF(AND($P$13=1,$AN$13&gt;0),$N$13&amp;" −"&amp;$AN$13&amp;" casa(s); ","")&amp;IF(AND($P$14=1,$AN$14&gt;0),$N$14&amp;" −"&amp;$AN$14&amp;" casa(s); ","")&amp;IF(AND($P$15=1,$AN$15&gt;0),$N$15&amp;" −"&amp;$AN$15&amp;" casa(s); ","")&amp;IF(AND($P$16=1,$AN$16&gt;0),$N$16&amp;" −"&amp;$AN$16&amp;" casa(s); ","")&amp;IF(AND($P$17=1,$AN$17&gt;0),$N$17&amp;" −"&amp;$AN$17&amp;" casa(s); ","")&amp;IF(AND($P$18=1,$AN$18&gt;0),$N$18&amp;" −"&amp;$AN$18&amp;" casa(s); ","")&amp;IF(AND($P$19=1,$AN$19&gt;0),$N$19&amp;" −"&amp;$AN$19&amp;" casa(s); ","")&amp;IF(AND($P$20=1,$AN$20&gt;0),$N$20&amp;" −"&amp;$AN$20&amp;" casa(s); ","")&amp;IF(AND($P$21=1,$AN$21&gt;0),$N$21&amp;" −"&amp;$AN$21&amp;" casa(s); ","")&amp;IF(AND($P$22=1,$AN$22&gt;0),$N$22&amp;" −"&amp;$AN$22&amp;" casa(s); ","")&amp;IF(AND($P$23=1,$AN$23&gt;0),$N$23&amp;" −"&amp;$AN$23&amp;" casa(s); ","")&amp;IF(AND($P$24=1,$AN$24&gt;0),$N$24&amp;" −"&amp;$AN$24&amp;" casa(s); ","")&amp;IF(AND($P$25=1,$AN$25&gt;0),$N$25&amp;" −"&amp;$AN$25&amp;" casa(s); ","")&amp;IF(AND($P$26=1,$AN$26&gt;0),$N$26&amp;" −"&amp;$AN$26&amp;" casa(s); ","")&amp;IF(AND($AA$17=1,$O$17="Comum",$Q$17=1),$N$17&amp;": CONGELADO; ","")&amp;IF(AND($AA$18=1,$O$18="Comum",$Q$18=1),$N$18&amp;": CONGELADO; ","")&amp;IF(AND($AA$19=1,$O$19="Comum",$Q$19=1),$N$19&amp;": CONGELADO; ","")&amp;IF(AND($AA$20=1,$O$20="Comum",$Q$20=1),$N$20&amp;": CONGELADO; ","")&amp;IF(AND($AA$21=1,$O$21="Comum",$Q$21=1),$N$21&amp;": CONGELADO; ","")&amp;IF(AND($AA$22=1,$O$22="Comum",$Q$22=1),$N$22&amp;": CONGELADO; ","")&amp;IF(AND($AA$23=1,$O$23="Comum",$Q$23=1),$N$23&amp;": CONGELADO; ","")&amp;IF(AND($AA$24=1,$O$24="Comum",$Q$24=1),$N$24&amp;": CONGELADO; ","")&amp;IF(AND($AA$25=1,$O$25="Comum",$Q$25=1),$N$25&amp;": CONGELADO; ","")&amp;IF(AND($AA$26=1,$O$26="Comum",$Q$26=1),$N$26&amp;": CONGELADO; ","")</f>
        <v/>
      </c>
    </row>
    <row r="141" ht="105" customHeight="1">
      <c r="A141" s="8" t="inlineStr">
        <is>
          <t>CONDIÇÕES</t>
        </is>
      </c>
      <c r="B141" s="4">
        <f>$N$141&amp;$O$141&amp;IF($BQ$33=1,$N$17&amp;": Quebrado; ","")&amp;IF($BQ$34=1,$N$18&amp;": Quebrado; ","")&amp;IF($BQ$35=1,$N$19&amp;": Quebrado; ","")&amp;IF($BQ$36=1,$N$20&amp;": Quebrado; ","")&amp;IF($BQ$37=1,$N$21&amp;": Quebrado; ","")&amp;IF($BQ$38=1,$N$22&amp;": Quebrado; ","")&amp;IF($BQ$39=1,$N$23&amp;": Quebrado; ","")&amp;IF($BQ$40=1,$N$24&amp;": Quebrado; ","")&amp;IF($BQ$41=1,$N$25&amp;": Quebrado; ","")&amp;IF($BQ$42=1,$N$26&amp;": Quebrado; ","")</f>
        <v/>
      </c>
      <c r="N141" s="19">
        <f>IF(AND(LEN($CA$158)&gt;0,LEN($CB$158)&gt;0),$CA$158&amp;": "&amp;$CB$158&amp;IF(ISNUMBER($CD$158)," ("&amp;$CD$158&amp;")","")&amp;"; ","")&amp;IF(AND(LEN($CA$159)&gt;0,LEN($CB$159)&gt;0),$CA$159&amp;": "&amp;$CB$159&amp;IF(ISNUMBER($CD$159)," ("&amp;$CD$159&amp;")","")&amp;"; ","")&amp;IF(AND(LEN($CA$160)&gt;0,LEN($CB$160)&gt;0),$CA$160&amp;": "&amp;$CB$160&amp;IF(ISNUMBER($CD$160)," ("&amp;$CD$160&amp;")","")&amp;"; ","")&amp;IF(AND(LEN($CA$161)&gt;0,LEN($CB$161)&gt;0),$CA$161&amp;": "&amp;$CB$161&amp;IF(ISNUMBER($CD$161)," ("&amp;$CD$161&amp;")","")&amp;"; ","")&amp;IF(AND(LEN($CA$162)&gt;0,LEN($CB$162)&gt;0),$CA$162&amp;": "&amp;$CB$162&amp;IF(ISNUMBER($CD$162)," ("&amp;$CD$162&amp;")","")&amp;"; ","")&amp;IF(AND(LEN($CA$163)&gt;0,LEN($CB$163)&gt;0),$CA$163&amp;": "&amp;$CB$163&amp;IF(ISNUMBER($CD$163)," ("&amp;$CD$163&amp;")","")&amp;"; ","")&amp;IF(AND(LEN($CA$164)&gt;0,LEN($CB$164)&gt;0),$CA$164&amp;": "&amp;$CB$164&amp;IF(ISNUMBER($CD$164)," ("&amp;$CD$164&amp;")","")&amp;"; ","")&amp;IF(AND(LEN($CA$165)&gt;0,LEN($CB$165)&gt;0),$CA$165&amp;": "&amp;$CB$165&amp;IF(ISNUMBER($CD$165)," ("&amp;$CD$165&amp;")","")&amp;"; ","")&amp;IF(AND(LEN($CA$166)&gt;0,LEN($CB$166)&gt;0),$CA$166&amp;": "&amp;$CB$166&amp;IF(ISNUMBER($CD$166)," ("&amp;$CD$166&amp;")","")&amp;"; ","")&amp;IF(AND(LEN($CA$167)&gt;0,LEN($CB$167)&gt;0),$CA$167&amp;": "&amp;$CB$167&amp;IF(ISNUMBER($CD$167)," ("&amp;$CD$167&amp;")","")&amp;"; ","")&amp;IF(AND(LEN($CA$168)&gt;0,LEN($CB$168)&gt;0),$CA$168&amp;": "&amp;$CB$168&amp;IF(ISNUMBER($CD$168)," ("&amp;$CD$168&amp;")","")&amp;"; ","")&amp;IF(AND(LEN($CA$169)&gt;0,LEN($CB$169)&gt;0),$CA$169&amp;": "&amp;$CB$169&amp;IF(ISNUMBER($CD$169)," ("&amp;$CD$169&amp;")","")&amp;"; ","")&amp;IF(AND(LEN($CA$171)&gt;0,LEN($CB$171)&gt;0),$CA$171&amp;": "&amp;$CB$171&amp;IF(ISNUMBER($CD$171)," ("&amp;$CD$171&amp;")","")&amp;"; ","")&amp;IF(AND(LEN($CA$172)&gt;0,LEN($CB$172)&gt;0),$CA$172&amp;": "&amp;$CB$172&amp;IF(ISNUMBER($CD$172)," ("&amp;$CD$172&amp;")","")&amp;"; ","")&amp;IF(AND(LEN($CA$173)&gt;0,LEN($CB$173)&gt;0),$CA$173&amp;": "&amp;$CB$173&amp;IF(ISNUMBER($CD$173)," ("&amp;$CD$173&amp;")","")&amp;"; ","")&amp;IF(AND(LEN($CA$174)&gt;0,LEN($CB$174)&gt;0),$CA$174&amp;": "&amp;$CB$174&amp;IF(ISNUMBER($CD$174)," ("&amp;$CD$174&amp;")","")&amp;"; ","")&amp;IF(AND(LEN($CA$175)&gt;0,LEN($CB$175)&gt;0),$CA$175&amp;": "&amp;$CB$175&amp;IF(ISNUMBER($CD$175)," ("&amp;$CD$175&amp;")","")&amp;"; ","")&amp;IF(AND(LEN($CA$176)&gt;0,LEN($CB$176)&gt;0),$CA$176&amp;": "&amp;$CB$176&amp;IF(ISNUMBER($CD$176)," ("&amp;$CD$176&amp;")","")&amp;"; ","")&amp;IF(AND(LEN($CA$177)&gt;0,LEN($CB$177)&gt;0),$CA$177&amp;": "&amp;$CB$177&amp;IF(ISNUMBER($CD$177)," ("&amp;$CD$177&amp;")","")&amp;"; ","")&amp;IF(AND(LEN($CA$178)&gt;0,LEN($CB$178)&gt;0),$CA$178&amp;": "&amp;$CB$178&amp;IF(ISNUMBER($CD$178)," ("&amp;$CD$178&amp;")","")&amp;"; ","")&amp;IF(AND(LEN($CA$179)&gt;0,LEN($CB$179)&gt;0),$CA$179&amp;": "&amp;$CB$179&amp;IF(ISNUMBER($CD$179)," ("&amp;$CD$179&amp;")","")&amp;"; ","")&amp;IF(AND(LEN($CA$180)&gt;0,LEN($CB$180)&gt;0),$CA$180&amp;": "&amp;$CB$180&amp;IF(ISNUMBER($CD$180)," ("&amp;$CD$180&amp;")","")&amp;"; ","")&amp;IF(AND(LEN($CA$181)&gt;0,LEN($CB$181)&gt;0),$CA$181&amp;": "&amp;$CB$181&amp;IF(ISNUMBER($CD$181)," ("&amp;$CD$181&amp;")","")&amp;"; ","")&amp;IF(AND(LEN($CA$182)&gt;0,LEN($CB$182)&gt;0),$CA$182&amp;": "&amp;$CB$182&amp;IF(ISNUMBER($CD$182)," ("&amp;$CD$182&amp;")","")&amp;"; ","")</f>
        <v/>
      </c>
      <c r="O141" s="19">
        <f>IF(AND(LEN($CA$184)&gt;0,LEN($CB$184)&gt;0),$CA$184&amp;": "&amp;$CB$184&amp;IF(ISNUMBER($CD$184)," ("&amp;$CD$184&amp;")","")&amp;"; ","")&amp;IF(AND(LEN($CA$185)&gt;0,LEN($CB$185)&gt;0),$CA$185&amp;": "&amp;$CB$185&amp;IF(ISNUMBER($CD$185)," ("&amp;$CD$185&amp;")","")&amp;"; ","")&amp;IF(AND(LEN($CA$186)&gt;0,LEN($CB$186)&gt;0),$CA$186&amp;": "&amp;$CB$186&amp;IF(ISNUMBER($CD$186)," ("&amp;$CD$186&amp;")","")&amp;"; ","")&amp;IF(AND(LEN($CA$187)&gt;0,LEN($CB$187)&gt;0),$CA$187&amp;": "&amp;$CB$187&amp;IF(ISNUMBER($CD$187)," ("&amp;$CD$187&amp;")","")&amp;"; ","")&amp;IF(AND(LEN($CA$188)&gt;0,LEN($CB$188)&gt;0),$CA$188&amp;": "&amp;$CB$188&amp;IF(ISNUMBER($CD$188)," ("&amp;$CD$188&amp;")","")&amp;"; ","")&amp;IF(AND(LEN($CA$189)&gt;0,LEN($CB$189)&gt;0),$CA$189&amp;": "&amp;$CB$189&amp;IF(ISNUMBER($CD$189)," ("&amp;$CD$189&amp;")","")&amp;"; ","")&amp;IF(AND(LEN($CA$190)&gt;0,LEN($CB$190)&gt;0),$CA$190&amp;": "&amp;$CB$190&amp;IF(ISNUMBER($CD$190)," ("&amp;$CD$190&amp;")","")&amp;"; ","")&amp;IF(AND(LEN($CA$191)&gt;0,LEN($CB$191)&gt;0),$CA$191&amp;": "&amp;$CB$191&amp;IF(ISNUMBER($CD$191)," ("&amp;$CD$191&amp;")","")&amp;"; ","")&amp;IF(AND(LEN($CA$192)&gt;0,LEN($CB$192)&gt;0),$CA$192&amp;": "&amp;$CB$192&amp;IF(ISNUMBER($CD$192)," ("&amp;$CD$192&amp;")","")&amp;"; ","")&amp;IF(AND(LEN($CA$193)&gt;0,LEN($CB$193)&gt;0),$CA$193&amp;": "&amp;$CB$193&amp;IF(ISNUMBER($CD$193)," ("&amp;$CD$193&amp;")","")&amp;"; ","")&amp;IF(AND(LEN($CA$194)&gt;0,LEN($CB$194)&gt;0),$CA$194&amp;": "&amp;$CB$194&amp;IF(ISNUMBER($CD$194)," ("&amp;$CD$194&amp;")","")&amp;"; ","")&amp;IF(AND(LEN($CA$195)&gt;0,LEN($CB$195)&gt;0),$CA$195&amp;": "&amp;$CB$195&amp;IF(ISNUMBER($CD$195)," ("&amp;$CD$195&amp;")","")&amp;"; ","")&amp;IF(AND(LEN($CA$197)&gt;0,LEN($CB$197)&gt;0),$CA$197&amp;": "&amp;$CB$197&amp;IF(ISNUMBER($CD$197)," ("&amp;$CD$197&amp;")","")&amp;"; ","")&amp;IF(AND(LEN($CA$198)&gt;0,LEN($CB$198)&gt;0),$CA$198&amp;": "&amp;$CB$198&amp;IF(ISNUMBER($CD$198)," ("&amp;$CD$198&amp;")","")&amp;"; ","")&amp;IF(AND(LEN($CA$199)&gt;0,LEN($CB$199)&gt;0),$CA$199&amp;": "&amp;$CB$199&amp;IF(ISNUMBER($CD$199)," ("&amp;$CD$199&amp;")","")&amp;"; ","")&amp;IF(AND(LEN($CA$200)&gt;0,LEN($CB$200)&gt;0),$CA$200&amp;": "&amp;$CB$200&amp;IF(ISNUMBER($CD$200)," ("&amp;$CD$200&amp;")","")&amp;"; ","")&amp;IF(AND(LEN($CA$201)&gt;0,LEN($CB$201)&gt;0),$CA$201&amp;": "&amp;$CB$201&amp;IF(ISNUMBER($CD$201)," ("&amp;$CD$201&amp;")","")&amp;"; ","")&amp;IF(AND(LEN($CA$202)&gt;0,LEN($CB$202)&gt;0),$CA$202&amp;": "&amp;$CB$202&amp;IF(ISNUMBER($CD$202)," ("&amp;$CD$202&amp;")","")&amp;"; ","")&amp;IF(AND(LEN($CA$203)&gt;0,LEN($CB$203)&gt;0),$CA$203&amp;": "&amp;$CB$203&amp;IF(ISNUMBER($CD$203)," ("&amp;$CD$203&amp;")","")&amp;"; ","")&amp;IF(AND(LEN($CA$204)&gt;0,LEN($CB$204)&gt;0),$CA$204&amp;": "&amp;$CB$204&amp;IF(ISNUMBER($CD$204)," ("&amp;$CD$204&amp;")","")&amp;"; ","")&amp;IF(AND(LEN($CA$205)&gt;0,LEN($CB$205)&gt;0),$CA$205&amp;": "&amp;$CB$205&amp;IF(ISNUMBER($CD$205)," ("&amp;$CD$205&amp;")","")&amp;"; ","")&amp;IF(AND(LEN($CA$206)&gt;0,LEN($CB$206)&gt;0),$CA$206&amp;": "&amp;$CB$206&amp;IF(ISNUMBER($CD$206)," ("&amp;$CD$206&amp;")","")&amp;"; ","")&amp;IF(AND(LEN($CA$207)&gt;0,LEN($CB$207)&gt;0),$CA$207&amp;": "&amp;$CB$207&amp;IF(ISNUMBER($CD$207)," ("&amp;$CD$207&amp;")","")&amp;"; ","")&amp;IF(AND(LEN($CA$208)&gt;0,LEN($CB$208)&gt;0),$CA$208&amp;": "&amp;$CB$208&amp;IF(ISNUMBER($CD$208)," ("&amp;$CD$208&amp;")","")&amp;"; ","")</f>
        <v/>
      </c>
    </row>
    <row r="142" ht="26" customHeight="1">
      <c r="A142" s="11" t="inlineStr">
        <is>
          <t>A Fila não usa medidor de tempo (19.2): a prevista é a remontagem pelas VEL atuais mais os pendentes. Quando dois combatentes são movidos no mesmo Ciclo, a ordem segue a chave 2 (casa + Atraso − Avanço): Sugestão da planilha — não é regra do livro (H13); 'Casa manual' vence a calculada.</t>
        </is>
      </c>
    </row>
    <row r="143"/>
    <row r="144"/>
    <row r="145"/>
    <row r="146"/>
    <row r="147"/>
    <row r="148"/>
    <row r="149"/>
    <row r="150"/>
    <row r="151"/>
    <row r="152"/>
    <row r="153"/>
    <row r="154"/>
    <row r="155"/>
    <row r="156" ht="20" customHeight="1">
      <c r="A156" s="12" t="inlineStr">
        <is>
          <t>C7 · Condições (21.5): 16 combatentes × 3, com duração, acúmulos e o dano pela Eficiência</t>
        </is>
      </c>
    </row>
    <row r="157" ht="26" customHeight="1">
      <c r="A157" s="7" t="inlineStr">
        <is>
          <t>Combatente</t>
        </is>
      </c>
      <c r="B157" s="7" t="inlineStr">
        <is>
          <t>Condição</t>
        </is>
      </c>
      <c r="C157" s="20" t="n"/>
      <c r="D157" s="7" t="inlineStr">
        <is>
          <t>Turnos restantes</t>
        </is>
      </c>
      <c r="E157" s="7" t="inlineStr">
        <is>
          <t>Acúmulos</t>
        </is>
      </c>
      <c r="F157" s="7" t="inlineStr">
        <is>
          <t>Quem aplicou</t>
        </is>
      </c>
      <c r="G157" s="20" t="n"/>
      <c r="H157" s="7" t="inlineStr">
        <is>
          <t>Efeito e dano</t>
        </is>
      </c>
      <c r="I157" s="20" t="n"/>
      <c r="J157" s="20" t="n"/>
      <c r="K157" s="7" t="inlineStr">
        <is>
          <t>Aviso</t>
        </is>
      </c>
      <c r="L157" s="20" t="n"/>
    </row>
    <row r="158" ht="48" customHeight="1">
      <c r="A158" s="30" t="n"/>
      <c r="B158" s="3" t="n"/>
      <c r="C158" s="16" t="n"/>
      <c r="D158" s="15" t="n"/>
      <c r="E158" s="15" t="n"/>
      <c r="F158" s="3" t="n"/>
      <c r="G158" s="16" t="n"/>
      <c r="H158" s="4">
        <f>IF(NOT(ISNUMBER($R$158)),"",IF($W$158&gt;0,"Dano Contínuo: "&amp;MIN(INT($W$158*$Q$158/100),$X$158*$P$158)&amp;" por turno",IF($S$158&gt;0,IF($AA$158="Sim","Dano Contínuo: ","Dano: ")&amp;IF($U$158="Sim",$AB$158*$S$158,$S$158)&amp;"d"&amp;$T$158&amp;IF($V$158="Sim"," + "&amp;$P$158,"")&amp;" · média "&amp;(INT(IF($U$158="Sim",$AB$158*$S$158,$S$158)*($T$158+1)/2)+IF($V$158="Sim",$P$158,0)),$AC$158))&amp;IF($Y$158&gt;0,"; Atrasa "&amp;$Y$158&amp;" casa(s): some em Atraso deste Ciclo do alvo (C8)",""))</f>
        <v/>
      </c>
      <c r="K158" s="18">
        <f>IF(CK158&gt;0,"O Google leu como fórmula: escolha de novo ou digite com ' na frente.",IF(LEN($CA$158&amp;$CB$158)=0,"",IF(NOT(ISNUMBER($N$158)),"Combatente fora da lista",IF(NOT(ISNUMBER($R$158)),"Condição fora do capítulo 21",IF(AND($CB$158="Congelado",$N$158&lt;=6),"Congelado só em inimigo (21.2)",IF(AND(ISNUMBER($CE$158),$CE$158&gt;$Z$158),"Acima do teto de "&amp;$Z$158&amp;" acúmulo(s) (21.5): usando o teto",IF($AA$158="Sim","Dano Contínuo: início do turno do alvo; ignora RD, não crita, sem dados de Fraqueza (20.6)","")))))))</f>
        <v/>
      </c>
      <c r="N158" s="19">
        <f>IF(LEN($CA$158)=0,"",IFERROR(MATCH($CA$158,$N$11:$N$26,0),""))</f>
        <v/>
      </c>
      <c r="O158" s="19">
        <f>IF(LEN($CF$158)=0,"",IFERROR(MATCH($CF$158,$N$11:$N$26,0),""))</f>
        <v/>
      </c>
      <c r="P158" s="19">
        <f>IF(ISNUMBER($O$158),INDEX($AS$11:$AS$26,$O$158),'Campanha'!$B$20)</f>
        <v/>
      </c>
      <c r="Q158" s="19">
        <f>IF(ISNUMBER($N$158),INDEX($AQ$11:$AQ$26,$N$158),0)</f>
        <v/>
      </c>
      <c r="R158" s="19">
        <f>IF(LEN($CB$158)=0,"",IFERROR(MATCH($CB$158,'Dados'!$A$324:$A$339,0),""))</f>
        <v/>
      </c>
      <c r="S158" s="19">
        <f>IF(ISNUMBER($R$158),INDEX('Dados'!$F$324:$F$339,$R$158),"")</f>
        <v/>
      </c>
      <c r="T158" s="19">
        <f>IF(ISNUMBER($R$158),INDEX('Dados'!$G$324:$G$339,$R$158),"")</f>
        <v/>
      </c>
      <c r="U158" s="19">
        <f>IF(ISNUMBER($R$158),INDEX('Dados'!$H$324:$H$339,$R$158),"")</f>
        <v/>
      </c>
      <c r="V158" s="19">
        <f>IF(ISNUMBER($R$158),INDEX('Dados'!$I$324:$I$339,$R$158),"")</f>
        <v/>
      </c>
      <c r="W158" s="19">
        <f>IF(ISNUMBER($R$158),INDEX('Dados'!$J$324:$J$339,$R$158),"")</f>
        <v/>
      </c>
      <c r="X158" s="19">
        <f>IF(ISNUMBER($R$158),INDEX('Dados'!$K$324:$K$339,$R$158),"")</f>
        <v/>
      </c>
      <c r="Y158" s="19">
        <f>IF(ISNUMBER($R$158),INDEX('Dados'!$L$324:$L$339,$R$158),"")</f>
        <v/>
      </c>
      <c r="Z158" s="19">
        <f>IF(ISNUMBER($R$158),INDEX('Dados'!$M$324:$M$339,$R$158),"")</f>
        <v/>
      </c>
      <c r="AA158" s="19">
        <f>IF(ISNUMBER($R$158),INDEX('Dados'!$N$324:$N$339,$R$158),"")</f>
        <v/>
      </c>
      <c r="AB158" s="19">
        <f>IF(ISNUMBER($CE$158),MIN($Z$158,MAX(1,INT($CE$158))),1)</f>
        <v/>
      </c>
      <c r="AC158" s="19">
        <f>IF(ISNUMBER($R$158),INDEX('Dados'!$B$324:$B$339,$R$158),"")</f>
        <v/>
      </c>
      <c r="CA158" s="19">
        <f>IF(ISERROR($A$158),"",IF(ISBLANK($A$158),"",$A$158))</f>
        <v/>
      </c>
      <c r="CB158" s="19">
        <f>IF(ISERROR($B$158),"",IF(ISBLANK($B$158),"",$B$158))</f>
        <v/>
      </c>
      <c r="CD158" s="19">
        <f>IF(ISERROR($D$158),"",IF(ISBLANK($D$158),"",$D$158))</f>
        <v/>
      </c>
      <c r="CE158" s="19">
        <f>IF(ISERROR($E$158),"",IF(ISBLANK($E$158),"",$E$158))</f>
        <v/>
      </c>
      <c r="CF158" s="19">
        <f>IF(ISERROR($F$158),"",IF(ISBLANK($F$158),"",$F$158))</f>
        <v/>
      </c>
      <c r="CK158" s="19">
        <f>ISERROR($A$158)*1+ISERROR($B$158)*1+ISERROR($D$158)*1+ISERROR($E$158)*1+ISERROR($F$158)*1</f>
        <v/>
      </c>
    </row>
    <row r="159" ht="48" customHeight="1">
      <c r="A159" s="31" t="n"/>
      <c r="B159" s="28" t="n"/>
      <c r="C159" s="16" t="n"/>
      <c r="D159" s="34" t="n"/>
      <c r="E159" s="34" t="n"/>
      <c r="F159" s="28" t="n"/>
      <c r="G159" s="16" t="n"/>
      <c r="H159" s="9">
        <f>IF(NOT(ISNUMBER($R$159)),"",IF($W$159&gt;0,"Dano Contínuo: "&amp;MIN(INT($W$159*$Q$159/100),$X$159*$P$159)&amp;" por turno",IF($S$159&gt;0,IF($AA$159="Sim","Dano Contínuo: ","Dano: ")&amp;IF($U$159="Sim",$AB$159*$S$159,$S$159)&amp;"d"&amp;$T$159&amp;IF($V$159="Sim"," + "&amp;$P$159,"")&amp;" · média "&amp;(INT(IF($U$159="Sim",$AB$159*$S$159,$S$159)*($T$159+1)/2)+IF($V$159="Sim",$P$159,0)),$AC$159))&amp;IF($Y$159&gt;0,"; Atrasa "&amp;$Y$159&amp;" casa(s): some em Atraso deste Ciclo do alvo (C8)",""))</f>
        <v/>
      </c>
      <c r="K159" s="26">
        <f>IF(CK159&gt;0,"O Google leu como fórmula: escolha de novo ou digite com ' na frente.",IF(LEN($CA$159&amp;$CB$159)=0,"",IF(NOT(ISNUMBER($N$159)),"Combatente fora da lista",IF(NOT(ISNUMBER($R$159)),"Condição fora do capítulo 21",IF(AND($CB$159="Congelado",$N$159&lt;=6),"Congelado só em inimigo (21.2)",IF(AND(ISNUMBER($CE$159),$CE$159&gt;$Z$159),"Acima do teto de "&amp;$Z$159&amp;" acúmulo(s) (21.5): usando o teto",IF($AA$159="Sim","Dano Contínuo: início do turno do alvo; ignora RD, não crita, sem dados de Fraqueza (20.6)","")))))))</f>
        <v/>
      </c>
      <c r="N159" s="19">
        <f>IF(LEN($CA$159)=0,"",IFERROR(MATCH($CA$159,$N$11:$N$26,0),""))</f>
        <v/>
      </c>
      <c r="O159" s="19">
        <f>IF(LEN($CF$159)=0,"",IFERROR(MATCH($CF$159,$N$11:$N$26,0),""))</f>
        <v/>
      </c>
      <c r="P159" s="19">
        <f>IF(ISNUMBER($O$159),INDEX($AS$11:$AS$26,$O$159),'Campanha'!$B$20)</f>
        <v/>
      </c>
      <c r="Q159" s="19">
        <f>IF(ISNUMBER($N$159),INDEX($AQ$11:$AQ$26,$N$159),0)</f>
        <v/>
      </c>
      <c r="R159" s="19">
        <f>IF(LEN($CB$159)=0,"",IFERROR(MATCH($CB$159,'Dados'!$A$324:$A$339,0),""))</f>
        <v/>
      </c>
      <c r="S159" s="19">
        <f>IF(ISNUMBER($R$159),INDEX('Dados'!$F$324:$F$339,$R$159),"")</f>
        <v/>
      </c>
      <c r="T159" s="19">
        <f>IF(ISNUMBER($R$159),INDEX('Dados'!$G$324:$G$339,$R$159),"")</f>
        <v/>
      </c>
      <c r="U159" s="19">
        <f>IF(ISNUMBER($R$159),INDEX('Dados'!$H$324:$H$339,$R$159),"")</f>
        <v/>
      </c>
      <c r="V159" s="19">
        <f>IF(ISNUMBER($R$159),INDEX('Dados'!$I$324:$I$339,$R$159),"")</f>
        <v/>
      </c>
      <c r="W159" s="19">
        <f>IF(ISNUMBER($R$159),INDEX('Dados'!$J$324:$J$339,$R$159),"")</f>
        <v/>
      </c>
      <c r="X159" s="19">
        <f>IF(ISNUMBER($R$159),INDEX('Dados'!$K$324:$K$339,$R$159),"")</f>
        <v/>
      </c>
      <c r="Y159" s="19">
        <f>IF(ISNUMBER($R$159),INDEX('Dados'!$L$324:$L$339,$R$159),"")</f>
        <v/>
      </c>
      <c r="Z159" s="19">
        <f>IF(ISNUMBER($R$159),INDEX('Dados'!$M$324:$M$339,$R$159),"")</f>
        <v/>
      </c>
      <c r="AA159" s="19">
        <f>IF(ISNUMBER($R$159),INDEX('Dados'!$N$324:$N$339,$R$159),"")</f>
        <v/>
      </c>
      <c r="AB159" s="19">
        <f>IF(ISNUMBER($CE$159),MIN($Z$159,MAX(1,INT($CE$159))),1)</f>
        <v/>
      </c>
      <c r="AC159" s="19">
        <f>IF(ISNUMBER($R$159),INDEX('Dados'!$B$324:$B$339,$R$159),"")</f>
        <v/>
      </c>
      <c r="CA159" s="19">
        <f>IF(ISERROR($A$159),"",IF(ISBLANK($A$159),"",$A$159))</f>
        <v/>
      </c>
      <c r="CB159" s="19">
        <f>IF(ISERROR($B$159),"",IF(ISBLANK($B$159),"",$B$159))</f>
        <v/>
      </c>
      <c r="CD159" s="19">
        <f>IF(ISERROR($D$159),"",IF(ISBLANK($D$159),"",$D$159))</f>
        <v/>
      </c>
      <c r="CE159" s="19">
        <f>IF(ISERROR($E$159),"",IF(ISBLANK($E$159),"",$E$159))</f>
        <v/>
      </c>
      <c r="CF159" s="19">
        <f>IF(ISERROR($F$159),"",IF(ISBLANK($F$159),"",$F$159))</f>
        <v/>
      </c>
      <c r="CK159" s="19">
        <f>ISERROR($A$159)*1+ISERROR($B$159)*1+ISERROR($D$159)*1+ISERROR($E$159)*1+ISERROR($F$159)*1</f>
        <v/>
      </c>
    </row>
    <row r="160" ht="48" customHeight="1">
      <c r="A160" s="30" t="n"/>
      <c r="B160" s="3" t="n"/>
      <c r="C160" s="16" t="n"/>
      <c r="D160" s="15" t="n"/>
      <c r="E160" s="15" t="n"/>
      <c r="F160" s="3" t="n"/>
      <c r="G160" s="16" t="n"/>
      <c r="H160" s="4">
        <f>IF(NOT(ISNUMBER($R$160)),"",IF($W$160&gt;0,"Dano Contínuo: "&amp;MIN(INT($W$160*$Q$160/100),$X$160*$P$160)&amp;" por turno",IF($S$160&gt;0,IF($AA$160="Sim","Dano Contínuo: ","Dano: ")&amp;IF($U$160="Sim",$AB$160*$S$160,$S$160)&amp;"d"&amp;$T$160&amp;IF($V$160="Sim"," + "&amp;$P$160,"")&amp;" · média "&amp;(INT(IF($U$160="Sim",$AB$160*$S$160,$S$160)*($T$160+1)/2)+IF($V$160="Sim",$P$160,0)),$AC$160))&amp;IF($Y$160&gt;0,"; Atrasa "&amp;$Y$160&amp;" casa(s): some em Atraso deste Ciclo do alvo (C8)",""))</f>
        <v/>
      </c>
      <c r="K160" s="18">
        <f>IF(CK160&gt;0,"O Google leu como fórmula: escolha de novo ou digite com ' na frente.",IF(LEN($CA$160&amp;$CB$160)=0,"",IF(NOT(ISNUMBER($N$160)),"Combatente fora da lista",IF(NOT(ISNUMBER($R$160)),"Condição fora do capítulo 21",IF(AND($CB$160="Congelado",$N$160&lt;=6),"Congelado só em inimigo (21.2)",IF(AND(ISNUMBER($CE$160),$CE$160&gt;$Z$160),"Acima do teto de "&amp;$Z$160&amp;" acúmulo(s) (21.5): usando o teto",IF($AA$160="Sim","Dano Contínuo: início do turno do alvo; ignora RD, não crita, sem dados de Fraqueza (20.6)","")))))))</f>
        <v/>
      </c>
      <c r="N160" s="19">
        <f>IF(LEN($CA$160)=0,"",IFERROR(MATCH($CA$160,$N$11:$N$26,0),""))</f>
        <v/>
      </c>
      <c r="O160" s="19">
        <f>IF(LEN($CF$160)=0,"",IFERROR(MATCH($CF$160,$N$11:$N$26,0),""))</f>
        <v/>
      </c>
      <c r="P160" s="19">
        <f>IF(ISNUMBER($O$160),INDEX($AS$11:$AS$26,$O$160),'Campanha'!$B$20)</f>
        <v/>
      </c>
      <c r="Q160" s="19">
        <f>IF(ISNUMBER($N$160),INDEX($AQ$11:$AQ$26,$N$160),0)</f>
        <v/>
      </c>
      <c r="R160" s="19">
        <f>IF(LEN($CB$160)=0,"",IFERROR(MATCH($CB$160,'Dados'!$A$324:$A$339,0),""))</f>
        <v/>
      </c>
      <c r="S160" s="19">
        <f>IF(ISNUMBER($R$160),INDEX('Dados'!$F$324:$F$339,$R$160),"")</f>
        <v/>
      </c>
      <c r="T160" s="19">
        <f>IF(ISNUMBER($R$160),INDEX('Dados'!$G$324:$G$339,$R$160),"")</f>
        <v/>
      </c>
      <c r="U160" s="19">
        <f>IF(ISNUMBER($R$160),INDEX('Dados'!$H$324:$H$339,$R$160),"")</f>
        <v/>
      </c>
      <c r="V160" s="19">
        <f>IF(ISNUMBER($R$160),INDEX('Dados'!$I$324:$I$339,$R$160),"")</f>
        <v/>
      </c>
      <c r="W160" s="19">
        <f>IF(ISNUMBER($R$160),INDEX('Dados'!$J$324:$J$339,$R$160),"")</f>
        <v/>
      </c>
      <c r="X160" s="19">
        <f>IF(ISNUMBER($R$160),INDEX('Dados'!$K$324:$K$339,$R$160),"")</f>
        <v/>
      </c>
      <c r="Y160" s="19">
        <f>IF(ISNUMBER($R$160),INDEX('Dados'!$L$324:$L$339,$R$160),"")</f>
        <v/>
      </c>
      <c r="Z160" s="19">
        <f>IF(ISNUMBER($R$160),INDEX('Dados'!$M$324:$M$339,$R$160),"")</f>
        <v/>
      </c>
      <c r="AA160" s="19">
        <f>IF(ISNUMBER($R$160),INDEX('Dados'!$N$324:$N$339,$R$160),"")</f>
        <v/>
      </c>
      <c r="AB160" s="19">
        <f>IF(ISNUMBER($CE$160),MIN($Z$160,MAX(1,INT($CE$160))),1)</f>
        <v/>
      </c>
      <c r="AC160" s="19">
        <f>IF(ISNUMBER($R$160),INDEX('Dados'!$B$324:$B$339,$R$160),"")</f>
        <v/>
      </c>
      <c r="CA160" s="19">
        <f>IF(ISERROR($A$160),"",IF(ISBLANK($A$160),"",$A$160))</f>
        <v/>
      </c>
      <c r="CB160" s="19">
        <f>IF(ISERROR($B$160),"",IF(ISBLANK($B$160),"",$B$160))</f>
        <v/>
      </c>
      <c r="CD160" s="19">
        <f>IF(ISERROR($D$160),"",IF(ISBLANK($D$160),"",$D$160))</f>
        <v/>
      </c>
      <c r="CE160" s="19">
        <f>IF(ISERROR($E$160),"",IF(ISBLANK($E$160),"",$E$160))</f>
        <v/>
      </c>
      <c r="CF160" s="19">
        <f>IF(ISERROR($F$160),"",IF(ISBLANK($F$160),"",$F$160))</f>
        <v/>
      </c>
      <c r="CK160" s="19">
        <f>ISERROR($A$160)*1+ISERROR($B$160)*1+ISERROR($D$160)*1+ISERROR($E$160)*1+ISERROR($F$160)*1</f>
        <v/>
      </c>
    </row>
    <row r="161" ht="48" customHeight="1">
      <c r="A161" s="31" t="n"/>
      <c r="B161" s="28" t="n"/>
      <c r="C161" s="16" t="n"/>
      <c r="D161" s="34" t="n"/>
      <c r="E161" s="34" t="n"/>
      <c r="F161" s="28" t="n"/>
      <c r="G161" s="16" t="n"/>
      <c r="H161" s="9">
        <f>IF(NOT(ISNUMBER($R$161)),"",IF($W$161&gt;0,"Dano Contínuo: "&amp;MIN(INT($W$161*$Q$161/100),$X$161*$P$161)&amp;" por turno",IF($S$161&gt;0,IF($AA$161="Sim","Dano Contínuo: ","Dano: ")&amp;IF($U$161="Sim",$AB$161*$S$161,$S$161)&amp;"d"&amp;$T$161&amp;IF($V$161="Sim"," + "&amp;$P$161,"")&amp;" · média "&amp;(INT(IF($U$161="Sim",$AB$161*$S$161,$S$161)*($T$161+1)/2)+IF($V$161="Sim",$P$161,0)),$AC$161))&amp;IF($Y$161&gt;0,"; Atrasa "&amp;$Y$161&amp;" casa(s): some em Atraso deste Ciclo do alvo (C8)",""))</f>
        <v/>
      </c>
      <c r="K161" s="26">
        <f>IF(CK161&gt;0,"O Google leu como fórmula: escolha de novo ou digite com ' na frente.",IF(LEN($CA$161&amp;$CB$161)=0,"",IF(NOT(ISNUMBER($N$161)),"Combatente fora da lista",IF(NOT(ISNUMBER($R$161)),"Condição fora do capítulo 21",IF(AND($CB$161="Congelado",$N$161&lt;=6),"Congelado só em inimigo (21.2)",IF(AND(ISNUMBER($CE$161),$CE$161&gt;$Z$161),"Acima do teto de "&amp;$Z$161&amp;" acúmulo(s) (21.5): usando o teto",IF($AA$161="Sim","Dano Contínuo: início do turno do alvo; ignora RD, não crita, sem dados de Fraqueza (20.6)","")))))))</f>
        <v/>
      </c>
      <c r="N161" s="19">
        <f>IF(LEN($CA$161)=0,"",IFERROR(MATCH($CA$161,$N$11:$N$26,0),""))</f>
        <v/>
      </c>
      <c r="O161" s="19">
        <f>IF(LEN($CF$161)=0,"",IFERROR(MATCH($CF$161,$N$11:$N$26,0),""))</f>
        <v/>
      </c>
      <c r="P161" s="19">
        <f>IF(ISNUMBER($O$161),INDEX($AS$11:$AS$26,$O$161),'Campanha'!$B$20)</f>
        <v/>
      </c>
      <c r="Q161" s="19">
        <f>IF(ISNUMBER($N$161),INDEX($AQ$11:$AQ$26,$N$161),0)</f>
        <v/>
      </c>
      <c r="R161" s="19">
        <f>IF(LEN($CB$161)=0,"",IFERROR(MATCH($CB$161,'Dados'!$A$324:$A$339,0),""))</f>
        <v/>
      </c>
      <c r="S161" s="19">
        <f>IF(ISNUMBER($R$161),INDEX('Dados'!$F$324:$F$339,$R$161),"")</f>
        <v/>
      </c>
      <c r="T161" s="19">
        <f>IF(ISNUMBER($R$161),INDEX('Dados'!$G$324:$G$339,$R$161),"")</f>
        <v/>
      </c>
      <c r="U161" s="19">
        <f>IF(ISNUMBER($R$161),INDEX('Dados'!$H$324:$H$339,$R$161),"")</f>
        <v/>
      </c>
      <c r="V161" s="19">
        <f>IF(ISNUMBER($R$161),INDEX('Dados'!$I$324:$I$339,$R$161),"")</f>
        <v/>
      </c>
      <c r="W161" s="19">
        <f>IF(ISNUMBER($R$161),INDEX('Dados'!$J$324:$J$339,$R$161),"")</f>
        <v/>
      </c>
      <c r="X161" s="19">
        <f>IF(ISNUMBER($R$161),INDEX('Dados'!$K$324:$K$339,$R$161),"")</f>
        <v/>
      </c>
      <c r="Y161" s="19">
        <f>IF(ISNUMBER($R$161),INDEX('Dados'!$L$324:$L$339,$R$161),"")</f>
        <v/>
      </c>
      <c r="Z161" s="19">
        <f>IF(ISNUMBER($R$161),INDEX('Dados'!$M$324:$M$339,$R$161),"")</f>
        <v/>
      </c>
      <c r="AA161" s="19">
        <f>IF(ISNUMBER($R$161),INDEX('Dados'!$N$324:$N$339,$R$161),"")</f>
        <v/>
      </c>
      <c r="AB161" s="19">
        <f>IF(ISNUMBER($CE$161),MIN($Z$161,MAX(1,INT($CE$161))),1)</f>
        <v/>
      </c>
      <c r="AC161" s="19">
        <f>IF(ISNUMBER($R$161),INDEX('Dados'!$B$324:$B$339,$R$161),"")</f>
        <v/>
      </c>
      <c r="CA161" s="19">
        <f>IF(ISERROR($A$161),"",IF(ISBLANK($A$161),"",$A$161))</f>
        <v/>
      </c>
      <c r="CB161" s="19">
        <f>IF(ISERROR($B$161),"",IF(ISBLANK($B$161),"",$B$161))</f>
        <v/>
      </c>
      <c r="CD161" s="19">
        <f>IF(ISERROR($D$161),"",IF(ISBLANK($D$161),"",$D$161))</f>
        <v/>
      </c>
      <c r="CE161" s="19">
        <f>IF(ISERROR($E$161),"",IF(ISBLANK($E$161),"",$E$161))</f>
        <v/>
      </c>
      <c r="CF161" s="19">
        <f>IF(ISERROR($F$161),"",IF(ISBLANK($F$161),"",$F$161))</f>
        <v/>
      </c>
      <c r="CK161" s="19">
        <f>ISERROR($A$161)*1+ISERROR($B$161)*1+ISERROR($D$161)*1+ISERROR($E$161)*1+ISERROR($F$161)*1</f>
        <v/>
      </c>
    </row>
    <row r="162" ht="48" customHeight="1">
      <c r="A162" s="30" t="n"/>
      <c r="B162" s="3" t="n"/>
      <c r="C162" s="16" t="n"/>
      <c r="D162" s="15" t="n"/>
      <c r="E162" s="15" t="n"/>
      <c r="F162" s="3" t="n"/>
      <c r="G162" s="16" t="n"/>
      <c r="H162" s="4">
        <f>IF(NOT(ISNUMBER($R$162)),"",IF($W$162&gt;0,"Dano Contínuo: "&amp;MIN(INT($W$162*$Q$162/100),$X$162*$P$162)&amp;" por turno",IF($S$162&gt;0,IF($AA$162="Sim","Dano Contínuo: ","Dano: ")&amp;IF($U$162="Sim",$AB$162*$S$162,$S$162)&amp;"d"&amp;$T$162&amp;IF($V$162="Sim"," + "&amp;$P$162,"")&amp;" · média "&amp;(INT(IF($U$162="Sim",$AB$162*$S$162,$S$162)*($T$162+1)/2)+IF($V$162="Sim",$P$162,0)),$AC$162))&amp;IF($Y$162&gt;0,"; Atrasa "&amp;$Y$162&amp;" casa(s): some em Atraso deste Ciclo do alvo (C8)",""))</f>
        <v/>
      </c>
      <c r="K162" s="18">
        <f>IF(CK162&gt;0,"O Google leu como fórmula: escolha de novo ou digite com ' na frente.",IF(LEN($CA$162&amp;$CB$162)=0,"",IF(NOT(ISNUMBER($N$162)),"Combatente fora da lista",IF(NOT(ISNUMBER($R$162)),"Condição fora do capítulo 21",IF(AND($CB$162="Congelado",$N$162&lt;=6),"Congelado só em inimigo (21.2)",IF(AND(ISNUMBER($CE$162),$CE$162&gt;$Z$162),"Acima do teto de "&amp;$Z$162&amp;" acúmulo(s) (21.5): usando o teto",IF($AA$162="Sim","Dano Contínuo: início do turno do alvo; ignora RD, não crita, sem dados de Fraqueza (20.6)","")))))))</f>
        <v/>
      </c>
      <c r="N162" s="19">
        <f>IF(LEN($CA$162)=0,"",IFERROR(MATCH($CA$162,$N$11:$N$26,0),""))</f>
        <v/>
      </c>
      <c r="O162" s="19">
        <f>IF(LEN($CF$162)=0,"",IFERROR(MATCH($CF$162,$N$11:$N$26,0),""))</f>
        <v/>
      </c>
      <c r="P162" s="19">
        <f>IF(ISNUMBER($O$162),INDEX($AS$11:$AS$26,$O$162),'Campanha'!$B$20)</f>
        <v/>
      </c>
      <c r="Q162" s="19">
        <f>IF(ISNUMBER($N$162),INDEX($AQ$11:$AQ$26,$N$162),0)</f>
        <v/>
      </c>
      <c r="R162" s="19">
        <f>IF(LEN($CB$162)=0,"",IFERROR(MATCH($CB$162,'Dados'!$A$324:$A$339,0),""))</f>
        <v/>
      </c>
      <c r="S162" s="19">
        <f>IF(ISNUMBER($R$162),INDEX('Dados'!$F$324:$F$339,$R$162),"")</f>
        <v/>
      </c>
      <c r="T162" s="19">
        <f>IF(ISNUMBER($R$162),INDEX('Dados'!$G$324:$G$339,$R$162),"")</f>
        <v/>
      </c>
      <c r="U162" s="19">
        <f>IF(ISNUMBER($R$162),INDEX('Dados'!$H$324:$H$339,$R$162),"")</f>
        <v/>
      </c>
      <c r="V162" s="19">
        <f>IF(ISNUMBER($R$162),INDEX('Dados'!$I$324:$I$339,$R$162),"")</f>
        <v/>
      </c>
      <c r="W162" s="19">
        <f>IF(ISNUMBER($R$162),INDEX('Dados'!$J$324:$J$339,$R$162),"")</f>
        <v/>
      </c>
      <c r="X162" s="19">
        <f>IF(ISNUMBER($R$162),INDEX('Dados'!$K$324:$K$339,$R$162),"")</f>
        <v/>
      </c>
      <c r="Y162" s="19">
        <f>IF(ISNUMBER($R$162),INDEX('Dados'!$L$324:$L$339,$R$162),"")</f>
        <v/>
      </c>
      <c r="Z162" s="19">
        <f>IF(ISNUMBER($R$162),INDEX('Dados'!$M$324:$M$339,$R$162),"")</f>
        <v/>
      </c>
      <c r="AA162" s="19">
        <f>IF(ISNUMBER($R$162),INDEX('Dados'!$N$324:$N$339,$R$162),"")</f>
        <v/>
      </c>
      <c r="AB162" s="19">
        <f>IF(ISNUMBER($CE$162),MIN($Z$162,MAX(1,INT($CE$162))),1)</f>
        <v/>
      </c>
      <c r="AC162" s="19">
        <f>IF(ISNUMBER($R$162),INDEX('Dados'!$B$324:$B$339,$R$162),"")</f>
        <v/>
      </c>
      <c r="CA162" s="19">
        <f>IF(ISERROR($A$162),"",IF(ISBLANK($A$162),"",$A$162))</f>
        <v/>
      </c>
      <c r="CB162" s="19">
        <f>IF(ISERROR($B$162),"",IF(ISBLANK($B$162),"",$B$162))</f>
        <v/>
      </c>
      <c r="CD162" s="19">
        <f>IF(ISERROR($D$162),"",IF(ISBLANK($D$162),"",$D$162))</f>
        <v/>
      </c>
      <c r="CE162" s="19">
        <f>IF(ISERROR($E$162),"",IF(ISBLANK($E$162),"",$E$162))</f>
        <v/>
      </c>
      <c r="CF162" s="19">
        <f>IF(ISERROR($F$162),"",IF(ISBLANK($F$162),"",$F$162))</f>
        <v/>
      </c>
      <c r="CK162" s="19">
        <f>ISERROR($A$162)*1+ISERROR($B$162)*1+ISERROR($D$162)*1+ISERROR($E$162)*1+ISERROR($F$162)*1</f>
        <v/>
      </c>
    </row>
    <row r="163" ht="48" customHeight="1">
      <c r="A163" s="31" t="n"/>
      <c r="B163" s="28" t="n"/>
      <c r="C163" s="16" t="n"/>
      <c r="D163" s="34" t="n"/>
      <c r="E163" s="34" t="n"/>
      <c r="F163" s="28" t="n"/>
      <c r="G163" s="16" t="n"/>
      <c r="H163" s="9">
        <f>IF(NOT(ISNUMBER($R$163)),"",IF($W$163&gt;0,"Dano Contínuo: "&amp;MIN(INT($W$163*$Q$163/100),$X$163*$P$163)&amp;" por turno",IF($S$163&gt;0,IF($AA$163="Sim","Dano Contínuo: ","Dano: ")&amp;IF($U$163="Sim",$AB$163*$S$163,$S$163)&amp;"d"&amp;$T$163&amp;IF($V$163="Sim"," + "&amp;$P$163,"")&amp;" · média "&amp;(INT(IF($U$163="Sim",$AB$163*$S$163,$S$163)*($T$163+1)/2)+IF($V$163="Sim",$P$163,0)),$AC$163))&amp;IF($Y$163&gt;0,"; Atrasa "&amp;$Y$163&amp;" casa(s): some em Atraso deste Ciclo do alvo (C8)",""))</f>
        <v/>
      </c>
      <c r="K163" s="26">
        <f>IF(CK163&gt;0,"O Google leu como fórmula: escolha de novo ou digite com ' na frente.",IF(LEN($CA$163&amp;$CB$163)=0,"",IF(NOT(ISNUMBER($N$163)),"Combatente fora da lista",IF(NOT(ISNUMBER($R$163)),"Condição fora do capítulo 21",IF(AND($CB$163="Congelado",$N$163&lt;=6),"Congelado só em inimigo (21.2)",IF(AND(ISNUMBER($CE$163),$CE$163&gt;$Z$163),"Acima do teto de "&amp;$Z$163&amp;" acúmulo(s) (21.5): usando o teto",IF($AA$163="Sim","Dano Contínuo: início do turno do alvo; ignora RD, não crita, sem dados de Fraqueza (20.6)","")))))))</f>
        <v/>
      </c>
      <c r="N163" s="19">
        <f>IF(LEN($CA$163)=0,"",IFERROR(MATCH($CA$163,$N$11:$N$26,0),""))</f>
        <v/>
      </c>
      <c r="O163" s="19">
        <f>IF(LEN($CF$163)=0,"",IFERROR(MATCH($CF$163,$N$11:$N$26,0),""))</f>
        <v/>
      </c>
      <c r="P163" s="19">
        <f>IF(ISNUMBER($O$163),INDEX($AS$11:$AS$26,$O$163),'Campanha'!$B$20)</f>
        <v/>
      </c>
      <c r="Q163" s="19">
        <f>IF(ISNUMBER($N$163),INDEX($AQ$11:$AQ$26,$N$163),0)</f>
        <v/>
      </c>
      <c r="R163" s="19">
        <f>IF(LEN($CB$163)=0,"",IFERROR(MATCH($CB$163,'Dados'!$A$324:$A$339,0),""))</f>
        <v/>
      </c>
      <c r="S163" s="19">
        <f>IF(ISNUMBER($R$163),INDEX('Dados'!$F$324:$F$339,$R$163),"")</f>
        <v/>
      </c>
      <c r="T163" s="19">
        <f>IF(ISNUMBER($R$163),INDEX('Dados'!$G$324:$G$339,$R$163),"")</f>
        <v/>
      </c>
      <c r="U163" s="19">
        <f>IF(ISNUMBER($R$163),INDEX('Dados'!$H$324:$H$339,$R$163),"")</f>
        <v/>
      </c>
      <c r="V163" s="19">
        <f>IF(ISNUMBER($R$163),INDEX('Dados'!$I$324:$I$339,$R$163),"")</f>
        <v/>
      </c>
      <c r="W163" s="19">
        <f>IF(ISNUMBER($R$163),INDEX('Dados'!$J$324:$J$339,$R$163),"")</f>
        <v/>
      </c>
      <c r="X163" s="19">
        <f>IF(ISNUMBER($R$163),INDEX('Dados'!$K$324:$K$339,$R$163),"")</f>
        <v/>
      </c>
      <c r="Y163" s="19">
        <f>IF(ISNUMBER($R$163),INDEX('Dados'!$L$324:$L$339,$R$163),"")</f>
        <v/>
      </c>
      <c r="Z163" s="19">
        <f>IF(ISNUMBER($R$163),INDEX('Dados'!$M$324:$M$339,$R$163),"")</f>
        <v/>
      </c>
      <c r="AA163" s="19">
        <f>IF(ISNUMBER($R$163),INDEX('Dados'!$N$324:$N$339,$R$163),"")</f>
        <v/>
      </c>
      <c r="AB163" s="19">
        <f>IF(ISNUMBER($CE$163),MIN($Z$163,MAX(1,INT($CE$163))),1)</f>
        <v/>
      </c>
      <c r="AC163" s="19">
        <f>IF(ISNUMBER($R$163),INDEX('Dados'!$B$324:$B$339,$R$163),"")</f>
        <v/>
      </c>
      <c r="CA163" s="19">
        <f>IF(ISERROR($A$163),"",IF(ISBLANK($A$163),"",$A$163))</f>
        <v/>
      </c>
      <c r="CB163" s="19">
        <f>IF(ISERROR($B$163),"",IF(ISBLANK($B$163),"",$B$163))</f>
        <v/>
      </c>
      <c r="CD163" s="19">
        <f>IF(ISERROR($D$163),"",IF(ISBLANK($D$163),"",$D$163))</f>
        <v/>
      </c>
      <c r="CE163" s="19">
        <f>IF(ISERROR($E$163),"",IF(ISBLANK($E$163),"",$E$163))</f>
        <v/>
      </c>
      <c r="CF163" s="19">
        <f>IF(ISERROR($F$163),"",IF(ISBLANK($F$163),"",$F$163))</f>
        <v/>
      </c>
      <c r="CK163" s="19">
        <f>ISERROR($A$163)*1+ISERROR($B$163)*1+ISERROR($D$163)*1+ISERROR($E$163)*1+ISERROR($F$163)*1</f>
        <v/>
      </c>
    </row>
    <row r="164" ht="48" customHeight="1">
      <c r="A164" s="30" t="n"/>
      <c r="B164" s="3" t="n"/>
      <c r="C164" s="16" t="n"/>
      <c r="D164" s="15" t="n"/>
      <c r="E164" s="15" t="n"/>
      <c r="F164" s="3" t="n"/>
      <c r="G164" s="16" t="n"/>
      <c r="H164" s="4">
        <f>IF(NOT(ISNUMBER($R$164)),"",IF($W$164&gt;0,"Dano Contínuo: "&amp;MIN(INT($W$164*$Q$164/100),$X$164*$P$164)&amp;" por turno",IF($S$164&gt;0,IF($AA$164="Sim","Dano Contínuo: ","Dano: ")&amp;IF($U$164="Sim",$AB$164*$S$164,$S$164)&amp;"d"&amp;$T$164&amp;IF($V$164="Sim"," + "&amp;$P$164,"")&amp;" · média "&amp;(INT(IF($U$164="Sim",$AB$164*$S$164,$S$164)*($T$164+1)/2)+IF($V$164="Sim",$P$164,0)),$AC$164))&amp;IF($Y$164&gt;0,"; Atrasa "&amp;$Y$164&amp;" casa(s): some em Atraso deste Ciclo do alvo (C8)",""))</f>
        <v/>
      </c>
      <c r="K164" s="18">
        <f>IF(CK164&gt;0,"O Google leu como fórmula: escolha de novo ou digite com ' na frente.",IF(LEN($CA$164&amp;$CB$164)=0,"",IF(NOT(ISNUMBER($N$164)),"Combatente fora da lista",IF(NOT(ISNUMBER($R$164)),"Condição fora do capítulo 21",IF(AND($CB$164="Congelado",$N$164&lt;=6),"Congelado só em inimigo (21.2)",IF(AND(ISNUMBER($CE$164),$CE$164&gt;$Z$164),"Acima do teto de "&amp;$Z$164&amp;" acúmulo(s) (21.5): usando o teto",IF($AA$164="Sim","Dano Contínuo: início do turno do alvo; ignora RD, não crita, sem dados de Fraqueza (20.6)","")))))))</f>
        <v/>
      </c>
      <c r="N164" s="19">
        <f>IF(LEN($CA$164)=0,"",IFERROR(MATCH($CA$164,$N$11:$N$26,0),""))</f>
        <v/>
      </c>
      <c r="O164" s="19">
        <f>IF(LEN($CF$164)=0,"",IFERROR(MATCH($CF$164,$N$11:$N$26,0),""))</f>
        <v/>
      </c>
      <c r="P164" s="19">
        <f>IF(ISNUMBER($O$164),INDEX($AS$11:$AS$26,$O$164),'Campanha'!$B$20)</f>
        <v/>
      </c>
      <c r="Q164" s="19">
        <f>IF(ISNUMBER($N$164),INDEX($AQ$11:$AQ$26,$N$164),0)</f>
        <v/>
      </c>
      <c r="R164" s="19">
        <f>IF(LEN($CB$164)=0,"",IFERROR(MATCH($CB$164,'Dados'!$A$324:$A$339,0),""))</f>
        <v/>
      </c>
      <c r="S164" s="19">
        <f>IF(ISNUMBER($R$164),INDEX('Dados'!$F$324:$F$339,$R$164),"")</f>
        <v/>
      </c>
      <c r="T164" s="19">
        <f>IF(ISNUMBER($R$164),INDEX('Dados'!$G$324:$G$339,$R$164),"")</f>
        <v/>
      </c>
      <c r="U164" s="19">
        <f>IF(ISNUMBER($R$164),INDEX('Dados'!$H$324:$H$339,$R$164),"")</f>
        <v/>
      </c>
      <c r="V164" s="19">
        <f>IF(ISNUMBER($R$164),INDEX('Dados'!$I$324:$I$339,$R$164),"")</f>
        <v/>
      </c>
      <c r="W164" s="19">
        <f>IF(ISNUMBER($R$164),INDEX('Dados'!$J$324:$J$339,$R$164),"")</f>
        <v/>
      </c>
      <c r="X164" s="19">
        <f>IF(ISNUMBER($R$164),INDEX('Dados'!$K$324:$K$339,$R$164),"")</f>
        <v/>
      </c>
      <c r="Y164" s="19">
        <f>IF(ISNUMBER($R$164),INDEX('Dados'!$L$324:$L$339,$R$164),"")</f>
        <v/>
      </c>
      <c r="Z164" s="19">
        <f>IF(ISNUMBER($R$164),INDEX('Dados'!$M$324:$M$339,$R$164),"")</f>
        <v/>
      </c>
      <c r="AA164" s="19">
        <f>IF(ISNUMBER($R$164),INDEX('Dados'!$N$324:$N$339,$R$164),"")</f>
        <v/>
      </c>
      <c r="AB164" s="19">
        <f>IF(ISNUMBER($CE$164),MIN($Z$164,MAX(1,INT($CE$164))),1)</f>
        <v/>
      </c>
      <c r="AC164" s="19">
        <f>IF(ISNUMBER($R$164),INDEX('Dados'!$B$324:$B$339,$R$164),"")</f>
        <v/>
      </c>
      <c r="CA164" s="19">
        <f>IF(ISERROR($A$164),"",IF(ISBLANK($A$164),"",$A$164))</f>
        <v/>
      </c>
      <c r="CB164" s="19">
        <f>IF(ISERROR($B$164),"",IF(ISBLANK($B$164),"",$B$164))</f>
        <v/>
      </c>
      <c r="CD164" s="19">
        <f>IF(ISERROR($D$164),"",IF(ISBLANK($D$164),"",$D$164))</f>
        <v/>
      </c>
      <c r="CE164" s="19">
        <f>IF(ISERROR($E$164),"",IF(ISBLANK($E$164),"",$E$164))</f>
        <v/>
      </c>
      <c r="CF164" s="19">
        <f>IF(ISERROR($F$164),"",IF(ISBLANK($F$164),"",$F$164))</f>
        <v/>
      </c>
      <c r="CK164" s="19">
        <f>ISERROR($A$164)*1+ISERROR($B$164)*1+ISERROR($D$164)*1+ISERROR($E$164)*1+ISERROR($F$164)*1</f>
        <v/>
      </c>
    </row>
    <row r="165" ht="48" customHeight="1">
      <c r="A165" s="31" t="n"/>
      <c r="B165" s="28" t="n"/>
      <c r="C165" s="16" t="n"/>
      <c r="D165" s="34" t="n"/>
      <c r="E165" s="34" t="n"/>
      <c r="F165" s="28" t="n"/>
      <c r="G165" s="16" t="n"/>
      <c r="H165" s="9">
        <f>IF(NOT(ISNUMBER($R$165)),"",IF($W$165&gt;0,"Dano Contínuo: "&amp;MIN(INT($W$165*$Q$165/100),$X$165*$P$165)&amp;" por turno",IF($S$165&gt;0,IF($AA$165="Sim","Dano Contínuo: ","Dano: ")&amp;IF($U$165="Sim",$AB$165*$S$165,$S$165)&amp;"d"&amp;$T$165&amp;IF($V$165="Sim"," + "&amp;$P$165,"")&amp;" · média "&amp;(INT(IF($U$165="Sim",$AB$165*$S$165,$S$165)*($T$165+1)/2)+IF($V$165="Sim",$P$165,0)),$AC$165))&amp;IF($Y$165&gt;0,"; Atrasa "&amp;$Y$165&amp;" casa(s): some em Atraso deste Ciclo do alvo (C8)",""))</f>
        <v/>
      </c>
      <c r="K165" s="26">
        <f>IF(CK165&gt;0,"O Google leu como fórmula: escolha de novo ou digite com ' na frente.",IF(LEN($CA$165&amp;$CB$165)=0,"",IF(NOT(ISNUMBER($N$165)),"Combatente fora da lista",IF(NOT(ISNUMBER($R$165)),"Condição fora do capítulo 21",IF(AND($CB$165="Congelado",$N$165&lt;=6),"Congelado só em inimigo (21.2)",IF(AND(ISNUMBER($CE$165),$CE$165&gt;$Z$165),"Acima do teto de "&amp;$Z$165&amp;" acúmulo(s) (21.5): usando o teto",IF($AA$165="Sim","Dano Contínuo: início do turno do alvo; ignora RD, não crita, sem dados de Fraqueza (20.6)","")))))))</f>
        <v/>
      </c>
      <c r="N165" s="19">
        <f>IF(LEN($CA$165)=0,"",IFERROR(MATCH($CA$165,$N$11:$N$26,0),""))</f>
        <v/>
      </c>
      <c r="O165" s="19">
        <f>IF(LEN($CF$165)=0,"",IFERROR(MATCH($CF$165,$N$11:$N$26,0),""))</f>
        <v/>
      </c>
      <c r="P165" s="19">
        <f>IF(ISNUMBER($O$165),INDEX($AS$11:$AS$26,$O$165),'Campanha'!$B$20)</f>
        <v/>
      </c>
      <c r="Q165" s="19">
        <f>IF(ISNUMBER($N$165),INDEX($AQ$11:$AQ$26,$N$165),0)</f>
        <v/>
      </c>
      <c r="R165" s="19">
        <f>IF(LEN($CB$165)=0,"",IFERROR(MATCH($CB$165,'Dados'!$A$324:$A$339,0),""))</f>
        <v/>
      </c>
      <c r="S165" s="19">
        <f>IF(ISNUMBER($R$165),INDEX('Dados'!$F$324:$F$339,$R$165),"")</f>
        <v/>
      </c>
      <c r="T165" s="19">
        <f>IF(ISNUMBER($R$165),INDEX('Dados'!$G$324:$G$339,$R$165),"")</f>
        <v/>
      </c>
      <c r="U165" s="19">
        <f>IF(ISNUMBER($R$165),INDEX('Dados'!$H$324:$H$339,$R$165),"")</f>
        <v/>
      </c>
      <c r="V165" s="19">
        <f>IF(ISNUMBER($R$165),INDEX('Dados'!$I$324:$I$339,$R$165),"")</f>
        <v/>
      </c>
      <c r="W165" s="19">
        <f>IF(ISNUMBER($R$165),INDEX('Dados'!$J$324:$J$339,$R$165),"")</f>
        <v/>
      </c>
      <c r="X165" s="19">
        <f>IF(ISNUMBER($R$165),INDEX('Dados'!$K$324:$K$339,$R$165),"")</f>
        <v/>
      </c>
      <c r="Y165" s="19">
        <f>IF(ISNUMBER($R$165),INDEX('Dados'!$L$324:$L$339,$R$165),"")</f>
        <v/>
      </c>
      <c r="Z165" s="19">
        <f>IF(ISNUMBER($R$165),INDEX('Dados'!$M$324:$M$339,$R$165),"")</f>
        <v/>
      </c>
      <c r="AA165" s="19">
        <f>IF(ISNUMBER($R$165),INDEX('Dados'!$N$324:$N$339,$R$165),"")</f>
        <v/>
      </c>
      <c r="AB165" s="19">
        <f>IF(ISNUMBER($CE$165),MIN($Z$165,MAX(1,INT($CE$165))),1)</f>
        <v/>
      </c>
      <c r="AC165" s="19">
        <f>IF(ISNUMBER($R$165),INDEX('Dados'!$B$324:$B$339,$R$165),"")</f>
        <v/>
      </c>
      <c r="CA165" s="19">
        <f>IF(ISERROR($A$165),"",IF(ISBLANK($A$165),"",$A$165))</f>
        <v/>
      </c>
      <c r="CB165" s="19">
        <f>IF(ISERROR($B$165),"",IF(ISBLANK($B$165),"",$B$165))</f>
        <v/>
      </c>
      <c r="CD165" s="19">
        <f>IF(ISERROR($D$165),"",IF(ISBLANK($D$165),"",$D$165))</f>
        <v/>
      </c>
      <c r="CE165" s="19">
        <f>IF(ISERROR($E$165),"",IF(ISBLANK($E$165),"",$E$165))</f>
        <v/>
      </c>
      <c r="CF165" s="19">
        <f>IF(ISERROR($F$165),"",IF(ISBLANK($F$165),"",$F$165))</f>
        <v/>
      </c>
      <c r="CK165" s="19">
        <f>ISERROR($A$165)*1+ISERROR($B$165)*1+ISERROR($D$165)*1+ISERROR($E$165)*1+ISERROR($F$165)*1</f>
        <v/>
      </c>
    </row>
    <row r="166" ht="48" customHeight="1">
      <c r="A166" s="30" t="n"/>
      <c r="B166" s="3" t="n"/>
      <c r="C166" s="16" t="n"/>
      <c r="D166" s="15" t="n"/>
      <c r="E166" s="15" t="n"/>
      <c r="F166" s="3" t="n"/>
      <c r="G166" s="16" t="n"/>
      <c r="H166" s="4">
        <f>IF(NOT(ISNUMBER($R$166)),"",IF($W$166&gt;0,"Dano Contínuo: "&amp;MIN(INT($W$166*$Q$166/100),$X$166*$P$166)&amp;" por turno",IF($S$166&gt;0,IF($AA$166="Sim","Dano Contínuo: ","Dano: ")&amp;IF($U$166="Sim",$AB$166*$S$166,$S$166)&amp;"d"&amp;$T$166&amp;IF($V$166="Sim"," + "&amp;$P$166,"")&amp;" · média "&amp;(INT(IF($U$166="Sim",$AB$166*$S$166,$S$166)*($T$166+1)/2)+IF($V$166="Sim",$P$166,0)),$AC$166))&amp;IF($Y$166&gt;0,"; Atrasa "&amp;$Y$166&amp;" casa(s): some em Atraso deste Ciclo do alvo (C8)",""))</f>
        <v/>
      </c>
      <c r="K166" s="18">
        <f>IF(CK166&gt;0,"O Google leu como fórmula: escolha de novo ou digite com ' na frente.",IF(LEN($CA$166&amp;$CB$166)=0,"",IF(NOT(ISNUMBER($N$166)),"Combatente fora da lista",IF(NOT(ISNUMBER($R$166)),"Condição fora do capítulo 21",IF(AND($CB$166="Congelado",$N$166&lt;=6),"Congelado só em inimigo (21.2)",IF(AND(ISNUMBER($CE$166),$CE$166&gt;$Z$166),"Acima do teto de "&amp;$Z$166&amp;" acúmulo(s) (21.5): usando o teto",IF($AA$166="Sim","Dano Contínuo: início do turno do alvo; ignora RD, não crita, sem dados de Fraqueza (20.6)","")))))))</f>
        <v/>
      </c>
      <c r="N166" s="19">
        <f>IF(LEN($CA$166)=0,"",IFERROR(MATCH($CA$166,$N$11:$N$26,0),""))</f>
        <v/>
      </c>
      <c r="O166" s="19">
        <f>IF(LEN($CF$166)=0,"",IFERROR(MATCH($CF$166,$N$11:$N$26,0),""))</f>
        <v/>
      </c>
      <c r="P166" s="19">
        <f>IF(ISNUMBER($O$166),INDEX($AS$11:$AS$26,$O$166),'Campanha'!$B$20)</f>
        <v/>
      </c>
      <c r="Q166" s="19">
        <f>IF(ISNUMBER($N$166),INDEX($AQ$11:$AQ$26,$N$166),0)</f>
        <v/>
      </c>
      <c r="R166" s="19">
        <f>IF(LEN($CB$166)=0,"",IFERROR(MATCH($CB$166,'Dados'!$A$324:$A$339,0),""))</f>
        <v/>
      </c>
      <c r="S166" s="19">
        <f>IF(ISNUMBER($R$166),INDEX('Dados'!$F$324:$F$339,$R$166),"")</f>
        <v/>
      </c>
      <c r="T166" s="19">
        <f>IF(ISNUMBER($R$166),INDEX('Dados'!$G$324:$G$339,$R$166),"")</f>
        <v/>
      </c>
      <c r="U166" s="19">
        <f>IF(ISNUMBER($R$166),INDEX('Dados'!$H$324:$H$339,$R$166),"")</f>
        <v/>
      </c>
      <c r="V166" s="19">
        <f>IF(ISNUMBER($R$166),INDEX('Dados'!$I$324:$I$339,$R$166),"")</f>
        <v/>
      </c>
      <c r="W166" s="19">
        <f>IF(ISNUMBER($R$166),INDEX('Dados'!$J$324:$J$339,$R$166),"")</f>
        <v/>
      </c>
      <c r="X166" s="19">
        <f>IF(ISNUMBER($R$166),INDEX('Dados'!$K$324:$K$339,$R$166),"")</f>
        <v/>
      </c>
      <c r="Y166" s="19">
        <f>IF(ISNUMBER($R$166),INDEX('Dados'!$L$324:$L$339,$R$166),"")</f>
        <v/>
      </c>
      <c r="Z166" s="19">
        <f>IF(ISNUMBER($R$166),INDEX('Dados'!$M$324:$M$339,$R$166),"")</f>
        <v/>
      </c>
      <c r="AA166" s="19">
        <f>IF(ISNUMBER($R$166),INDEX('Dados'!$N$324:$N$339,$R$166),"")</f>
        <v/>
      </c>
      <c r="AB166" s="19">
        <f>IF(ISNUMBER($CE$166),MIN($Z$166,MAX(1,INT($CE$166))),1)</f>
        <v/>
      </c>
      <c r="AC166" s="19">
        <f>IF(ISNUMBER($R$166),INDEX('Dados'!$B$324:$B$339,$R$166),"")</f>
        <v/>
      </c>
      <c r="CA166" s="19">
        <f>IF(ISERROR($A$166),"",IF(ISBLANK($A$166),"",$A$166))</f>
        <v/>
      </c>
      <c r="CB166" s="19">
        <f>IF(ISERROR($B$166),"",IF(ISBLANK($B$166),"",$B$166))</f>
        <v/>
      </c>
      <c r="CD166" s="19">
        <f>IF(ISERROR($D$166),"",IF(ISBLANK($D$166),"",$D$166))</f>
        <v/>
      </c>
      <c r="CE166" s="19">
        <f>IF(ISERROR($E$166),"",IF(ISBLANK($E$166),"",$E$166))</f>
        <v/>
      </c>
      <c r="CF166" s="19">
        <f>IF(ISERROR($F$166),"",IF(ISBLANK($F$166),"",$F$166))</f>
        <v/>
      </c>
      <c r="CK166" s="19">
        <f>ISERROR($A$166)*1+ISERROR($B$166)*1+ISERROR($D$166)*1+ISERROR($E$166)*1+ISERROR($F$166)*1</f>
        <v/>
      </c>
    </row>
    <row r="167" ht="48" customHeight="1">
      <c r="A167" s="31" t="n"/>
      <c r="B167" s="28" t="n"/>
      <c r="C167" s="16" t="n"/>
      <c r="D167" s="34" t="n"/>
      <c r="E167" s="34" t="n"/>
      <c r="F167" s="28" t="n"/>
      <c r="G167" s="16" t="n"/>
      <c r="H167" s="9">
        <f>IF(NOT(ISNUMBER($R$167)),"",IF($W$167&gt;0,"Dano Contínuo: "&amp;MIN(INT($W$167*$Q$167/100),$X$167*$P$167)&amp;" por turno",IF($S$167&gt;0,IF($AA$167="Sim","Dano Contínuo: ","Dano: ")&amp;IF($U$167="Sim",$AB$167*$S$167,$S$167)&amp;"d"&amp;$T$167&amp;IF($V$167="Sim"," + "&amp;$P$167,"")&amp;" · média "&amp;(INT(IF($U$167="Sim",$AB$167*$S$167,$S$167)*($T$167+1)/2)+IF($V$167="Sim",$P$167,0)),$AC$167))&amp;IF($Y$167&gt;0,"; Atrasa "&amp;$Y$167&amp;" casa(s): some em Atraso deste Ciclo do alvo (C8)",""))</f>
        <v/>
      </c>
      <c r="K167" s="26">
        <f>IF(CK167&gt;0,"O Google leu como fórmula: escolha de novo ou digite com ' na frente.",IF(LEN($CA$167&amp;$CB$167)=0,"",IF(NOT(ISNUMBER($N$167)),"Combatente fora da lista",IF(NOT(ISNUMBER($R$167)),"Condição fora do capítulo 21",IF(AND($CB$167="Congelado",$N$167&lt;=6),"Congelado só em inimigo (21.2)",IF(AND(ISNUMBER($CE$167),$CE$167&gt;$Z$167),"Acima do teto de "&amp;$Z$167&amp;" acúmulo(s) (21.5): usando o teto",IF($AA$167="Sim","Dano Contínuo: início do turno do alvo; ignora RD, não crita, sem dados de Fraqueza (20.6)","")))))))</f>
        <v/>
      </c>
      <c r="N167" s="19">
        <f>IF(LEN($CA$167)=0,"",IFERROR(MATCH($CA$167,$N$11:$N$26,0),""))</f>
        <v/>
      </c>
      <c r="O167" s="19">
        <f>IF(LEN($CF$167)=0,"",IFERROR(MATCH($CF$167,$N$11:$N$26,0),""))</f>
        <v/>
      </c>
      <c r="P167" s="19">
        <f>IF(ISNUMBER($O$167),INDEX($AS$11:$AS$26,$O$167),'Campanha'!$B$20)</f>
        <v/>
      </c>
      <c r="Q167" s="19">
        <f>IF(ISNUMBER($N$167),INDEX($AQ$11:$AQ$26,$N$167),0)</f>
        <v/>
      </c>
      <c r="R167" s="19">
        <f>IF(LEN($CB$167)=0,"",IFERROR(MATCH($CB$167,'Dados'!$A$324:$A$339,0),""))</f>
        <v/>
      </c>
      <c r="S167" s="19">
        <f>IF(ISNUMBER($R$167),INDEX('Dados'!$F$324:$F$339,$R$167),"")</f>
        <v/>
      </c>
      <c r="T167" s="19">
        <f>IF(ISNUMBER($R$167),INDEX('Dados'!$G$324:$G$339,$R$167),"")</f>
        <v/>
      </c>
      <c r="U167" s="19">
        <f>IF(ISNUMBER($R$167),INDEX('Dados'!$H$324:$H$339,$R$167),"")</f>
        <v/>
      </c>
      <c r="V167" s="19">
        <f>IF(ISNUMBER($R$167),INDEX('Dados'!$I$324:$I$339,$R$167),"")</f>
        <v/>
      </c>
      <c r="W167" s="19">
        <f>IF(ISNUMBER($R$167),INDEX('Dados'!$J$324:$J$339,$R$167),"")</f>
        <v/>
      </c>
      <c r="X167" s="19">
        <f>IF(ISNUMBER($R$167),INDEX('Dados'!$K$324:$K$339,$R$167),"")</f>
        <v/>
      </c>
      <c r="Y167" s="19">
        <f>IF(ISNUMBER($R$167),INDEX('Dados'!$L$324:$L$339,$R$167),"")</f>
        <v/>
      </c>
      <c r="Z167" s="19">
        <f>IF(ISNUMBER($R$167),INDEX('Dados'!$M$324:$M$339,$R$167),"")</f>
        <v/>
      </c>
      <c r="AA167" s="19">
        <f>IF(ISNUMBER($R$167),INDEX('Dados'!$N$324:$N$339,$R$167),"")</f>
        <v/>
      </c>
      <c r="AB167" s="19">
        <f>IF(ISNUMBER($CE$167),MIN($Z$167,MAX(1,INT($CE$167))),1)</f>
        <v/>
      </c>
      <c r="AC167" s="19">
        <f>IF(ISNUMBER($R$167),INDEX('Dados'!$B$324:$B$339,$R$167),"")</f>
        <v/>
      </c>
      <c r="CA167" s="19">
        <f>IF(ISERROR($A$167),"",IF(ISBLANK($A$167),"",$A$167))</f>
        <v/>
      </c>
      <c r="CB167" s="19">
        <f>IF(ISERROR($B$167),"",IF(ISBLANK($B$167),"",$B$167))</f>
        <v/>
      </c>
      <c r="CD167" s="19">
        <f>IF(ISERROR($D$167),"",IF(ISBLANK($D$167),"",$D$167))</f>
        <v/>
      </c>
      <c r="CE167" s="19">
        <f>IF(ISERROR($E$167),"",IF(ISBLANK($E$167),"",$E$167))</f>
        <v/>
      </c>
      <c r="CF167" s="19">
        <f>IF(ISERROR($F$167),"",IF(ISBLANK($F$167),"",$F$167))</f>
        <v/>
      </c>
      <c r="CK167" s="19">
        <f>ISERROR($A$167)*1+ISERROR($B$167)*1+ISERROR($D$167)*1+ISERROR($E$167)*1+ISERROR($F$167)*1</f>
        <v/>
      </c>
    </row>
    <row r="168" ht="48" customHeight="1">
      <c r="A168" s="30" t="n"/>
      <c r="B168" s="3" t="n"/>
      <c r="C168" s="16" t="n"/>
      <c r="D168" s="15" t="n"/>
      <c r="E168" s="15" t="n"/>
      <c r="F168" s="3" t="n"/>
      <c r="G168" s="16" t="n"/>
      <c r="H168" s="4">
        <f>IF(NOT(ISNUMBER($R$168)),"",IF($W$168&gt;0,"Dano Contínuo: "&amp;MIN(INT($W$168*$Q$168/100),$X$168*$P$168)&amp;" por turno",IF($S$168&gt;0,IF($AA$168="Sim","Dano Contínuo: ","Dano: ")&amp;IF($U$168="Sim",$AB$168*$S$168,$S$168)&amp;"d"&amp;$T$168&amp;IF($V$168="Sim"," + "&amp;$P$168,"")&amp;" · média "&amp;(INT(IF($U$168="Sim",$AB$168*$S$168,$S$168)*($T$168+1)/2)+IF($V$168="Sim",$P$168,0)),$AC$168))&amp;IF($Y$168&gt;0,"; Atrasa "&amp;$Y$168&amp;" casa(s): some em Atraso deste Ciclo do alvo (C8)",""))</f>
        <v/>
      </c>
      <c r="K168" s="18">
        <f>IF(CK168&gt;0,"O Google leu como fórmula: escolha de novo ou digite com ' na frente.",IF(LEN($CA$168&amp;$CB$168)=0,"",IF(NOT(ISNUMBER($N$168)),"Combatente fora da lista",IF(NOT(ISNUMBER($R$168)),"Condição fora do capítulo 21",IF(AND($CB$168="Congelado",$N$168&lt;=6),"Congelado só em inimigo (21.2)",IF(AND(ISNUMBER($CE$168),$CE$168&gt;$Z$168),"Acima do teto de "&amp;$Z$168&amp;" acúmulo(s) (21.5): usando o teto",IF($AA$168="Sim","Dano Contínuo: início do turno do alvo; ignora RD, não crita, sem dados de Fraqueza (20.6)","")))))))</f>
        <v/>
      </c>
      <c r="N168" s="19">
        <f>IF(LEN($CA$168)=0,"",IFERROR(MATCH($CA$168,$N$11:$N$26,0),""))</f>
        <v/>
      </c>
      <c r="O168" s="19">
        <f>IF(LEN($CF$168)=0,"",IFERROR(MATCH($CF$168,$N$11:$N$26,0),""))</f>
        <v/>
      </c>
      <c r="P168" s="19">
        <f>IF(ISNUMBER($O$168),INDEX($AS$11:$AS$26,$O$168),'Campanha'!$B$20)</f>
        <v/>
      </c>
      <c r="Q168" s="19">
        <f>IF(ISNUMBER($N$168),INDEX($AQ$11:$AQ$26,$N$168),0)</f>
        <v/>
      </c>
      <c r="R168" s="19">
        <f>IF(LEN($CB$168)=0,"",IFERROR(MATCH($CB$168,'Dados'!$A$324:$A$339,0),""))</f>
        <v/>
      </c>
      <c r="S168" s="19">
        <f>IF(ISNUMBER($R$168),INDEX('Dados'!$F$324:$F$339,$R$168),"")</f>
        <v/>
      </c>
      <c r="T168" s="19">
        <f>IF(ISNUMBER($R$168),INDEX('Dados'!$G$324:$G$339,$R$168),"")</f>
        <v/>
      </c>
      <c r="U168" s="19">
        <f>IF(ISNUMBER($R$168),INDEX('Dados'!$H$324:$H$339,$R$168),"")</f>
        <v/>
      </c>
      <c r="V168" s="19">
        <f>IF(ISNUMBER($R$168),INDEX('Dados'!$I$324:$I$339,$R$168),"")</f>
        <v/>
      </c>
      <c r="W168" s="19">
        <f>IF(ISNUMBER($R$168),INDEX('Dados'!$J$324:$J$339,$R$168),"")</f>
        <v/>
      </c>
      <c r="X168" s="19">
        <f>IF(ISNUMBER($R$168),INDEX('Dados'!$K$324:$K$339,$R$168),"")</f>
        <v/>
      </c>
      <c r="Y168" s="19">
        <f>IF(ISNUMBER($R$168),INDEX('Dados'!$L$324:$L$339,$R$168),"")</f>
        <v/>
      </c>
      <c r="Z168" s="19">
        <f>IF(ISNUMBER($R$168),INDEX('Dados'!$M$324:$M$339,$R$168),"")</f>
        <v/>
      </c>
      <c r="AA168" s="19">
        <f>IF(ISNUMBER($R$168),INDEX('Dados'!$N$324:$N$339,$R$168),"")</f>
        <v/>
      </c>
      <c r="AB168" s="19">
        <f>IF(ISNUMBER($CE$168),MIN($Z$168,MAX(1,INT($CE$168))),1)</f>
        <v/>
      </c>
      <c r="AC168" s="19">
        <f>IF(ISNUMBER($R$168),INDEX('Dados'!$B$324:$B$339,$R$168),"")</f>
        <v/>
      </c>
      <c r="CA168" s="19">
        <f>IF(ISERROR($A$168),"",IF(ISBLANK($A$168),"",$A$168))</f>
        <v/>
      </c>
      <c r="CB168" s="19">
        <f>IF(ISERROR($B$168),"",IF(ISBLANK($B$168),"",$B$168))</f>
        <v/>
      </c>
      <c r="CD168" s="19">
        <f>IF(ISERROR($D$168),"",IF(ISBLANK($D$168),"",$D$168))</f>
        <v/>
      </c>
      <c r="CE168" s="19">
        <f>IF(ISERROR($E$168),"",IF(ISBLANK($E$168),"",$E$168))</f>
        <v/>
      </c>
      <c r="CF168" s="19">
        <f>IF(ISERROR($F$168),"",IF(ISBLANK($F$168),"",$F$168))</f>
        <v/>
      </c>
      <c r="CK168" s="19">
        <f>ISERROR($A$168)*1+ISERROR($B$168)*1+ISERROR($D$168)*1+ISERROR($E$168)*1+ISERROR($F$168)*1</f>
        <v/>
      </c>
    </row>
    <row r="169" ht="48" customHeight="1">
      <c r="A169" s="31" t="n"/>
      <c r="B169" s="28" t="n"/>
      <c r="C169" s="16" t="n"/>
      <c r="D169" s="34" t="n"/>
      <c r="E169" s="34" t="n"/>
      <c r="F169" s="28" t="n"/>
      <c r="G169" s="16" t="n"/>
      <c r="H169" s="9">
        <f>IF(NOT(ISNUMBER($R$169)),"",IF($W$169&gt;0,"Dano Contínuo: "&amp;MIN(INT($W$169*$Q$169/100),$X$169*$P$169)&amp;" por turno",IF($S$169&gt;0,IF($AA$169="Sim","Dano Contínuo: ","Dano: ")&amp;IF($U$169="Sim",$AB$169*$S$169,$S$169)&amp;"d"&amp;$T$169&amp;IF($V$169="Sim"," + "&amp;$P$169,"")&amp;" · média "&amp;(INT(IF($U$169="Sim",$AB$169*$S$169,$S$169)*($T$169+1)/2)+IF($V$169="Sim",$P$169,0)),$AC$169))&amp;IF($Y$169&gt;0,"; Atrasa "&amp;$Y$169&amp;" casa(s): some em Atraso deste Ciclo do alvo (C8)",""))</f>
        <v/>
      </c>
      <c r="K169" s="26">
        <f>IF(CK169&gt;0,"O Google leu como fórmula: escolha de novo ou digite com ' na frente.",IF(LEN($CA$169&amp;$CB$169)=0,"",IF(NOT(ISNUMBER($N$169)),"Combatente fora da lista",IF(NOT(ISNUMBER($R$169)),"Condição fora do capítulo 21",IF(AND($CB$169="Congelado",$N$169&lt;=6),"Congelado só em inimigo (21.2)",IF(AND(ISNUMBER($CE$169),$CE$169&gt;$Z$169),"Acima do teto de "&amp;$Z$169&amp;" acúmulo(s) (21.5): usando o teto",IF($AA$169="Sim","Dano Contínuo: início do turno do alvo; ignora RD, não crita, sem dados de Fraqueza (20.6)","")))))))</f>
        <v/>
      </c>
      <c r="N169" s="19">
        <f>IF(LEN($CA$169)=0,"",IFERROR(MATCH($CA$169,$N$11:$N$26,0),""))</f>
        <v/>
      </c>
      <c r="O169" s="19">
        <f>IF(LEN($CF$169)=0,"",IFERROR(MATCH($CF$169,$N$11:$N$26,0),""))</f>
        <v/>
      </c>
      <c r="P169" s="19">
        <f>IF(ISNUMBER($O$169),INDEX($AS$11:$AS$26,$O$169),'Campanha'!$B$20)</f>
        <v/>
      </c>
      <c r="Q169" s="19">
        <f>IF(ISNUMBER($N$169),INDEX($AQ$11:$AQ$26,$N$169),0)</f>
        <v/>
      </c>
      <c r="R169" s="19">
        <f>IF(LEN($CB$169)=0,"",IFERROR(MATCH($CB$169,'Dados'!$A$324:$A$339,0),""))</f>
        <v/>
      </c>
      <c r="S169" s="19">
        <f>IF(ISNUMBER($R$169),INDEX('Dados'!$F$324:$F$339,$R$169),"")</f>
        <v/>
      </c>
      <c r="T169" s="19">
        <f>IF(ISNUMBER($R$169),INDEX('Dados'!$G$324:$G$339,$R$169),"")</f>
        <v/>
      </c>
      <c r="U169" s="19">
        <f>IF(ISNUMBER($R$169),INDEX('Dados'!$H$324:$H$339,$R$169),"")</f>
        <v/>
      </c>
      <c r="V169" s="19">
        <f>IF(ISNUMBER($R$169),INDEX('Dados'!$I$324:$I$339,$R$169),"")</f>
        <v/>
      </c>
      <c r="W169" s="19">
        <f>IF(ISNUMBER($R$169),INDEX('Dados'!$J$324:$J$339,$R$169),"")</f>
        <v/>
      </c>
      <c r="X169" s="19">
        <f>IF(ISNUMBER($R$169),INDEX('Dados'!$K$324:$K$339,$R$169),"")</f>
        <v/>
      </c>
      <c r="Y169" s="19">
        <f>IF(ISNUMBER($R$169),INDEX('Dados'!$L$324:$L$339,$R$169),"")</f>
        <v/>
      </c>
      <c r="Z169" s="19">
        <f>IF(ISNUMBER($R$169),INDEX('Dados'!$M$324:$M$339,$R$169),"")</f>
        <v/>
      </c>
      <c r="AA169" s="19">
        <f>IF(ISNUMBER($R$169),INDEX('Dados'!$N$324:$N$339,$R$169),"")</f>
        <v/>
      </c>
      <c r="AB169" s="19">
        <f>IF(ISNUMBER($CE$169),MIN($Z$169,MAX(1,INT($CE$169))),1)</f>
        <v/>
      </c>
      <c r="AC169" s="19">
        <f>IF(ISNUMBER($R$169),INDEX('Dados'!$B$324:$B$339,$R$169),"")</f>
        <v/>
      </c>
      <c r="CA169" s="19">
        <f>IF(ISERROR($A$169),"",IF(ISBLANK($A$169),"",$A$169))</f>
        <v/>
      </c>
      <c r="CB169" s="19">
        <f>IF(ISERROR($B$169),"",IF(ISBLANK($B$169),"",$B$169))</f>
        <v/>
      </c>
      <c r="CD169" s="19">
        <f>IF(ISERROR($D$169),"",IF(ISBLANK($D$169),"",$D$169))</f>
        <v/>
      </c>
      <c r="CE169" s="19">
        <f>IF(ISERROR($E$169),"",IF(ISBLANK($E$169),"",$E$169))</f>
        <v/>
      </c>
      <c r="CF169" s="19">
        <f>IF(ISERROR($F$169),"",IF(ISBLANK($F$169),"",$F$169))</f>
        <v/>
      </c>
      <c r="CK169" s="19">
        <f>ISERROR($A$169)*1+ISERROR($B$169)*1+ISERROR($D$169)*1+ISERROR($E$169)*1+ISERROR($F$169)*1</f>
        <v/>
      </c>
    </row>
    <row r="170" ht="26" customHeight="1">
      <c r="A170" s="7" t="inlineStr">
        <is>
          <t>Combatente</t>
        </is>
      </c>
      <c r="B170" s="7" t="inlineStr">
        <is>
          <t>Condição</t>
        </is>
      </c>
      <c r="C170" s="20" t="n"/>
      <c r="D170" s="7" t="inlineStr">
        <is>
          <t>Turnos restantes</t>
        </is>
      </c>
      <c r="E170" s="7" t="inlineStr">
        <is>
          <t>Acúmulos</t>
        </is>
      </c>
      <c r="F170" s="7" t="inlineStr">
        <is>
          <t>Quem aplicou</t>
        </is>
      </c>
      <c r="G170" s="20" t="n"/>
      <c r="H170" s="7" t="inlineStr">
        <is>
          <t>Efeito e dano</t>
        </is>
      </c>
      <c r="I170" s="20" t="n"/>
      <c r="J170" s="20" t="n"/>
      <c r="K170" s="7" t="inlineStr">
        <is>
          <t>Aviso</t>
        </is>
      </c>
      <c r="L170" s="20" t="n"/>
      <c r="CA170" s="19">
        <f>IF(ISERROR($A$170),"",IF(ISBLANK($A$170),"",$A$170))</f>
        <v/>
      </c>
      <c r="CB170" s="19">
        <f>IF(ISERROR($B$170),"",IF(ISBLANK($B$170),"",$B$170))</f>
        <v/>
      </c>
      <c r="CD170" s="19">
        <f>IF(ISERROR($D$170),"",IF(ISBLANK($D$170),"",$D$170))</f>
        <v/>
      </c>
    </row>
    <row r="171" ht="48" customHeight="1">
      <c r="A171" s="30" t="n"/>
      <c r="B171" s="3" t="n"/>
      <c r="C171" s="16" t="n"/>
      <c r="D171" s="15" t="n"/>
      <c r="E171" s="15" t="n"/>
      <c r="F171" s="3" t="n"/>
      <c r="G171" s="16" t="n"/>
      <c r="H171" s="4">
        <f>IF(NOT(ISNUMBER($R$171)),"",IF($W$171&gt;0,"Dano Contínuo: "&amp;MIN(INT($W$171*$Q$171/100),$X$171*$P$171)&amp;" por turno",IF($S$171&gt;0,IF($AA$171="Sim","Dano Contínuo: ","Dano: ")&amp;IF($U$171="Sim",$AB$171*$S$171,$S$171)&amp;"d"&amp;$T$171&amp;IF($V$171="Sim"," + "&amp;$P$171,"")&amp;" · média "&amp;(INT(IF($U$171="Sim",$AB$171*$S$171,$S$171)*($T$171+1)/2)+IF($V$171="Sim",$P$171,0)),$AC$171))&amp;IF($Y$171&gt;0,"; Atrasa "&amp;$Y$171&amp;" casa(s): some em Atraso deste Ciclo do alvo (C8)",""))</f>
        <v/>
      </c>
      <c r="K171" s="18">
        <f>IF(CK171&gt;0,"O Google leu como fórmula: escolha de novo ou digite com ' na frente.",IF(LEN($CA$171&amp;$CB$171)=0,"",IF(NOT(ISNUMBER($N$171)),"Combatente fora da lista",IF(NOT(ISNUMBER($R$171)),"Condição fora do capítulo 21",IF(AND($CB$171="Congelado",$N$171&lt;=6),"Congelado só em inimigo (21.2)",IF(AND(ISNUMBER($CE$171),$CE$171&gt;$Z$171),"Acima do teto de "&amp;$Z$171&amp;" acúmulo(s) (21.5): usando o teto",IF($AA$171="Sim","Dano Contínuo: início do turno do alvo; ignora RD, não crita, sem dados de Fraqueza (20.6)","")))))))</f>
        <v/>
      </c>
      <c r="N171" s="19">
        <f>IF(LEN($CA$171)=0,"",IFERROR(MATCH($CA$171,$N$11:$N$26,0),""))</f>
        <v/>
      </c>
      <c r="O171" s="19">
        <f>IF(LEN($CF$171)=0,"",IFERROR(MATCH($CF$171,$N$11:$N$26,0),""))</f>
        <v/>
      </c>
      <c r="P171" s="19">
        <f>IF(ISNUMBER($O$171),INDEX($AS$11:$AS$26,$O$171),'Campanha'!$B$20)</f>
        <v/>
      </c>
      <c r="Q171" s="19">
        <f>IF(ISNUMBER($N$171),INDEX($AQ$11:$AQ$26,$N$171),0)</f>
        <v/>
      </c>
      <c r="R171" s="19">
        <f>IF(LEN($CB$171)=0,"",IFERROR(MATCH($CB$171,'Dados'!$A$324:$A$339,0),""))</f>
        <v/>
      </c>
      <c r="S171" s="19">
        <f>IF(ISNUMBER($R$171),INDEX('Dados'!$F$324:$F$339,$R$171),"")</f>
        <v/>
      </c>
      <c r="T171" s="19">
        <f>IF(ISNUMBER($R$171),INDEX('Dados'!$G$324:$G$339,$R$171),"")</f>
        <v/>
      </c>
      <c r="U171" s="19">
        <f>IF(ISNUMBER($R$171),INDEX('Dados'!$H$324:$H$339,$R$171),"")</f>
        <v/>
      </c>
      <c r="V171" s="19">
        <f>IF(ISNUMBER($R$171),INDEX('Dados'!$I$324:$I$339,$R$171),"")</f>
        <v/>
      </c>
      <c r="W171" s="19">
        <f>IF(ISNUMBER($R$171),INDEX('Dados'!$J$324:$J$339,$R$171),"")</f>
        <v/>
      </c>
      <c r="X171" s="19">
        <f>IF(ISNUMBER($R$171),INDEX('Dados'!$K$324:$K$339,$R$171),"")</f>
        <v/>
      </c>
      <c r="Y171" s="19">
        <f>IF(ISNUMBER($R$171),INDEX('Dados'!$L$324:$L$339,$R$171),"")</f>
        <v/>
      </c>
      <c r="Z171" s="19">
        <f>IF(ISNUMBER($R$171),INDEX('Dados'!$M$324:$M$339,$R$171),"")</f>
        <v/>
      </c>
      <c r="AA171" s="19">
        <f>IF(ISNUMBER($R$171),INDEX('Dados'!$N$324:$N$339,$R$171),"")</f>
        <v/>
      </c>
      <c r="AB171" s="19">
        <f>IF(ISNUMBER($CE$171),MIN($Z$171,MAX(1,INT($CE$171))),1)</f>
        <v/>
      </c>
      <c r="AC171" s="19">
        <f>IF(ISNUMBER($R$171),INDEX('Dados'!$B$324:$B$339,$R$171),"")</f>
        <v/>
      </c>
      <c r="CA171" s="19">
        <f>IF(ISERROR($A$171),"",IF(ISBLANK($A$171),"",$A$171))</f>
        <v/>
      </c>
      <c r="CB171" s="19">
        <f>IF(ISERROR($B$171),"",IF(ISBLANK($B$171),"",$B$171))</f>
        <v/>
      </c>
      <c r="CD171" s="19">
        <f>IF(ISERROR($D$171),"",IF(ISBLANK($D$171),"",$D$171))</f>
        <v/>
      </c>
      <c r="CE171" s="19">
        <f>IF(ISERROR($E$171),"",IF(ISBLANK($E$171),"",$E$171))</f>
        <v/>
      </c>
      <c r="CF171" s="19">
        <f>IF(ISERROR($F$171),"",IF(ISBLANK($F$171),"",$F$171))</f>
        <v/>
      </c>
      <c r="CK171" s="19">
        <f>ISERROR($A$171)*1+ISERROR($B$171)*1+ISERROR($D$171)*1+ISERROR($E$171)*1+ISERROR($F$171)*1</f>
        <v/>
      </c>
    </row>
    <row r="172" ht="48" customHeight="1">
      <c r="A172" s="31" t="n"/>
      <c r="B172" s="28" t="n"/>
      <c r="C172" s="16" t="n"/>
      <c r="D172" s="34" t="n"/>
      <c r="E172" s="34" t="n"/>
      <c r="F172" s="28" t="n"/>
      <c r="G172" s="16" t="n"/>
      <c r="H172" s="9">
        <f>IF(NOT(ISNUMBER($R$172)),"",IF($W$172&gt;0,"Dano Contínuo: "&amp;MIN(INT($W$172*$Q$172/100),$X$172*$P$172)&amp;" por turno",IF($S$172&gt;0,IF($AA$172="Sim","Dano Contínuo: ","Dano: ")&amp;IF($U$172="Sim",$AB$172*$S$172,$S$172)&amp;"d"&amp;$T$172&amp;IF($V$172="Sim"," + "&amp;$P$172,"")&amp;" · média "&amp;(INT(IF($U$172="Sim",$AB$172*$S$172,$S$172)*($T$172+1)/2)+IF($V$172="Sim",$P$172,0)),$AC$172))&amp;IF($Y$172&gt;0,"; Atrasa "&amp;$Y$172&amp;" casa(s): some em Atraso deste Ciclo do alvo (C8)",""))</f>
        <v/>
      </c>
      <c r="K172" s="26">
        <f>IF(CK172&gt;0,"O Google leu como fórmula: escolha de novo ou digite com ' na frente.",IF(LEN($CA$172&amp;$CB$172)=0,"",IF(NOT(ISNUMBER($N$172)),"Combatente fora da lista",IF(NOT(ISNUMBER($R$172)),"Condição fora do capítulo 21",IF(AND($CB$172="Congelado",$N$172&lt;=6),"Congelado só em inimigo (21.2)",IF(AND(ISNUMBER($CE$172),$CE$172&gt;$Z$172),"Acima do teto de "&amp;$Z$172&amp;" acúmulo(s) (21.5): usando o teto",IF($AA$172="Sim","Dano Contínuo: início do turno do alvo; ignora RD, não crita, sem dados de Fraqueza (20.6)","")))))))</f>
        <v/>
      </c>
      <c r="N172" s="19">
        <f>IF(LEN($CA$172)=0,"",IFERROR(MATCH($CA$172,$N$11:$N$26,0),""))</f>
        <v/>
      </c>
      <c r="O172" s="19">
        <f>IF(LEN($CF$172)=0,"",IFERROR(MATCH($CF$172,$N$11:$N$26,0),""))</f>
        <v/>
      </c>
      <c r="P172" s="19">
        <f>IF(ISNUMBER($O$172),INDEX($AS$11:$AS$26,$O$172),'Campanha'!$B$20)</f>
        <v/>
      </c>
      <c r="Q172" s="19">
        <f>IF(ISNUMBER($N$172),INDEX($AQ$11:$AQ$26,$N$172),0)</f>
        <v/>
      </c>
      <c r="R172" s="19">
        <f>IF(LEN($CB$172)=0,"",IFERROR(MATCH($CB$172,'Dados'!$A$324:$A$339,0),""))</f>
        <v/>
      </c>
      <c r="S172" s="19">
        <f>IF(ISNUMBER($R$172),INDEX('Dados'!$F$324:$F$339,$R$172),"")</f>
        <v/>
      </c>
      <c r="T172" s="19">
        <f>IF(ISNUMBER($R$172),INDEX('Dados'!$G$324:$G$339,$R$172),"")</f>
        <v/>
      </c>
      <c r="U172" s="19">
        <f>IF(ISNUMBER($R$172),INDEX('Dados'!$H$324:$H$339,$R$172),"")</f>
        <v/>
      </c>
      <c r="V172" s="19">
        <f>IF(ISNUMBER($R$172),INDEX('Dados'!$I$324:$I$339,$R$172),"")</f>
        <v/>
      </c>
      <c r="W172" s="19">
        <f>IF(ISNUMBER($R$172),INDEX('Dados'!$J$324:$J$339,$R$172),"")</f>
        <v/>
      </c>
      <c r="X172" s="19">
        <f>IF(ISNUMBER($R$172),INDEX('Dados'!$K$324:$K$339,$R$172),"")</f>
        <v/>
      </c>
      <c r="Y172" s="19">
        <f>IF(ISNUMBER($R$172),INDEX('Dados'!$L$324:$L$339,$R$172),"")</f>
        <v/>
      </c>
      <c r="Z172" s="19">
        <f>IF(ISNUMBER($R$172),INDEX('Dados'!$M$324:$M$339,$R$172),"")</f>
        <v/>
      </c>
      <c r="AA172" s="19">
        <f>IF(ISNUMBER($R$172),INDEX('Dados'!$N$324:$N$339,$R$172),"")</f>
        <v/>
      </c>
      <c r="AB172" s="19">
        <f>IF(ISNUMBER($CE$172),MIN($Z$172,MAX(1,INT($CE$172))),1)</f>
        <v/>
      </c>
      <c r="AC172" s="19">
        <f>IF(ISNUMBER($R$172),INDEX('Dados'!$B$324:$B$339,$R$172),"")</f>
        <v/>
      </c>
      <c r="CA172" s="19">
        <f>IF(ISERROR($A$172),"",IF(ISBLANK($A$172),"",$A$172))</f>
        <v/>
      </c>
      <c r="CB172" s="19">
        <f>IF(ISERROR($B$172),"",IF(ISBLANK($B$172),"",$B$172))</f>
        <v/>
      </c>
      <c r="CD172" s="19">
        <f>IF(ISERROR($D$172),"",IF(ISBLANK($D$172),"",$D$172))</f>
        <v/>
      </c>
      <c r="CE172" s="19">
        <f>IF(ISERROR($E$172),"",IF(ISBLANK($E$172),"",$E$172))</f>
        <v/>
      </c>
      <c r="CF172" s="19">
        <f>IF(ISERROR($F$172),"",IF(ISBLANK($F$172),"",$F$172))</f>
        <v/>
      </c>
      <c r="CK172" s="19">
        <f>ISERROR($A$172)*1+ISERROR($B$172)*1+ISERROR($D$172)*1+ISERROR($E$172)*1+ISERROR($F$172)*1</f>
        <v/>
      </c>
    </row>
    <row r="173" ht="48" customHeight="1">
      <c r="A173" s="30" t="n"/>
      <c r="B173" s="3" t="n"/>
      <c r="C173" s="16" t="n"/>
      <c r="D173" s="15" t="n"/>
      <c r="E173" s="15" t="n"/>
      <c r="F173" s="3" t="n"/>
      <c r="G173" s="16" t="n"/>
      <c r="H173" s="4">
        <f>IF(NOT(ISNUMBER($R$173)),"",IF($W$173&gt;0,"Dano Contínuo: "&amp;MIN(INT($W$173*$Q$173/100),$X$173*$P$173)&amp;" por turno",IF($S$173&gt;0,IF($AA$173="Sim","Dano Contínuo: ","Dano: ")&amp;IF($U$173="Sim",$AB$173*$S$173,$S$173)&amp;"d"&amp;$T$173&amp;IF($V$173="Sim"," + "&amp;$P$173,"")&amp;" · média "&amp;(INT(IF($U$173="Sim",$AB$173*$S$173,$S$173)*($T$173+1)/2)+IF($V$173="Sim",$P$173,0)),$AC$173))&amp;IF($Y$173&gt;0,"; Atrasa "&amp;$Y$173&amp;" casa(s): some em Atraso deste Ciclo do alvo (C8)",""))</f>
        <v/>
      </c>
      <c r="K173" s="18">
        <f>IF(CK173&gt;0,"O Google leu como fórmula: escolha de novo ou digite com ' na frente.",IF(LEN($CA$173&amp;$CB$173)=0,"",IF(NOT(ISNUMBER($N$173)),"Combatente fora da lista",IF(NOT(ISNUMBER($R$173)),"Condição fora do capítulo 21",IF(AND($CB$173="Congelado",$N$173&lt;=6),"Congelado só em inimigo (21.2)",IF(AND(ISNUMBER($CE$173),$CE$173&gt;$Z$173),"Acima do teto de "&amp;$Z$173&amp;" acúmulo(s) (21.5): usando o teto",IF($AA$173="Sim","Dano Contínuo: início do turno do alvo; ignora RD, não crita, sem dados de Fraqueza (20.6)","")))))))</f>
        <v/>
      </c>
      <c r="N173" s="19">
        <f>IF(LEN($CA$173)=0,"",IFERROR(MATCH($CA$173,$N$11:$N$26,0),""))</f>
        <v/>
      </c>
      <c r="O173" s="19">
        <f>IF(LEN($CF$173)=0,"",IFERROR(MATCH($CF$173,$N$11:$N$26,0),""))</f>
        <v/>
      </c>
      <c r="P173" s="19">
        <f>IF(ISNUMBER($O$173),INDEX($AS$11:$AS$26,$O$173),'Campanha'!$B$20)</f>
        <v/>
      </c>
      <c r="Q173" s="19">
        <f>IF(ISNUMBER($N$173),INDEX($AQ$11:$AQ$26,$N$173),0)</f>
        <v/>
      </c>
      <c r="R173" s="19">
        <f>IF(LEN($CB$173)=0,"",IFERROR(MATCH($CB$173,'Dados'!$A$324:$A$339,0),""))</f>
        <v/>
      </c>
      <c r="S173" s="19">
        <f>IF(ISNUMBER($R$173),INDEX('Dados'!$F$324:$F$339,$R$173),"")</f>
        <v/>
      </c>
      <c r="T173" s="19">
        <f>IF(ISNUMBER($R$173),INDEX('Dados'!$G$324:$G$339,$R$173),"")</f>
        <v/>
      </c>
      <c r="U173" s="19">
        <f>IF(ISNUMBER($R$173),INDEX('Dados'!$H$324:$H$339,$R$173),"")</f>
        <v/>
      </c>
      <c r="V173" s="19">
        <f>IF(ISNUMBER($R$173),INDEX('Dados'!$I$324:$I$339,$R$173),"")</f>
        <v/>
      </c>
      <c r="W173" s="19">
        <f>IF(ISNUMBER($R$173),INDEX('Dados'!$J$324:$J$339,$R$173),"")</f>
        <v/>
      </c>
      <c r="X173" s="19">
        <f>IF(ISNUMBER($R$173),INDEX('Dados'!$K$324:$K$339,$R$173),"")</f>
        <v/>
      </c>
      <c r="Y173" s="19">
        <f>IF(ISNUMBER($R$173),INDEX('Dados'!$L$324:$L$339,$R$173),"")</f>
        <v/>
      </c>
      <c r="Z173" s="19">
        <f>IF(ISNUMBER($R$173),INDEX('Dados'!$M$324:$M$339,$R$173),"")</f>
        <v/>
      </c>
      <c r="AA173" s="19">
        <f>IF(ISNUMBER($R$173),INDEX('Dados'!$N$324:$N$339,$R$173),"")</f>
        <v/>
      </c>
      <c r="AB173" s="19">
        <f>IF(ISNUMBER($CE$173),MIN($Z$173,MAX(1,INT($CE$173))),1)</f>
        <v/>
      </c>
      <c r="AC173" s="19">
        <f>IF(ISNUMBER($R$173),INDEX('Dados'!$B$324:$B$339,$R$173),"")</f>
        <v/>
      </c>
      <c r="CA173" s="19">
        <f>IF(ISERROR($A$173),"",IF(ISBLANK($A$173),"",$A$173))</f>
        <v/>
      </c>
      <c r="CB173" s="19">
        <f>IF(ISERROR($B$173),"",IF(ISBLANK($B$173),"",$B$173))</f>
        <v/>
      </c>
      <c r="CD173" s="19">
        <f>IF(ISERROR($D$173),"",IF(ISBLANK($D$173),"",$D$173))</f>
        <v/>
      </c>
      <c r="CE173" s="19">
        <f>IF(ISERROR($E$173),"",IF(ISBLANK($E$173),"",$E$173))</f>
        <v/>
      </c>
      <c r="CF173" s="19">
        <f>IF(ISERROR($F$173),"",IF(ISBLANK($F$173),"",$F$173))</f>
        <v/>
      </c>
      <c r="CK173" s="19">
        <f>ISERROR($A$173)*1+ISERROR($B$173)*1+ISERROR($D$173)*1+ISERROR($E$173)*1+ISERROR($F$173)*1</f>
        <v/>
      </c>
    </row>
    <row r="174" ht="48" customHeight="1">
      <c r="A174" s="31" t="n"/>
      <c r="B174" s="28" t="n"/>
      <c r="C174" s="16" t="n"/>
      <c r="D174" s="34" t="n"/>
      <c r="E174" s="34" t="n"/>
      <c r="F174" s="28" t="n"/>
      <c r="G174" s="16" t="n"/>
      <c r="H174" s="9">
        <f>IF(NOT(ISNUMBER($R$174)),"",IF($W$174&gt;0,"Dano Contínuo: "&amp;MIN(INT($W$174*$Q$174/100),$X$174*$P$174)&amp;" por turno",IF($S$174&gt;0,IF($AA$174="Sim","Dano Contínuo: ","Dano: ")&amp;IF($U$174="Sim",$AB$174*$S$174,$S$174)&amp;"d"&amp;$T$174&amp;IF($V$174="Sim"," + "&amp;$P$174,"")&amp;" · média "&amp;(INT(IF($U$174="Sim",$AB$174*$S$174,$S$174)*($T$174+1)/2)+IF($V$174="Sim",$P$174,0)),$AC$174))&amp;IF($Y$174&gt;0,"; Atrasa "&amp;$Y$174&amp;" casa(s): some em Atraso deste Ciclo do alvo (C8)",""))</f>
        <v/>
      </c>
      <c r="K174" s="26">
        <f>IF(CK174&gt;0,"O Google leu como fórmula: escolha de novo ou digite com ' na frente.",IF(LEN($CA$174&amp;$CB$174)=0,"",IF(NOT(ISNUMBER($N$174)),"Combatente fora da lista",IF(NOT(ISNUMBER($R$174)),"Condição fora do capítulo 21",IF(AND($CB$174="Congelado",$N$174&lt;=6),"Congelado só em inimigo (21.2)",IF(AND(ISNUMBER($CE$174),$CE$174&gt;$Z$174),"Acima do teto de "&amp;$Z$174&amp;" acúmulo(s) (21.5): usando o teto",IF($AA$174="Sim","Dano Contínuo: início do turno do alvo; ignora RD, não crita, sem dados de Fraqueza (20.6)","")))))))</f>
        <v/>
      </c>
      <c r="N174" s="19">
        <f>IF(LEN($CA$174)=0,"",IFERROR(MATCH($CA$174,$N$11:$N$26,0),""))</f>
        <v/>
      </c>
      <c r="O174" s="19">
        <f>IF(LEN($CF$174)=0,"",IFERROR(MATCH($CF$174,$N$11:$N$26,0),""))</f>
        <v/>
      </c>
      <c r="P174" s="19">
        <f>IF(ISNUMBER($O$174),INDEX($AS$11:$AS$26,$O$174),'Campanha'!$B$20)</f>
        <v/>
      </c>
      <c r="Q174" s="19">
        <f>IF(ISNUMBER($N$174),INDEX($AQ$11:$AQ$26,$N$174),0)</f>
        <v/>
      </c>
      <c r="R174" s="19">
        <f>IF(LEN($CB$174)=0,"",IFERROR(MATCH($CB$174,'Dados'!$A$324:$A$339,0),""))</f>
        <v/>
      </c>
      <c r="S174" s="19">
        <f>IF(ISNUMBER($R$174),INDEX('Dados'!$F$324:$F$339,$R$174),"")</f>
        <v/>
      </c>
      <c r="T174" s="19">
        <f>IF(ISNUMBER($R$174),INDEX('Dados'!$G$324:$G$339,$R$174),"")</f>
        <v/>
      </c>
      <c r="U174" s="19">
        <f>IF(ISNUMBER($R$174),INDEX('Dados'!$H$324:$H$339,$R$174),"")</f>
        <v/>
      </c>
      <c r="V174" s="19">
        <f>IF(ISNUMBER($R$174),INDEX('Dados'!$I$324:$I$339,$R$174),"")</f>
        <v/>
      </c>
      <c r="W174" s="19">
        <f>IF(ISNUMBER($R$174),INDEX('Dados'!$J$324:$J$339,$R$174),"")</f>
        <v/>
      </c>
      <c r="X174" s="19">
        <f>IF(ISNUMBER($R$174),INDEX('Dados'!$K$324:$K$339,$R$174),"")</f>
        <v/>
      </c>
      <c r="Y174" s="19">
        <f>IF(ISNUMBER($R$174),INDEX('Dados'!$L$324:$L$339,$R$174),"")</f>
        <v/>
      </c>
      <c r="Z174" s="19">
        <f>IF(ISNUMBER($R$174),INDEX('Dados'!$M$324:$M$339,$R$174),"")</f>
        <v/>
      </c>
      <c r="AA174" s="19">
        <f>IF(ISNUMBER($R$174),INDEX('Dados'!$N$324:$N$339,$R$174),"")</f>
        <v/>
      </c>
      <c r="AB174" s="19">
        <f>IF(ISNUMBER($CE$174),MIN($Z$174,MAX(1,INT($CE$174))),1)</f>
        <v/>
      </c>
      <c r="AC174" s="19">
        <f>IF(ISNUMBER($R$174),INDEX('Dados'!$B$324:$B$339,$R$174),"")</f>
        <v/>
      </c>
      <c r="CA174" s="19">
        <f>IF(ISERROR($A$174),"",IF(ISBLANK($A$174),"",$A$174))</f>
        <v/>
      </c>
      <c r="CB174" s="19">
        <f>IF(ISERROR($B$174),"",IF(ISBLANK($B$174),"",$B$174))</f>
        <v/>
      </c>
      <c r="CD174" s="19">
        <f>IF(ISERROR($D$174),"",IF(ISBLANK($D$174),"",$D$174))</f>
        <v/>
      </c>
      <c r="CE174" s="19">
        <f>IF(ISERROR($E$174),"",IF(ISBLANK($E$174),"",$E$174))</f>
        <v/>
      </c>
      <c r="CF174" s="19">
        <f>IF(ISERROR($F$174),"",IF(ISBLANK($F$174),"",$F$174))</f>
        <v/>
      </c>
      <c r="CK174" s="19">
        <f>ISERROR($A$174)*1+ISERROR($B$174)*1+ISERROR($D$174)*1+ISERROR($E$174)*1+ISERROR($F$174)*1</f>
        <v/>
      </c>
    </row>
    <row r="175" ht="48" customHeight="1">
      <c r="A175" s="30" t="n"/>
      <c r="B175" s="3" t="n"/>
      <c r="C175" s="16" t="n"/>
      <c r="D175" s="15" t="n"/>
      <c r="E175" s="15" t="n"/>
      <c r="F175" s="3" t="n"/>
      <c r="G175" s="16" t="n"/>
      <c r="H175" s="4">
        <f>IF(NOT(ISNUMBER($R$175)),"",IF($W$175&gt;0,"Dano Contínuo: "&amp;MIN(INT($W$175*$Q$175/100),$X$175*$P$175)&amp;" por turno",IF($S$175&gt;0,IF($AA$175="Sim","Dano Contínuo: ","Dano: ")&amp;IF($U$175="Sim",$AB$175*$S$175,$S$175)&amp;"d"&amp;$T$175&amp;IF($V$175="Sim"," + "&amp;$P$175,"")&amp;" · média "&amp;(INT(IF($U$175="Sim",$AB$175*$S$175,$S$175)*($T$175+1)/2)+IF($V$175="Sim",$P$175,0)),$AC$175))&amp;IF($Y$175&gt;0,"; Atrasa "&amp;$Y$175&amp;" casa(s): some em Atraso deste Ciclo do alvo (C8)",""))</f>
        <v/>
      </c>
      <c r="K175" s="18">
        <f>IF(CK175&gt;0,"O Google leu como fórmula: escolha de novo ou digite com ' na frente.",IF(LEN($CA$175&amp;$CB$175)=0,"",IF(NOT(ISNUMBER($N$175)),"Combatente fora da lista",IF(NOT(ISNUMBER($R$175)),"Condição fora do capítulo 21",IF(AND($CB$175="Congelado",$N$175&lt;=6),"Congelado só em inimigo (21.2)",IF(AND(ISNUMBER($CE$175),$CE$175&gt;$Z$175),"Acima do teto de "&amp;$Z$175&amp;" acúmulo(s) (21.5): usando o teto",IF($AA$175="Sim","Dano Contínuo: início do turno do alvo; ignora RD, não crita, sem dados de Fraqueza (20.6)","")))))))</f>
        <v/>
      </c>
      <c r="N175" s="19">
        <f>IF(LEN($CA$175)=0,"",IFERROR(MATCH($CA$175,$N$11:$N$26,0),""))</f>
        <v/>
      </c>
      <c r="O175" s="19">
        <f>IF(LEN($CF$175)=0,"",IFERROR(MATCH($CF$175,$N$11:$N$26,0),""))</f>
        <v/>
      </c>
      <c r="P175" s="19">
        <f>IF(ISNUMBER($O$175),INDEX($AS$11:$AS$26,$O$175),'Campanha'!$B$20)</f>
        <v/>
      </c>
      <c r="Q175" s="19">
        <f>IF(ISNUMBER($N$175),INDEX($AQ$11:$AQ$26,$N$175),0)</f>
        <v/>
      </c>
      <c r="R175" s="19">
        <f>IF(LEN($CB$175)=0,"",IFERROR(MATCH($CB$175,'Dados'!$A$324:$A$339,0),""))</f>
        <v/>
      </c>
      <c r="S175" s="19">
        <f>IF(ISNUMBER($R$175),INDEX('Dados'!$F$324:$F$339,$R$175),"")</f>
        <v/>
      </c>
      <c r="T175" s="19">
        <f>IF(ISNUMBER($R$175),INDEX('Dados'!$G$324:$G$339,$R$175),"")</f>
        <v/>
      </c>
      <c r="U175" s="19">
        <f>IF(ISNUMBER($R$175),INDEX('Dados'!$H$324:$H$339,$R$175),"")</f>
        <v/>
      </c>
      <c r="V175" s="19">
        <f>IF(ISNUMBER($R$175),INDEX('Dados'!$I$324:$I$339,$R$175),"")</f>
        <v/>
      </c>
      <c r="W175" s="19">
        <f>IF(ISNUMBER($R$175),INDEX('Dados'!$J$324:$J$339,$R$175),"")</f>
        <v/>
      </c>
      <c r="X175" s="19">
        <f>IF(ISNUMBER($R$175),INDEX('Dados'!$K$324:$K$339,$R$175),"")</f>
        <v/>
      </c>
      <c r="Y175" s="19">
        <f>IF(ISNUMBER($R$175),INDEX('Dados'!$L$324:$L$339,$R$175),"")</f>
        <v/>
      </c>
      <c r="Z175" s="19">
        <f>IF(ISNUMBER($R$175),INDEX('Dados'!$M$324:$M$339,$R$175),"")</f>
        <v/>
      </c>
      <c r="AA175" s="19">
        <f>IF(ISNUMBER($R$175),INDEX('Dados'!$N$324:$N$339,$R$175),"")</f>
        <v/>
      </c>
      <c r="AB175" s="19">
        <f>IF(ISNUMBER($CE$175),MIN($Z$175,MAX(1,INT($CE$175))),1)</f>
        <v/>
      </c>
      <c r="AC175" s="19">
        <f>IF(ISNUMBER($R$175),INDEX('Dados'!$B$324:$B$339,$R$175),"")</f>
        <v/>
      </c>
      <c r="CA175" s="19">
        <f>IF(ISERROR($A$175),"",IF(ISBLANK($A$175),"",$A$175))</f>
        <v/>
      </c>
      <c r="CB175" s="19">
        <f>IF(ISERROR($B$175),"",IF(ISBLANK($B$175),"",$B$175))</f>
        <v/>
      </c>
      <c r="CD175" s="19">
        <f>IF(ISERROR($D$175),"",IF(ISBLANK($D$175),"",$D$175))</f>
        <v/>
      </c>
      <c r="CE175" s="19">
        <f>IF(ISERROR($E$175),"",IF(ISBLANK($E$175),"",$E$175))</f>
        <v/>
      </c>
      <c r="CF175" s="19">
        <f>IF(ISERROR($F$175),"",IF(ISBLANK($F$175),"",$F$175))</f>
        <v/>
      </c>
      <c r="CK175" s="19">
        <f>ISERROR($A$175)*1+ISERROR($B$175)*1+ISERROR($D$175)*1+ISERROR($E$175)*1+ISERROR($F$175)*1</f>
        <v/>
      </c>
    </row>
    <row r="176" ht="48" customHeight="1">
      <c r="A176" s="31" t="n"/>
      <c r="B176" s="28" t="n"/>
      <c r="C176" s="16" t="n"/>
      <c r="D176" s="34" t="n"/>
      <c r="E176" s="34" t="n"/>
      <c r="F176" s="28" t="n"/>
      <c r="G176" s="16" t="n"/>
      <c r="H176" s="9">
        <f>IF(NOT(ISNUMBER($R$176)),"",IF($W$176&gt;0,"Dano Contínuo: "&amp;MIN(INT($W$176*$Q$176/100),$X$176*$P$176)&amp;" por turno",IF($S$176&gt;0,IF($AA$176="Sim","Dano Contínuo: ","Dano: ")&amp;IF($U$176="Sim",$AB$176*$S$176,$S$176)&amp;"d"&amp;$T$176&amp;IF($V$176="Sim"," + "&amp;$P$176,"")&amp;" · média "&amp;(INT(IF($U$176="Sim",$AB$176*$S$176,$S$176)*($T$176+1)/2)+IF($V$176="Sim",$P$176,0)),$AC$176))&amp;IF($Y$176&gt;0,"; Atrasa "&amp;$Y$176&amp;" casa(s): some em Atraso deste Ciclo do alvo (C8)",""))</f>
        <v/>
      </c>
      <c r="K176" s="26">
        <f>IF(CK176&gt;0,"O Google leu como fórmula: escolha de novo ou digite com ' na frente.",IF(LEN($CA$176&amp;$CB$176)=0,"",IF(NOT(ISNUMBER($N$176)),"Combatente fora da lista",IF(NOT(ISNUMBER($R$176)),"Condição fora do capítulo 21",IF(AND($CB$176="Congelado",$N$176&lt;=6),"Congelado só em inimigo (21.2)",IF(AND(ISNUMBER($CE$176),$CE$176&gt;$Z$176),"Acima do teto de "&amp;$Z$176&amp;" acúmulo(s) (21.5): usando o teto",IF($AA$176="Sim","Dano Contínuo: início do turno do alvo; ignora RD, não crita, sem dados de Fraqueza (20.6)","")))))))</f>
        <v/>
      </c>
      <c r="N176" s="19">
        <f>IF(LEN($CA$176)=0,"",IFERROR(MATCH($CA$176,$N$11:$N$26,0),""))</f>
        <v/>
      </c>
      <c r="O176" s="19">
        <f>IF(LEN($CF$176)=0,"",IFERROR(MATCH($CF$176,$N$11:$N$26,0),""))</f>
        <v/>
      </c>
      <c r="P176" s="19">
        <f>IF(ISNUMBER($O$176),INDEX($AS$11:$AS$26,$O$176),'Campanha'!$B$20)</f>
        <v/>
      </c>
      <c r="Q176" s="19">
        <f>IF(ISNUMBER($N$176),INDEX($AQ$11:$AQ$26,$N$176),0)</f>
        <v/>
      </c>
      <c r="R176" s="19">
        <f>IF(LEN($CB$176)=0,"",IFERROR(MATCH($CB$176,'Dados'!$A$324:$A$339,0),""))</f>
        <v/>
      </c>
      <c r="S176" s="19">
        <f>IF(ISNUMBER($R$176),INDEX('Dados'!$F$324:$F$339,$R$176),"")</f>
        <v/>
      </c>
      <c r="T176" s="19">
        <f>IF(ISNUMBER($R$176),INDEX('Dados'!$G$324:$G$339,$R$176),"")</f>
        <v/>
      </c>
      <c r="U176" s="19">
        <f>IF(ISNUMBER($R$176),INDEX('Dados'!$H$324:$H$339,$R$176),"")</f>
        <v/>
      </c>
      <c r="V176" s="19">
        <f>IF(ISNUMBER($R$176),INDEX('Dados'!$I$324:$I$339,$R$176),"")</f>
        <v/>
      </c>
      <c r="W176" s="19">
        <f>IF(ISNUMBER($R$176),INDEX('Dados'!$J$324:$J$339,$R$176),"")</f>
        <v/>
      </c>
      <c r="X176" s="19">
        <f>IF(ISNUMBER($R$176),INDEX('Dados'!$K$324:$K$339,$R$176),"")</f>
        <v/>
      </c>
      <c r="Y176" s="19">
        <f>IF(ISNUMBER($R$176),INDEX('Dados'!$L$324:$L$339,$R$176),"")</f>
        <v/>
      </c>
      <c r="Z176" s="19">
        <f>IF(ISNUMBER($R$176),INDEX('Dados'!$M$324:$M$339,$R$176),"")</f>
        <v/>
      </c>
      <c r="AA176" s="19">
        <f>IF(ISNUMBER($R$176),INDEX('Dados'!$N$324:$N$339,$R$176),"")</f>
        <v/>
      </c>
      <c r="AB176" s="19">
        <f>IF(ISNUMBER($CE$176),MIN($Z$176,MAX(1,INT($CE$176))),1)</f>
        <v/>
      </c>
      <c r="AC176" s="19">
        <f>IF(ISNUMBER($R$176),INDEX('Dados'!$B$324:$B$339,$R$176),"")</f>
        <v/>
      </c>
      <c r="CA176" s="19">
        <f>IF(ISERROR($A$176),"",IF(ISBLANK($A$176),"",$A$176))</f>
        <v/>
      </c>
      <c r="CB176" s="19">
        <f>IF(ISERROR($B$176),"",IF(ISBLANK($B$176),"",$B$176))</f>
        <v/>
      </c>
      <c r="CD176" s="19">
        <f>IF(ISERROR($D$176),"",IF(ISBLANK($D$176),"",$D$176))</f>
        <v/>
      </c>
      <c r="CE176" s="19">
        <f>IF(ISERROR($E$176),"",IF(ISBLANK($E$176),"",$E$176))</f>
        <v/>
      </c>
      <c r="CF176" s="19">
        <f>IF(ISERROR($F$176),"",IF(ISBLANK($F$176),"",$F$176))</f>
        <v/>
      </c>
      <c r="CK176" s="19">
        <f>ISERROR($A$176)*1+ISERROR($B$176)*1+ISERROR($D$176)*1+ISERROR($E$176)*1+ISERROR($F$176)*1</f>
        <v/>
      </c>
    </row>
    <row r="177" ht="48" customHeight="1">
      <c r="A177" s="30" t="n"/>
      <c r="B177" s="3" t="n"/>
      <c r="C177" s="16" t="n"/>
      <c r="D177" s="15" t="n"/>
      <c r="E177" s="15" t="n"/>
      <c r="F177" s="3" t="n"/>
      <c r="G177" s="16" t="n"/>
      <c r="H177" s="4">
        <f>IF(NOT(ISNUMBER($R$177)),"",IF($W$177&gt;0,"Dano Contínuo: "&amp;MIN(INT($W$177*$Q$177/100),$X$177*$P$177)&amp;" por turno",IF($S$177&gt;0,IF($AA$177="Sim","Dano Contínuo: ","Dano: ")&amp;IF($U$177="Sim",$AB$177*$S$177,$S$177)&amp;"d"&amp;$T$177&amp;IF($V$177="Sim"," + "&amp;$P$177,"")&amp;" · média "&amp;(INT(IF($U$177="Sim",$AB$177*$S$177,$S$177)*($T$177+1)/2)+IF($V$177="Sim",$P$177,0)),$AC$177))&amp;IF($Y$177&gt;0,"; Atrasa "&amp;$Y$177&amp;" casa(s): some em Atraso deste Ciclo do alvo (C8)",""))</f>
        <v/>
      </c>
      <c r="K177" s="18">
        <f>IF(CK177&gt;0,"O Google leu como fórmula: escolha de novo ou digite com ' na frente.",IF(LEN($CA$177&amp;$CB$177)=0,"",IF(NOT(ISNUMBER($N$177)),"Combatente fora da lista",IF(NOT(ISNUMBER($R$177)),"Condição fora do capítulo 21",IF(AND($CB$177="Congelado",$N$177&lt;=6),"Congelado só em inimigo (21.2)",IF(AND(ISNUMBER($CE$177),$CE$177&gt;$Z$177),"Acima do teto de "&amp;$Z$177&amp;" acúmulo(s) (21.5): usando o teto",IF($AA$177="Sim","Dano Contínuo: início do turno do alvo; ignora RD, não crita, sem dados de Fraqueza (20.6)","")))))))</f>
        <v/>
      </c>
      <c r="N177" s="19">
        <f>IF(LEN($CA$177)=0,"",IFERROR(MATCH($CA$177,$N$11:$N$26,0),""))</f>
        <v/>
      </c>
      <c r="O177" s="19">
        <f>IF(LEN($CF$177)=0,"",IFERROR(MATCH($CF$177,$N$11:$N$26,0),""))</f>
        <v/>
      </c>
      <c r="P177" s="19">
        <f>IF(ISNUMBER($O$177),INDEX($AS$11:$AS$26,$O$177),'Campanha'!$B$20)</f>
        <v/>
      </c>
      <c r="Q177" s="19">
        <f>IF(ISNUMBER($N$177),INDEX($AQ$11:$AQ$26,$N$177),0)</f>
        <v/>
      </c>
      <c r="R177" s="19">
        <f>IF(LEN($CB$177)=0,"",IFERROR(MATCH($CB$177,'Dados'!$A$324:$A$339,0),""))</f>
        <v/>
      </c>
      <c r="S177" s="19">
        <f>IF(ISNUMBER($R$177),INDEX('Dados'!$F$324:$F$339,$R$177),"")</f>
        <v/>
      </c>
      <c r="T177" s="19">
        <f>IF(ISNUMBER($R$177),INDEX('Dados'!$G$324:$G$339,$R$177),"")</f>
        <v/>
      </c>
      <c r="U177" s="19">
        <f>IF(ISNUMBER($R$177),INDEX('Dados'!$H$324:$H$339,$R$177),"")</f>
        <v/>
      </c>
      <c r="V177" s="19">
        <f>IF(ISNUMBER($R$177),INDEX('Dados'!$I$324:$I$339,$R$177),"")</f>
        <v/>
      </c>
      <c r="W177" s="19">
        <f>IF(ISNUMBER($R$177),INDEX('Dados'!$J$324:$J$339,$R$177),"")</f>
        <v/>
      </c>
      <c r="X177" s="19">
        <f>IF(ISNUMBER($R$177),INDEX('Dados'!$K$324:$K$339,$R$177),"")</f>
        <v/>
      </c>
      <c r="Y177" s="19">
        <f>IF(ISNUMBER($R$177),INDEX('Dados'!$L$324:$L$339,$R$177),"")</f>
        <v/>
      </c>
      <c r="Z177" s="19">
        <f>IF(ISNUMBER($R$177),INDEX('Dados'!$M$324:$M$339,$R$177),"")</f>
        <v/>
      </c>
      <c r="AA177" s="19">
        <f>IF(ISNUMBER($R$177),INDEX('Dados'!$N$324:$N$339,$R$177),"")</f>
        <v/>
      </c>
      <c r="AB177" s="19">
        <f>IF(ISNUMBER($CE$177),MIN($Z$177,MAX(1,INT($CE$177))),1)</f>
        <v/>
      </c>
      <c r="AC177" s="19">
        <f>IF(ISNUMBER($R$177),INDEX('Dados'!$B$324:$B$339,$R$177),"")</f>
        <v/>
      </c>
      <c r="CA177" s="19">
        <f>IF(ISERROR($A$177),"",IF(ISBLANK($A$177),"",$A$177))</f>
        <v/>
      </c>
      <c r="CB177" s="19">
        <f>IF(ISERROR($B$177),"",IF(ISBLANK($B$177),"",$B$177))</f>
        <v/>
      </c>
      <c r="CD177" s="19">
        <f>IF(ISERROR($D$177),"",IF(ISBLANK($D$177),"",$D$177))</f>
        <v/>
      </c>
      <c r="CE177" s="19">
        <f>IF(ISERROR($E$177),"",IF(ISBLANK($E$177),"",$E$177))</f>
        <v/>
      </c>
      <c r="CF177" s="19">
        <f>IF(ISERROR($F$177),"",IF(ISBLANK($F$177),"",$F$177))</f>
        <v/>
      </c>
      <c r="CK177" s="19">
        <f>ISERROR($A$177)*1+ISERROR($B$177)*1+ISERROR($D$177)*1+ISERROR($E$177)*1+ISERROR($F$177)*1</f>
        <v/>
      </c>
    </row>
    <row r="178" ht="48" customHeight="1">
      <c r="A178" s="31" t="n"/>
      <c r="B178" s="28" t="n"/>
      <c r="C178" s="16" t="n"/>
      <c r="D178" s="34" t="n"/>
      <c r="E178" s="34" t="n"/>
      <c r="F178" s="28" t="n"/>
      <c r="G178" s="16" t="n"/>
      <c r="H178" s="9">
        <f>IF(NOT(ISNUMBER($R$178)),"",IF($W$178&gt;0,"Dano Contínuo: "&amp;MIN(INT($W$178*$Q$178/100),$X$178*$P$178)&amp;" por turno",IF($S$178&gt;0,IF($AA$178="Sim","Dano Contínuo: ","Dano: ")&amp;IF($U$178="Sim",$AB$178*$S$178,$S$178)&amp;"d"&amp;$T$178&amp;IF($V$178="Sim"," + "&amp;$P$178,"")&amp;" · média "&amp;(INT(IF($U$178="Sim",$AB$178*$S$178,$S$178)*($T$178+1)/2)+IF($V$178="Sim",$P$178,0)),$AC$178))&amp;IF($Y$178&gt;0,"; Atrasa "&amp;$Y$178&amp;" casa(s): some em Atraso deste Ciclo do alvo (C8)",""))</f>
        <v/>
      </c>
      <c r="K178" s="26">
        <f>IF(CK178&gt;0,"O Google leu como fórmula: escolha de novo ou digite com ' na frente.",IF(LEN($CA$178&amp;$CB$178)=0,"",IF(NOT(ISNUMBER($N$178)),"Combatente fora da lista",IF(NOT(ISNUMBER($R$178)),"Condição fora do capítulo 21",IF(AND($CB$178="Congelado",$N$178&lt;=6),"Congelado só em inimigo (21.2)",IF(AND(ISNUMBER($CE$178),$CE$178&gt;$Z$178),"Acima do teto de "&amp;$Z$178&amp;" acúmulo(s) (21.5): usando o teto",IF($AA$178="Sim","Dano Contínuo: início do turno do alvo; ignora RD, não crita, sem dados de Fraqueza (20.6)","")))))))</f>
        <v/>
      </c>
      <c r="N178" s="19">
        <f>IF(LEN($CA$178)=0,"",IFERROR(MATCH($CA$178,$N$11:$N$26,0),""))</f>
        <v/>
      </c>
      <c r="O178" s="19">
        <f>IF(LEN($CF$178)=0,"",IFERROR(MATCH($CF$178,$N$11:$N$26,0),""))</f>
        <v/>
      </c>
      <c r="P178" s="19">
        <f>IF(ISNUMBER($O$178),INDEX($AS$11:$AS$26,$O$178),'Campanha'!$B$20)</f>
        <v/>
      </c>
      <c r="Q178" s="19">
        <f>IF(ISNUMBER($N$178),INDEX($AQ$11:$AQ$26,$N$178),0)</f>
        <v/>
      </c>
      <c r="R178" s="19">
        <f>IF(LEN($CB$178)=0,"",IFERROR(MATCH($CB$178,'Dados'!$A$324:$A$339,0),""))</f>
        <v/>
      </c>
      <c r="S178" s="19">
        <f>IF(ISNUMBER($R$178),INDEX('Dados'!$F$324:$F$339,$R$178),"")</f>
        <v/>
      </c>
      <c r="T178" s="19">
        <f>IF(ISNUMBER($R$178),INDEX('Dados'!$G$324:$G$339,$R$178),"")</f>
        <v/>
      </c>
      <c r="U178" s="19">
        <f>IF(ISNUMBER($R$178),INDEX('Dados'!$H$324:$H$339,$R$178),"")</f>
        <v/>
      </c>
      <c r="V178" s="19">
        <f>IF(ISNUMBER($R$178),INDEX('Dados'!$I$324:$I$339,$R$178),"")</f>
        <v/>
      </c>
      <c r="W178" s="19">
        <f>IF(ISNUMBER($R$178),INDEX('Dados'!$J$324:$J$339,$R$178),"")</f>
        <v/>
      </c>
      <c r="X178" s="19">
        <f>IF(ISNUMBER($R$178),INDEX('Dados'!$K$324:$K$339,$R$178),"")</f>
        <v/>
      </c>
      <c r="Y178" s="19">
        <f>IF(ISNUMBER($R$178),INDEX('Dados'!$L$324:$L$339,$R$178),"")</f>
        <v/>
      </c>
      <c r="Z178" s="19">
        <f>IF(ISNUMBER($R$178),INDEX('Dados'!$M$324:$M$339,$R$178),"")</f>
        <v/>
      </c>
      <c r="AA178" s="19">
        <f>IF(ISNUMBER($R$178),INDEX('Dados'!$N$324:$N$339,$R$178),"")</f>
        <v/>
      </c>
      <c r="AB178" s="19">
        <f>IF(ISNUMBER($CE$178),MIN($Z$178,MAX(1,INT($CE$178))),1)</f>
        <v/>
      </c>
      <c r="AC178" s="19">
        <f>IF(ISNUMBER($R$178),INDEX('Dados'!$B$324:$B$339,$R$178),"")</f>
        <v/>
      </c>
      <c r="CA178" s="19">
        <f>IF(ISERROR($A$178),"",IF(ISBLANK($A$178),"",$A$178))</f>
        <v/>
      </c>
      <c r="CB178" s="19">
        <f>IF(ISERROR($B$178),"",IF(ISBLANK($B$178),"",$B$178))</f>
        <v/>
      </c>
      <c r="CD178" s="19">
        <f>IF(ISERROR($D$178),"",IF(ISBLANK($D$178),"",$D$178))</f>
        <v/>
      </c>
      <c r="CE178" s="19">
        <f>IF(ISERROR($E$178),"",IF(ISBLANK($E$178),"",$E$178))</f>
        <v/>
      </c>
      <c r="CF178" s="19">
        <f>IF(ISERROR($F$178),"",IF(ISBLANK($F$178),"",$F$178))</f>
        <v/>
      </c>
      <c r="CK178" s="19">
        <f>ISERROR($A$178)*1+ISERROR($B$178)*1+ISERROR($D$178)*1+ISERROR($E$178)*1+ISERROR($F$178)*1</f>
        <v/>
      </c>
    </row>
    <row r="179" ht="48" customHeight="1">
      <c r="A179" s="30" t="n"/>
      <c r="B179" s="3" t="n"/>
      <c r="C179" s="16" t="n"/>
      <c r="D179" s="15" t="n"/>
      <c r="E179" s="15" t="n"/>
      <c r="F179" s="3" t="n"/>
      <c r="G179" s="16" t="n"/>
      <c r="H179" s="4">
        <f>IF(NOT(ISNUMBER($R$179)),"",IF($W$179&gt;0,"Dano Contínuo: "&amp;MIN(INT($W$179*$Q$179/100),$X$179*$P$179)&amp;" por turno",IF($S$179&gt;0,IF($AA$179="Sim","Dano Contínuo: ","Dano: ")&amp;IF($U$179="Sim",$AB$179*$S$179,$S$179)&amp;"d"&amp;$T$179&amp;IF($V$179="Sim"," + "&amp;$P$179,"")&amp;" · média "&amp;(INT(IF($U$179="Sim",$AB$179*$S$179,$S$179)*($T$179+1)/2)+IF($V$179="Sim",$P$179,0)),$AC$179))&amp;IF($Y$179&gt;0,"; Atrasa "&amp;$Y$179&amp;" casa(s): some em Atraso deste Ciclo do alvo (C8)",""))</f>
        <v/>
      </c>
      <c r="K179" s="18">
        <f>IF(CK179&gt;0,"O Google leu como fórmula: escolha de novo ou digite com ' na frente.",IF(LEN($CA$179&amp;$CB$179)=0,"",IF(NOT(ISNUMBER($N$179)),"Combatente fora da lista",IF(NOT(ISNUMBER($R$179)),"Condição fora do capítulo 21",IF(AND($CB$179="Congelado",$N$179&lt;=6),"Congelado só em inimigo (21.2)",IF(AND(ISNUMBER($CE$179),$CE$179&gt;$Z$179),"Acima do teto de "&amp;$Z$179&amp;" acúmulo(s) (21.5): usando o teto",IF($AA$179="Sim","Dano Contínuo: início do turno do alvo; ignora RD, não crita, sem dados de Fraqueza (20.6)","")))))))</f>
        <v/>
      </c>
      <c r="N179" s="19">
        <f>IF(LEN($CA$179)=0,"",IFERROR(MATCH($CA$179,$N$11:$N$26,0),""))</f>
        <v/>
      </c>
      <c r="O179" s="19">
        <f>IF(LEN($CF$179)=0,"",IFERROR(MATCH($CF$179,$N$11:$N$26,0),""))</f>
        <v/>
      </c>
      <c r="P179" s="19">
        <f>IF(ISNUMBER($O$179),INDEX($AS$11:$AS$26,$O$179),'Campanha'!$B$20)</f>
        <v/>
      </c>
      <c r="Q179" s="19">
        <f>IF(ISNUMBER($N$179),INDEX($AQ$11:$AQ$26,$N$179),0)</f>
        <v/>
      </c>
      <c r="R179" s="19">
        <f>IF(LEN($CB$179)=0,"",IFERROR(MATCH($CB$179,'Dados'!$A$324:$A$339,0),""))</f>
        <v/>
      </c>
      <c r="S179" s="19">
        <f>IF(ISNUMBER($R$179),INDEX('Dados'!$F$324:$F$339,$R$179),"")</f>
        <v/>
      </c>
      <c r="T179" s="19">
        <f>IF(ISNUMBER($R$179),INDEX('Dados'!$G$324:$G$339,$R$179),"")</f>
        <v/>
      </c>
      <c r="U179" s="19">
        <f>IF(ISNUMBER($R$179),INDEX('Dados'!$H$324:$H$339,$R$179),"")</f>
        <v/>
      </c>
      <c r="V179" s="19">
        <f>IF(ISNUMBER($R$179),INDEX('Dados'!$I$324:$I$339,$R$179),"")</f>
        <v/>
      </c>
      <c r="W179" s="19">
        <f>IF(ISNUMBER($R$179),INDEX('Dados'!$J$324:$J$339,$R$179),"")</f>
        <v/>
      </c>
      <c r="X179" s="19">
        <f>IF(ISNUMBER($R$179),INDEX('Dados'!$K$324:$K$339,$R$179),"")</f>
        <v/>
      </c>
      <c r="Y179" s="19">
        <f>IF(ISNUMBER($R$179),INDEX('Dados'!$L$324:$L$339,$R$179),"")</f>
        <v/>
      </c>
      <c r="Z179" s="19">
        <f>IF(ISNUMBER($R$179),INDEX('Dados'!$M$324:$M$339,$R$179),"")</f>
        <v/>
      </c>
      <c r="AA179" s="19">
        <f>IF(ISNUMBER($R$179),INDEX('Dados'!$N$324:$N$339,$R$179),"")</f>
        <v/>
      </c>
      <c r="AB179" s="19">
        <f>IF(ISNUMBER($CE$179),MIN($Z$179,MAX(1,INT($CE$179))),1)</f>
        <v/>
      </c>
      <c r="AC179" s="19">
        <f>IF(ISNUMBER($R$179),INDEX('Dados'!$B$324:$B$339,$R$179),"")</f>
        <v/>
      </c>
      <c r="CA179" s="19">
        <f>IF(ISERROR($A$179),"",IF(ISBLANK($A$179),"",$A$179))</f>
        <v/>
      </c>
      <c r="CB179" s="19">
        <f>IF(ISERROR($B$179),"",IF(ISBLANK($B$179),"",$B$179))</f>
        <v/>
      </c>
      <c r="CD179" s="19">
        <f>IF(ISERROR($D$179),"",IF(ISBLANK($D$179),"",$D$179))</f>
        <v/>
      </c>
      <c r="CE179" s="19">
        <f>IF(ISERROR($E$179),"",IF(ISBLANK($E$179),"",$E$179))</f>
        <v/>
      </c>
      <c r="CF179" s="19">
        <f>IF(ISERROR($F$179),"",IF(ISBLANK($F$179),"",$F$179))</f>
        <v/>
      </c>
      <c r="CK179" s="19">
        <f>ISERROR($A$179)*1+ISERROR($B$179)*1+ISERROR($D$179)*1+ISERROR($E$179)*1+ISERROR($F$179)*1</f>
        <v/>
      </c>
    </row>
    <row r="180" ht="48" customHeight="1">
      <c r="A180" s="31" t="n"/>
      <c r="B180" s="28" t="n"/>
      <c r="C180" s="16" t="n"/>
      <c r="D180" s="34" t="n"/>
      <c r="E180" s="34" t="n"/>
      <c r="F180" s="28" t="n"/>
      <c r="G180" s="16" t="n"/>
      <c r="H180" s="9">
        <f>IF(NOT(ISNUMBER($R$180)),"",IF($W$180&gt;0,"Dano Contínuo: "&amp;MIN(INT($W$180*$Q$180/100),$X$180*$P$180)&amp;" por turno",IF($S$180&gt;0,IF($AA$180="Sim","Dano Contínuo: ","Dano: ")&amp;IF($U$180="Sim",$AB$180*$S$180,$S$180)&amp;"d"&amp;$T$180&amp;IF($V$180="Sim"," + "&amp;$P$180,"")&amp;" · média "&amp;(INT(IF($U$180="Sim",$AB$180*$S$180,$S$180)*($T$180+1)/2)+IF($V$180="Sim",$P$180,0)),$AC$180))&amp;IF($Y$180&gt;0,"; Atrasa "&amp;$Y$180&amp;" casa(s): some em Atraso deste Ciclo do alvo (C8)",""))</f>
        <v/>
      </c>
      <c r="K180" s="26">
        <f>IF(CK180&gt;0,"O Google leu como fórmula: escolha de novo ou digite com ' na frente.",IF(LEN($CA$180&amp;$CB$180)=0,"",IF(NOT(ISNUMBER($N$180)),"Combatente fora da lista",IF(NOT(ISNUMBER($R$180)),"Condição fora do capítulo 21",IF(AND($CB$180="Congelado",$N$180&lt;=6),"Congelado só em inimigo (21.2)",IF(AND(ISNUMBER($CE$180),$CE$180&gt;$Z$180),"Acima do teto de "&amp;$Z$180&amp;" acúmulo(s) (21.5): usando o teto",IF($AA$180="Sim","Dano Contínuo: início do turno do alvo; ignora RD, não crita, sem dados de Fraqueza (20.6)","")))))))</f>
        <v/>
      </c>
      <c r="N180" s="19">
        <f>IF(LEN($CA$180)=0,"",IFERROR(MATCH($CA$180,$N$11:$N$26,0),""))</f>
        <v/>
      </c>
      <c r="O180" s="19">
        <f>IF(LEN($CF$180)=0,"",IFERROR(MATCH($CF$180,$N$11:$N$26,0),""))</f>
        <v/>
      </c>
      <c r="P180" s="19">
        <f>IF(ISNUMBER($O$180),INDEX($AS$11:$AS$26,$O$180),'Campanha'!$B$20)</f>
        <v/>
      </c>
      <c r="Q180" s="19">
        <f>IF(ISNUMBER($N$180),INDEX($AQ$11:$AQ$26,$N$180),0)</f>
        <v/>
      </c>
      <c r="R180" s="19">
        <f>IF(LEN($CB$180)=0,"",IFERROR(MATCH($CB$180,'Dados'!$A$324:$A$339,0),""))</f>
        <v/>
      </c>
      <c r="S180" s="19">
        <f>IF(ISNUMBER($R$180),INDEX('Dados'!$F$324:$F$339,$R$180),"")</f>
        <v/>
      </c>
      <c r="T180" s="19">
        <f>IF(ISNUMBER($R$180),INDEX('Dados'!$G$324:$G$339,$R$180),"")</f>
        <v/>
      </c>
      <c r="U180" s="19">
        <f>IF(ISNUMBER($R$180),INDEX('Dados'!$H$324:$H$339,$R$180),"")</f>
        <v/>
      </c>
      <c r="V180" s="19">
        <f>IF(ISNUMBER($R$180),INDEX('Dados'!$I$324:$I$339,$R$180),"")</f>
        <v/>
      </c>
      <c r="W180" s="19">
        <f>IF(ISNUMBER($R$180),INDEX('Dados'!$J$324:$J$339,$R$180),"")</f>
        <v/>
      </c>
      <c r="X180" s="19">
        <f>IF(ISNUMBER($R$180),INDEX('Dados'!$K$324:$K$339,$R$180),"")</f>
        <v/>
      </c>
      <c r="Y180" s="19">
        <f>IF(ISNUMBER($R$180),INDEX('Dados'!$L$324:$L$339,$R$180),"")</f>
        <v/>
      </c>
      <c r="Z180" s="19">
        <f>IF(ISNUMBER($R$180),INDEX('Dados'!$M$324:$M$339,$R$180),"")</f>
        <v/>
      </c>
      <c r="AA180" s="19">
        <f>IF(ISNUMBER($R$180),INDEX('Dados'!$N$324:$N$339,$R$180),"")</f>
        <v/>
      </c>
      <c r="AB180" s="19">
        <f>IF(ISNUMBER($CE$180),MIN($Z$180,MAX(1,INT($CE$180))),1)</f>
        <v/>
      </c>
      <c r="AC180" s="19">
        <f>IF(ISNUMBER($R$180),INDEX('Dados'!$B$324:$B$339,$R$180),"")</f>
        <v/>
      </c>
      <c r="CA180" s="19">
        <f>IF(ISERROR($A$180),"",IF(ISBLANK($A$180),"",$A$180))</f>
        <v/>
      </c>
      <c r="CB180" s="19">
        <f>IF(ISERROR($B$180),"",IF(ISBLANK($B$180),"",$B$180))</f>
        <v/>
      </c>
      <c r="CD180" s="19">
        <f>IF(ISERROR($D$180),"",IF(ISBLANK($D$180),"",$D$180))</f>
        <v/>
      </c>
      <c r="CE180" s="19">
        <f>IF(ISERROR($E$180),"",IF(ISBLANK($E$180),"",$E$180))</f>
        <v/>
      </c>
      <c r="CF180" s="19">
        <f>IF(ISERROR($F$180),"",IF(ISBLANK($F$180),"",$F$180))</f>
        <v/>
      </c>
      <c r="CK180" s="19">
        <f>ISERROR($A$180)*1+ISERROR($B$180)*1+ISERROR($D$180)*1+ISERROR($E$180)*1+ISERROR($F$180)*1</f>
        <v/>
      </c>
    </row>
    <row r="181" ht="48" customHeight="1">
      <c r="A181" s="30" t="n"/>
      <c r="B181" s="3" t="n"/>
      <c r="C181" s="16" t="n"/>
      <c r="D181" s="15" t="n"/>
      <c r="E181" s="15" t="n"/>
      <c r="F181" s="3" t="n"/>
      <c r="G181" s="16" t="n"/>
      <c r="H181" s="4">
        <f>IF(NOT(ISNUMBER($R$181)),"",IF($W$181&gt;0,"Dano Contínuo: "&amp;MIN(INT($W$181*$Q$181/100),$X$181*$P$181)&amp;" por turno",IF($S$181&gt;0,IF($AA$181="Sim","Dano Contínuo: ","Dano: ")&amp;IF($U$181="Sim",$AB$181*$S$181,$S$181)&amp;"d"&amp;$T$181&amp;IF($V$181="Sim"," + "&amp;$P$181,"")&amp;" · média "&amp;(INT(IF($U$181="Sim",$AB$181*$S$181,$S$181)*($T$181+1)/2)+IF($V$181="Sim",$P$181,0)),$AC$181))&amp;IF($Y$181&gt;0,"; Atrasa "&amp;$Y$181&amp;" casa(s): some em Atraso deste Ciclo do alvo (C8)",""))</f>
        <v/>
      </c>
      <c r="K181" s="18">
        <f>IF(CK181&gt;0,"O Google leu como fórmula: escolha de novo ou digite com ' na frente.",IF(LEN($CA$181&amp;$CB$181)=0,"",IF(NOT(ISNUMBER($N$181)),"Combatente fora da lista",IF(NOT(ISNUMBER($R$181)),"Condição fora do capítulo 21",IF(AND($CB$181="Congelado",$N$181&lt;=6),"Congelado só em inimigo (21.2)",IF(AND(ISNUMBER($CE$181),$CE$181&gt;$Z$181),"Acima do teto de "&amp;$Z$181&amp;" acúmulo(s) (21.5): usando o teto",IF($AA$181="Sim","Dano Contínuo: início do turno do alvo; ignora RD, não crita, sem dados de Fraqueza (20.6)","")))))))</f>
        <v/>
      </c>
      <c r="N181" s="19">
        <f>IF(LEN($CA$181)=0,"",IFERROR(MATCH($CA$181,$N$11:$N$26,0),""))</f>
        <v/>
      </c>
      <c r="O181" s="19">
        <f>IF(LEN($CF$181)=0,"",IFERROR(MATCH($CF$181,$N$11:$N$26,0),""))</f>
        <v/>
      </c>
      <c r="P181" s="19">
        <f>IF(ISNUMBER($O$181),INDEX($AS$11:$AS$26,$O$181),'Campanha'!$B$20)</f>
        <v/>
      </c>
      <c r="Q181" s="19">
        <f>IF(ISNUMBER($N$181),INDEX($AQ$11:$AQ$26,$N$181),0)</f>
        <v/>
      </c>
      <c r="R181" s="19">
        <f>IF(LEN($CB$181)=0,"",IFERROR(MATCH($CB$181,'Dados'!$A$324:$A$339,0),""))</f>
        <v/>
      </c>
      <c r="S181" s="19">
        <f>IF(ISNUMBER($R$181),INDEX('Dados'!$F$324:$F$339,$R$181),"")</f>
        <v/>
      </c>
      <c r="T181" s="19">
        <f>IF(ISNUMBER($R$181),INDEX('Dados'!$G$324:$G$339,$R$181),"")</f>
        <v/>
      </c>
      <c r="U181" s="19">
        <f>IF(ISNUMBER($R$181),INDEX('Dados'!$H$324:$H$339,$R$181),"")</f>
        <v/>
      </c>
      <c r="V181" s="19">
        <f>IF(ISNUMBER($R$181),INDEX('Dados'!$I$324:$I$339,$R$181),"")</f>
        <v/>
      </c>
      <c r="W181" s="19">
        <f>IF(ISNUMBER($R$181),INDEX('Dados'!$J$324:$J$339,$R$181),"")</f>
        <v/>
      </c>
      <c r="X181" s="19">
        <f>IF(ISNUMBER($R$181),INDEX('Dados'!$K$324:$K$339,$R$181),"")</f>
        <v/>
      </c>
      <c r="Y181" s="19">
        <f>IF(ISNUMBER($R$181),INDEX('Dados'!$L$324:$L$339,$R$181),"")</f>
        <v/>
      </c>
      <c r="Z181" s="19">
        <f>IF(ISNUMBER($R$181),INDEX('Dados'!$M$324:$M$339,$R$181),"")</f>
        <v/>
      </c>
      <c r="AA181" s="19">
        <f>IF(ISNUMBER($R$181),INDEX('Dados'!$N$324:$N$339,$R$181),"")</f>
        <v/>
      </c>
      <c r="AB181" s="19">
        <f>IF(ISNUMBER($CE$181),MIN($Z$181,MAX(1,INT($CE$181))),1)</f>
        <v/>
      </c>
      <c r="AC181" s="19">
        <f>IF(ISNUMBER($R$181),INDEX('Dados'!$B$324:$B$339,$R$181),"")</f>
        <v/>
      </c>
      <c r="CA181" s="19">
        <f>IF(ISERROR($A$181),"",IF(ISBLANK($A$181),"",$A$181))</f>
        <v/>
      </c>
      <c r="CB181" s="19">
        <f>IF(ISERROR($B$181),"",IF(ISBLANK($B$181),"",$B$181))</f>
        <v/>
      </c>
      <c r="CD181" s="19">
        <f>IF(ISERROR($D$181),"",IF(ISBLANK($D$181),"",$D$181))</f>
        <v/>
      </c>
      <c r="CE181" s="19">
        <f>IF(ISERROR($E$181),"",IF(ISBLANK($E$181),"",$E$181))</f>
        <v/>
      </c>
      <c r="CF181" s="19">
        <f>IF(ISERROR($F$181),"",IF(ISBLANK($F$181),"",$F$181))</f>
        <v/>
      </c>
      <c r="CK181" s="19">
        <f>ISERROR($A$181)*1+ISERROR($B$181)*1+ISERROR($D$181)*1+ISERROR($E$181)*1+ISERROR($F$181)*1</f>
        <v/>
      </c>
    </row>
    <row r="182" ht="48" customHeight="1">
      <c r="A182" s="31" t="n"/>
      <c r="B182" s="28" t="n"/>
      <c r="C182" s="16" t="n"/>
      <c r="D182" s="34" t="n"/>
      <c r="E182" s="34" t="n"/>
      <c r="F182" s="28" t="n"/>
      <c r="G182" s="16" t="n"/>
      <c r="H182" s="9">
        <f>IF(NOT(ISNUMBER($R$182)),"",IF($W$182&gt;0,"Dano Contínuo: "&amp;MIN(INT($W$182*$Q$182/100),$X$182*$P$182)&amp;" por turno",IF($S$182&gt;0,IF($AA$182="Sim","Dano Contínuo: ","Dano: ")&amp;IF($U$182="Sim",$AB$182*$S$182,$S$182)&amp;"d"&amp;$T$182&amp;IF($V$182="Sim"," + "&amp;$P$182,"")&amp;" · média "&amp;(INT(IF($U$182="Sim",$AB$182*$S$182,$S$182)*($T$182+1)/2)+IF($V$182="Sim",$P$182,0)),$AC$182))&amp;IF($Y$182&gt;0,"; Atrasa "&amp;$Y$182&amp;" casa(s): some em Atraso deste Ciclo do alvo (C8)",""))</f>
        <v/>
      </c>
      <c r="K182" s="26">
        <f>IF(CK182&gt;0,"O Google leu como fórmula: escolha de novo ou digite com ' na frente.",IF(LEN($CA$182&amp;$CB$182)=0,"",IF(NOT(ISNUMBER($N$182)),"Combatente fora da lista",IF(NOT(ISNUMBER($R$182)),"Condição fora do capítulo 21",IF(AND($CB$182="Congelado",$N$182&lt;=6),"Congelado só em inimigo (21.2)",IF(AND(ISNUMBER($CE$182),$CE$182&gt;$Z$182),"Acima do teto de "&amp;$Z$182&amp;" acúmulo(s) (21.5): usando o teto",IF($AA$182="Sim","Dano Contínuo: início do turno do alvo; ignora RD, não crita, sem dados de Fraqueza (20.6)","")))))))</f>
        <v/>
      </c>
      <c r="N182" s="19">
        <f>IF(LEN($CA$182)=0,"",IFERROR(MATCH($CA$182,$N$11:$N$26,0),""))</f>
        <v/>
      </c>
      <c r="O182" s="19">
        <f>IF(LEN($CF$182)=0,"",IFERROR(MATCH($CF$182,$N$11:$N$26,0),""))</f>
        <v/>
      </c>
      <c r="P182" s="19">
        <f>IF(ISNUMBER($O$182),INDEX($AS$11:$AS$26,$O$182),'Campanha'!$B$20)</f>
        <v/>
      </c>
      <c r="Q182" s="19">
        <f>IF(ISNUMBER($N$182),INDEX($AQ$11:$AQ$26,$N$182),0)</f>
        <v/>
      </c>
      <c r="R182" s="19">
        <f>IF(LEN($CB$182)=0,"",IFERROR(MATCH($CB$182,'Dados'!$A$324:$A$339,0),""))</f>
        <v/>
      </c>
      <c r="S182" s="19">
        <f>IF(ISNUMBER($R$182),INDEX('Dados'!$F$324:$F$339,$R$182),"")</f>
        <v/>
      </c>
      <c r="T182" s="19">
        <f>IF(ISNUMBER($R$182),INDEX('Dados'!$G$324:$G$339,$R$182),"")</f>
        <v/>
      </c>
      <c r="U182" s="19">
        <f>IF(ISNUMBER($R$182),INDEX('Dados'!$H$324:$H$339,$R$182),"")</f>
        <v/>
      </c>
      <c r="V182" s="19">
        <f>IF(ISNUMBER($R$182),INDEX('Dados'!$I$324:$I$339,$R$182),"")</f>
        <v/>
      </c>
      <c r="W182" s="19">
        <f>IF(ISNUMBER($R$182),INDEX('Dados'!$J$324:$J$339,$R$182),"")</f>
        <v/>
      </c>
      <c r="X182" s="19">
        <f>IF(ISNUMBER($R$182),INDEX('Dados'!$K$324:$K$339,$R$182),"")</f>
        <v/>
      </c>
      <c r="Y182" s="19">
        <f>IF(ISNUMBER($R$182),INDEX('Dados'!$L$324:$L$339,$R$182),"")</f>
        <v/>
      </c>
      <c r="Z182" s="19">
        <f>IF(ISNUMBER($R$182),INDEX('Dados'!$M$324:$M$339,$R$182),"")</f>
        <v/>
      </c>
      <c r="AA182" s="19">
        <f>IF(ISNUMBER($R$182),INDEX('Dados'!$N$324:$N$339,$R$182),"")</f>
        <v/>
      </c>
      <c r="AB182" s="19">
        <f>IF(ISNUMBER($CE$182),MIN($Z$182,MAX(1,INT($CE$182))),1)</f>
        <v/>
      </c>
      <c r="AC182" s="19">
        <f>IF(ISNUMBER($R$182),INDEX('Dados'!$B$324:$B$339,$R$182),"")</f>
        <v/>
      </c>
      <c r="CA182" s="19">
        <f>IF(ISERROR($A$182),"",IF(ISBLANK($A$182),"",$A$182))</f>
        <v/>
      </c>
      <c r="CB182" s="19">
        <f>IF(ISERROR($B$182),"",IF(ISBLANK($B$182),"",$B$182))</f>
        <v/>
      </c>
      <c r="CD182" s="19">
        <f>IF(ISERROR($D$182),"",IF(ISBLANK($D$182),"",$D$182))</f>
        <v/>
      </c>
      <c r="CE182" s="19">
        <f>IF(ISERROR($E$182),"",IF(ISBLANK($E$182),"",$E$182))</f>
        <v/>
      </c>
      <c r="CF182" s="19">
        <f>IF(ISERROR($F$182),"",IF(ISBLANK($F$182),"",$F$182))</f>
        <v/>
      </c>
      <c r="CK182" s="19">
        <f>ISERROR($A$182)*1+ISERROR($B$182)*1+ISERROR($D$182)*1+ISERROR($E$182)*1+ISERROR($F$182)*1</f>
        <v/>
      </c>
    </row>
    <row r="183" ht="26" customHeight="1">
      <c r="A183" s="7" t="inlineStr">
        <is>
          <t>Combatente</t>
        </is>
      </c>
      <c r="B183" s="7" t="inlineStr">
        <is>
          <t>Condição</t>
        </is>
      </c>
      <c r="C183" s="20" t="n"/>
      <c r="D183" s="7" t="inlineStr">
        <is>
          <t>Turnos restantes</t>
        </is>
      </c>
      <c r="E183" s="7" t="inlineStr">
        <is>
          <t>Acúmulos</t>
        </is>
      </c>
      <c r="F183" s="7" t="inlineStr">
        <is>
          <t>Quem aplicou</t>
        </is>
      </c>
      <c r="G183" s="20" t="n"/>
      <c r="H183" s="7" t="inlineStr">
        <is>
          <t>Efeito e dano</t>
        </is>
      </c>
      <c r="I183" s="20" t="n"/>
      <c r="J183" s="20" t="n"/>
      <c r="K183" s="7" t="inlineStr">
        <is>
          <t>Aviso</t>
        </is>
      </c>
      <c r="L183" s="20" t="n"/>
      <c r="CA183" s="19">
        <f>IF(ISERROR($A$183),"",IF(ISBLANK($A$183),"",$A$183))</f>
        <v/>
      </c>
      <c r="CB183" s="19">
        <f>IF(ISERROR($B$183),"",IF(ISBLANK($B$183),"",$B$183))</f>
        <v/>
      </c>
      <c r="CD183" s="19">
        <f>IF(ISERROR($D$183),"",IF(ISBLANK($D$183),"",$D$183))</f>
        <v/>
      </c>
    </row>
    <row r="184" ht="48" customHeight="1">
      <c r="A184" s="30" t="n"/>
      <c r="B184" s="3" t="n"/>
      <c r="C184" s="16" t="n"/>
      <c r="D184" s="15" t="n"/>
      <c r="E184" s="15" t="n"/>
      <c r="F184" s="3" t="n"/>
      <c r="G184" s="16" t="n"/>
      <c r="H184" s="4">
        <f>IF(NOT(ISNUMBER($R$184)),"",IF($W$184&gt;0,"Dano Contínuo: "&amp;MIN(INT($W$184*$Q$184/100),$X$184*$P$184)&amp;" por turno",IF($S$184&gt;0,IF($AA$184="Sim","Dano Contínuo: ","Dano: ")&amp;IF($U$184="Sim",$AB$184*$S$184,$S$184)&amp;"d"&amp;$T$184&amp;IF($V$184="Sim"," + "&amp;$P$184,"")&amp;" · média "&amp;(INT(IF($U$184="Sim",$AB$184*$S$184,$S$184)*($T$184+1)/2)+IF($V$184="Sim",$P$184,0)),$AC$184))&amp;IF($Y$184&gt;0,"; Atrasa "&amp;$Y$184&amp;" casa(s): some em Atraso deste Ciclo do alvo (C8)",""))</f>
        <v/>
      </c>
      <c r="K184" s="18">
        <f>IF(CK184&gt;0,"O Google leu como fórmula: escolha de novo ou digite com ' na frente.",IF(LEN($CA$184&amp;$CB$184)=0,"",IF(NOT(ISNUMBER($N$184)),"Combatente fora da lista",IF(NOT(ISNUMBER($R$184)),"Condição fora do capítulo 21",IF(AND($CB$184="Congelado",$N$184&lt;=6),"Congelado só em inimigo (21.2)",IF(AND(ISNUMBER($CE$184),$CE$184&gt;$Z$184),"Acima do teto de "&amp;$Z$184&amp;" acúmulo(s) (21.5): usando o teto",IF($AA$184="Sim","Dano Contínuo: início do turno do alvo; ignora RD, não crita, sem dados de Fraqueza (20.6)","")))))))</f>
        <v/>
      </c>
      <c r="N184" s="19">
        <f>IF(LEN($CA$184)=0,"",IFERROR(MATCH($CA$184,$N$11:$N$26,0),""))</f>
        <v/>
      </c>
      <c r="O184" s="19">
        <f>IF(LEN($CF$184)=0,"",IFERROR(MATCH($CF$184,$N$11:$N$26,0),""))</f>
        <v/>
      </c>
      <c r="P184" s="19">
        <f>IF(ISNUMBER($O$184),INDEX($AS$11:$AS$26,$O$184),'Campanha'!$B$20)</f>
        <v/>
      </c>
      <c r="Q184" s="19">
        <f>IF(ISNUMBER($N$184),INDEX($AQ$11:$AQ$26,$N$184),0)</f>
        <v/>
      </c>
      <c r="R184" s="19">
        <f>IF(LEN($CB$184)=0,"",IFERROR(MATCH($CB$184,'Dados'!$A$324:$A$339,0),""))</f>
        <v/>
      </c>
      <c r="S184" s="19">
        <f>IF(ISNUMBER($R$184),INDEX('Dados'!$F$324:$F$339,$R$184),"")</f>
        <v/>
      </c>
      <c r="T184" s="19">
        <f>IF(ISNUMBER($R$184),INDEX('Dados'!$G$324:$G$339,$R$184),"")</f>
        <v/>
      </c>
      <c r="U184" s="19">
        <f>IF(ISNUMBER($R$184),INDEX('Dados'!$H$324:$H$339,$R$184),"")</f>
        <v/>
      </c>
      <c r="V184" s="19">
        <f>IF(ISNUMBER($R$184),INDEX('Dados'!$I$324:$I$339,$R$184),"")</f>
        <v/>
      </c>
      <c r="W184" s="19">
        <f>IF(ISNUMBER($R$184),INDEX('Dados'!$J$324:$J$339,$R$184),"")</f>
        <v/>
      </c>
      <c r="X184" s="19">
        <f>IF(ISNUMBER($R$184),INDEX('Dados'!$K$324:$K$339,$R$184),"")</f>
        <v/>
      </c>
      <c r="Y184" s="19">
        <f>IF(ISNUMBER($R$184),INDEX('Dados'!$L$324:$L$339,$R$184),"")</f>
        <v/>
      </c>
      <c r="Z184" s="19">
        <f>IF(ISNUMBER($R$184),INDEX('Dados'!$M$324:$M$339,$R$184),"")</f>
        <v/>
      </c>
      <c r="AA184" s="19">
        <f>IF(ISNUMBER($R$184),INDEX('Dados'!$N$324:$N$339,$R$184),"")</f>
        <v/>
      </c>
      <c r="AB184" s="19">
        <f>IF(ISNUMBER($CE$184),MIN($Z$184,MAX(1,INT($CE$184))),1)</f>
        <v/>
      </c>
      <c r="AC184" s="19">
        <f>IF(ISNUMBER($R$184),INDEX('Dados'!$B$324:$B$339,$R$184),"")</f>
        <v/>
      </c>
      <c r="CA184" s="19">
        <f>IF(ISERROR($A$184),"",IF(ISBLANK($A$184),"",$A$184))</f>
        <v/>
      </c>
      <c r="CB184" s="19">
        <f>IF(ISERROR($B$184),"",IF(ISBLANK($B$184),"",$B$184))</f>
        <v/>
      </c>
      <c r="CD184" s="19">
        <f>IF(ISERROR($D$184),"",IF(ISBLANK($D$184),"",$D$184))</f>
        <v/>
      </c>
      <c r="CE184" s="19">
        <f>IF(ISERROR($E$184),"",IF(ISBLANK($E$184),"",$E$184))</f>
        <v/>
      </c>
      <c r="CF184" s="19">
        <f>IF(ISERROR($F$184),"",IF(ISBLANK($F$184),"",$F$184))</f>
        <v/>
      </c>
      <c r="CK184" s="19">
        <f>ISERROR($A$184)*1+ISERROR($B$184)*1+ISERROR($D$184)*1+ISERROR($E$184)*1+ISERROR($F$184)*1</f>
        <v/>
      </c>
    </row>
    <row r="185" ht="48" customHeight="1">
      <c r="A185" s="31" t="n"/>
      <c r="B185" s="28" t="n"/>
      <c r="C185" s="16" t="n"/>
      <c r="D185" s="34" t="n"/>
      <c r="E185" s="34" t="n"/>
      <c r="F185" s="28" t="n"/>
      <c r="G185" s="16" t="n"/>
      <c r="H185" s="9">
        <f>IF(NOT(ISNUMBER($R$185)),"",IF($W$185&gt;0,"Dano Contínuo: "&amp;MIN(INT($W$185*$Q$185/100),$X$185*$P$185)&amp;" por turno",IF($S$185&gt;0,IF($AA$185="Sim","Dano Contínuo: ","Dano: ")&amp;IF($U$185="Sim",$AB$185*$S$185,$S$185)&amp;"d"&amp;$T$185&amp;IF($V$185="Sim"," + "&amp;$P$185,"")&amp;" · média "&amp;(INT(IF($U$185="Sim",$AB$185*$S$185,$S$185)*($T$185+1)/2)+IF($V$185="Sim",$P$185,0)),$AC$185))&amp;IF($Y$185&gt;0,"; Atrasa "&amp;$Y$185&amp;" casa(s): some em Atraso deste Ciclo do alvo (C8)",""))</f>
        <v/>
      </c>
      <c r="K185" s="26">
        <f>IF(CK185&gt;0,"O Google leu como fórmula: escolha de novo ou digite com ' na frente.",IF(LEN($CA$185&amp;$CB$185)=0,"",IF(NOT(ISNUMBER($N$185)),"Combatente fora da lista",IF(NOT(ISNUMBER($R$185)),"Condição fora do capítulo 21",IF(AND($CB$185="Congelado",$N$185&lt;=6),"Congelado só em inimigo (21.2)",IF(AND(ISNUMBER($CE$185),$CE$185&gt;$Z$185),"Acima do teto de "&amp;$Z$185&amp;" acúmulo(s) (21.5): usando o teto",IF($AA$185="Sim","Dano Contínuo: início do turno do alvo; ignora RD, não crita, sem dados de Fraqueza (20.6)","")))))))</f>
        <v/>
      </c>
      <c r="N185" s="19">
        <f>IF(LEN($CA$185)=0,"",IFERROR(MATCH($CA$185,$N$11:$N$26,0),""))</f>
        <v/>
      </c>
      <c r="O185" s="19">
        <f>IF(LEN($CF$185)=0,"",IFERROR(MATCH($CF$185,$N$11:$N$26,0),""))</f>
        <v/>
      </c>
      <c r="P185" s="19">
        <f>IF(ISNUMBER($O$185),INDEX($AS$11:$AS$26,$O$185),'Campanha'!$B$20)</f>
        <v/>
      </c>
      <c r="Q185" s="19">
        <f>IF(ISNUMBER($N$185),INDEX($AQ$11:$AQ$26,$N$185),0)</f>
        <v/>
      </c>
      <c r="R185" s="19">
        <f>IF(LEN($CB$185)=0,"",IFERROR(MATCH($CB$185,'Dados'!$A$324:$A$339,0),""))</f>
        <v/>
      </c>
      <c r="S185" s="19">
        <f>IF(ISNUMBER($R$185),INDEX('Dados'!$F$324:$F$339,$R$185),"")</f>
        <v/>
      </c>
      <c r="T185" s="19">
        <f>IF(ISNUMBER($R$185),INDEX('Dados'!$G$324:$G$339,$R$185),"")</f>
        <v/>
      </c>
      <c r="U185" s="19">
        <f>IF(ISNUMBER($R$185),INDEX('Dados'!$H$324:$H$339,$R$185),"")</f>
        <v/>
      </c>
      <c r="V185" s="19">
        <f>IF(ISNUMBER($R$185),INDEX('Dados'!$I$324:$I$339,$R$185),"")</f>
        <v/>
      </c>
      <c r="W185" s="19">
        <f>IF(ISNUMBER($R$185),INDEX('Dados'!$J$324:$J$339,$R$185),"")</f>
        <v/>
      </c>
      <c r="X185" s="19">
        <f>IF(ISNUMBER($R$185),INDEX('Dados'!$K$324:$K$339,$R$185),"")</f>
        <v/>
      </c>
      <c r="Y185" s="19">
        <f>IF(ISNUMBER($R$185),INDEX('Dados'!$L$324:$L$339,$R$185),"")</f>
        <v/>
      </c>
      <c r="Z185" s="19">
        <f>IF(ISNUMBER($R$185),INDEX('Dados'!$M$324:$M$339,$R$185),"")</f>
        <v/>
      </c>
      <c r="AA185" s="19">
        <f>IF(ISNUMBER($R$185),INDEX('Dados'!$N$324:$N$339,$R$185),"")</f>
        <v/>
      </c>
      <c r="AB185" s="19">
        <f>IF(ISNUMBER($CE$185),MIN($Z$185,MAX(1,INT($CE$185))),1)</f>
        <v/>
      </c>
      <c r="AC185" s="19">
        <f>IF(ISNUMBER($R$185),INDEX('Dados'!$B$324:$B$339,$R$185),"")</f>
        <v/>
      </c>
      <c r="CA185" s="19">
        <f>IF(ISERROR($A$185),"",IF(ISBLANK($A$185),"",$A$185))</f>
        <v/>
      </c>
      <c r="CB185" s="19">
        <f>IF(ISERROR($B$185),"",IF(ISBLANK($B$185),"",$B$185))</f>
        <v/>
      </c>
      <c r="CD185" s="19">
        <f>IF(ISERROR($D$185),"",IF(ISBLANK($D$185),"",$D$185))</f>
        <v/>
      </c>
      <c r="CE185" s="19">
        <f>IF(ISERROR($E$185),"",IF(ISBLANK($E$185),"",$E$185))</f>
        <v/>
      </c>
      <c r="CF185" s="19">
        <f>IF(ISERROR($F$185),"",IF(ISBLANK($F$185),"",$F$185))</f>
        <v/>
      </c>
      <c r="CK185" s="19">
        <f>ISERROR($A$185)*1+ISERROR($B$185)*1+ISERROR($D$185)*1+ISERROR($E$185)*1+ISERROR($F$185)*1</f>
        <v/>
      </c>
    </row>
    <row r="186" ht="48" customHeight="1">
      <c r="A186" s="30" t="n"/>
      <c r="B186" s="3" t="n"/>
      <c r="C186" s="16" t="n"/>
      <c r="D186" s="15" t="n"/>
      <c r="E186" s="15" t="n"/>
      <c r="F186" s="3" t="n"/>
      <c r="G186" s="16" t="n"/>
      <c r="H186" s="4">
        <f>IF(NOT(ISNUMBER($R$186)),"",IF($W$186&gt;0,"Dano Contínuo: "&amp;MIN(INT($W$186*$Q$186/100),$X$186*$P$186)&amp;" por turno",IF($S$186&gt;0,IF($AA$186="Sim","Dano Contínuo: ","Dano: ")&amp;IF($U$186="Sim",$AB$186*$S$186,$S$186)&amp;"d"&amp;$T$186&amp;IF($V$186="Sim"," + "&amp;$P$186,"")&amp;" · média "&amp;(INT(IF($U$186="Sim",$AB$186*$S$186,$S$186)*($T$186+1)/2)+IF($V$186="Sim",$P$186,0)),$AC$186))&amp;IF($Y$186&gt;0,"; Atrasa "&amp;$Y$186&amp;" casa(s): some em Atraso deste Ciclo do alvo (C8)",""))</f>
        <v/>
      </c>
      <c r="K186" s="18">
        <f>IF(CK186&gt;0,"O Google leu como fórmula: escolha de novo ou digite com ' na frente.",IF(LEN($CA$186&amp;$CB$186)=0,"",IF(NOT(ISNUMBER($N$186)),"Combatente fora da lista",IF(NOT(ISNUMBER($R$186)),"Condição fora do capítulo 21",IF(AND($CB$186="Congelado",$N$186&lt;=6),"Congelado só em inimigo (21.2)",IF(AND(ISNUMBER($CE$186),$CE$186&gt;$Z$186),"Acima do teto de "&amp;$Z$186&amp;" acúmulo(s) (21.5): usando o teto",IF($AA$186="Sim","Dano Contínuo: início do turno do alvo; ignora RD, não crita, sem dados de Fraqueza (20.6)","")))))))</f>
        <v/>
      </c>
      <c r="N186" s="19">
        <f>IF(LEN($CA$186)=0,"",IFERROR(MATCH($CA$186,$N$11:$N$26,0),""))</f>
        <v/>
      </c>
      <c r="O186" s="19">
        <f>IF(LEN($CF$186)=0,"",IFERROR(MATCH($CF$186,$N$11:$N$26,0),""))</f>
        <v/>
      </c>
      <c r="P186" s="19">
        <f>IF(ISNUMBER($O$186),INDEX($AS$11:$AS$26,$O$186),'Campanha'!$B$20)</f>
        <v/>
      </c>
      <c r="Q186" s="19">
        <f>IF(ISNUMBER($N$186),INDEX($AQ$11:$AQ$26,$N$186),0)</f>
        <v/>
      </c>
      <c r="R186" s="19">
        <f>IF(LEN($CB$186)=0,"",IFERROR(MATCH($CB$186,'Dados'!$A$324:$A$339,0),""))</f>
        <v/>
      </c>
      <c r="S186" s="19">
        <f>IF(ISNUMBER($R$186),INDEX('Dados'!$F$324:$F$339,$R$186),"")</f>
        <v/>
      </c>
      <c r="T186" s="19">
        <f>IF(ISNUMBER($R$186),INDEX('Dados'!$G$324:$G$339,$R$186),"")</f>
        <v/>
      </c>
      <c r="U186" s="19">
        <f>IF(ISNUMBER($R$186),INDEX('Dados'!$H$324:$H$339,$R$186),"")</f>
        <v/>
      </c>
      <c r="V186" s="19">
        <f>IF(ISNUMBER($R$186),INDEX('Dados'!$I$324:$I$339,$R$186),"")</f>
        <v/>
      </c>
      <c r="W186" s="19">
        <f>IF(ISNUMBER($R$186),INDEX('Dados'!$J$324:$J$339,$R$186),"")</f>
        <v/>
      </c>
      <c r="X186" s="19">
        <f>IF(ISNUMBER($R$186),INDEX('Dados'!$K$324:$K$339,$R$186),"")</f>
        <v/>
      </c>
      <c r="Y186" s="19">
        <f>IF(ISNUMBER($R$186),INDEX('Dados'!$L$324:$L$339,$R$186),"")</f>
        <v/>
      </c>
      <c r="Z186" s="19">
        <f>IF(ISNUMBER($R$186),INDEX('Dados'!$M$324:$M$339,$R$186),"")</f>
        <v/>
      </c>
      <c r="AA186" s="19">
        <f>IF(ISNUMBER($R$186),INDEX('Dados'!$N$324:$N$339,$R$186),"")</f>
        <v/>
      </c>
      <c r="AB186" s="19">
        <f>IF(ISNUMBER($CE$186),MIN($Z$186,MAX(1,INT($CE$186))),1)</f>
        <v/>
      </c>
      <c r="AC186" s="19">
        <f>IF(ISNUMBER($R$186),INDEX('Dados'!$B$324:$B$339,$R$186),"")</f>
        <v/>
      </c>
      <c r="CA186" s="19">
        <f>IF(ISERROR($A$186),"",IF(ISBLANK($A$186),"",$A$186))</f>
        <v/>
      </c>
      <c r="CB186" s="19">
        <f>IF(ISERROR($B$186),"",IF(ISBLANK($B$186),"",$B$186))</f>
        <v/>
      </c>
      <c r="CD186" s="19">
        <f>IF(ISERROR($D$186),"",IF(ISBLANK($D$186),"",$D$186))</f>
        <v/>
      </c>
      <c r="CE186" s="19">
        <f>IF(ISERROR($E$186),"",IF(ISBLANK($E$186),"",$E$186))</f>
        <v/>
      </c>
      <c r="CF186" s="19">
        <f>IF(ISERROR($F$186),"",IF(ISBLANK($F$186),"",$F$186))</f>
        <v/>
      </c>
      <c r="CK186" s="19">
        <f>ISERROR($A$186)*1+ISERROR($B$186)*1+ISERROR($D$186)*1+ISERROR($E$186)*1+ISERROR($F$186)*1</f>
        <v/>
      </c>
    </row>
    <row r="187" ht="48" customHeight="1">
      <c r="A187" s="31" t="n"/>
      <c r="B187" s="28" t="n"/>
      <c r="C187" s="16" t="n"/>
      <c r="D187" s="34" t="n"/>
      <c r="E187" s="34" t="n"/>
      <c r="F187" s="28" t="n"/>
      <c r="G187" s="16" t="n"/>
      <c r="H187" s="9">
        <f>IF(NOT(ISNUMBER($R$187)),"",IF($W$187&gt;0,"Dano Contínuo: "&amp;MIN(INT($W$187*$Q$187/100),$X$187*$P$187)&amp;" por turno",IF($S$187&gt;0,IF($AA$187="Sim","Dano Contínuo: ","Dano: ")&amp;IF($U$187="Sim",$AB$187*$S$187,$S$187)&amp;"d"&amp;$T$187&amp;IF($V$187="Sim"," + "&amp;$P$187,"")&amp;" · média "&amp;(INT(IF($U$187="Sim",$AB$187*$S$187,$S$187)*($T$187+1)/2)+IF($V$187="Sim",$P$187,0)),$AC$187))&amp;IF($Y$187&gt;0,"; Atrasa "&amp;$Y$187&amp;" casa(s): some em Atraso deste Ciclo do alvo (C8)",""))</f>
        <v/>
      </c>
      <c r="K187" s="26">
        <f>IF(CK187&gt;0,"O Google leu como fórmula: escolha de novo ou digite com ' na frente.",IF(LEN($CA$187&amp;$CB$187)=0,"",IF(NOT(ISNUMBER($N$187)),"Combatente fora da lista",IF(NOT(ISNUMBER($R$187)),"Condição fora do capítulo 21",IF(AND($CB$187="Congelado",$N$187&lt;=6),"Congelado só em inimigo (21.2)",IF(AND(ISNUMBER($CE$187),$CE$187&gt;$Z$187),"Acima do teto de "&amp;$Z$187&amp;" acúmulo(s) (21.5): usando o teto",IF($AA$187="Sim","Dano Contínuo: início do turno do alvo; ignora RD, não crita, sem dados de Fraqueza (20.6)","")))))))</f>
        <v/>
      </c>
      <c r="N187" s="19">
        <f>IF(LEN($CA$187)=0,"",IFERROR(MATCH($CA$187,$N$11:$N$26,0),""))</f>
        <v/>
      </c>
      <c r="O187" s="19">
        <f>IF(LEN($CF$187)=0,"",IFERROR(MATCH($CF$187,$N$11:$N$26,0),""))</f>
        <v/>
      </c>
      <c r="P187" s="19">
        <f>IF(ISNUMBER($O$187),INDEX($AS$11:$AS$26,$O$187),'Campanha'!$B$20)</f>
        <v/>
      </c>
      <c r="Q187" s="19">
        <f>IF(ISNUMBER($N$187),INDEX($AQ$11:$AQ$26,$N$187),0)</f>
        <v/>
      </c>
      <c r="R187" s="19">
        <f>IF(LEN($CB$187)=0,"",IFERROR(MATCH($CB$187,'Dados'!$A$324:$A$339,0),""))</f>
        <v/>
      </c>
      <c r="S187" s="19">
        <f>IF(ISNUMBER($R$187),INDEX('Dados'!$F$324:$F$339,$R$187),"")</f>
        <v/>
      </c>
      <c r="T187" s="19">
        <f>IF(ISNUMBER($R$187),INDEX('Dados'!$G$324:$G$339,$R$187),"")</f>
        <v/>
      </c>
      <c r="U187" s="19">
        <f>IF(ISNUMBER($R$187),INDEX('Dados'!$H$324:$H$339,$R$187),"")</f>
        <v/>
      </c>
      <c r="V187" s="19">
        <f>IF(ISNUMBER($R$187),INDEX('Dados'!$I$324:$I$339,$R$187),"")</f>
        <v/>
      </c>
      <c r="W187" s="19">
        <f>IF(ISNUMBER($R$187),INDEX('Dados'!$J$324:$J$339,$R$187),"")</f>
        <v/>
      </c>
      <c r="X187" s="19">
        <f>IF(ISNUMBER($R$187),INDEX('Dados'!$K$324:$K$339,$R$187),"")</f>
        <v/>
      </c>
      <c r="Y187" s="19">
        <f>IF(ISNUMBER($R$187),INDEX('Dados'!$L$324:$L$339,$R$187),"")</f>
        <v/>
      </c>
      <c r="Z187" s="19">
        <f>IF(ISNUMBER($R$187),INDEX('Dados'!$M$324:$M$339,$R$187),"")</f>
        <v/>
      </c>
      <c r="AA187" s="19">
        <f>IF(ISNUMBER($R$187),INDEX('Dados'!$N$324:$N$339,$R$187),"")</f>
        <v/>
      </c>
      <c r="AB187" s="19">
        <f>IF(ISNUMBER($CE$187),MIN($Z$187,MAX(1,INT($CE$187))),1)</f>
        <v/>
      </c>
      <c r="AC187" s="19">
        <f>IF(ISNUMBER($R$187),INDEX('Dados'!$B$324:$B$339,$R$187),"")</f>
        <v/>
      </c>
      <c r="CA187" s="19">
        <f>IF(ISERROR($A$187),"",IF(ISBLANK($A$187),"",$A$187))</f>
        <v/>
      </c>
      <c r="CB187" s="19">
        <f>IF(ISERROR($B$187),"",IF(ISBLANK($B$187),"",$B$187))</f>
        <v/>
      </c>
      <c r="CD187" s="19">
        <f>IF(ISERROR($D$187),"",IF(ISBLANK($D$187),"",$D$187))</f>
        <v/>
      </c>
      <c r="CE187" s="19">
        <f>IF(ISERROR($E$187),"",IF(ISBLANK($E$187),"",$E$187))</f>
        <v/>
      </c>
      <c r="CF187" s="19">
        <f>IF(ISERROR($F$187),"",IF(ISBLANK($F$187),"",$F$187))</f>
        <v/>
      </c>
      <c r="CK187" s="19">
        <f>ISERROR($A$187)*1+ISERROR($B$187)*1+ISERROR($D$187)*1+ISERROR($E$187)*1+ISERROR($F$187)*1</f>
        <v/>
      </c>
    </row>
    <row r="188" ht="48" customHeight="1">
      <c r="A188" s="30" t="n"/>
      <c r="B188" s="3" t="n"/>
      <c r="C188" s="16" t="n"/>
      <c r="D188" s="15" t="n"/>
      <c r="E188" s="15" t="n"/>
      <c r="F188" s="3" t="n"/>
      <c r="G188" s="16" t="n"/>
      <c r="H188" s="4">
        <f>IF(NOT(ISNUMBER($R$188)),"",IF($W$188&gt;0,"Dano Contínuo: "&amp;MIN(INT($W$188*$Q$188/100),$X$188*$P$188)&amp;" por turno",IF($S$188&gt;0,IF($AA$188="Sim","Dano Contínuo: ","Dano: ")&amp;IF($U$188="Sim",$AB$188*$S$188,$S$188)&amp;"d"&amp;$T$188&amp;IF($V$188="Sim"," + "&amp;$P$188,"")&amp;" · média "&amp;(INT(IF($U$188="Sim",$AB$188*$S$188,$S$188)*($T$188+1)/2)+IF($V$188="Sim",$P$188,0)),$AC$188))&amp;IF($Y$188&gt;0,"; Atrasa "&amp;$Y$188&amp;" casa(s): some em Atraso deste Ciclo do alvo (C8)",""))</f>
        <v/>
      </c>
      <c r="K188" s="18">
        <f>IF(CK188&gt;0,"O Google leu como fórmula: escolha de novo ou digite com ' na frente.",IF(LEN($CA$188&amp;$CB$188)=0,"",IF(NOT(ISNUMBER($N$188)),"Combatente fora da lista",IF(NOT(ISNUMBER($R$188)),"Condição fora do capítulo 21",IF(AND($CB$188="Congelado",$N$188&lt;=6),"Congelado só em inimigo (21.2)",IF(AND(ISNUMBER($CE$188),$CE$188&gt;$Z$188),"Acima do teto de "&amp;$Z$188&amp;" acúmulo(s) (21.5): usando o teto",IF($AA$188="Sim","Dano Contínuo: início do turno do alvo; ignora RD, não crita, sem dados de Fraqueza (20.6)","")))))))</f>
        <v/>
      </c>
      <c r="N188" s="19">
        <f>IF(LEN($CA$188)=0,"",IFERROR(MATCH($CA$188,$N$11:$N$26,0),""))</f>
        <v/>
      </c>
      <c r="O188" s="19">
        <f>IF(LEN($CF$188)=0,"",IFERROR(MATCH($CF$188,$N$11:$N$26,0),""))</f>
        <v/>
      </c>
      <c r="P188" s="19">
        <f>IF(ISNUMBER($O$188),INDEX($AS$11:$AS$26,$O$188),'Campanha'!$B$20)</f>
        <v/>
      </c>
      <c r="Q188" s="19">
        <f>IF(ISNUMBER($N$188),INDEX($AQ$11:$AQ$26,$N$188),0)</f>
        <v/>
      </c>
      <c r="R188" s="19">
        <f>IF(LEN($CB$188)=0,"",IFERROR(MATCH($CB$188,'Dados'!$A$324:$A$339,0),""))</f>
        <v/>
      </c>
      <c r="S188" s="19">
        <f>IF(ISNUMBER($R$188),INDEX('Dados'!$F$324:$F$339,$R$188),"")</f>
        <v/>
      </c>
      <c r="T188" s="19">
        <f>IF(ISNUMBER($R$188),INDEX('Dados'!$G$324:$G$339,$R$188),"")</f>
        <v/>
      </c>
      <c r="U188" s="19">
        <f>IF(ISNUMBER($R$188),INDEX('Dados'!$H$324:$H$339,$R$188),"")</f>
        <v/>
      </c>
      <c r="V188" s="19">
        <f>IF(ISNUMBER($R$188),INDEX('Dados'!$I$324:$I$339,$R$188),"")</f>
        <v/>
      </c>
      <c r="W188" s="19">
        <f>IF(ISNUMBER($R$188),INDEX('Dados'!$J$324:$J$339,$R$188),"")</f>
        <v/>
      </c>
      <c r="X188" s="19">
        <f>IF(ISNUMBER($R$188),INDEX('Dados'!$K$324:$K$339,$R$188),"")</f>
        <v/>
      </c>
      <c r="Y188" s="19">
        <f>IF(ISNUMBER($R$188),INDEX('Dados'!$L$324:$L$339,$R$188),"")</f>
        <v/>
      </c>
      <c r="Z188" s="19">
        <f>IF(ISNUMBER($R$188),INDEX('Dados'!$M$324:$M$339,$R$188),"")</f>
        <v/>
      </c>
      <c r="AA188" s="19">
        <f>IF(ISNUMBER($R$188),INDEX('Dados'!$N$324:$N$339,$R$188),"")</f>
        <v/>
      </c>
      <c r="AB188" s="19">
        <f>IF(ISNUMBER($CE$188),MIN($Z$188,MAX(1,INT($CE$188))),1)</f>
        <v/>
      </c>
      <c r="AC188" s="19">
        <f>IF(ISNUMBER($R$188),INDEX('Dados'!$B$324:$B$339,$R$188),"")</f>
        <v/>
      </c>
      <c r="CA188" s="19">
        <f>IF(ISERROR($A$188),"",IF(ISBLANK($A$188),"",$A$188))</f>
        <v/>
      </c>
      <c r="CB188" s="19">
        <f>IF(ISERROR($B$188),"",IF(ISBLANK($B$188),"",$B$188))</f>
        <v/>
      </c>
      <c r="CD188" s="19">
        <f>IF(ISERROR($D$188),"",IF(ISBLANK($D$188),"",$D$188))</f>
        <v/>
      </c>
      <c r="CE188" s="19">
        <f>IF(ISERROR($E$188),"",IF(ISBLANK($E$188),"",$E$188))</f>
        <v/>
      </c>
      <c r="CF188" s="19">
        <f>IF(ISERROR($F$188),"",IF(ISBLANK($F$188),"",$F$188))</f>
        <v/>
      </c>
      <c r="CK188" s="19">
        <f>ISERROR($A$188)*1+ISERROR($B$188)*1+ISERROR($D$188)*1+ISERROR($E$188)*1+ISERROR($F$188)*1</f>
        <v/>
      </c>
    </row>
    <row r="189" ht="48" customHeight="1">
      <c r="A189" s="31" t="n"/>
      <c r="B189" s="28" t="n"/>
      <c r="C189" s="16" t="n"/>
      <c r="D189" s="34" t="n"/>
      <c r="E189" s="34" t="n"/>
      <c r="F189" s="28" t="n"/>
      <c r="G189" s="16" t="n"/>
      <c r="H189" s="9">
        <f>IF(NOT(ISNUMBER($R$189)),"",IF($W$189&gt;0,"Dano Contínuo: "&amp;MIN(INT($W$189*$Q$189/100),$X$189*$P$189)&amp;" por turno",IF($S$189&gt;0,IF($AA$189="Sim","Dano Contínuo: ","Dano: ")&amp;IF($U$189="Sim",$AB$189*$S$189,$S$189)&amp;"d"&amp;$T$189&amp;IF($V$189="Sim"," + "&amp;$P$189,"")&amp;" · média "&amp;(INT(IF($U$189="Sim",$AB$189*$S$189,$S$189)*($T$189+1)/2)+IF($V$189="Sim",$P$189,0)),$AC$189))&amp;IF($Y$189&gt;0,"; Atrasa "&amp;$Y$189&amp;" casa(s): some em Atraso deste Ciclo do alvo (C8)",""))</f>
        <v/>
      </c>
      <c r="K189" s="26">
        <f>IF(CK189&gt;0,"O Google leu como fórmula: escolha de novo ou digite com ' na frente.",IF(LEN($CA$189&amp;$CB$189)=0,"",IF(NOT(ISNUMBER($N$189)),"Combatente fora da lista",IF(NOT(ISNUMBER($R$189)),"Condição fora do capítulo 21",IF(AND($CB$189="Congelado",$N$189&lt;=6),"Congelado só em inimigo (21.2)",IF(AND(ISNUMBER($CE$189),$CE$189&gt;$Z$189),"Acima do teto de "&amp;$Z$189&amp;" acúmulo(s) (21.5): usando o teto",IF($AA$189="Sim","Dano Contínuo: início do turno do alvo; ignora RD, não crita, sem dados de Fraqueza (20.6)","")))))))</f>
        <v/>
      </c>
      <c r="N189" s="19">
        <f>IF(LEN($CA$189)=0,"",IFERROR(MATCH($CA$189,$N$11:$N$26,0),""))</f>
        <v/>
      </c>
      <c r="O189" s="19">
        <f>IF(LEN($CF$189)=0,"",IFERROR(MATCH($CF$189,$N$11:$N$26,0),""))</f>
        <v/>
      </c>
      <c r="P189" s="19">
        <f>IF(ISNUMBER($O$189),INDEX($AS$11:$AS$26,$O$189),'Campanha'!$B$20)</f>
        <v/>
      </c>
      <c r="Q189" s="19">
        <f>IF(ISNUMBER($N$189),INDEX($AQ$11:$AQ$26,$N$189),0)</f>
        <v/>
      </c>
      <c r="R189" s="19">
        <f>IF(LEN($CB$189)=0,"",IFERROR(MATCH($CB$189,'Dados'!$A$324:$A$339,0),""))</f>
        <v/>
      </c>
      <c r="S189" s="19">
        <f>IF(ISNUMBER($R$189),INDEX('Dados'!$F$324:$F$339,$R$189),"")</f>
        <v/>
      </c>
      <c r="T189" s="19">
        <f>IF(ISNUMBER($R$189),INDEX('Dados'!$G$324:$G$339,$R$189),"")</f>
        <v/>
      </c>
      <c r="U189" s="19">
        <f>IF(ISNUMBER($R$189),INDEX('Dados'!$H$324:$H$339,$R$189),"")</f>
        <v/>
      </c>
      <c r="V189" s="19">
        <f>IF(ISNUMBER($R$189),INDEX('Dados'!$I$324:$I$339,$R$189),"")</f>
        <v/>
      </c>
      <c r="W189" s="19">
        <f>IF(ISNUMBER($R$189),INDEX('Dados'!$J$324:$J$339,$R$189),"")</f>
        <v/>
      </c>
      <c r="X189" s="19">
        <f>IF(ISNUMBER($R$189),INDEX('Dados'!$K$324:$K$339,$R$189),"")</f>
        <v/>
      </c>
      <c r="Y189" s="19">
        <f>IF(ISNUMBER($R$189),INDEX('Dados'!$L$324:$L$339,$R$189),"")</f>
        <v/>
      </c>
      <c r="Z189" s="19">
        <f>IF(ISNUMBER($R$189),INDEX('Dados'!$M$324:$M$339,$R$189),"")</f>
        <v/>
      </c>
      <c r="AA189" s="19">
        <f>IF(ISNUMBER($R$189),INDEX('Dados'!$N$324:$N$339,$R$189),"")</f>
        <v/>
      </c>
      <c r="AB189" s="19">
        <f>IF(ISNUMBER($CE$189),MIN($Z$189,MAX(1,INT($CE$189))),1)</f>
        <v/>
      </c>
      <c r="AC189" s="19">
        <f>IF(ISNUMBER($R$189),INDEX('Dados'!$B$324:$B$339,$R$189),"")</f>
        <v/>
      </c>
      <c r="CA189" s="19">
        <f>IF(ISERROR($A$189),"",IF(ISBLANK($A$189),"",$A$189))</f>
        <v/>
      </c>
      <c r="CB189" s="19">
        <f>IF(ISERROR($B$189),"",IF(ISBLANK($B$189),"",$B$189))</f>
        <v/>
      </c>
      <c r="CD189" s="19">
        <f>IF(ISERROR($D$189),"",IF(ISBLANK($D$189),"",$D$189))</f>
        <v/>
      </c>
      <c r="CE189" s="19">
        <f>IF(ISERROR($E$189),"",IF(ISBLANK($E$189),"",$E$189))</f>
        <v/>
      </c>
      <c r="CF189" s="19">
        <f>IF(ISERROR($F$189),"",IF(ISBLANK($F$189),"",$F$189))</f>
        <v/>
      </c>
      <c r="CK189" s="19">
        <f>ISERROR($A$189)*1+ISERROR($B$189)*1+ISERROR($D$189)*1+ISERROR($E$189)*1+ISERROR($F$189)*1</f>
        <v/>
      </c>
    </row>
    <row r="190" ht="48" customHeight="1">
      <c r="A190" s="30" t="n"/>
      <c r="B190" s="3" t="n"/>
      <c r="C190" s="16" t="n"/>
      <c r="D190" s="15" t="n"/>
      <c r="E190" s="15" t="n"/>
      <c r="F190" s="3" t="n"/>
      <c r="G190" s="16" t="n"/>
      <c r="H190" s="4">
        <f>IF(NOT(ISNUMBER($R$190)),"",IF($W$190&gt;0,"Dano Contínuo: "&amp;MIN(INT($W$190*$Q$190/100),$X$190*$P$190)&amp;" por turno",IF($S$190&gt;0,IF($AA$190="Sim","Dano Contínuo: ","Dano: ")&amp;IF($U$190="Sim",$AB$190*$S$190,$S$190)&amp;"d"&amp;$T$190&amp;IF($V$190="Sim"," + "&amp;$P$190,"")&amp;" · média "&amp;(INT(IF($U$190="Sim",$AB$190*$S$190,$S$190)*($T$190+1)/2)+IF($V$190="Sim",$P$190,0)),$AC$190))&amp;IF($Y$190&gt;0,"; Atrasa "&amp;$Y$190&amp;" casa(s): some em Atraso deste Ciclo do alvo (C8)",""))</f>
        <v/>
      </c>
      <c r="K190" s="18">
        <f>IF(CK190&gt;0,"O Google leu como fórmula: escolha de novo ou digite com ' na frente.",IF(LEN($CA$190&amp;$CB$190)=0,"",IF(NOT(ISNUMBER($N$190)),"Combatente fora da lista",IF(NOT(ISNUMBER($R$190)),"Condição fora do capítulo 21",IF(AND($CB$190="Congelado",$N$190&lt;=6),"Congelado só em inimigo (21.2)",IF(AND(ISNUMBER($CE$190),$CE$190&gt;$Z$190),"Acima do teto de "&amp;$Z$190&amp;" acúmulo(s) (21.5): usando o teto",IF($AA$190="Sim","Dano Contínuo: início do turno do alvo; ignora RD, não crita, sem dados de Fraqueza (20.6)","")))))))</f>
        <v/>
      </c>
      <c r="N190" s="19">
        <f>IF(LEN($CA$190)=0,"",IFERROR(MATCH($CA$190,$N$11:$N$26,0),""))</f>
        <v/>
      </c>
      <c r="O190" s="19">
        <f>IF(LEN($CF$190)=0,"",IFERROR(MATCH($CF$190,$N$11:$N$26,0),""))</f>
        <v/>
      </c>
      <c r="P190" s="19">
        <f>IF(ISNUMBER($O$190),INDEX($AS$11:$AS$26,$O$190),'Campanha'!$B$20)</f>
        <v/>
      </c>
      <c r="Q190" s="19">
        <f>IF(ISNUMBER($N$190),INDEX($AQ$11:$AQ$26,$N$190),0)</f>
        <v/>
      </c>
      <c r="R190" s="19">
        <f>IF(LEN($CB$190)=0,"",IFERROR(MATCH($CB$190,'Dados'!$A$324:$A$339,0),""))</f>
        <v/>
      </c>
      <c r="S190" s="19">
        <f>IF(ISNUMBER($R$190),INDEX('Dados'!$F$324:$F$339,$R$190),"")</f>
        <v/>
      </c>
      <c r="T190" s="19">
        <f>IF(ISNUMBER($R$190),INDEX('Dados'!$G$324:$G$339,$R$190),"")</f>
        <v/>
      </c>
      <c r="U190" s="19">
        <f>IF(ISNUMBER($R$190),INDEX('Dados'!$H$324:$H$339,$R$190),"")</f>
        <v/>
      </c>
      <c r="V190" s="19">
        <f>IF(ISNUMBER($R$190),INDEX('Dados'!$I$324:$I$339,$R$190),"")</f>
        <v/>
      </c>
      <c r="W190" s="19">
        <f>IF(ISNUMBER($R$190),INDEX('Dados'!$J$324:$J$339,$R$190),"")</f>
        <v/>
      </c>
      <c r="X190" s="19">
        <f>IF(ISNUMBER($R$190),INDEX('Dados'!$K$324:$K$339,$R$190),"")</f>
        <v/>
      </c>
      <c r="Y190" s="19">
        <f>IF(ISNUMBER($R$190),INDEX('Dados'!$L$324:$L$339,$R$190),"")</f>
        <v/>
      </c>
      <c r="Z190" s="19">
        <f>IF(ISNUMBER($R$190),INDEX('Dados'!$M$324:$M$339,$R$190),"")</f>
        <v/>
      </c>
      <c r="AA190" s="19">
        <f>IF(ISNUMBER($R$190),INDEX('Dados'!$N$324:$N$339,$R$190),"")</f>
        <v/>
      </c>
      <c r="AB190" s="19">
        <f>IF(ISNUMBER($CE$190),MIN($Z$190,MAX(1,INT($CE$190))),1)</f>
        <v/>
      </c>
      <c r="AC190" s="19">
        <f>IF(ISNUMBER($R$190),INDEX('Dados'!$B$324:$B$339,$R$190),"")</f>
        <v/>
      </c>
      <c r="CA190" s="19">
        <f>IF(ISERROR($A$190),"",IF(ISBLANK($A$190),"",$A$190))</f>
        <v/>
      </c>
      <c r="CB190" s="19">
        <f>IF(ISERROR($B$190),"",IF(ISBLANK($B$190),"",$B$190))</f>
        <v/>
      </c>
      <c r="CD190" s="19">
        <f>IF(ISERROR($D$190),"",IF(ISBLANK($D$190),"",$D$190))</f>
        <v/>
      </c>
      <c r="CE190" s="19">
        <f>IF(ISERROR($E$190),"",IF(ISBLANK($E$190),"",$E$190))</f>
        <v/>
      </c>
      <c r="CF190" s="19">
        <f>IF(ISERROR($F$190),"",IF(ISBLANK($F$190),"",$F$190))</f>
        <v/>
      </c>
      <c r="CK190" s="19">
        <f>ISERROR($A$190)*1+ISERROR($B$190)*1+ISERROR($D$190)*1+ISERROR($E$190)*1+ISERROR($F$190)*1</f>
        <v/>
      </c>
    </row>
    <row r="191" ht="48" customHeight="1">
      <c r="A191" s="31" t="n"/>
      <c r="B191" s="28" t="n"/>
      <c r="C191" s="16" t="n"/>
      <c r="D191" s="34" t="n"/>
      <c r="E191" s="34" t="n"/>
      <c r="F191" s="28" t="n"/>
      <c r="G191" s="16" t="n"/>
      <c r="H191" s="9">
        <f>IF(NOT(ISNUMBER($R$191)),"",IF($W$191&gt;0,"Dano Contínuo: "&amp;MIN(INT($W$191*$Q$191/100),$X$191*$P$191)&amp;" por turno",IF($S$191&gt;0,IF($AA$191="Sim","Dano Contínuo: ","Dano: ")&amp;IF($U$191="Sim",$AB$191*$S$191,$S$191)&amp;"d"&amp;$T$191&amp;IF($V$191="Sim"," + "&amp;$P$191,"")&amp;" · média "&amp;(INT(IF($U$191="Sim",$AB$191*$S$191,$S$191)*($T$191+1)/2)+IF($V$191="Sim",$P$191,0)),$AC$191))&amp;IF($Y$191&gt;0,"; Atrasa "&amp;$Y$191&amp;" casa(s): some em Atraso deste Ciclo do alvo (C8)",""))</f>
        <v/>
      </c>
      <c r="K191" s="26">
        <f>IF(CK191&gt;0,"O Google leu como fórmula: escolha de novo ou digite com ' na frente.",IF(LEN($CA$191&amp;$CB$191)=0,"",IF(NOT(ISNUMBER($N$191)),"Combatente fora da lista",IF(NOT(ISNUMBER($R$191)),"Condição fora do capítulo 21",IF(AND($CB$191="Congelado",$N$191&lt;=6),"Congelado só em inimigo (21.2)",IF(AND(ISNUMBER($CE$191),$CE$191&gt;$Z$191),"Acima do teto de "&amp;$Z$191&amp;" acúmulo(s) (21.5): usando o teto",IF($AA$191="Sim","Dano Contínuo: início do turno do alvo; ignora RD, não crita, sem dados de Fraqueza (20.6)","")))))))</f>
        <v/>
      </c>
      <c r="N191" s="19">
        <f>IF(LEN($CA$191)=0,"",IFERROR(MATCH($CA$191,$N$11:$N$26,0),""))</f>
        <v/>
      </c>
      <c r="O191" s="19">
        <f>IF(LEN($CF$191)=0,"",IFERROR(MATCH($CF$191,$N$11:$N$26,0),""))</f>
        <v/>
      </c>
      <c r="P191" s="19">
        <f>IF(ISNUMBER($O$191),INDEX($AS$11:$AS$26,$O$191),'Campanha'!$B$20)</f>
        <v/>
      </c>
      <c r="Q191" s="19">
        <f>IF(ISNUMBER($N$191),INDEX($AQ$11:$AQ$26,$N$191),0)</f>
        <v/>
      </c>
      <c r="R191" s="19">
        <f>IF(LEN($CB$191)=0,"",IFERROR(MATCH($CB$191,'Dados'!$A$324:$A$339,0),""))</f>
        <v/>
      </c>
      <c r="S191" s="19">
        <f>IF(ISNUMBER($R$191),INDEX('Dados'!$F$324:$F$339,$R$191),"")</f>
        <v/>
      </c>
      <c r="T191" s="19">
        <f>IF(ISNUMBER($R$191),INDEX('Dados'!$G$324:$G$339,$R$191),"")</f>
        <v/>
      </c>
      <c r="U191" s="19">
        <f>IF(ISNUMBER($R$191),INDEX('Dados'!$H$324:$H$339,$R$191),"")</f>
        <v/>
      </c>
      <c r="V191" s="19">
        <f>IF(ISNUMBER($R$191),INDEX('Dados'!$I$324:$I$339,$R$191),"")</f>
        <v/>
      </c>
      <c r="W191" s="19">
        <f>IF(ISNUMBER($R$191),INDEX('Dados'!$J$324:$J$339,$R$191),"")</f>
        <v/>
      </c>
      <c r="X191" s="19">
        <f>IF(ISNUMBER($R$191),INDEX('Dados'!$K$324:$K$339,$R$191),"")</f>
        <v/>
      </c>
      <c r="Y191" s="19">
        <f>IF(ISNUMBER($R$191),INDEX('Dados'!$L$324:$L$339,$R$191),"")</f>
        <v/>
      </c>
      <c r="Z191" s="19">
        <f>IF(ISNUMBER($R$191),INDEX('Dados'!$M$324:$M$339,$R$191),"")</f>
        <v/>
      </c>
      <c r="AA191" s="19">
        <f>IF(ISNUMBER($R$191),INDEX('Dados'!$N$324:$N$339,$R$191),"")</f>
        <v/>
      </c>
      <c r="AB191" s="19">
        <f>IF(ISNUMBER($CE$191),MIN($Z$191,MAX(1,INT($CE$191))),1)</f>
        <v/>
      </c>
      <c r="AC191" s="19">
        <f>IF(ISNUMBER($R$191),INDEX('Dados'!$B$324:$B$339,$R$191),"")</f>
        <v/>
      </c>
      <c r="CA191" s="19">
        <f>IF(ISERROR($A$191),"",IF(ISBLANK($A$191),"",$A$191))</f>
        <v/>
      </c>
      <c r="CB191" s="19">
        <f>IF(ISERROR($B$191),"",IF(ISBLANK($B$191),"",$B$191))</f>
        <v/>
      </c>
      <c r="CD191" s="19">
        <f>IF(ISERROR($D$191),"",IF(ISBLANK($D$191),"",$D$191))</f>
        <v/>
      </c>
      <c r="CE191" s="19">
        <f>IF(ISERROR($E$191),"",IF(ISBLANK($E$191),"",$E$191))</f>
        <v/>
      </c>
      <c r="CF191" s="19">
        <f>IF(ISERROR($F$191),"",IF(ISBLANK($F$191),"",$F$191))</f>
        <v/>
      </c>
      <c r="CK191" s="19">
        <f>ISERROR($A$191)*1+ISERROR($B$191)*1+ISERROR($D$191)*1+ISERROR($E$191)*1+ISERROR($F$191)*1</f>
        <v/>
      </c>
    </row>
    <row r="192" ht="48" customHeight="1">
      <c r="A192" s="30" t="n"/>
      <c r="B192" s="3" t="n"/>
      <c r="C192" s="16" t="n"/>
      <c r="D192" s="15" t="n"/>
      <c r="E192" s="15" t="n"/>
      <c r="F192" s="3" t="n"/>
      <c r="G192" s="16" t="n"/>
      <c r="H192" s="4">
        <f>IF(NOT(ISNUMBER($R$192)),"",IF($W$192&gt;0,"Dano Contínuo: "&amp;MIN(INT($W$192*$Q$192/100),$X$192*$P$192)&amp;" por turno",IF($S$192&gt;0,IF($AA$192="Sim","Dano Contínuo: ","Dano: ")&amp;IF($U$192="Sim",$AB$192*$S$192,$S$192)&amp;"d"&amp;$T$192&amp;IF($V$192="Sim"," + "&amp;$P$192,"")&amp;" · média "&amp;(INT(IF($U$192="Sim",$AB$192*$S$192,$S$192)*($T$192+1)/2)+IF($V$192="Sim",$P$192,0)),$AC$192))&amp;IF($Y$192&gt;0,"; Atrasa "&amp;$Y$192&amp;" casa(s): some em Atraso deste Ciclo do alvo (C8)",""))</f>
        <v/>
      </c>
      <c r="K192" s="18">
        <f>IF(CK192&gt;0,"O Google leu como fórmula: escolha de novo ou digite com ' na frente.",IF(LEN($CA$192&amp;$CB$192)=0,"",IF(NOT(ISNUMBER($N$192)),"Combatente fora da lista",IF(NOT(ISNUMBER($R$192)),"Condição fora do capítulo 21",IF(AND($CB$192="Congelado",$N$192&lt;=6),"Congelado só em inimigo (21.2)",IF(AND(ISNUMBER($CE$192),$CE$192&gt;$Z$192),"Acima do teto de "&amp;$Z$192&amp;" acúmulo(s) (21.5): usando o teto",IF($AA$192="Sim","Dano Contínuo: início do turno do alvo; ignora RD, não crita, sem dados de Fraqueza (20.6)","")))))))</f>
        <v/>
      </c>
      <c r="N192" s="19">
        <f>IF(LEN($CA$192)=0,"",IFERROR(MATCH($CA$192,$N$11:$N$26,0),""))</f>
        <v/>
      </c>
      <c r="O192" s="19">
        <f>IF(LEN($CF$192)=0,"",IFERROR(MATCH($CF$192,$N$11:$N$26,0),""))</f>
        <v/>
      </c>
      <c r="P192" s="19">
        <f>IF(ISNUMBER($O$192),INDEX($AS$11:$AS$26,$O$192),'Campanha'!$B$20)</f>
        <v/>
      </c>
      <c r="Q192" s="19">
        <f>IF(ISNUMBER($N$192),INDEX($AQ$11:$AQ$26,$N$192),0)</f>
        <v/>
      </c>
      <c r="R192" s="19">
        <f>IF(LEN($CB$192)=0,"",IFERROR(MATCH($CB$192,'Dados'!$A$324:$A$339,0),""))</f>
        <v/>
      </c>
      <c r="S192" s="19">
        <f>IF(ISNUMBER($R$192),INDEX('Dados'!$F$324:$F$339,$R$192),"")</f>
        <v/>
      </c>
      <c r="T192" s="19">
        <f>IF(ISNUMBER($R$192),INDEX('Dados'!$G$324:$G$339,$R$192),"")</f>
        <v/>
      </c>
      <c r="U192" s="19">
        <f>IF(ISNUMBER($R$192),INDEX('Dados'!$H$324:$H$339,$R$192),"")</f>
        <v/>
      </c>
      <c r="V192" s="19">
        <f>IF(ISNUMBER($R$192),INDEX('Dados'!$I$324:$I$339,$R$192),"")</f>
        <v/>
      </c>
      <c r="W192" s="19">
        <f>IF(ISNUMBER($R$192),INDEX('Dados'!$J$324:$J$339,$R$192),"")</f>
        <v/>
      </c>
      <c r="X192" s="19">
        <f>IF(ISNUMBER($R$192),INDEX('Dados'!$K$324:$K$339,$R$192),"")</f>
        <v/>
      </c>
      <c r="Y192" s="19">
        <f>IF(ISNUMBER($R$192),INDEX('Dados'!$L$324:$L$339,$R$192),"")</f>
        <v/>
      </c>
      <c r="Z192" s="19">
        <f>IF(ISNUMBER($R$192),INDEX('Dados'!$M$324:$M$339,$R$192),"")</f>
        <v/>
      </c>
      <c r="AA192" s="19">
        <f>IF(ISNUMBER($R$192),INDEX('Dados'!$N$324:$N$339,$R$192),"")</f>
        <v/>
      </c>
      <c r="AB192" s="19">
        <f>IF(ISNUMBER($CE$192),MIN($Z$192,MAX(1,INT($CE$192))),1)</f>
        <v/>
      </c>
      <c r="AC192" s="19">
        <f>IF(ISNUMBER($R$192),INDEX('Dados'!$B$324:$B$339,$R$192),"")</f>
        <v/>
      </c>
      <c r="CA192" s="19">
        <f>IF(ISERROR($A$192),"",IF(ISBLANK($A$192),"",$A$192))</f>
        <v/>
      </c>
      <c r="CB192" s="19">
        <f>IF(ISERROR($B$192),"",IF(ISBLANK($B$192),"",$B$192))</f>
        <v/>
      </c>
      <c r="CD192" s="19">
        <f>IF(ISERROR($D$192),"",IF(ISBLANK($D$192),"",$D$192))</f>
        <v/>
      </c>
      <c r="CE192" s="19">
        <f>IF(ISERROR($E$192),"",IF(ISBLANK($E$192),"",$E$192))</f>
        <v/>
      </c>
      <c r="CF192" s="19">
        <f>IF(ISERROR($F$192),"",IF(ISBLANK($F$192),"",$F$192))</f>
        <v/>
      </c>
      <c r="CK192" s="19">
        <f>ISERROR($A$192)*1+ISERROR($B$192)*1+ISERROR($D$192)*1+ISERROR($E$192)*1+ISERROR($F$192)*1</f>
        <v/>
      </c>
    </row>
    <row r="193" ht="48" customHeight="1">
      <c r="A193" s="31" t="n"/>
      <c r="B193" s="28" t="n"/>
      <c r="C193" s="16" t="n"/>
      <c r="D193" s="34" t="n"/>
      <c r="E193" s="34" t="n"/>
      <c r="F193" s="28" t="n"/>
      <c r="G193" s="16" t="n"/>
      <c r="H193" s="9">
        <f>IF(NOT(ISNUMBER($R$193)),"",IF($W$193&gt;0,"Dano Contínuo: "&amp;MIN(INT($W$193*$Q$193/100),$X$193*$P$193)&amp;" por turno",IF($S$193&gt;0,IF($AA$193="Sim","Dano Contínuo: ","Dano: ")&amp;IF($U$193="Sim",$AB$193*$S$193,$S$193)&amp;"d"&amp;$T$193&amp;IF($V$193="Sim"," + "&amp;$P$193,"")&amp;" · média "&amp;(INT(IF($U$193="Sim",$AB$193*$S$193,$S$193)*($T$193+1)/2)+IF($V$193="Sim",$P$193,0)),$AC$193))&amp;IF($Y$193&gt;0,"; Atrasa "&amp;$Y$193&amp;" casa(s): some em Atraso deste Ciclo do alvo (C8)",""))</f>
        <v/>
      </c>
      <c r="K193" s="26">
        <f>IF(CK193&gt;0,"O Google leu como fórmula: escolha de novo ou digite com ' na frente.",IF(LEN($CA$193&amp;$CB$193)=0,"",IF(NOT(ISNUMBER($N$193)),"Combatente fora da lista",IF(NOT(ISNUMBER($R$193)),"Condição fora do capítulo 21",IF(AND($CB$193="Congelado",$N$193&lt;=6),"Congelado só em inimigo (21.2)",IF(AND(ISNUMBER($CE$193),$CE$193&gt;$Z$193),"Acima do teto de "&amp;$Z$193&amp;" acúmulo(s) (21.5): usando o teto",IF($AA$193="Sim","Dano Contínuo: início do turno do alvo; ignora RD, não crita, sem dados de Fraqueza (20.6)","")))))))</f>
        <v/>
      </c>
      <c r="N193" s="19">
        <f>IF(LEN($CA$193)=0,"",IFERROR(MATCH($CA$193,$N$11:$N$26,0),""))</f>
        <v/>
      </c>
      <c r="O193" s="19">
        <f>IF(LEN($CF$193)=0,"",IFERROR(MATCH($CF$193,$N$11:$N$26,0),""))</f>
        <v/>
      </c>
      <c r="P193" s="19">
        <f>IF(ISNUMBER($O$193),INDEX($AS$11:$AS$26,$O$193),'Campanha'!$B$20)</f>
        <v/>
      </c>
      <c r="Q193" s="19">
        <f>IF(ISNUMBER($N$193),INDEX($AQ$11:$AQ$26,$N$193),0)</f>
        <v/>
      </c>
      <c r="R193" s="19">
        <f>IF(LEN($CB$193)=0,"",IFERROR(MATCH($CB$193,'Dados'!$A$324:$A$339,0),""))</f>
        <v/>
      </c>
      <c r="S193" s="19">
        <f>IF(ISNUMBER($R$193),INDEX('Dados'!$F$324:$F$339,$R$193),"")</f>
        <v/>
      </c>
      <c r="T193" s="19">
        <f>IF(ISNUMBER($R$193),INDEX('Dados'!$G$324:$G$339,$R$193),"")</f>
        <v/>
      </c>
      <c r="U193" s="19">
        <f>IF(ISNUMBER($R$193),INDEX('Dados'!$H$324:$H$339,$R$193),"")</f>
        <v/>
      </c>
      <c r="V193" s="19">
        <f>IF(ISNUMBER($R$193),INDEX('Dados'!$I$324:$I$339,$R$193),"")</f>
        <v/>
      </c>
      <c r="W193" s="19">
        <f>IF(ISNUMBER($R$193),INDEX('Dados'!$J$324:$J$339,$R$193),"")</f>
        <v/>
      </c>
      <c r="X193" s="19">
        <f>IF(ISNUMBER($R$193),INDEX('Dados'!$K$324:$K$339,$R$193),"")</f>
        <v/>
      </c>
      <c r="Y193" s="19">
        <f>IF(ISNUMBER($R$193),INDEX('Dados'!$L$324:$L$339,$R$193),"")</f>
        <v/>
      </c>
      <c r="Z193" s="19">
        <f>IF(ISNUMBER($R$193),INDEX('Dados'!$M$324:$M$339,$R$193),"")</f>
        <v/>
      </c>
      <c r="AA193" s="19">
        <f>IF(ISNUMBER($R$193),INDEX('Dados'!$N$324:$N$339,$R$193),"")</f>
        <v/>
      </c>
      <c r="AB193" s="19">
        <f>IF(ISNUMBER($CE$193),MIN($Z$193,MAX(1,INT($CE$193))),1)</f>
        <v/>
      </c>
      <c r="AC193" s="19">
        <f>IF(ISNUMBER($R$193),INDEX('Dados'!$B$324:$B$339,$R$193),"")</f>
        <v/>
      </c>
      <c r="CA193" s="19">
        <f>IF(ISERROR($A$193),"",IF(ISBLANK($A$193),"",$A$193))</f>
        <v/>
      </c>
      <c r="CB193" s="19">
        <f>IF(ISERROR($B$193),"",IF(ISBLANK($B$193),"",$B$193))</f>
        <v/>
      </c>
      <c r="CD193" s="19">
        <f>IF(ISERROR($D$193),"",IF(ISBLANK($D$193),"",$D$193))</f>
        <v/>
      </c>
      <c r="CE193" s="19">
        <f>IF(ISERROR($E$193),"",IF(ISBLANK($E$193),"",$E$193))</f>
        <v/>
      </c>
      <c r="CF193" s="19">
        <f>IF(ISERROR($F$193),"",IF(ISBLANK($F$193),"",$F$193))</f>
        <v/>
      </c>
      <c r="CK193" s="19">
        <f>ISERROR($A$193)*1+ISERROR($B$193)*1+ISERROR($D$193)*1+ISERROR($E$193)*1+ISERROR($F$193)*1</f>
        <v/>
      </c>
    </row>
    <row r="194" ht="48" customHeight="1">
      <c r="A194" s="30" t="n"/>
      <c r="B194" s="3" t="n"/>
      <c r="C194" s="16" t="n"/>
      <c r="D194" s="15" t="n"/>
      <c r="E194" s="15" t="n"/>
      <c r="F194" s="3" t="n"/>
      <c r="G194" s="16" t="n"/>
      <c r="H194" s="4">
        <f>IF(NOT(ISNUMBER($R$194)),"",IF($W$194&gt;0,"Dano Contínuo: "&amp;MIN(INT($W$194*$Q$194/100),$X$194*$P$194)&amp;" por turno",IF($S$194&gt;0,IF($AA$194="Sim","Dano Contínuo: ","Dano: ")&amp;IF($U$194="Sim",$AB$194*$S$194,$S$194)&amp;"d"&amp;$T$194&amp;IF($V$194="Sim"," + "&amp;$P$194,"")&amp;" · média "&amp;(INT(IF($U$194="Sim",$AB$194*$S$194,$S$194)*($T$194+1)/2)+IF($V$194="Sim",$P$194,0)),$AC$194))&amp;IF($Y$194&gt;0,"; Atrasa "&amp;$Y$194&amp;" casa(s): some em Atraso deste Ciclo do alvo (C8)",""))</f>
        <v/>
      </c>
      <c r="K194" s="18">
        <f>IF(CK194&gt;0,"O Google leu como fórmula: escolha de novo ou digite com ' na frente.",IF(LEN($CA$194&amp;$CB$194)=0,"",IF(NOT(ISNUMBER($N$194)),"Combatente fora da lista",IF(NOT(ISNUMBER($R$194)),"Condição fora do capítulo 21",IF(AND($CB$194="Congelado",$N$194&lt;=6),"Congelado só em inimigo (21.2)",IF(AND(ISNUMBER($CE$194),$CE$194&gt;$Z$194),"Acima do teto de "&amp;$Z$194&amp;" acúmulo(s) (21.5): usando o teto",IF($AA$194="Sim","Dano Contínuo: início do turno do alvo; ignora RD, não crita, sem dados de Fraqueza (20.6)","")))))))</f>
        <v/>
      </c>
      <c r="N194" s="19">
        <f>IF(LEN($CA$194)=0,"",IFERROR(MATCH($CA$194,$N$11:$N$26,0),""))</f>
        <v/>
      </c>
      <c r="O194" s="19">
        <f>IF(LEN($CF$194)=0,"",IFERROR(MATCH($CF$194,$N$11:$N$26,0),""))</f>
        <v/>
      </c>
      <c r="P194" s="19">
        <f>IF(ISNUMBER($O$194),INDEX($AS$11:$AS$26,$O$194),'Campanha'!$B$20)</f>
        <v/>
      </c>
      <c r="Q194" s="19">
        <f>IF(ISNUMBER($N$194),INDEX($AQ$11:$AQ$26,$N$194),0)</f>
        <v/>
      </c>
      <c r="R194" s="19">
        <f>IF(LEN($CB$194)=0,"",IFERROR(MATCH($CB$194,'Dados'!$A$324:$A$339,0),""))</f>
        <v/>
      </c>
      <c r="S194" s="19">
        <f>IF(ISNUMBER($R$194),INDEX('Dados'!$F$324:$F$339,$R$194),"")</f>
        <v/>
      </c>
      <c r="T194" s="19">
        <f>IF(ISNUMBER($R$194),INDEX('Dados'!$G$324:$G$339,$R$194),"")</f>
        <v/>
      </c>
      <c r="U194" s="19">
        <f>IF(ISNUMBER($R$194),INDEX('Dados'!$H$324:$H$339,$R$194),"")</f>
        <v/>
      </c>
      <c r="V194" s="19">
        <f>IF(ISNUMBER($R$194),INDEX('Dados'!$I$324:$I$339,$R$194),"")</f>
        <v/>
      </c>
      <c r="W194" s="19">
        <f>IF(ISNUMBER($R$194),INDEX('Dados'!$J$324:$J$339,$R$194),"")</f>
        <v/>
      </c>
      <c r="X194" s="19">
        <f>IF(ISNUMBER($R$194),INDEX('Dados'!$K$324:$K$339,$R$194),"")</f>
        <v/>
      </c>
      <c r="Y194" s="19">
        <f>IF(ISNUMBER($R$194),INDEX('Dados'!$L$324:$L$339,$R$194),"")</f>
        <v/>
      </c>
      <c r="Z194" s="19">
        <f>IF(ISNUMBER($R$194),INDEX('Dados'!$M$324:$M$339,$R$194),"")</f>
        <v/>
      </c>
      <c r="AA194" s="19">
        <f>IF(ISNUMBER($R$194),INDEX('Dados'!$N$324:$N$339,$R$194),"")</f>
        <v/>
      </c>
      <c r="AB194" s="19">
        <f>IF(ISNUMBER($CE$194),MIN($Z$194,MAX(1,INT($CE$194))),1)</f>
        <v/>
      </c>
      <c r="AC194" s="19">
        <f>IF(ISNUMBER($R$194),INDEX('Dados'!$B$324:$B$339,$R$194),"")</f>
        <v/>
      </c>
      <c r="CA194" s="19">
        <f>IF(ISERROR($A$194),"",IF(ISBLANK($A$194),"",$A$194))</f>
        <v/>
      </c>
      <c r="CB194" s="19">
        <f>IF(ISERROR($B$194),"",IF(ISBLANK($B$194),"",$B$194))</f>
        <v/>
      </c>
      <c r="CD194" s="19">
        <f>IF(ISERROR($D$194),"",IF(ISBLANK($D$194),"",$D$194))</f>
        <v/>
      </c>
      <c r="CE194" s="19">
        <f>IF(ISERROR($E$194),"",IF(ISBLANK($E$194),"",$E$194))</f>
        <v/>
      </c>
      <c r="CF194" s="19">
        <f>IF(ISERROR($F$194),"",IF(ISBLANK($F$194),"",$F$194))</f>
        <v/>
      </c>
      <c r="CK194" s="19">
        <f>ISERROR($A$194)*1+ISERROR($B$194)*1+ISERROR($D$194)*1+ISERROR($E$194)*1+ISERROR($F$194)*1</f>
        <v/>
      </c>
    </row>
    <row r="195" ht="48" customHeight="1">
      <c r="A195" s="31" t="n"/>
      <c r="B195" s="28" t="n"/>
      <c r="C195" s="16" t="n"/>
      <c r="D195" s="34" t="n"/>
      <c r="E195" s="34" t="n"/>
      <c r="F195" s="28" t="n"/>
      <c r="G195" s="16" t="n"/>
      <c r="H195" s="9">
        <f>IF(NOT(ISNUMBER($R$195)),"",IF($W$195&gt;0,"Dano Contínuo: "&amp;MIN(INT($W$195*$Q$195/100),$X$195*$P$195)&amp;" por turno",IF($S$195&gt;0,IF($AA$195="Sim","Dano Contínuo: ","Dano: ")&amp;IF($U$195="Sim",$AB$195*$S$195,$S$195)&amp;"d"&amp;$T$195&amp;IF($V$195="Sim"," + "&amp;$P$195,"")&amp;" · média "&amp;(INT(IF($U$195="Sim",$AB$195*$S$195,$S$195)*($T$195+1)/2)+IF($V$195="Sim",$P$195,0)),$AC$195))&amp;IF($Y$195&gt;0,"; Atrasa "&amp;$Y$195&amp;" casa(s): some em Atraso deste Ciclo do alvo (C8)",""))</f>
        <v/>
      </c>
      <c r="K195" s="26">
        <f>IF(CK195&gt;0,"O Google leu como fórmula: escolha de novo ou digite com ' na frente.",IF(LEN($CA$195&amp;$CB$195)=0,"",IF(NOT(ISNUMBER($N$195)),"Combatente fora da lista",IF(NOT(ISNUMBER($R$195)),"Condição fora do capítulo 21",IF(AND($CB$195="Congelado",$N$195&lt;=6),"Congelado só em inimigo (21.2)",IF(AND(ISNUMBER($CE$195),$CE$195&gt;$Z$195),"Acima do teto de "&amp;$Z$195&amp;" acúmulo(s) (21.5): usando o teto",IF($AA$195="Sim","Dano Contínuo: início do turno do alvo; ignora RD, não crita, sem dados de Fraqueza (20.6)","")))))))</f>
        <v/>
      </c>
      <c r="N195" s="19">
        <f>IF(LEN($CA$195)=0,"",IFERROR(MATCH($CA$195,$N$11:$N$26,0),""))</f>
        <v/>
      </c>
      <c r="O195" s="19">
        <f>IF(LEN($CF$195)=0,"",IFERROR(MATCH($CF$195,$N$11:$N$26,0),""))</f>
        <v/>
      </c>
      <c r="P195" s="19">
        <f>IF(ISNUMBER($O$195),INDEX($AS$11:$AS$26,$O$195),'Campanha'!$B$20)</f>
        <v/>
      </c>
      <c r="Q195" s="19">
        <f>IF(ISNUMBER($N$195),INDEX($AQ$11:$AQ$26,$N$195),0)</f>
        <v/>
      </c>
      <c r="R195" s="19">
        <f>IF(LEN($CB$195)=0,"",IFERROR(MATCH($CB$195,'Dados'!$A$324:$A$339,0),""))</f>
        <v/>
      </c>
      <c r="S195" s="19">
        <f>IF(ISNUMBER($R$195),INDEX('Dados'!$F$324:$F$339,$R$195),"")</f>
        <v/>
      </c>
      <c r="T195" s="19">
        <f>IF(ISNUMBER($R$195),INDEX('Dados'!$G$324:$G$339,$R$195),"")</f>
        <v/>
      </c>
      <c r="U195" s="19">
        <f>IF(ISNUMBER($R$195),INDEX('Dados'!$H$324:$H$339,$R$195),"")</f>
        <v/>
      </c>
      <c r="V195" s="19">
        <f>IF(ISNUMBER($R$195),INDEX('Dados'!$I$324:$I$339,$R$195),"")</f>
        <v/>
      </c>
      <c r="W195" s="19">
        <f>IF(ISNUMBER($R$195),INDEX('Dados'!$J$324:$J$339,$R$195),"")</f>
        <v/>
      </c>
      <c r="X195" s="19">
        <f>IF(ISNUMBER($R$195),INDEX('Dados'!$K$324:$K$339,$R$195),"")</f>
        <v/>
      </c>
      <c r="Y195" s="19">
        <f>IF(ISNUMBER($R$195),INDEX('Dados'!$L$324:$L$339,$R$195),"")</f>
        <v/>
      </c>
      <c r="Z195" s="19">
        <f>IF(ISNUMBER($R$195),INDEX('Dados'!$M$324:$M$339,$R$195),"")</f>
        <v/>
      </c>
      <c r="AA195" s="19">
        <f>IF(ISNUMBER($R$195),INDEX('Dados'!$N$324:$N$339,$R$195),"")</f>
        <v/>
      </c>
      <c r="AB195" s="19">
        <f>IF(ISNUMBER($CE$195),MIN($Z$195,MAX(1,INT($CE$195))),1)</f>
        <v/>
      </c>
      <c r="AC195" s="19">
        <f>IF(ISNUMBER($R$195),INDEX('Dados'!$B$324:$B$339,$R$195),"")</f>
        <v/>
      </c>
      <c r="CA195" s="19">
        <f>IF(ISERROR($A$195),"",IF(ISBLANK($A$195),"",$A$195))</f>
        <v/>
      </c>
      <c r="CB195" s="19">
        <f>IF(ISERROR($B$195),"",IF(ISBLANK($B$195),"",$B$195))</f>
        <v/>
      </c>
      <c r="CD195" s="19">
        <f>IF(ISERROR($D$195),"",IF(ISBLANK($D$195),"",$D$195))</f>
        <v/>
      </c>
      <c r="CE195" s="19">
        <f>IF(ISERROR($E$195),"",IF(ISBLANK($E$195),"",$E$195))</f>
        <v/>
      </c>
      <c r="CF195" s="19">
        <f>IF(ISERROR($F$195),"",IF(ISBLANK($F$195),"",$F$195))</f>
        <v/>
      </c>
      <c r="CK195" s="19">
        <f>ISERROR($A$195)*1+ISERROR($B$195)*1+ISERROR($D$195)*1+ISERROR($E$195)*1+ISERROR($F$195)*1</f>
        <v/>
      </c>
    </row>
    <row r="196" ht="26" customHeight="1">
      <c r="A196" s="7" t="inlineStr">
        <is>
          <t>Combatente</t>
        </is>
      </c>
      <c r="B196" s="7" t="inlineStr">
        <is>
          <t>Condição</t>
        </is>
      </c>
      <c r="C196" s="20" t="n"/>
      <c r="D196" s="7" t="inlineStr">
        <is>
          <t>Turnos restantes</t>
        </is>
      </c>
      <c r="E196" s="7" t="inlineStr">
        <is>
          <t>Acúmulos</t>
        </is>
      </c>
      <c r="F196" s="7" t="inlineStr">
        <is>
          <t>Quem aplicou</t>
        </is>
      </c>
      <c r="G196" s="20" t="n"/>
      <c r="H196" s="7" t="inlineStr">
        <is>
          <t>Efeito e dano</t>
        </is>
      </c>
      <c r="I196" s="20" t="n"/>
      <c r="J196" s="20" t="n"/>
      <c r="K196" s="7" t="inlineStr">
        <is>
          <t>Aviso</t>
        </is>
      </c>
      <c r="L196" s="20" t="n"/>
      <c r="CA196" s="19">
        <f>IF(ISERROR($A$196),"",IF(ISBLANK($A$196),"",$A$196))</f>
        <v/>
      </c>
      <c r="CB196" s="19">
        <f>IF(ISERROR($B$196),"",IF(ISBLANK($B$196),"",$B$196))</f>
        <v/>
      </c>
      <c r="CD196" s="19">
        <f>IF(ISERROR($D$196),"",IF(ISBLANK($D$196),"",$D$196))</f>
        <v/>
      </c>
    </row>
    <row r="197" ht="48" customHeight="1">
      <c r="A197" s="30" t="n"/>
      <c r="B197" s="3" t="n"/>
      <c r="C197" s="16" t="n"/>
      <c r="D197" s="15" t="n"/>
      <c r="E197" s="15" t="n"/>
      <c r="F197" s="3" t="n"/>
      <c r="G197" s="16" t="n"/>
      <c r="H197" s="4">
        <f>IF(NOT(ISNUMBER($R$197)),"",IF($W$197&gt;0,"Dano Contínuo: "&amp;MIN(INT($W$197*$Q$197/100),$X$197*$P$197)&amp;" por turno",IF($S$197&gt;0,IF($AA$197="Sim","Dano Contínuo: ","Dano: ")&amp;IF($U$197="Sim",$AB$197*$S$197,$S$197)&amp;"d"&amp;$T$197&amp;IF($V$197="Sim"," + "&amp;$P$197,"")&amp;" · média "&amp;(INT(IF($U$197="Sim",$AB$197*$S$197,$S$197)*($T$197+1)/2)+IF($V$197="Sim",$P$197,0)),$AC$197))&amp;IF($Y$197&gt;0,"; Atrasa "&amp;$Y$197&amp;" casa(s): some em Atraso deste Ciclo do alvo (C8)",""))</f>
        <v/>
      </c>
      <c r="K197" s="18">
        <f>IF(CK197&gt;0,"O Google leu como fórmula: escolha de novo ou digite com ' na frente.",IF(LEN($CA$197&amp;$CB$197)=0,"",IF(NOT(ISNUMBER($N$197)),"Combatente fora da lista",IF(NOT(ISNUMBER($R$197)),"Condição fora do capítulo 21",IF(AND($CB$197="Congelado",$N$197&lt;=6),"Congelado só em inimigo (21.2)",IF(AND(ISNUMBER($CE$197),$CE$197&gt;$Z$197),"Acima do teto de "&amp;$Z$197&amp;" acúmulo(s) (21.5): usando o teto",IF($AA$197="Sim","Dano Contínuo: início do turno do alvo; ignora RD, não crita, sem dados de Fraqueza (20.6)","")))))))</f>
        <v/>
      </c>
      <c r="N197" s="19">
        <f>IF(LEN($CA$197)=0,"",IFERROR(MATCH($CA$197,$N$11:$N$26,0),""))</f>
        <v/>
      </c>
      <c r="O197" s="19">
        <f>IF(LEN($CF$197)=0,"",IFERROR(MATCH($CF$197,$N$11:$N$26,0),""))</f>
        <v/>
      </c>
      <c r="P197" s="19">
        <f>IF(ISNUMBER($O$197),INDEX($AS$11:$AS$26,$O$197),'Campanha'!$B$20)</f>
        <v/>
      </c>
      <c r="Q197" s="19">
        <f>IF(ISNUMBER($N$197),INDEX($AQ$11:$AQ$26,$N$197),0)</f>
        <v/>
      </c>
      <c r="R197" s="19">
        <f>IF(LEN($CB$197)=0,"",IFERROR(MATCH($CB$197,'Dados'!$A$324:$A$339,0),""))</f>
        <v/>
      </c>
      <c r="S197" s="19">
        <f>IF(ISNUMBER($R$197),INDEX('Dados'!$F$324:$F$339,$R$197),"")</f>
        <v/>
      </c>
      <c r="T197" s="19">
        <f>IF(ISNUMBER($R$197),INDEX('Dados'!$G$324:$G$339,$R$197),"")</f>
        <v/>
      </c>
      <c r="U197" s="19">
        <f>IF(ISNUMBER($R$197),INDEX('Dados'!$H$324:$H$339,$R$197),"")</f>
        <v/>
      </c>
      <c r="V197" s="19">
        <f>IF(ISNUMBER($R$197),INDEX('Dados'!$I$324:$I$339,$R$197),"")</f>
        <v/>
      </c>
      <c r="W197" s="19">
        <f>IF(ISNUMBER($R$197),INDEX('Dados'!$J$324:$J$339,$R$197),"")</f>
        <v/>
      </c>
      <c r="X197" s="19">
        <f>IF(ISNUMBER($R$197),INDEX('Dados'!$K$324:$K$339,$R$197),"")</f>
        <v/>
      </c>
      <c r="Y197" s="19">
        <f>IF(ISNUMBER($R$197),INDEX('Dados'!$L$324:$L$339,$R$197),"")</f>
        <v/>
      </c>
      <c r="Z197" s="19">
        <f>IF(ISNUMBER($R$197),INDEX('Dados'!$M$324:$M$339,$R$197),"")</f>
        <v/>
      </c>
      <c r="AA197" s="19">
        <f>IF(ISNUMBER($R$197),INDEX('Dados'!$N$324:$N$339,$R$197),"")</f>
        <v/>
      </c>
      <c r="AB197" s="19">
        <f>IF(ISNUMBER($CE$197),MIN($Z$197,MAX(1,INT($CE$197))),1)</f>
        <v/>
      </c>
      <c r="AC197" s="19">
        <f>IF(ISNUMBER($R$197),INDEX('Dados'!$B$324:$B$339,$R$197),"")</f>
        <v/>
      </c>
      <c r="CA197" s="19">
        <f>IF(ISERROR($A$197),"",IF(ISBLANK($A$197),"",$A$197))</f>
        <v/>
      </c>
      <c r="CB197" s="19">
        <f>IF(ISERROR($B$197),"",IF(ISBLANK($B$197),"",$B$197))</f>
        <v/>
      </c>
      <c r="CD197" s="19">
        <f>IF(ISERROR($D$197),"",IF(ISBLANK($D$197),"",$D$197))</f>
        <v/>
      </c>
      <c r="CE197" s="19">
        <f>IF(ISERROR($E$197),"",IF(ISBLANK($E$197),"",$E$197))</f>
        <v/>
      </c>
      <c r="CF197" s="19">
        <f>IF(ISERROR($F$197),"",IF(ISBLANK($F$197),"",$F$197))</f>
        <v/>
      </c>
      <c r="CK197" s="19">
        <f>ISERROR($A$197)*1+ISERROR($B$197)*1+ISERROR($D$197)*1+ISERROR($E$197)*1+ISERROR($F$197)*1</f>
        <v/>
      </c>
    </row>
    <row r="198" ht="48" customHeight="1">
      <c r="A198" s="31" t="n"/>
      <c r="B198" s="28" t="n"/>
      <c r="C198" s="16" t="n"/>
      <c r="D198" s="34" t="n"/>
      <c r="E198" s="34" t="n"/>
      <c r="F198" s="28" t="n"/>
      <c r="G198" s="16" t="n"/>
      <c r="H198" s="9">
        <f>IF(NOT(ISNUMBER($R$198)),"",IF($W$198&gt;0,"Dano Contínuo: "&amp;MIN(INT($W$198*$Q$198/100),$X$198*$P$198)&amp;" por turno",IF($S$198&gt;0,IF($AA$198="Sim","Dano Contínuo: ","Dano: ")&amp;IF($U$198="Sim",$AB$198*$S$198,$S$198)&amp;"d"&amp;$T$198&amp;IF($V$198="Sim"," + "&amp;$P$198,"")&amp;" · média "&amp;(INT(IF($U$198="Sim",$AB$198*$S$198,$S$198)*($T$198+1)/2)+IF($V$198="Sim",$P$198,0)),$AC$198))&amp;IF($Y$198&gt;0,"; Atrasa "&amp;$Y$198&amp;" casa(s): some em Atraso deste Ciclo do alvo (C8)",""))</f>
        <v/>
      </c>
      <c r="K198" s="26">
        <f>IF(CK198&gt;0,"O Google leu como fórmula: escolha de novo ou digite com ' na frente.",IF(LEN($CA$198&amp;$CB$198)=0,"",IF(NOT(ISNUMBER($N$198)),"Combatente fora da lista",IF(NOT(ISNUMBER($R$198)),"Condição fora do capítulo 21",IF(AND($CB$198="Congelado",$N$198&lt;=6),"Congelado só em inimigo (21.2)",IF(AND(ISNUMBER($CE$198),$CE$198&gt;$Z$198),"Acima do teto de "&amp;$Z$198&amp;" acúmulo(s) (21.5): usando o teto",IF($AA$198="Sim","Dano Contínuo: início do turno do alvo; ignora RD, não crita, sem dados de Fraqueza (20.6)","")))))))</f>
        <v/>
      </c>
      <c r="N198" s="19">
        <f>IF(LEN($CA$198)=0,"",IFERROR(MATCH($CA$198,$N$11:$N$26,0),""))</f>
        <v/>
      </c>
      <c r="O198" s="19">
        <f>IF(LEN($CF$198)=0,"",IFERROR(MATCH($CF$198,$N$11:$N$26,0),""))</f>
        <v/>
      </c>
      <c r="P198" s="19">
        <f>IF(ISNUMBER($O$198),INDEX($AS$11:$AS$26,$O$198),'Campanha'!$B$20)</f>
        <v/>
      </c>
      <c r="Q198" s="19">
        <f>IF(ISNUMBER($N$198),INDEX($AQ$11:$AQ$26,$N$198),0)</f>
        <v/>
      </c>
      <c r="R198" s="19">
        <f>IF(LEN($CB$198)=0,"",IFERROR(MATCH($CB$198,'Dados'!$A$324:$A$339,0),""))</f>
        <v/>
      </c>
      <c r="S198" s="19">
        <f>IF(ISNUMBER($R$198),INDEX('Dados'!$F$324:$F$339,$R$198),"")</f>
        <v/>
      </c>
      <c r="T198" s="19">
        <f>IF(ISNUMBER($R$198),INDEX('Dados'!$G$324:$G$339,$R$198),"")</f>
        <v/>
      </c>
      <c r="U198" s="19">
        <f>IF(ISNUMBER($R$198),INDEX('Dados'!$H$324:$H$339,$R$198),"")</f>
        <v/>
      </c>
      <c r="V198" s="19">
        <f>IF(ISNUMBER($R$198),INDEX('Dados'!$I$324:$I$339,$R$198),"")</f>
        <v/>
      </c>
      <c r="W198" s="19">
        <f>IF(ISNUMBER($R$198),INDEX('Dados'!$J$324:$J$339,$R$198),"")</f>
        <v/>
      </c>
      <c r="X198" s="19">
        <f>IF(ISNUMBER($R$198),INDEX('Dados'!$K$324:$K$339,$R$198),"")</f>
        <v/>
      </c>
      <c r="Y198" s="19">
        <f>IF(ISNUMBER($R$198),INDEX('Dados'!$L$324:$L$339,$R$198),"")</f>
        <v/>
      </c>
      <c r="Z198" s="19">
        <f>IF(ISNUMBER($R$198),INDEX('Dados'!$M$324:$M$339,$R$198),"")</f>
        <v/>
      </c>
      <c r="AA198" s="19">
        <f>IF(ISNUMBER($R$198),INDEX('Dados'!$N$324:$N$339,$R$198),"")</f>
        <v/>
      </c>
      <c r="AB198" s="19">
        <f>IF(ISNUMBER($CE$198),MIN($Z$198,MAX(1,INT($CE$198))),1)</f>
        <v/>
      </c>
      <c r="AC198" s="19">
        <f>IF(ISNUMBER($R$198),INDEX('Dados'!$B$324:$B$339,$R$198),"")</f>
        <v/>
      </c>
      <c r="CA198" s="19">
        <f>IF(ISERROR($A$198),"",IF(ISBLANK($A$198),"",$A$198))</f>
        <v/>
      </c>
      <c r="CB198" s="19">
        <f>IF(ISERROR($B$198),"",IF(ISBLANK($B$198),"",$B$198))</f>
        <v/>
      </c>
      <c r="CD198" s="19">
        <f>IF(ISERROR($D$198),"",IF(ISBLANK($D$198),"",$D$198))</f>
        <v/>
      </c>
      <c r="CE198" s="19">
        <f>IF(ISERROR($E$198),"",IF(ISBLANK($E$198),"",$E$198))</f>
        <v/>
      </c>
      <c r="CF198" s="19">
        <f>IF(ISERROR($F$198),"",IF(ISBLANK($F$198),"",$F$198))</f>
        <v/>
      </c>
      <c r="CK198" s="19">
        <f>ISERROR($A$198)*1+ISERROR($B$198)*1+ISERROR($D$198)*1+ISERROR($E$198)*1+ISERROR($F$198)*1</f>
        <v/>
      </c>
    </row>
    <row r="199" ht="48" customHeight="1">
      <c r="A199" s="30" t="n"/>
      <c r="B199" s="3" t="n"/>
      <c r="C199" s="16" t="n"/>
      <c r="D199" s="15" t="n"/>
      <c r="E199" s="15" t="n"/>
      <c r="F199" s="3" t="n"/>
      <c r="G199" s="16" t="n"/>
      <c r="H199" s="4">
        <f>IF(NOT(ISNUMBER($R$199)),"",IF($W$199&gt;0,"Dano Contínuo: "&amp;MIN(INT($W$199*$Q$199/100),$X$199*$P$199)&amp;" por turno",IF($S$199&gt;0,IF($AA$199="Sim","Dano Contínuo: ","Dano: ")&amp;IF($U$199="Sim",$AB$199*$S$199,$S$199)&amp;"d"&amp;$T$199&amp;IF($V$199="Sim"," + "&amp;$P$199,"")&amp;" · média "&amp;(INT(IF($U$199="Sim",$AB$199*$S$199,$S$199)*($T$199+1)/2)+IF($V$199="Sim",$P$199,0)),$AC$199))&amp;IF($Y$199&gt;0,"; Atrasa "&amp;$Y$199&amp;" casa(s): some em Atraso deste Ciclo do alvo (C8)",""))</f>
        <v/>
      </c>
      <c r="K199" s="18">
        <f>IF(CK199&gt;0,"O Google leu como fórmula: escolha de novo ou digite com ' na frente.",IF(LEN($CA$199&amp;$CB$199)=0,"",IF(NOT(ISNUMBER($N$199)),"Combatente fora da lista",IF(NOT(ISNUMBER($R$199)),"Condição fora do capítulo 21",IF(AND($CB$199="Congelado",$N$199&lt;=6),"Congelado só em inimigo (21.2)",IF(AND(ISNUMBER($CE$199),$CE$199&gt;$Z$199),"Acima do teto de "&amp;$Z$199&amp;" acúmulo(s) (21.5): usando o teto",IF($AA$199="Sim","Dano Contínuo: início do turno do alvo; ignora RD, não crita, sem dados de Fraqueza (20.6)","")))))))</f>
        <v/>
      </c>
      <c r="N199" s="19">
        <f>IF(LEN($CA$199)=0,"",IFERROR(MATCH($CA$199,$N$11:$N$26,0),""))</f>
        <v/>
      </c>
      <c r="O199" s="19">
        <f>IF(LEN($CF$199)=0,"",IFERROR(MATCH($CF$199,$N$11:$N$26,0),""))</f>
        <v/>
      </c>
      <c r="P199" s="19">
        <f>IF(ISNUMBER($O$199),INDEX($AS$11:$AS$26,$O$199),'Campanha'!$B$20)</f>
        <v/>
      </c>
      <c r="Q199" s="19">
        <f>IF(ISNUMBER($N$199),INDEX($AQ$11:$AQ$26,$N$199),0)</f>
        <v/>
      </c>
      <c r="R199" s="19">
        <f>IF(LEN($CB$199)=0,"",IFERROR(MATCH($CB$199,'Dados'!$A$324:$A$339,0),""))</f>
        <v/>
      </c>
      <c r="S199" s="19">
        <f>IF(ISNUMBER($R$199),INDEX('Dados'!$F$324:$F$339,$R$199),"")</f>
        <v/>
      </c>
      <c r="T199" s="19">
        <f>IF(ISNUMBER($R$199),INDEX('Dados'!$G$324:$G$339,$R$199),"")</f>
        <v/>
      </c>
      <c r="U199" s="19">
        <f>IF(ISNUMBER($R$199),INDEX('Dados'!$H$324:$H$339,$R$199),"")</f>
        <v/>
      </c>
      <c r="V199" s="19">
        <f>IF(ISNUMBER($R$199),INDEX('Dados'!$I$324:$I$339,$R$199),"")</f>
        <v/>
      </c>
      <c r="W199" s="19">
        <f>IF(ISNUMBER($R$199),INDEX('Dados'!$J$324:$J$339,$R$199),"")</f>
        <v/>
      </c>
      <c r="X199" s="19">
        <f>IF(ISNUMBER($R$199),INDEX('Dados'!$K$324:$K$339,$R$199),"")</f>
        <v/>
      </c>
      <c r="Y199" s="19">
        <f>IF(ISNUMBER($R$199),INDEX('Dados'!$L$324:$L$339,$R$199),"")</f>
        <v/>
      </c>
      <c r="Z199" s="19">
        <f>IF(ISNUMBER($R$199),INDEX('Dados'!$M$324:$M$339,$R$199),"")</f>
        <v/>
      </c>
      <c r="AA199" s="19">
        <f>IF(ISNUMBER($R$199),INDEX('Dados'!$N$324:$N$339,$R$199),"")</f>
        <v/>
      </c>
      <c r="AB199" s="19">
        <f>IF(ISNUMBER($CE$199),MIN($Z$199,MAX(1,INT($CE$199))),1)</f>
        <v/>
      </c>
      <c r="AC199" s="19">
        <f>IF(ISNUMBER($R$199),INDEX('Dados'!$B$324:$B$339,$R$199),"")</f>
        <v/>
      </c>
      <c r="CA199" s="19">
        <f>IF(ISERROR($A$199),"",IF(ISBLANK($A$199),"",$A$199))</f>
        <v/>
      </c>
      <c r="CB199" s="19">
        <f>IF(ISERROR($B$199),"",IF(ISBLANK($B$199),"",$B$199))</f>
        <v/>
      </c>
      <c r="CD199" s="19">
        <f>IF(ISERROR($D$199),"",IF(ISBLANK($D$199),"",$D$199))</f>
        <v/>
      </c>
      <c r="CE199" s="19">
        <f>IF(ISERROR($E$199),"",IF(ISBLANK($E$199),"",$E$199))</f>
        <v/>
      </c>
      <c r="CF199" s="19">
        <f>IF(ISERROR($F$199),"",IF(ISBLANK($F$199),"",$F$199))</f>
        <v/>
      </c>
      <c r="CK199" s="19">
        <f>ISERROR($A$199)*1+ISERROR($B$199)*1+ISERROR($D$199)*1+ISERROR($E$199)*1+ISERROR($F$199)*1</f>
        <v/>
      </c>
    </row>
    <row r="200" ht="48" customHeight="1">
      <c r="A200" s="31" t="n"/>
      <c r="B200" s="28" t="n"/>
      <c r="C200" s="16" t="n"/>
      <c r="D200" s="34" t="n"/>
      <c r="E200" s="34" t="n"/>
      <c r="F200" s="28" t="n"/>
      <c r="G200" s="16" t="n"/>
      <c r="H200" s="9">
        <f>IF(NOT(ISNUMBER($R$200)),"",IF($W$200&gt;0,"Dano Contínuo: "&amp;MIN(INT($W$200*$Q$200/100),$X$200*$P$200)&amp;" por turno",IF($S$200&gt;0,IF($AA$200="Sim","Dano Contínuo: ","Dano: ")&amp;IF($U$200="Sim",$AB$200*$S$200,$S$200)&amp;"d"&amp;$T$200&amp;IF($V$200="Sim"," + "&amp;$P$200,"")&amp;" · média "&amp;(INT(IF($U$200="Sim",$AB$200*$S$200,$S$200)*($T$200+1)/2)+IF($V$200="Sim",$P$200,0)),$AC$200))&amp;IF($Y$200&gt;0,"; Atrasa "&amp;$Y$200&amp;" casa(s): some em Atraso deste Ciclo do alvo (C8)",""))</f>
        <v/>
      </c>
      <c r="K200" s="26">
        <f>IF(CK200&gt;0,"O Google leu como fórmula: escolha de novo ou digite com ' na frente.",IF(LEN($CA$200&amp;$CB$200)=0,"",IF(NOT(ISNUMBER($N$200)),"Combatente fora da lista",IF(NOT(ISNUMBER($R$200)),"Condição fora do capítulo 21",IF(AND($CB$200="Congelado",$N$200&lt;=6),"Congelado só em inimigo (21.2)",IF(AND(ISNUMBER($CE$200),$CE$200&gt;$Z$200),"Acima do teto de "&amp;$Z$200&amp;" acúmulo(s) (21.5): usando o teto",IF($AA$200="Sim","Dano Contínuo: início do turno do alvo; ignora RD, não crita, sem dados de Fraqueza (20.6)","")))))))</f>
        <v/>
      </c>
      <c r="N200" s="19">
        <f>IF(LEN($CA$200)=0,"",IFERROR(MATCH($CA$200,$N$11:$N$26,0),""))</f>
        <v/>
      </c>
      <c r="O200" s="19">
        <f>IF(LEN($CF$200)=0,"",IFERROR(MATCH($CF$200,$N$11:$N$26,0),""))</f>
        <v/>
      </c>
      <c r="P200" s="19">
        <f>IF(ISNUMBER($O$200),INDEX($AS$11:$AS$26,$O$200),'Campanha'!$B$20)</f>
        <v/>
      </c>
      <c r="Q200" s="19">
        <f>IF(ISNUMBER($N$200),INDEX($AQ$11:$AQ$26,$N$200),0)</f>
        <v/>
      </c>
      <c r="R200" s="19">
        <f>IF(LEN($CB$200)=0,"",IFERROR(MATCH($CB$200,'Dados'!$A$324:$A$339,0),""))</f>
        <v/>
      </c>
      <c r="S200" s="19">
        <f>IF(ISNUMBER($R$200),INDEX('Dados'!$F$324:$F$339,$R$200),"")</f>
        <v/>
      </c>
      <c r="T200" s="19">
        <f>IF(ISNUMBER($R$200),INDEX('Dados'!$G$324:$G$339,$R$200),"")</f>
        <v/>
      </c>
      <c r="U200" s="19">
        <f>IF(ISNUMBER($R$200),INDEX('Dados'!$H$324:$H$339,$R$200),"")</f>
        <v/>
      </c>
      <c r="V200" s="19">
        <f>IF(ISNUMBER($R$200),INDEX('Dados'!$I$324:$I$339,$R$200),"")</f>
        <v/>
      </c>
      <c r="W200" s="19">
        <f>IF(ISNUMBER($R$200),INDEX('Dados'!$J$324:$J$339,$R$200),"")</f>
        <v/>
      </c>
      <c r="X200" s="19">
        <f>IF(ISNUMBER($R$200),INDEX('Dados'!$K$324:$K$339,$R$200),"")</f>
        <v/>
      </c>
      <c r="Y200" s="19">
        <f>IF(ISNUMBER($R$200),INDEX('Dados'!$L$324:$L$339,$R$200),"")</f>
        <v/>
      </c>
      <c r="Z200" s="19">
        <f>IF(ISNUMBER($R$200),INDEX('Dados'!$M$324:$M$339,$R$200),"")</f>
        <v/>
      </c>
      <c r="AA200" s="19">
        <f>IF(ISNUMBER($R$200),INDEX('Dados'!$N$324:$N$339,$R$200),"")</f>
        <v/>
      </c>
      <c r="AB200" s="19">
        <f>IF(ISNUMBER($CE$200),MIN($Z$200,MAX(1,INT($CE$200))),1)</f>
        <v/>
      </c>
      <c r="AC200" s="19">
        <f>IF(ISNUMBER($R$200),INDEX('Dados'!$B$324:$B$339,$R$200),"")</f>
        <v/>
      </c>
      <c r="CA200" s="19">
        <f>IF(ISERROR($A$200),"",IF(ISBLANK($A$200),"",$A$200))</f>
        <v/>
      </c>
      <c r="CB200" s="19">
        <f>IF(ISERROR($B$200),"",IF(ISBLANK($B$200),"",$B$200))</f>
        <v/>
      </c>
      <c r="CD200" s="19">
        <f>IF(ISERROR($D$200),"",IF(ISBLANK($D$200),"",$D$200))</f>
        <v/>
      </c>
      <c r="CE200" s="19">
        <f>IF(ISERROR($E$200),"",IF(ISBLANK($E$200),"",$E$200))</f>
        <v/>
      </c>
      <c r="CF200" s="19">
        <f>IF(ISERROR($F$200),"",IF(ISBLANK($F$200),"",$F$200))</f>
        <v/>
      </c>
      <c r="CK200" s="19">
        <f>ISERROR($A$200)*1+ISERROR($B$200)*1+ISERROR($D$200)*1+ISERROR($E$200)*1+ISERROR($F$200)*1</f>
        <v/>
      </c>
    </row>
    <row r="201" ht="48" customHeight="1">
      <c r="A201" s="30" t="n"/>
      <c r="B201" s="3" t="n"/>
      <c r="C201" s="16" t="n"/>
      <c r="D201" s="15" t="n"/>
      <c r="E201" s="15" t="n"/>
      <c r="F201" s="3" t="n"/>
      <c r="G201" s="16" t="n"/>
      <c r="H201" s="4">
        <f>IF(NOT(ISNUMBER($R$201)),"",IF($W$201&gt;0,"Dano Contínuo: "&amp;MIN(INT($W$201*$Q$201/100),$X$201*$P$201)&amp;" por turno",IF($S$201&gt;0,IF($AA$201="Sim","Dano Contínuo: ","Dano: ")&amp;IF($U$201="Sim",$AB$201*$S$201,$S$201)&amp;"d"&amp;$T$201&amp;IF($V$201="Sim"," + "&amp;$P$201,"")&amp;" · média "&amp;(INT(IF($U$201="Sim",$AB$201*$S$201,$S$201)*($T$201+1)/2)+IF($V$201="Sim",$P$201,0)),$AC$201))&amp;IF($Y$201&gt;0,"; Atrasa "&amp;$Y$201&amp;" casa(s): some em Atraso deste Ciclo do alvo (C8)",""))</f>
        <v/>
      </c>
      <c r="K201" s="18">
        <f>IF(CK201&gt;0,"O Google leu como fórmula: escolha de novo ou digite com ' na frente.",IF(LEN($CA$201&amp;$CB$201)=0,"",IF(NOT(ISNUMBER($N$201)),"Combatente fora da lista",IF(NOT(ISNUMBER($R$201)),"Condição fora do capítulo 21",IF(AND($CB$201="Congelado",$N$201&lt;=6),"Congelado só em inimigo (21.2)",IF(AND(ISNUMBER($CE$201),$CE$201&gt;$Z$201),"Acima do teto de "&amp;$Z$201&amp;" acúmulo(s) (21.5): usando o teto",IF($AA$201="Sim","Dano Contínuo: início do turno do alvo; ignora RD, não crita, sem dados de Fraqueza (20.6)","")))))))</f>
        <v/>
      </c>
      <c r="N201" s="19">
        <f>IF(LEN($CA$201)=0,"",IFERROR(MATCH($CA$201,$N$11:$N$26,0),""))</f>
        <v/>
      </c>
      <c r="O201" s="19">
        <f>IF(LEN($CF$201)=0,"",IFERROR(MATCH($CF$201,$N$11:$N$26,0),""))</f>
        <v/>
      </c>
      <c r="P201" s="19">
        <f>IF(ISNUMBER($O$201),INDEX($AS$11:$AS$26,$O$201),'Campanha'!$B$20)</f>
        <v/>
      </c>
      <c r="Q201" s="19">
        <f>IF(ISNUMBER($N$201),INDEX($AQ$11:$AQ$26,$N$201),0)</f>
        <v/>
      </c>
      <c r="R201" s="19">
        <f>IF(LEN($CB$201)=0,"",IFERROR(MATCH($CB$201,'Dados'!$A$324:$A$339,0),""))</f>
        <v/>
      </c>
      <c r="S201" s="19">
        <f>IF(ISNUMBER($R$201),INDEX('Dados'!$F$324:$F$339,$R$201),"")</f>
        <v/>
      </c>
      <c r="T201" s="19">
        <f>IF(ISNUMBER($R$201),INDEX('Dados'!$G$324:$G$339,$R$201),"")</f>
        <v/>
      </c>
      <c r="U201" s="19">
        <f>IF(ISNUMBER($R$201),INDEX('Dados'!$H$324:$H$339,$R$201),"")</f>
        <v/>
      </c>
      <c r="V201" s="19">
        <f>IF(ISNUMBER($R$201),INDEX('Dados'!$I$324:$I$339,$R$201),"")</f>
        <v/>
      </c>
      <c r="W201" s="19">
        <f>IF(ISNUMBER($R$201),INDEX('Dados'!$J$324:$J$339,$R$201),"")</f>
        <v/>
      </c>
      <c r="X201" s="19">
        <f>IF(ISNUMBER($R$201),INDEX('Dados'!$K$324:$K$339,$R$201),"")</f>
        <v/>
      </c>
      <c r="Y201" s="19">
        <f>IF(ISNUMBER($R$201),INDEX('Dados'!$L$324:$L$339,$R$201),"")</f>
        <v/>
      </c>
      <c r="Z201" s="19">
        <f>IF(ISNUMBER($R$201),INDEX('Dados'!$M$324:$M$339,$R$201),"")</f>
        <v/>
      </c>
      <c r="AA201" s="19">
        <f>IF(ISNUMBER($R$201),INDEX('Dados'!$N$324:$N$339,$R$201),"")</f>
        <v/>
      </c>
      <c r="AB201" s="19">
        <f>IF(ISNUMBER($CE$201),MIN($Z$201,MAX(1,INT($CE$201))),1)</f>
        <v/>
      </c>
      <c r="AC201" s="19">
        <f>IF(ISNUMBER($R$201),INDEX('Dados'!$B$324:$B$339,$R$201),"")</f>
        <v/>
      </c>
      <c r="CA201" s="19">
        <f>IF(ISERROR($A$201),"",IF(ISBLANK($A$201),"",$A$201))</f>
        <v/>
      </c>
      <c r="CB201" s="19">
        <f>IF(ISERROR($B$201),"",IF(ISBLANK($B$201),"",$B$201))</f>
        <v/>
      </c>
      <c r="CD201" s="19">
        <f>IF(ISERROR($D$201),"",IF(ISBLANK($D$201),"",$D$201))</f>
        <v/>
      </c>
      <c r="CE201" s="19">
        <f>IF(ISERROR($E$201),"",IF(ISBLANK($E$201),"",$E$201))</f>
        <v/>
      </c>
      <c r="CF201" s="19">
        <f>IF(ISERROR($F$201),"",IF(ISBLANK($F$201),"",$F$201))</f>
        <v/>
      </c>
      <c r="CK201" s="19">
        <f>ISERROR($A$201)*1+ISERROR($B$201)*1+ISERROR($D$201)*1+ISERROR($E$201)*1+ISERROR($F$201)*1</f>
        <v/>
      </c>
    </row>
    <row r="202" ht="48" customHeight="1">
      <c r="A202" s="31" t="n"/>
      <c r="B202" s="28" t="n"/>
      <c r="C202" s="16" t="n"/>
      <c r="D202" s="34" t="n"/>
      <c r="E202" s="34" t="n"/>
      <c r="F202" s="28" t="n"/>
      <c r="G202" s="16" t="n"/>
      <c r="H202" s="9">
        <f>IF(NOT(ISNUMBER($R$202)),"",IF($W$202&gt;0,"Dano Contínuo: "&amp;MIN(INT($W$202*$Q$202/100),$X$202*$P$202)&amp;" por turno",IF($S$202&gt;0,IF($AA$202="Sim","Dano Contínuo: ","Dano: ")&amp;IF($U$202="Sim",$AB$202*$S$202,$S$202)&amp;"d"&amp;$T$202&amp;IF($V$202="Sim"," + "&amp;$P$202,"")&amp;" · média "&amp;(INT(IF($U$202="Sim",$AB$202*$S$202,$S$202)*($T$202+1)/2)+IF($V$202="Sim",$P$202,0)),$AC$202))&amp;IF($Y$202&gt;0,"; Atrasa "&amp;$Y$202&amp;" casa(s): some em Atraso deste Ciclo do alvo (C8)",""))</f>
        <v/>
      </c>
      <c r="K202" s="26">
        <f>IF(CK202&gt;0,"O Google leu como fórmula: escolha de novo ou digite com ' na frente.",IF(LEN($CA$202&amp;$CB$202)=0,"",IF(NOT(ISNUMBER($N$202)),"Combatente fora da lista",IF(NOT(ISNUMBER($R$202)),"Condição fora do capítulo 21",IF(AND($CB$202="Congelado",$N$202&lt;=6),"Congelado só em inimigo (21.2)",IF(AND(ISNUMBER($CE$202),$CE$202&gt;$Z$202),"Acima do teto de "&amp;$Z$202&amp;" acúmulo(s) (21.5): usando o teto",IF($AA$202="Sim","Dano Contínuo: início do turno do alvo; ignora RD, não crita, sem dados de Fraqueza (20.6)","")))))))</f>
        <v/>
      </c>
      <c r="N202" s="19">
        <f>IF(LEN($CA$202)=0,"",IFERROR(MATCH($CA$202,$N$11:$N$26,0),""))</f>
        <v/>
      </c>
      <c r="O202" s="19">
        <f>IF(LEN($CF$202)=0,"",IFERROR(MATCH($CF$202,$N$11:$N$26,0),""))</f>
        <v/>
      </c>
      <c r="P202" s="19">
        <f>IF(ISNUMBER($O$202),INDEX($AS$11:$AS$26,$O$202),'Campanha'!$B$20)</f>
        <v/>
      </c>
      <c r="Q202" s="19">
        <f>IF(ISNUMBER($N$202),INDEX($AQ$11:$AQ$26,$N$202),0)</f>
        <v/>
      </c>
      <c r="R202" s="19">
        <f>IF(LEN($CB$202)=0,"",IFERROR(MATCH($CB$202,'Dados'!$A$324:$A$339,0),""))</f>
        <v/>
      </c>
      <c r="S202" s="19">
        <f>IF(ISNUMBER($R$202),INDEX('Dados'!$F$324:$F$339,$R$202),"")</f>
        <v/>
      </c>
      <c r="T202" s="19">
        <f>IF(ISNUMBER($R$202),INDEX('Dados'!$G$324:$G$339,$R$202),"")</f>
        <v/>
      </c>
      <c r="U202" s="19">
        <f>IF(ISNUMBER($R$202),INDEX('Dados'!$H$324:$H$339,$R$202),"")</f>
        <v/>
      </c>
      <c r="V202" s="19">
        <f>IF(ISNUMBER($R$202),INDEX('Dados'!$I$324:$I$339,$R$202),"")</f>
        <v/>
      </c>
      <c r="W202" s="19">
        <f>IF(ISNUMBER($R$202),INDEX('Dados'!$J$324:$J$339,$R$202),"")</f>
        <v/>
      </c>
      <c r="X202" s="19">
        <f>IF(ISNUMBER($R$202),INDEX('Dados'!$K$324:$K$339,$R$202),"")</f>
        <v/>
      </c>
      <c r="Y202" s="19">
        <f>IF(ISNUMBER($R$202),INDEX('Dados'!$L$324:$L$339,$R$202),"")</f>
        <v/>
      </c>
      <c r="Z202" s="19">
        <f>IF(ISNUMBER($R$202),INDEX('Dados'!$M$324:$M$339,$R$202),"")</f>
        <v/>
      </c>
      <c r="AA202" s="19">
        <f>IF(ISNUMBER($R$202),INDEX('Dados'!$N$324:$N$339,$R$202),"")</f>
        <v/>
      </c>
      <c r="AB202" s="19">
        <f>IF(ISNUMBER($CE$202),MIN($Z$202,MAX(1,INT($CE$202))),1)</f>
        <v/>
      </c>
      <c r="AC202" s="19">
        <f>IF(ISNUMBER($R$202),INDEX('Dados'!$B$324:$B$339,$R$202),"")</f>
        <v/>
      </c>
      <c r="CA202" s="19">
        <f>IF(ISERROR($A$202),"",IF(ISBLANK($A$202),"",$A$202))</f>
        <v/>
      </c>
      <c r="CB202" s="19">
        <f>IF(ISERROR($B$202),"",IF(ISBLANK($B$202),"",$B$202))</f>
        <v/>
      </c>
      <c r="CD202" s="19">
        <f>IF(ISERROR($D$202),"",IF(ISBLANK($D$202),"",$D$202))</f>
        <v/>
      </c>
      <c r="CE202" s="19">
        <f>IF(ISERROR($E$202),"",IF(ISBLANK($E$202),"",$E$202))</f>
        <v/>
      </c>
      <c r="CF202" s="19">
        <f>IF(ISERROR($F$202),"",IF(ISBLANK($F$202),"",$F$202))</f>
        <v/>
      </c>
      <c r="CK202" s="19">
        <f>ISERROR($A$202)*1+ISERROR($B$202)*1+ISERROR($D$202)*1+ISERROR($E$202)*1+ISERROR($F$202)*1</f>
        <v/>
      </c>
    </row>
    <row r="203" ht="48" customHeight="1">
      <c r="A203" s="30" t="n"/>
      <c r="B203" s="3" t="n"/>
      <c r="C203" s="16" t="n"/>
      <c r="D203" s="15" t="n"/>
      <c r="E203" s="15" t="n"/>
      <c r="F203" s="3" t="n"/>
      <c r="G203" s="16" t="n"/>
      <c r="H203" s="4">
        <f>IF(NOT(ISNUMBER($R$203)),"",IF($W$203&gt;0,"Dano Contínuo: "&amp;MIN(INT($W$203*$Q$203/100),$X$203*$P$203)&amp;" por turno",IF($S$203&gt;0,IF($AA$203="Sim","Dano Contínuo: ","Dano: ")&amp;IF($U$203="Sim",$AB$203*$S$203,$S$203)&amp;"d"&amp;$T$203&amp;IF($V$203="Sim"," + "&amp;$P$203,"")&amp;" · média "&amp;(INT(IF($U$203="Sim",$AB$203*$S$203,$S$203)*($T$203+1)/2)+IF($V$203="Sim",$P$203,0)),$AC$203))&amp;IF($Y$203&gt;0,"; Atrasa "&amp;$Y$203&amp;" casa(s): some em Atraso deste Ciclo do alvo (C8)",""))</f>
        <v/>
      </c>
      <c r="K203" s="18">
        <f>IF(CK203&gt;0,"O Google leu como fórmula: escolha de novo ou digite com ' na frente.",IF(LEN($CA$203&amp;$CB$203)=0,"",IF(NOT(ISNUMBER($N$203)),"Combatente fora da lista",IF(NOT(ISNUMBER($R$203)),"Condição fora do capítulo 21",IF(AND($CB$203="Congelado",$N$203&lt;=6),"Congelado só em inimigo (21.2)",IF(AND(ISNUMBER($CE$203),$CE$203&gt;$Z$203),"Acima do teto de "&amp;$Z$203&amp;" acúmulo(s) (21.5): usando o teto",IF($AA$203="Sim","Dano Contínuo: início do turno do alvo; ignora RD, não crita, sem dados de Fraqueza (20.6)","")))))))</f>
        <v/>
      </c>
      <c r="N203" s="19">
        <f>IF(LEN($CA$203)=0,"",IFERROR(MATCH($CA$203,$N$11:$N$26,0),""))</f>
        <v/>
      </c>
      <c r="O203" s="19">
        <f>IF(LEN($CF$203)=0,"",IFERROR(MATCH($CF$203,$N$11:$N$26,0),""))</f>
        <v/>
      </c>
      <c r="P203" s="19">
        <f>IF(ISNUMBER($O$203),INDEX($AS$11:$AS$26,$O$203),'Campanha'!$B$20)</f>
        <v/>
      </c>
      <c r="Q203" s="19">
        <f>IF(ISNUMBER($N$203),INDEX($AQ$11:$AQ$26,$N$203),0)</f>
        <v/>
      </c>
      <c r="R203" s="19">
        <f>IF(LEN($CB$203)=0,"",IFERROR(MATCH($CB$203,'Dados'!$A$324:$A$339,0),""))</f>
        <v/>
      </c>
      <c r="S203" s="19">
        <f>IF(ISNUMBER($R$203),INDEX('Dados'!$F$324:$F$339,$R$203),"")</f>
        <v/>
      </c>
      <c r="T203" s="19">
        <f>IF(ISNUMBER($R$203),INDEX('Dados'!$G$324:$G$339,$R$203),"")</f>
        <v/>
      </c>
      <c r="U203" s="19">
        <f>IF(ISNUMBER($R$203),INDEX('Dados'!$H$324:$H$339,$R$203),"")</f>
        <v/>
      </c>
      <c r="V203" s="19">
        <f>IF(ISNUMBER($R$203),INDEX('Dados'!$I$324:$I$339,$R$203),"")</f>
        <v/>
      </c>
      <c r="W203" s="19">
        <f>IF(ISNUMBER($R$203),INDEX('Dados'!$J$324:$J$339,$R$203),"")</f>
        <v/>
      </c>
      <c r="X203" s="19">
        <f>IF(ISNUMBER($R$203),INDEX('Dados'!$K$324:$K$339,$R$203),"")</f>
        <v/>
      </c>
      <c r="Y203" s="19">
        <f>IF(ISNUMBER($R$203),INDEX('Dados'!$L$324:$L$339,$R$203),"")</f>
        <v/>
      </c>
      <c r="Z203" s="19">
        <f>IF(ISNUMBER($R$203),INDEX('Dados'!$M$324:$M$339,$R$203),"")</f>
        <v/>
      </c>
      <c r="AA203" s="19">
        <f>IF(ISNUMBER($R$203),INDEX('Dados'!$N$324:$N$339,$R$203),"")</f>
        <v/>
      </c>
      <c r="AB203" s="19">
        <f>IF(ISNUMBER($CE$203),MIN($Z$203,MAX(1,INT($CE$203))),1)</f>
        <v/>
      </c>
      <c r="AC203" s="19">
        <f>IF(ISNUMBER($R$203),INDEX('Dados'!$B$324:$B$339,$R$203),"")</f>
        <v/>
      </c>
      <c r="CA203" s="19">
        <f>IF(ISERROR($A$203),"",IF(ISBLANK($A$203),"",$A$203))</f>
        <v/>
      </c>
      <c r="CB203" s="19">
        <f>IF(ISERROR($B$203),"",IF(ISBLANK($B$203),"",$B$203))</f>
        <v/>
      </c>
      <c r="CD203" s="19">
        <f>IF(ISERROR($D$203),"",IF(ISBLANK($D$203),"",$D$203))</f>
        <v/>
      </c>
      <c r="CE203" s="19">
        <f>IF(ISERROR($E$203),"",IF(ISBLANK($E$203),"",$E$203))</f>
        <v/>
      </c>
      <c r="CF203" s="19">
        <f>IF(ISERROR($F$203),"",IF(ISBLANK($F$203),"",$F$203))</f>
        <v/>
      </c>
      <c r="CK203" s="19">
        <f>ISERROR($A$203)*1+ISERROR($B$203)*1+ISERROR($D$203)*1+ISERROR($E$203)*1+ISERROR($F$203)*1</f>
        <v/>
      </c>
    </row>
    <row r="204" ht="48" customHeight="1">
      <c r="A204" s="31" t="n"/>
      <c r="B204" s="28" t="n"/>
      <c r="C204" s="16" t="n"/>
      <c r="D204" s="34" t="n"/>
      <c r="E204" s="34" t="n"/>
      <c r="F204" s="28" t="n"/>
      <c r="G204" s="16" t="n"/>
      <c r="H204" s="9">
        <f>IF(NOT(ISNUMBER($R$204)),"",IF($W$204&gt;0,"Dano Contínuo: "&amp;MIN(INT($W$204*$Q$204/100),$X$204*$P$204)&amp;" por turno",IF($S$204&gt;0,IF($AA$204="Sim","Dano Contínuo: ","Dano: ")&amp;IF($U$204="Sim",$AB$204*$S$204,$S$204)&amp;"d"&amp;$T$204&amp;IF($V$204="Sim"," + "&amp;$P$204,"")&amp;" · média "&amp;(INT(IF($U$204="Sim",$AB$204*$S$204,$S$204)*($T$204+1)/2)+IF($V$204="Sim",$P$204,0)),$AC$204))&amp;IF($Y$204&gt;0,"; Atrasa "&amp;$Y$204&amp;" casa(s): some em Atraso deste Ciclo do alvo (C8)",""))</f>
        <v/>
      </c>
      <c r="K204" s="26">
        <f>IF(CK204&gt;0,"O Google leu como fórmula: escolha de novo ou digite com ' na frente.",IF(LEN($CA$204&amp;$CB$204)=0,"",IF(NOT(ISNUMBER($N$204)),"Combatente fora da lista",IF(NOT(ISNUMBER($R$204)),"Condição fora do capítulo 21",IF(AND($CB$204="Congelado",$N$204&lt;=6),"Congelado só em inimigo (21.2)",IF(AND(ISNUMBER($CE$204),$CE$204&gt;$Z$204),"Acima do teto de "&amp;$Z$204&amp;" acúmulo(s) (21.5): usando o teto",IF($AA$204="Sim","Dano Contínuo: início do turno do alvo; ignora RD, não crita, sem dados de Fraqueza (20.6)","")))))))</f>
        <v/>
      </c>
      <c r="N204" s="19">
        <f>IF(LEN($CA$204)=0,"",IFERROR(MATCH($CA$204,$N$11:$N$26,0),""))</f>
        <v/>
      </c>
      <c r="O204" s="19">
        <f>IF(LEN($CF$204)=0,"",IFERROR(MATCH($CF$204,$N$11:$N$26,0),""))</f>
        <v/>
      </c>
      <c r="P204" s="19">
        <f>IF(ISNUMBER($O$204),INDEX($AS$11:$AS$26,$O$204),'Campanha'!$B$20)</f>
        <v/>
      </c>
      <c r="Q204" s="19">
        <f>IF(ISNUMBER($N$204),INDEX($AQ$11:$AQ$26,$N$204),0)</f>
        <v/>
      </c>
      <c r="R204" s="19">
        <f>IF(LEN($CB$204)=0,"",IFERROR(MATCH($CB$204,'Dados'!$A$324:$A$339,0),""))</f>
        <v/>
      </c>
      <c r="S204" s="19">
        <f>IF(ISNUMBER($R$204),INDEX('Dados'!$F$324:$F$339,$R$204),"")</f>
        <v/>
      </c>
      <c r="T204" s="19">
        <f>IF(ISNUMBER($R$204),INDEX('Dados'!$G$324:$G$339,$R$204),"")</f>
        <v/>
      </c>
      <c r="U204" s="19">
        <f>IF(ISNUMBER($R$204),INDEX('Dados'!$H$324:$H$339,$R$204),"")</f>
        <v/>
      </c>
      <c r="V204" s="19">
        <f>IF(ISNUMBER($R$204),INDEX('Dados'!$I$324:$I$339,$R$204),"")</f>
        <v/>
      </c>
      <c r="W204" s="19">
        <f>IF(ISNUMBER($R$204),INDEX('Dados'!$J$324:$J$339,$R$204),"")</f>
        <v/>
      </c>
      <c r="X204" s="19">
        <f>IF(ISNUMBER($R$204),INDEX('Dados'!$K$324:$K$339,$R$204),"")</f>
        <v/>
      </c>
      <c r="Y204" s="19">
        <f>IF(ISNUMBER($R$204),INDEX('Dados'!$L$324:$L$339,$R$204),"")</f>
        <v/>
      </c>
      <c r="Z204" s="19">
        <f>IF(ISNUMBER($R$204),INDEX('Dados'!$M$324:$M$339,$R$204),"")</f>
        <v/>
      </c>
      <c r="AA204" s="19">
        <f>IF(ISNUMBER($R$204),INDEX('Dados'!$N$324:$N$339,$R$204),"")</f>
        <v/>
      </c>
      <c r="AB204" s="19">
        <f>IF(ISNUMBER($CE$204),MIN($Z$204,MAX(1,INT($CE$204))),1)</f>
        <v/>
      </c>
      <c r="AC204" s="19">
        <f>IF(ISNUMBER($R$204),INDEX('Dados'!$B$324:$B$339,$R$204),"")</f>
        <v/>
      </c>
      <c r="CA204" s="19">
        <f>IF(ISERROR($A$204),"",IF(ISBLANK($A$204),"",$A$204))</f>
        <v/>
      </c>
      <c r="CB204" s="19">
        <f>IF(ISERROR($B$204),"",IF(ISBLANK($B$204),"",$B$204))</f>
        <v/>
      </c>
      <c r="CD204" s="19">
        <f>IF(ISERROR($D$204),"",IF(ISBLANK($D$204),"",$D$204))</f>
        <v/>
      </c>
      <c r="CE204" s="19">
        <f>IF(ISERROR($E$204),"",IF(ISBLANK($E$204),"",$E$204))</f>
        <v/>
      </c>
      <c r="CF204" s="19">
        <f>IF(ISERROR($F$204),"",IF(ISBLANK($F$204),"",$F$204))</f>
        <v/>
      </c>
      <c r="CK204" s="19">
        <f>ISERROR($A$204)*1+ISERROR($B$204)*1+ISERROR($D$204)*1+ISERROR($E$204)*1+ISERROR($F$204)*1</f>
        <v/>
      </c>
    </row>
    <row r="205" ht="48" customHeight="1">
      <c r="A205" s="30" t="n"/>
      <c r="B205" s="3" t="n"/>
      <c r="C205" s="16" t="n"/>
      <c r="D205" s="15" t="n"/>
      <c r="E205" s="15" t="n"/>
      <c r="F205" s="3" t="n"/>
      <c r="G205" s="16" t="n"/>
      <c r="H205" s="4">
        <f>IF(NOT(ISNUMBER($R$205)),"",IF($W$205&gt;0,"Dano Contínuo: "&amp;MIN(INT($W$205*$Q$205/100),$X$205*$P$205)&amp;" por turno",IF($S$205&gt;0,IF($AA$205="Sim","Dano Contínuo: ","Dano: ")&amp;IF($U$205="Sim",$AB$205*$S$205,$S$205)&amp;"d"&amp;$T$205&amp;IF($V$205="Sim"," + "&amp;$P$205,"")&amp;" · média "&amp;(INT(IF($U$205="Sim",$AB$205*$S$205,$S$205)*($T$205+1)/2)+IF($V$205="Sim",$P$205,0)),$AC$205))&amp;IF($Y$205&gt;0,"; Atrasa "&amp;$Y$205&amp;" casa(s): some em Atraso deste Ciclo do alvo (C8)",""))</f>
        <v/>
      </c>
      <c r="K205" s="18">
        <f>IF(CK205&gt;0,"O Google leu como fórmula: escolha de novo ou digite com ' na frente.",IF(LEN($CA$205&amp;$CB$205)=0,"",IF(NOT(ISNUMBER($N$205)),"Combatente fora da lista",IF(NOT(ISNUMBER($R$205)),"Condição fora do capítulo 21",IF(AND($CB$205="Congelado",$N$205&lt;=6),"Congelado só em inimigo (21.2)",IF(AND(ISNUMBER($CE$205),$CE$205&gt;$Z$205),"Acima do teto de "&amp;$Z$205&amp;" acúmulo(s) (21.5): usando o teto",IF($AA$205="Sim","Dano Contínuo: início do turno do alvo; ignora RD, não crita, sem dados de Fraqueza (20.6)","")))))))</f>
        <v/>
      </c>
      <c r="N205" s="19">
        <f>IF(LEN($CA$205)=0,"",IFERROR(MATCH($CA$205,$N$11:$N$26,0),""))</f>
        <v/>
      </c>
      <c r="O205" s="19">
        <f>IF(LEN($CF$205)=0,"",IFERROR(MATCH($CF$205,$N$11:$N$26,0),""))</f>
        <v/>
      </c>
      <c r="P205" s="19">
        <f>IF(ISNUMBER($O$205),INDEX($AS$11:$AS$26,$O$205),'Campanha'!$B$20)</f>
        <v/>
      </c>
      <c r="Q205" s="19">
        <f>IF(ISNUMBER($N$205),INDEX($AQ$11:$AQ$26,$N$205),0)</f>
        <v/>
      </c>
      <c r="R205" s="19">
        <f>IF(LEN($CB$205)=0,"",IFERROR(MATCH($CB$205,'Dados'!$A$324:$A$339,0),""))</f>
        <v/>
      </c>
      <c r="S205" s="19">
        <f>IF(ISNUMBER($R$205),INDEX('Dados'!$F$324:$F$339,$R$205),"")</f>
        <v/>
      </c>
      <c r="T205" s="19">
        <f>IF(ISNUMBER($R$205),INDEX('Dados'!$G$324:$G$339,$R$205),"")</f>
        <v/>
      </c>
      <c r="U205" s="19">
        <f>IF(ISNUMBER($R$205),INDEX('Dados'!$H$324:$H$339,$R$205),"")</f>
        <v/>
      </c>
      <c r="V205" s="19">
        <f>IF(ISNUMBER($R$205),INDEX('Dados'!$I$324:$I$339,$R$205),"")</f>
        <v/>
      </c>
      <c r="W205" s="19">
        <f>IF(ISNUMBER($R$205),INDEX('Dados'!$J$324:$J$339,$R$205),"")</f>
        <v/>
      </c>
      <c r="X205" s="19">
        <f>IF(ISNUMBER($R$205),INDEX('Dados'!$K$324:$K$339,$R$205),"")</f>
        <v/>
      </c>
      <c r="Y205" s="19">
        <f>IF(ISNUMBER($R$205),INDEX('Dados'!$L$324:$L$339,$R$205),"")</f>
        <v/>
      </c>
      <c r="Z205" s="19">
        <f>IF(ISNUMBER($R$205),INDEX('Dados'!$M$324:$M$339,$R$205),"")</f>
        <v/>
      </c>
      <c r="AA205" s="19">
        <f>IF(ISNUMBER($R$205),INDEX('Dados'!$N$324:$N$339,$R$205),"")</f>
        <v/>
      </c>
      <c r="AB205" s="19">
        <f>IF(ISNUMBER($CE$205),MIN($Z$205,MAX(1,INT($CE$205))),1)</f>
        <v/>
      </c>
      <c r="AC205" s="19">
        <f>IF(ISNUMBER($R$205),INDEX('Dados'!$B$324:$B$339,$R$205),"")</f>
        <v/>
      </c>
      <c r="CA205" s="19">
        <f>IF(ISERROR($A$205),"",IF(ISBLANK($A$205),"",$A$205))</f>
        <v/>
      </c>
      <c r="CB205" s="19">
        <f>IF(ISERROR($B$205),"",IF(ISBLANK($B$205),"",$B$205))</f>
        <v/>
      </c>
      <c r="CD205" s="19">
        <f>IF(ISERROR($D$205),"",IF(ISBLANK($D$205),"",$D$205))</f>
        <v/>
      </c>
      <c r="CE205" s="19">
        <f>IF(ISERROR($E$205),"",IF(ISBLANK($E$205),"",$E$205))</f>
        <v/>
      </c>
      <c r="CF205" s="19">
        <f>IF(ISERROR($F$205),"",IF(ISBLANK($F$205),"",$F$205))</f>
        <v/>
      </c>
      <c r="CK205" s="19">
        <f>ISERROR($A$205)*1+ISERROR($B$205)*1+ISERROR($D$205)*1+ISERROR($E$205)*1+ISERROR($F$205)*1</f>
        <v/>
      </c>
    </row>
    <row r="206" ht="48" customHeight="1">
      <c r="A206" s="31" t="n"/>
      <c r="B206" s="28" t="n"/>
      <c r="C206" s="16" t="n"/>
      <c r="D206" s="34" t="n"/>
      <c r="E206" s="34" t="n"/>
      <c r="F206" s="28" t="n"/>
      <c r="G206" s="16" t="n"/>
      <c r="H206" s="9">
        <f>IF(NOT(ISNUMBER($R$206)),"",IF($W$206&gt;0,"Dano Contínuo: "&amp;MIN(INT($W$206*$Q$206/100),$X$206*$P$206)&amp;" por turno",IF($S$206&gt;0,IF($AA$206="Sim","Dano Contínuo: ","Dano: ")&amp;IF($U$206="Sim",$AB$206*$S$206,$S$206)&amp;"d"&amp;$T$206&amp;IF($V$206="Sim"," + "&amp;$P$206,"")&amp;" · média "&amp;(INT(IF($U$206="Sim",$AB$206*$S$206,$S$206)*($T$206+1)/2)+IF($V$206="Sim",$P$206,0)),$AC$206))&amp;IF($Y$206&gt;0,"; Atrasa "&amp;$Y$206&amp;" casa(s): some em Atraso deste Ciclo do alvo (C8)",""))</f>
        <v/>
      </c>
      <c r="K206" s="26">
        <f>IF(CK206&gt;0,"O Google leu como fórmula: escolha de novo ou digite com ' na frente.",IF(LEN($CA$206&amp;$CB$206)=0,"",IF(NOT(ISNUMBER($N$206)),"Combatente fora da lista",IF(NOT(ISNUMBER($R$206)),"Condição fora do capítulo 21",IF(AND($CB$206="Congelado",$N$206&lt;=6),"Congelado só em inimigo (21.2)",IF(AND(ISNUMBER($CE$206),$CE$206&gt;$Z$206),"Acima do teto de "&amp;$Z$206&amp;" acúmulo(s) (21.5): usando o teto",IF($AA$206="Sim","Dano Contínuo: início do turno do alvo; ignora RD, não crita, sem dados de Fraqueza (20.6)","")))))))</f>
        <v/>
      </c>
      <c r="N206" s="19">
        <f>IF(LEN($CA$206)=0,"",IFERROR(MATCH($CA$206,$N$11:$N$26,0),""))</f>
        <v/>
      </c>
      <c r="O206" s="19">
        <f>IF(LEN($CF$206)=0,"",IFERROR(MATCH($CF$206,$N$11:$N$26,0),""))</f>
        <v/>
      </c>
      <c r="P206" s="19">
        <f>IF(ISNUMBER($O$206),INDEX($AS$11:$AS$26,$O$206),'Campanha'!$B$20)</f>
        <v/>
      </c>
      <c r="Q206" s="19">
        <f>IF(ISNUMBER($N$206),INDEX($AQ$11:$AQ$26,$N$206),0)</f>
        <v/>
      </c>
      <c r="R206" s="19">
        <f>IF(LEN($CB$206)=0,"",IFERROR(MATCH($CB$206,'Dados'!$A$324:$A$339,0),""))</f>
        <v/>
      </c>
      <c r="S206" s="19">
        <f>IF(ISNUMBER($R$206),INDEX('Dados'!$F$324:$F$339,$R$206),"")</f>
        <v/>
      </c>
      <c r="T206" s="19">
        <f>IF(ISNUMBER($R$206),INDEX('Dados'!$G$324:$G$339,$R$206),"")</f>
        <v/>
      </c>
      <c r="U206" s="19">
        <f>IF(ISNUMBER($R$206),INDEX('Dados'!$H$324:$H$339,$R$206),"")</f>
        <v/>
      </c>
      <c r="V206" s="19">
        <f>IF(ISNUMBER($R$206),INDEX('Dados'!$I$324:$I$339,$R$206),"")</f>
        <v/>
      </c>
      <c r="W206" s="19">
        <f>IF(ISNUMBER($R$206),INDEX('Dados'!$J$324:$J$339,$R$206),"")</f>
        <v/>
      </c>
      <c r="X206" s="19">
        <f>IF(ISNUMBER($R$206),INDEX('Dados'!$K$324:$K$339,$R$206),"")</f>
        <v/>
      </c>
      <c r="Y206" s="19">
        <f>IF(ISNUMBER($R$206),INDEX('Dados'!$L$324:$L$339,$R$206),"")</f>
        <v/>
      </c>
      <c r="Z206" s="19">
        <f>IF(ISNUMBER($R$206),INDEX('Dados'!$M$324:$M$339,$R$206),"")</f>
        <v/>
      </c>
      <c r="AA206" s="19">
        <f>IF(ISNUMBER($R$206),INDEX('Dados'!$N$324:$N$339,$R$206),"")</f>
        <v/>
      </c>
      <c r="AB206" s="19">
        <f>IF(ISNUMBER($CE$206),MIN($Z$206,MAX(1,INT($CE$206))),1)</f>
        <v/>
      </c>
      <c r="AC206" s="19">
        <f>IF(ISNUMBER($R$206),INDEX('Dados'!$B$324:$B$339,$R$206),"")</f>
        <v/>
      </c>
      <c r="CA206" s="19">
        <f>IF(ISERROR($A$206),"",IF(ISBLANK($A$206),"",$A$206))</f>
        <v/>
      </c>
      <c r="CB206" s="19">
        <f>IF(ISERROR($B$206),"",IF(ISBLANK($B$206),"",$B$206))</f>
        <v/>
      </c>
      <c r="CD206" s="19">
        <f>IF(ISERROR($D$206),"",IF(ISBLANK($D$206),"",$D$206))</f>
        <v/>
      </c>
      <c r="CE206" s="19">
        <f>IF(ISERROR($E$206),"",IF(ISBLANK($E$206),"",$E$206))</f>
        <v/>
      </c>
      <c r="CF206" s="19">
        <f>IF(ISERROR($F$206),"",IF(ISBLANK($F$206),"",$F$206))</f>
        <v/>
      </c>
      <c r="CK206" s="19">
        <f>ISERROR($A$206)*1+ISERROR($B$206)*1+ISERROR($D$206)*1+ISERROR($E$206)*1+ISERROR($F$206)*1</f>
        <v/>
      </c>
    </row>
    <row r="207" ht="48" customHeight="1">
      <c r="A207" s="30" t="n"/>
      <c r="B207" s="3" t="n"/>
      <c r="C207" s="16" t="n"/>
      <c r="D207" s="15" t="n"/>
      <c r="E207" s="15" t="n"/>
      <c r="F207" s="3" t="n"/>
      <c r="G207" s="16" t="n"/>
      <c r="H207" s="4">
        <f>IF(NOT(ISNUMBER($R$207)),"",IF($W$207&gt;0,"Dano Contínuo: "&amp;MIN(INT($W$207*$Q$207/100),$X$207*$P$207)&amp;" por turno",IF($S$207&gt;0,IF($AA$207="Sim","Dano Contínuo: ","Dano: ")&amp;IF($U$207="Sim",$AB$207*$S$207,$S$207)&amp;"d"&amp;$T$207&amp;IF($V$207="Sim"," + "&amp;$P$207,"")&amp;" · média "&amp;(INT(IF($U$207="Sim",$AB$207*$S$207,$S$207)*($T$207+1)/2)+IF($V$207="Sim",$P$207,0)),$AC$207))&amp;IF($Y$207&gt;0,"; Atrasa "&amp;$Y$207&amp;" casa(s): some em Atraso deste Ciclo do alvo (C8)",""))</f>
        <v/>
      </c>
      <c r="K207" s="18">
        <f>IF(CK207&gt;0,"O Google leu como fórmula: escolha de novo ou digite com ' na frente.",IF(LEN($CA$207&amp;$CB$207)=0,"",IF(NOT(ISNUMBER($N$207)),"Combatente fora da lista",IF(NOT(ISNUMBER($R$207)),"Condição fora do capítulo 21",IF(AND($CB$207="Congelado",$N$207&lt;=6),"Congelado só em inimigo (21.2)",IF(AND(ISNUMBER($CE$207),$CE$207&gt;$Z$207),"Acima do teto de "&amp;$Z$207&amp;" acúmulo(s) (21.5): usando o teto",IF($AA$207="Sim","Dano Contínuo: início do turno do alvo; ignora RD, não crita, sem dados de Fraqueza (20.6)","")))))))</f>
        <v/>
      </c>
      <c r="N207" s="19">
        <f>IF(LEN($CA$207)=0,"",IFERROR(MATCH($CA$207,$N$11:$N$26,0),""))</f>
        <v/>
      </c>
      <c r="O207" s="19">
        <f>IF(LEN($CF$207)=0,"",IFERROR(MATCH($CF$207,$N$11:$N$26,0),""))</f>
        <v/>
      </c>
      <c r="P207" s="19">
        <f>IF(ISNUMBER($O$207),INDEX($AS$11:$AS$26,$O$207),'Campanha'!$B$20)</f>
        <v/>
      </c>
      <c r="Q207" s="19">
        <f>IF(ISNUMBER($N$207),INDEX($AQ$11:$AQ$26,$N$207),0)</f>
        <v/>
      </c>
      <c r="R207" s="19">
        <f>IF(LEN($CB$207)=0,"",IFERROR(MATCH($CB$207,'Dados'!$A$324:$A$339,0),""))</f>
        <v/>
      </c>
      <c r="S207" s="19">
        <f>IF(ISNUMBER($R$207),INDEX('Dados'!$F$324:$F$339,$R$207),"")</f>
        <v/>
      </c>
      <c r="T207" s="19">
        <f>IF(ISNUMBER($R$207),INDEX('Dados'!$G$324:$G$339,$R$207),"")</f>
        <v/>
      </c>
      <c r="U207" s="19">
        <f>IF(ISNUMBER($R$207),INDEX('Dados'!$H$324:$H$339,$R$207),"")</f>
        <v/>
      </c>
      <c r="V207" s="19">
        <f>IF(ISNUMBER($R$207),INDEX('Dados'!$I$324:$I$339,$R$207),"")</f>
        <v/>
      </c>
      <c r="W207" s="19">
        <f>IF(ISNUMBER($R$207),INDEX('Dados'!$J$324:$J$339,$R$207),"")</f>
        <v/>
      </c>
      <c r="X207" s="19">
        <f>IF(ISNUMBER($R$207),INDEX('Dados'!$K$324:$K$339,$R$207),"")</f>
        <v/>
      </c>
      <c r="Y207" s="19">
        <f>IF(ISNUMBER($R$207),INDEX('Dados'!$L$324:$L$339,$R$207),"")</f>
        <v/>
      </c>
      <c r="Z207" s="19">
        <f>IF(ISNUMBER($R$207),INDEX('Dados'!$M$324:$M$339,$R$207),"")</f>
        <v/>
      </c>
      <c r="AA207" s="19">
        <f>IF(ISNUMBER($R$207),INDEX('Dados'!$N$324:$N$339,$R$207),"")</f>
        <v/>
      </c>
      <c r="AB207" s="19">
        <f>IF(ISNUMBER($CE$207),MIN($Z$207,MAX(1,INT($CE$207))),1)</f>
        <v/>
      </c>
      <c r="AC207" s="19">
        <f>IF(ISNUMBER($R$207),INDEX('Dados'!$B$324:$B$339,$R$207),"")</f>
        <v/>
      </c>
      <c r="CA207" s="19">
        <f>IF(ISERROR($A$207),"",IF(ISBLANK($A$207),"",$A$207))</f>
        <v/>
      </c>
      <c r="CB207" s="19">
        <f>IF(ISERROR($B$207),"",IF(ISBLANK($B$207),"",$B$207))</f>
        <v/>
      </c>
      <c r="CD207" s="19">
        <f>IF(ISERROR($D$207),"",IF(ISBLANK($D$207),"",$D$207))</f>
        <v/>
      </c>
      <c r="CE207" s="19">
        <f>IF(ISERROR($E$207),"",IF(ISBLANK($E$207),"",$E$207))</f>
        <v/>
      </c>
      <c r="CF207" s="19">
        <f>IF(ISERROR($F$207),"",IF(ISBLANK($F$207),"",$F$207))</f>
        <v/>
      </c>
      <c r="CK207" s="19">
        <f>ISERROR($A$207)*1+ISERROR($B$207)*1+ISERROR($D$207)*1+ISERROR($E$207)*1+ISERROR($F$207)*1</f>
        <v/>
      </c>
    </row>
    <row r="208" ht="48" customHeight="1">
      <c r="A208" s="31" t="n"/>
      <c r="B208" s="28" t="n"/>
      <c r="C208" s="16" t="n"/>
      <c r="D208" s="34" t="n"/>
      <c r="E208" s="34" t="n"/>
      <c r="F208" s="28" t="n"/>
      <c r="G208" s="16" t="n"/>
      <c r="H208" s="9">
        <f>IF(NOT(ISNUMBER($R$208)),"",IF($W$208&gt;0,"Dano Contínuo: "&amp;MIN(INT($W$208*$Q$208/100),$X$208*$P$208)&amp;" por turno",IF($S$208&gt;0,IF($AA$208="Sim","Dano Contínuo: ","Dano: ")&amp;IF($U$208="Sim",$AB$208*$S$208,$S$208)&amp;"d"&amp;$T$208&amp;IF($V$208="Sim"," + "&amp;$P$208,"")&amp;" · média "&amp;(INT(IF($U$208="Sim",$AB$208*$S$208,$S$208)*($T$208+1)/2)+IF($V$208="Sim",$P$208,0)),$AC$208))&amp;IF($Y$208&gt;0,"; Atrasa "&amp;$Y$208&amp;" casa(s): some em Atraso deste Ciclo do alvo (C8)",""))</f>
        <v/>
      </c>
      <c r="K208" s="26">
        <f>IF(CK208&gt;0,"O Google leu como fórmula: escolha de novo ou digite com ' na frente.",IF(LEN($CA$208&amp;$CB$208)=0,"",IF(NOT(ISNUMBER($N$208)),"Combatente fora da lista",IF(NOT(ISNUMBER($R$208)),"Condição fora do capítulo 21",IF(AND($CB$208="Congelado",$N$208&lt;=6),"Congelado só em inimigo (21.2)",IF(AND(ISNUMBER($CE$208),$CE$208&gt;$Z$208),"Acima do teto de "&amp;$Z$208&amp;" acúmulo(s) (21.5): usando o teto",IF($AA$208="Sim","Dano Contínuo: início do turno do alvo; ignora RD, não crita, sem dados de Fraqueza (20.6)","")))))))</f>
        <v/>
      </c>
      <c r="N208" s="19">
        <f>IF(LEN($CA$208)=0,"",IFERROR(MATCH($CA$208,$N$11:$N$26,0),""))</f>
        <v/>
      </c>
      <c r="O208" s="19">
        <f>IF(LEN($CF$208)=0,"",IFERROR(MATCH($CF$208,$N$11:$N$26,0),""))</f>
        <v/>
      </c>
      <c r="P208" s="19">
        <f>IF(ISNUMBER($O$208),INDEX($AS$11:$AS$26,$O$208),'Campanha'!$B$20)</f>
        <v/>
      </c>
      <c r="Q208" s="19">
        <f>IF(ISNUMBER($N$208),INDEX($AQ$11:$AQ$26,$N$208),0)</f>
        <v/>
      </c>
      <c r="R208" s="19">
        <f>IF(LEN($CB$208)=0,"",IFERROR(MATCH($CB$208,'Dados'!$A$324:$A$339,0),""))</f>
        <v/>
      </c>
      <c r="S208" s="19">
        <f>IF(ISNUMBER($R$208),INDEX('Dados'!$F$324:$F$339,$R$208),"")</f>
        <v/>
      </c>
      <c r="T208" s="19">
        <f>IF(ISNUMBER($R$208),INDEX('Dados'!$G$324:$G$339,$R$208),"")</f>
        <v/>
      </c>
      <c r="U208" s="19">
        <f>IF(ISNUMBER($R$208),INDEX('Dados'!$H$324:$H$339,$R$208),"")</f>
        <v/>
      </c>
      <c r="V208" s="19">
        <f>IF(ISNUMBER($R$208),INDEX('Dados'!$I$324:$I$339,$R$208),"")</f>
        <v/>
      </c>
      <c r="W208" s="19">
        <f>IF(ISNUMBER($R$208),INDEX('Dados'!$J$324:$J$339,$R$208),"")</f>
        <v/>
      </c>
      <c r="X208" s="19">
        <f>IF(ISNUMBER($R$208),INDEX('Dados'!$K$324:$K$339,$R$208),"")</f>
        <v/>
      </c>
      <c r="Y208" s="19">
        <f>IF(ISNUMBER($R$208),INDEX('Dados'!$L$324:$L$339,$R$208),"")</f>
        <v/>
      </c>
      <c r="Z208" s="19">
        <f>IF(ISNUMBER($R$208),INDEX('Dados'!$M$324:$M$339,$R$208),"")</f>
        <v/>
      </c>
      <c r="AA208" s="19">
        <f>IF(ISNUMBER($R$208),INDEX('Dados'!$N$324:$N$339,$R$208),"")</f>
        <v/>
      </c>
      <c r="AB208" s="19">
        <f>IF(ISNUMBER($CE$208),MIN($Z$208,MAX(1,INT($CE$208))),1)</f>
        <v/>
      </c>
      <c r="AC208" s="19">
        <f>IF(ISNUMBER($R$208),INDEX('Dados'!$B$324:$B$339,$R$208),"")</f>
        <v/>
      </c>
      <c r="CA208" s="19">
        <f>IF(ISERROR($A$208),"",IF(ISBLANK($A$208),"",$A$208))</f>
        <v/>
      </c>
      <c r="CB208" s="19">
        <f>IF(ISERROR($B$208),"",IF(ISBLANK($B$208),"",$B$208))</f>
        <v/>
      </c>
      <c r="CD208" s="19">
        <f>IF(ISERROR($D$208),"",IF(ISBLANK($D$208),"",$D$208))</f>
        <v/>
      </c>
      <c r="CE208" s="19">
        <f>IF(ISERROR($E$208),"",IF(ISBLANK($E$208),"",$E$208))</f>
        <v/>
      </c>
      <c r="CF208" s="19">
        <f>IF(ISERROR($F$208),"",IF(ISBLANK($F$208),"",$F$208))</f>
        <v/>
      </c>
      <c r="CK208" s="19">
        <f>ISERROR($A$208)*1+ISERROR($B$208)*1+ISERROR($D$208)*1+ISERROR($E$208)*1+ISERROR($F$208)*1</f>
        <v/>
      </c>
    </row>
    <row r="209">
      <c r="A209" s="43" t="inlineStr">
        <is>
          <t>Cura não remove condição (21.1). Duração em turnos do alvo (19.2). Quebrado e Morrendo são automáticos (C5 e C2). Nenhum alvo acumula mais de 5 instâncias da mesma condição (21.1).</t>
        </is>
      </c>
    </row>
    <row r="210"/>
    <row r="211" ht="20" customHeight="1">
      <c r="A211" s="12" t="inlineStr">
        <is>
          <t>C10 · Calculadora de dano e Tenacidade (23.1, 20.2, 20.3; teto de +3 dados, 16.9/26.6)</t>
        </is>
      </c>
    </row>
    <row r="212" ht="26" customHeight="1">
      <c r="A212" s="7" t="inlineStr">
        <is>
          <t>Entradas</t>
        </is>
      </c>
      <c r="B212" s="7" t="inlineStr">
        <is>
          <t>Fonte</t>
        </is>
      </c>
      <c r="C212" s="7" t="inlineStr">
        <is>
          <t>Alvo</t>
        </is>
      </c>
      <c r="D212" s="7" t="inlineStr">
        <is>
          <t>Nº de dados base</t>
        </is>
      </c>
      <c r="E212" s="7" t="inlineStr">
        <is>
          <t>Faces</t>
        </is>
      </c>
      <c r="F212" s="7" t="inlineStr">
        <is>
          <t>Bônus fixo</t>
        </is>
      </c>
      <c r="G212" s="7" t="inlineStr">
        <is>
          <t>Elemento</t>
        </is>
      </c>
      <c r="H212" s="7" t="inlineStr">
        <is>
          <t>Crítico?</t>
        </is>
      </c>
      <c r="I212" s="7" t="inlineStr">
        <is>
          <t>Dados extras (0–5)</t>
        </is>
      </c>
      <c r="J212" s="7" t="inlineStr">
        <is>
          <t>Resultado rolado</t>
        </is>
      </c>
      <c r="K212" s="7" t="inlineStr">
        <is>
          <t>Aviso</t>
        </is>
      </c>
      <c r="L212" s="20" t="n"/>
    </row>
    <row r="213" ht="48" customHeight="1">
      <c r="A213" s="8" t="inlineStr">
        <is>
          <t>Preencha</t>
        </is>
      </c>
      <c r="B213" s="3" t="n"/>
      <c r="C213" s="3" t="n"/>
      <c r="D213" s="15" t="n"/>
      <c r="E213" s="15" t="n"/>
      <c r="F213" s="15" t="n"/>
      <c r="G213" s="36" t="n"/>
      <c r="H213" s="36" t="n"/>
      <c r="I213" s="15" t="n"/>
      <c r="J213" s="15" t="n"/>
      <c r="K213" s="18">
        <f>IF(CK213&gt;0,"O Google leu como fórmula: escolha de novo ou digite com ' na frente.","")</f>
        <v/>
      </c>
      <c r="CB213" s="19">
        <f>IF(ISERROR($B$213),"",IF(ISBLANK($B$213),"",$B$213))</f>
        <v/>
      </c>
      <c r="CC213" s="19">
        <f>IF(ISERROR($C$213),"",IF(ISBLANK($C$213),"",$C$213))</f>
        <v/>
      </c>
      <c r="CD213" s="19">
        <f>IF(ISERROR($D$213),"",IF(ISBLANK($D$213),"",$D$213))</f>
        <v/>
      </c>
      <c r="CE213" s="19">
        <f>IF(ISERROR($E$213),"",IF(ISBLANK($E$213),"",$E$213))</f>
        <v/>
      </c>
      <c r="CF213" s="19">
        <f>IF(ISERROR($F$213),"",IF(ISBLANK($F$213),"",$F$213))</f>
        <v/>
      </c>
      <c r="CG213" s="19">
        <f>IF(ISERROR($G$213),"",IF(ISBLANK($G$213),"",$G$213))</f>
        <v/>
      </c>
      <c r="CH213" s="19">
        <f>IF(ISERROR($H$213),"",IF(ISBLANK($H$213),"",$H$213))</f>
        <v/>
      </c>
      <c r="CI213" s="19">
        <f>IF(ISERROR($I$213),"",IF(ISBLANK($I$213),"",$I$213))</f>
        <v/>
      </c>
      <c r="CJ213" s="19">
        <f>IF(ISERROR($J$213),"",IF(ISBLANK($J$213),"",$J$213))</f>
        <v/>
      </c>
      <c r="CK213" s="19">
        <f>ISERROR($B$213)*1+ISERROR($C$213)*1+ISERROR($D$213)*1+ISERROR($E$213)*1+ISERROR($F$213)*1+ISERROR($G$213)*1+ISERROR($H$213)*1+ISERROR($I$213)*1+ISERROR($J$213)*1</f>
        <v/>
      </c>
    </row>
    <row r="214" ht="26" customHeight="1">
      <c r="A214" s="7" t="inlineStr">
        <is>
          <t>Resultado</t>
        </is>
      </c>
      <c r="B214" s="7" t="inlineStr">
        <is>
          <t>Situação</t>
        </is>
      </c>
      <c r="C214" s="7" t="inlineStr">
        <is>
          <t>Dados finais</t>
        </is>
      </c>
      <c r="D214" s="7" t="inlineStr">
        <is>
          <t>Expressão</t>
        </is>
      </c>
      <c r="E214" s="20" t="n"/>
      <c r="F214" s="7" t="inlineStr">
        <is>
          <t>Média</t>
        </is>
      </c>
      <c r="G214" s="7" t="inlineStr">
        <is>
          <t>RD do alvo</t>
        </is>
      </c>
      <c r="H214" s="7" t="inlineStr">
        <is>
          <t>Dano final</t>
        </is>
      </c>
      <c r="I214" s="7" t="inlineStr">
        <is>
          <t>Redução de Tenacidade</t>
        </is>
      </c>
      <c r="J214" s="7" t="inlineStr">
        <is>
          <t>Tenacidade depois</t>
        </is>
      </c>
      <c r="K214" s="7" t="inlineStr">
        <is>
          <t>Aviso</t>
        </is>
      </c>
      <c r="L214" s="20" t="n"/>
      <c r="N214" s="19">
        <f>IF(LEN($CC$213)=0,"",IFERROR(MATCH($CC$213,$BY$33:$BY$42,0),""))</f>
        <v/>
      </c>
      <c r="O214" s="19">
        <f>IF(OR(NOT(ISNUMBER($N$214)),LEN($CG$213)=0),"neutro",IF((IF(INDEX($BJ$33:$BJ$42,$N$214)=$CG$213,1,0)+IF(INDEX($BK$33:$BK$42,$N$214)=$CG$213,1,0)+IF(INDEX($BL$33:$BL$42,$N$214)=$CG$213,1,0)+IF(INDEX($BM$33:$BM$42,$N$214)=$CG$213,1,0))&gt;0,"Fraqueza",IF(INDEX($BN$33:$BN$42,$N$214)=$CG$213,"Resistência","neutro")))</f>
        <v/>
      </c>
      <c r="P214" s="19">
        <f>IF($CB$213="Dano Contínuo",1,0)</f>
        <v/>
      </c>
      <c r="Q214" s="19">
        <f>IF($P$214=1,IF(ISNUMBER($CD$213),MAX(1,INT($CD$213)),1),MAX(1,IF(ISNUMBER($CD$213),MAX(1,INT($CD$213)),1)*IF($CH$213="Sim",2,1)+IF($O$214="Fraqueza",2,0)-IF($O$214="Resistência",2,0))+MIN(3,IF(ISNUMBER($CI$213),MAX(0,INT($CI$213)),0)))</f>
        <v/>
      </c>
      <c r="R214" s="19">
        <f>INT($Q$214*(IF(ISNUMBER($CE$213),MAX(2,INT($CE$213)),6)+1)/2)+IF(ISNUMBER($CF$213),INT($CF$213),0)</f>
        <v/>
      </c>
      <c r="S214" s="19">
        <f>IF(OR(NOT(ISNUMBER($N$214)),$P$214=1),0,INDEX($BS$33:$BS$42,$N$214))</f>
        <v/>
      </c>
      <c r="T214" s="19">
        <f>IFERROR(INDEX('Dados'!$B$311:$B$320,MATCH($CB$213,'Dados'!$A$311:$A$320,0)),0)</f>
        <v/>
      </c>
      <c r="U214" s="19">
        <f>IF($T$214=0,0,IF($O$214="Fraqueza",$T$214,IF($O$214="Resistência",1,MAX(1,INT($T$214/2)))))</f>
        <v/>
      </c>
    </row>
    <row r="215" ht="26" customHeight="1">
      <c r="A215" s="8" t="inlineStr">
        <is>
          <t>Automático</t>
        </is>
      </c>
      <c r="B215" s="17">
        <f>IF(OR(NOT(ISNUMBER($N$214)),LEN($CB$213)=0),"",IF($P$214=1,"Dano Contínuo",$O$214))</f>
        <v/>
      </c>
      <c r="C215" s="17">
        <f>IF(OR(NOT(ISNUMBER($N$214)),LEN($CB$213)=0),"",$Q$214)</f>
        <v/>
      </c>
      <c r="D215" s="17">
        <f>IF(OR(NOT(ISNUMBER($N$214)),LEN($CB$213)=0),"",$Q$214&amp;"d"&amp;IF(ISNUMBER($CE$213),MAX(2,INT($CE$213)),6)&amp;IF(IF(ISNUMBER($CF$213),INT($CF$213),0)&gt;0," + "&amp;IF(ISNUMBER($CF$213),INT($CF$213),0),IF(IF(ISNUMBER($CF$213),INT($CF$213),0)&lt;0," − "&amp;ABS(IF(ISNUMBER($CF$213),INT($CF$213),0)),"")))</f>
        <v/>
      </c>
      <c r="F215" s="17">
        <f>IF(OR(NOT(ISNUMBER($N$214)),LEN($CB$213)=0),"",$R$214)</f>
        <v/>
      </c>
      <c r="G215" s="17">
        <f>IF(OR(NOT(ISNUMBER($N$214)),LEN($CB$213)=0),"",$S$214)</f>
        <v/>
      </c>
      <c r="H215" s="17">
        <f>IF(OR(NOT(ISNUMBER($N$214)),LEN($CB$213)=0),"",MAX(1,IF(ISNUMBER($CJ$213),$CJ$213,$R$214)-$S$214))</f>
        <v/>
      </c>
      <c r="I215" s="17">
        <f>IF(OR(NOT(ISNUMBER($N$214)),LEN($CB$213)=0),"",$U$214)</f>
        <v/>
      </c>
      <c r="J215" s="17">
        <f>IF(OR(NOT(ISNUMBER($N$214)),LEN($CB$213)=0),"",MAX(0,INDEX($BP$33:$BP$42,$N$214)-$U$214))</f>
        <v/>
      </c>
      <c r="K215" s="18">
        <f>IF(OR(NOT(ISNUMBER($N$214)),LEN($CB$213)=0),"",IF(AND(ISNUMBER($CI$213),$CI$213&gt;3),"Teto de +3 dados adicionais (16.9, 26.6): usando 3",IF(AND($P$214=1,OR($CH$213="Sim",$O$214&lt;&gt;"neutro")),"Dano Contínuo não crita, sem dados de Fraqueza e ignora RD (20.6)","Só reduz Tenacidade se acertou (20.3)")))</f>
        <v/>
      </c>
    </row>
    <row r="216" ht="26" customHeight="1">
      <c r="A216" s="41" t="inlineStr">
        <is>
          <t>Ordem de 23.1: dados base; +2 dados por Fraqueza ou −2 por Resistência (mínimo 1 dado); o crítico dobra só os dados base; soma o fixo; tira a RD (não em Dano Contínuo); mínimo 1. Os dados da Fraqueza ficam fora do teto de +3.</t>
        </is>
      </c>
    </row>
  </sheetData>
  <mergeCells count="411">
    <mergeCell ref="H157:J157"/>
    <mergeCell ref="F187:G187"/>
    <mergeCell ref="K177:L177"/>
    <mergeCell ref="K33:L33"/>
    <mergeCell ref="F174:G174"/>
    <mergeCell ref="K104:L104"/>
    <mergeCell ref="F168:G168"/>
    <mergeCell ref="B141:L141"/>
    <mergeCell ref="A57:L57"/>
    <mergeCell ref="K35:L35"/>
    <mergeCell ref="K81:L81"/>
    <mergeCell ref="K180:L180"/>
    <mergeCell ref="B205:C205"/>
    <mergeCell ref="K157:L157"/>
    <mergeCell ref="K101:L101"/>
    <mergeCell ref="K172:L172"/>
    <mergeCell ref="K28:L28"/>
    <mergeCell ref="K215:L215"/>
    <mergeCell ref="F175:G175"/>
    <mergeCell ref="H177:J177"/>
    <mergeCell ref="B129:C129"/>
    <mergeCell ref="K92:L92"/>
    <mergeCell ref="F162:G162"/>
    <mergeCell ref="H164:J164"/>
    <mergeCell ref="B200:C200"/>
    <mergeCell ref="E69:G69"/>
    <mergeCell ref="B131:C131"/>
    <mergeCell ref="B195:C195"/>
    <mergeCell ref="D79:J79"/>
    <mergeCell ref="K185:L185"/>
    <mergeCell ref="F189:G189"/>
    <mergeCell ref="K41:L41"/>
    <mergeCell ref="F42:G42"/>
    <mergeCell ref="K106:L106"/>
    <mergeCell ref="F130:H130"/>
    <mergeCell ref="F188:G188"/>
    <mergeCell ref="D81:J81"/>
    <mergeCell ref="K105:L105"/>
    <mergeCell ref="K170:L170"/>
    <mergeCell ref="F132:H132"/>
    <mergeCell ref="F190:G190"/>
    <mergeCell ref="A31:L31"/>
    <mergeCell ref="A58:L58"/>
    <mergeCell ref="K107:L107"/>
    <mergeCell ref="H175:J175"/>
    <mergeCell ref="F25:H25"/>
    <mergeCell ref="A73:L73"/>
    <mergeCell ref="H196:J196"/>
    <mergeCell ref="A60:L60"/>
    <mergeCell ref="F127:H127"/>
    <mergeCell ref="H176:J176"/>
    <mergeCell ref="K25:L25"/>
    <mergeCell ref="K196:L196"/>
    <mergeCell ref="H191:J191"/>
    <mergeCell ref="K183:L183"/>
    <mergeCell ref="D74:J74"/>
    <mergeCell ref="H178:J178"/>
    <mergeCell ref="B208:C208"/>
    <mergeCell ref="E65:G65"/>
    <mergeCell ref="F208:G208"/>
    <mergeCell ref="K198:L198"/>
    <mergeCell ref="K54:L54"/>
    <mergeCell ref="K173:L173"/>
    <mergeCell ref="K29:L29"/>
    <mergeCell ref="F201:G201"/>
    <mergeCell ref="F164:G164"/>
    <mergeCell ref="H203:J203"/>
    <mergeCell ref="B170:C170"/>
    <mergeCell ref="F203:G203"/>
    <mergeCell ref="E6:F6"/>
    <mergeCell ref="D214:E214"/>
    <mergeCell ref="B172:C172"/>
    <mergeCell ref="K176:L176"/>
    <mergeCell ref="H171:J171"/>
    <mergeCell ref="K97:L97"/>
    <mergeCell ref="H165:J165"/>
    <mergeCell ref="H181:J181"/>
    <mergeCell ref="K191:L191"/>
    <mergeCell ref="K184:L184"/>
    <mergeCell ref="K171:L171"/>
    <mergeCell ref="F133:H133"/>
    <mergeCell ref="F183:G183"/>
    <mergeCell ref="F135:H135"/>
    <mergeCell ref="F193:G193"/>
    <mergeCell ref="D82:J82"/>
    <mergeCell ref="F122:H122"/>
    <mergeCell ref="K110:L110"/>
    <mergeCell ref="F28:H28"/>
    <mergeCell ref="H199:J199"/>
    <mergeCell ref="H186:J186"/>
    <mergeCell ref="K174:L174"/>
    <mergeCell ref="B181:C181"/>
    <mergeCell ref="K75:L75"/>
    <mergeCell ref="F38:G38"/>
    <mergeCell ref="D77:J77"/>
    <mergeCell ref="K39:L39"/>
    <mergeCell ref="K14:L14"/>
    <mergeCell ref="K70:L70"/>
    <mergeCell ref="F186:G186"/>
    <mergeCell ref="K103:L103"/>
    <mergeCell ref="A216:L216"/>
    <mergeCell ref="B207:C207"/>
    <mergeCell ref="B163:C163"/>
    <mergeCell ref="K167:L167"/>
    <mergeCell ref="A87:L87"/>
    <mergeCell ref="F206:G206"/>
    <mergeCell ref="B165:C165"/>
    <mergeCell ref="K192:L192"/>
    <mergeCell ref="H187:J187"/>
    <mergeCell ref="F158:G158"/>
    <mergeCell ref="H174:J174"/>
    <mergeCell ref="K194:L194"/>
    <mergeCell ref="K50:L50"/>
    <mergeCell ref="K181:L181"/>
    <mergeCell ref="F160:G160"/>
    <mergeCell ref="A100:L100"/>
    <mergeCell ref="K52:L52"/>
    <mergeCell ref="B191:C191"/>
    <mergeCell ref="F136:H136"/>
    <mergeCell ref="B178:C178"/>
    <mergeCell ref="K195:L195"/>
    <mergeCell ref="F199:G199"/>
    <mergeCell ref="H200:J200"/>
    <mergeCell ref="K53:L53"/>
    <mergeCell ref="H202:J202"/>
    <mergeCell ref="B197:C197"/>
    <mergeCell ref="K78:L78"/>
    <mergeCell ref="K205:L205"/>
    <mergeCell ref="K15:L15"/>
    <mergeCell ref="K80:L80"/>
    <mergeCell ref="A120:L120"/>
    <mergeCell ref="A3:L3"/>
    <mergeCell ref="K55:L55"/>
    <mergeCell ref="K79:L79"/>
    <mergeCell ref="A5:L5"/>
    <mergeCell ref="E61:G61"/>
    <mergeCell ref="B179:C179"/>
    <mergeCell ref="K208:L208"/>
    <mergeCell ref="B166:C166"/>
    <mergeCell ref="B174:C174"/>
    <mergeCell ref="B168:C168"/>
    <mergeCell ref="F167:G167"/>
    <mergeCell ref="F161:G161"/>
    <mergeCell ref="K66:L66"/>
    <mergeCell ref="F207:G207"/>
    <mergeCell ref="B169:C169"/>
    <mergeCell ref="K197:L197"/>
    <mergeCell ref="K74:L74"/>
    <mergeCell ref="K68:L68"/>
    <mergeCell ref="B134:C134"/>
    <mergeCell ref="B194:C194"/>
    <mergeCell ref="B121:C121"/>
    <mergeCell ref="F202:G202"/>
    <mergeCell ref="K213:L213"/>
    <mergeCell ref="H208:J208"/>
    <mergeCell ref="A22:L22"/>
    <mergeCell ref="B162:C162"/>
    <mergeCell ref="F180:G180"/>
    <mergeCell ref="A44:L44"/>
    <mergeCell ref="K23:L23"/>
    <mergeCell ref="B187:C187"/>
    <mergeCell ref="E62:G62"/>
    <mergeCell ref="K160:L160"/>
    <mergeCell ref="B124:C124"/>
    <mergeCell ref="B189:C189"/>
    <mergeCell ref="E64:G64"/>
    <mergeCell ref="B188:C188"/>
    <mergeCell ref="K18:L18"/>
    <mergeCell ref="B126:C126"/>
    <mergeCell ref="F182:G182"/>
    <mergeCell ref="K34:L34"/>
    <mergeCell ref="B190:C190"/>
    <mergeCell ref="K36:L36"/>
    <mergeCell ref="F40:G40"/>
    <mergeCell ref="K163:L163"/>
    <mergeCell ref="F125:H125"/>
    <mergeCell ref="F177:G177"/>
    <mergeCell ref="K94:L94"/>
    <mergeCell ref="K165:L165"/>
    <mergeCell ref="F41:G41"/>
    <mergeCell ref="F35:G35"/>
    <mergeCell ref="K102:L102"/>
    <mergeCell ref="H170:J170"/>
    <mergeCell ref="K77:L77"/>
    <mergeCell ref="K204:L204"/>
    <mergeCell ref="B137:C137"/>
    <mergeCell ref="H172:J172"/>
    <mergeCell ref="H184:J184"/>
    <mergeCell ref="B201:C201"/>
    <mergeCell ref="A142:L142"/>
    <mergeCell ref="B203:C203"/>
    <mergeCell ref="F157:G157"/>
    <mergeCell ref="K49:L49"/>
    <mergeCell ref="C6:D6"/>
    <mergeCell ref="F172:G172"/>
    <mergeCell ref="K24:L24"/>
    <mergeCell ref="K95:L95"/>
    <mergeCell ref="F196:G196"/>
    <mergeCell ref="K89:L89"/>
    <mergeCell ref="K113:L113"/>
    <mergeCell ref="K88:L88"/>
    <mergeCell ref="K26:L26"/>
    <mergeCell ref="F173:G173"/>
    <mergeCell ref="K90:L90"/>
    <mergeCell ref="H158:J158"/>
    <mergeCell ref="H160:J160"/>
    <mergeCell ref="F185:G185"/>
    <mergeCell ref="K115:L115"/>
    <mergeCell ref="K42:L42"/>
    <mergeCell ref="B127:C127"/>
    <mergeCell ref="K179:L179"/>
    <mergeCell ref="F176:G176"/>
    <mergeCell ref="K166:L166"/>
    <mergeCell ref="F170:G170"/>
    <mergeCell ref="F128:H128"/>
    <mergeCell ref="D75:J75"/>
    <mergeCell ref="K116:L116"/>
    <mergeCell ref="K37:L37"/>
    <mergeCell ref="K168:L168"/>
    <mergeCell ref="H192:J192"/>
    <mergeCell ref="K118:L118"/>
    <mergeCell ref="B138:C138"/>
    <mergeCell ref="F171:G171"/>
    <mergeCell ref="H173:J173"/>
    <mergeCell ref="B140:L140"/>
    <mergeCell ref="F27:H27"/>
    <mergeCell ref="K32:L32"/>
    <mergeCell ref="K63:L63"/>
    <mergeCell ref="F33:G33"/>
    <mergeCell ref="F204:G204"/>
    <mergeCell ref="F198:G198"/>
    <mergeCell ref="K96:L96"/>
    <mergeCell ref="A209:L209"/>
    <mergeCell ref="K27:L27"/>
    <mergeCell ref="K98:L98"/>
    <mergeCell ref="H166:J166"/>
    <mergeCell ref="A211:L211"/>
    <mergeCell ref="B158:C158"/>
    <mergeCell ref="E71:G71"/>
    <mergeCell ref="F39:G39"/>
    <mergeCell ref="H205:J205"/>
    <mergeCell ref="H168:J168"/>
    <mergeCell ref="H180:J180"/>
    <mergeCell ref="B160:C160"/>
    <mergeCell ref="H167:J167"/>
    <mergeCell ref="K93:L93"/>
    <mergeCell ref="H161:J161"/>
    <mergeCell ref="K16:L16"/>
    <mergeCell ref="K187:L187"/>
    <mergeCell ref="F178:G178"/>
    <mergeCell ref="H169:J169"/>
    <mergeCell ref="B199:C199"/>
    <mergeCell ref="D83:J83"/>
    <mergeCell ref="K189:L189"/>
    <mergeCell ref="K45:L45"/>
    <mergeCell ref="B184:C184"/>
    <mergeCell ref="F129:H129"/>
    <mergeCell ref="F23:H23"/>
    <mergeCell ref="K188:L188"/>
    <mergeCell ref="F192:G192"/>
    <mergeCell ref="H194:J194"/>
    <mergeCell ref="F121:H121"/>
    <mergeCell ref="K182:L182"/>
    <mergeCell ref="K109:L109"/>
    <mergeCell ref="K47:L47"/>
    <mergeCell ref="K169:L169"/>
    <mergeCell ref="F131:H131"/>
    <mergeCell ref="F194:G194"/>
    <mergeCell ref="K46:L46"/>
    <mergeCell ref="K40:L40"/>
    <mergeCell ref="F181:G181"/>
    <mergeCell ref="K111:L111"/>
    <mergeCell ref="H195:J195"/>
    <mergeCell ref="D80:J80"/>
    <mergeCell ref="H189:J189"/>
    <mergeCell ref="K71:L71"/>
    <mergeCell ref="H197:J197"/>
    <mergeCell ref="K162:L162"/>
    <mergeCell ref="K201:L201"/>
    <mergeCell ref="K164:L164"/>
    <mergeCell ref="F205:G205"/>
    <mergeCell ref="F126:H126"/>
    <mergeCell ref="B159:C159"/>
    <mergeCell ref="K114:L114"/>
    <mergeCell ref="H182:J182"/>
    <mergeCell ref="A56:L56"/>
    <mergeCell ref="B167:C167"/>
    <mergeCell ref="B161:C161"/>
    <mergeCell ref="H190:J190"/>
    <mergeCell ref="A85:L85"/>
    <mergeCell ref="B136:C136"/>
    <mergeCell ref="F169:G169"/>
    <mergeCell ref="H183:J183"/>
    <mergeCell ref="B175:C175"/>
    <mergeCell ref="D84:J84"/>
    <mergeCell ref="F200:G200"/>
    <mergeCell ref="K190:L190"/>
    <mergeCell ref="H185:J185"/>
    <mergeCell ref="K117:L117"/>
    <mergeCell ref="A9:L9"/>
    <mergeCell ref="K61:L61"/>
    <mergeCell ref="K48:L48"/>
    <mergeCell ref="F37:G37"/>
    <mergeCell ref="F137:H137"/>
    <mergeCell ref="F195:G195"/>
    <mergeCell ref="A11:L11"/>
    <mergeCell ref="F124:H124"/>
    <mergeCell ref="A1:L1"/>
    <mergeCell ref="K112:L112"/>
    <mergeCell ref="K62:L62"/>
    <mergeCell ref="H201:J201"/>
    <mergeCell ref="K193:L193"/>
    <mergeCell ref="F197:G197"/>
    <mergeCell ref="H188:J188"/>
    <mergeCell ref="F138:H138"/>
    <mergeCell ref="B193:C193"/>
    <mergeCell ref="K76:L76"/>
    <mergeCell ref="K203:L203"/>
    <mergeCell ref="H198:J198"/>
    <mergeCell ref="K178:L178"/>
    <mergeCell ref="D215:E215"/>
    <mergeCell ref="A156:L156"/>
    <mergeCell ref="B182:C182"/>
    <mergeCell ref="K67:L67"/>
    <mergeCell ref="K186:L186"/>
    <mergeCell ref="D76:J76"/>
    <mergeCell ref="B183:C183"/>
    <mergeCell ref="B177:C177"/>
    <mergeCell ref="B164:C164"/>
    <mergeCell ref="H193:J193"/>
    <mergeCell ref="K69:L69"/>
    <mergeCell ref="B206:C206"/>
    <mergeCell ref="K158:L158"/>
    <mergeCell ref="F34:G34"/>
    <mergeCell ref="H163:J163"/>
    <mergeCell ref="B180:C180"/>
    <mergeCell ref="A12:L12"/>
    <mergeCell ref="K64:L64"/>
    <mergeCell ref="K51:L51"/>
    <mergeCell ref="B130:C130"/>
    <mergeCell ref="E70:G70"/>
    <mergeCell ref="B157:C157"/>
    <mergeCell ref="B132:C132"/>
    <mergeCell ref="H204:J204"/>
    <mergeCell ref="B196:C196"/>
    <mergeCell ref="B186:C186"/>
    <mergeCell ref="H206:J206"/>
    <mergeCell ref="F29:H29"/>
    <mergeCell ref="K17:L17"/>
    <mergeCell ref="K82:L82"/>
    <mergeCell ref="K19:L19"/>
    <mergeCell ref="K212:L212"/>
    <mergeCell ref="K206:L206"/>
    <mergeCell ref="K6:L6"/>
    <mergeCell ref="F24:H24"/>
    <mergeCell ref="E63:G63"/>
    <mergeCell ref="K83:L83"/>
    <mergeCell ref="B125:C125"/>
    <mergeCell ref="B185:C185"/>
    <mergeCell ref="K214:L214"/>
    <mergeCell ref="F26:H26"/>
    <mergeCell ref="B122:C122"/>
    <mergeCell ref="B176:C176"/>
    <mergeCell ref="F36:G36"/>
    <mergeCell ref="K159:L159"/>
    <mergeCell ref="F163:G163"/>
    <mergeCell ref="B171:C171"/>
    <mergeCell ref="K199:L199"/>
    <mergeCell ref="K161:L161"/>
    <mergeCell ref="F165:G165"/>
    <mergeCell ref="A13:L13"/>
    <mergeCell ref="F123:H123"/>
    <mergeCell ref="H179:J179"/>
    <mergeCell ref="K207:L207"/>
    <mergeCell ref="F179:G179"/>
    <mergeCell ref="K7:L7"/>
    <mergeCell ref="K200:L200"/>
    <mergeCell ref="C7:D7"/>
    <mergeCell ref="E7:F7"/>
    <mergeCell ref="K65:L65"/>
    <mergeCell ref="B133:C133"/>
    <mergeCell ref="F166:G166"/>
    <mergeCell ref="B204:C204"/>
    <mergeCell ref="B198:C198"/>
    <mergeCell ref="B173:C173"/>
    <mergeCell ref="K202:L202"/>
    <mergeCell ref="B135:C135"/>
    <mergeCell ref="F191:G191"/>
    <mergeCell ref="H207:J207"/>
    <mergeCell ref="K108:L108"/>
    <mergeCell ref="B202:C202"/>
    <mergeCell ref="K20:L20"/>
    <mergeCell ref="F134:H134"/>
    <mergeCell ref="K91:L91"/>
    <mergeCell ref="H159:J159"/>
    <mergeCell ref="A8:L8"/>
    <mergeCell ref="F32:G32"/>
    <mergeCell ref="K84:L84"/>
    <mergeCell ref="F159:G159"/>
    <mergeCell ref="A10:L10"/>
    <mergeCell ref="E66:G66"/>
    <mergeCell ref="B128:C128"/>
    <mergeCell ref="F184:G184"/>
    <mergeCell ref="E68:G68"/>
    <mergeCell ref="H162:J162"/>
    <mergeCell ref="B192:C192"/>
    <mergeCell ref="E67:G67"/>
    <mergeCell ref="K38:L38"/>
    <mergeCell ref="B123:C123"/>
    <mergeCell ref="D78:J78"/>
    <mergeCell ref="K175:L175"/>
  </mergeCells>
  <conditionalFormatting sqref="K7">
    <cfRule type="expression" priority="1" dxfId="0">
      <formula>LEN(K7)&gt;0</formula>
    </cfRule>
  </conditionalFormatting>
  <conditionalFormatting sqref="K15">
    <cfRule type="expression" priority="2" dxfId="0">
      <formula>LEN(K15)&gt;0</formula>
    </cfRule>
  </conditionalFormatting>
  <conditionalFormatting sqref="K24">
    <cfRule type="expression" priority="3" dxfId="0">
      <formula>LEN(K24)&gt;0</formula>
    </cfRule>
  </conditionalFormatting>
  <conditionalFormatting sqref="K16">
    <cfRule type="expression" priority="4" dxfId="0">
      <formula>LEN(K16)&gt;0</formula>
    </cfRule>
  </conditionalFormatting>
  <conditionalFormatting sqref="K25">
    <cfRule type="expression" priority="5" dxfId="0">
      <formula>LEN(K25)&gt;0</formula>
    </cfRule>
  </conditionalFormatting>
  <conditionalFormatting sqref="K17">
    <cfRule type="expression" priority="6" dxfId="0">
      <formula>LEN(K17)&gt;0</formula>
    </cfRule>
  </conditionalFormatting>
  <conditionalFormatting sqref="K26">
    <cfRule type="expression" priority="7" dxfId="0">
      <formula>LEN(K26)&gt;0</formula>
    </cfRule>
  </conditionalFormatting>
  <conditionalFormatting sqref="K18">
    <cfRule type="expression" priority="8" dxfId="0">
      <formula>LEN(K18)&gt;0</formula>
    </cfRule>
  </conditionalFormatting>
  <conditionalFormatting sqref="K27">
    <cfRule type="expression" priority="9" dxfId="0">
      <formula>LEN(K27)&gt;0</formula>
    </cfRule>
  </conditionalFormatting>
  <conditionalFormatting sqref="K19">
    <cfRule type="expression" priority="10" dxfId="0">
      <formula>LEN(K19)&gt;0</formula>
    </cfRule>
  </conditionalFormatting>
  <conditionalFormatting sqref="K28">
    <cfRule type="expression" priority="11" dxfId="0">
      <formula>LEN(K28)&gt;0</formula>
    </cfRule>
  </conditionalFormatting>
  <conditionalFormatting sqref="K20">
    <cfRule type="expression" priority="12" dxfId="0">
      <formula>LEN(K20)&gt;0</formula>
    </cfRule>
  </conditionalFormatting>
  <conditionalFormatting sqref="K29">
    <cfRule type="expression" priority="13" dxfId="0">
      <formula>LEN(K29)&gt;0</formula>
    </cfRule>
  </conditionalFormatting>
  <conditionalFormatting sqref="K33">
    <cfRule type="expression" priority="14" dxfId="0">
      <formula>LEN(K33)&gt;0</formula>
    </cfRule>
  </conditionalFormatting>
  <conditionalFormatting sqref="K46">
    <cfRule type="expression" priority="15" dxfId="0">
      <formula>LEN(K46)&gt;0</formula>
    </cfRule>
  </conditionalFormatting>
  <conditionalFormatting sqref="K62">
    <cfRule type="expression" priority="16" dxfId="0">
      <formula>LEN(K62)&gt;0</formula>
    </cfRule>
  </conditionalFormatting>
  <conditionalFormatting sqref="K75">
    <cfRule type="expression" priority="17" dxfId="0">
      <formula>LEN(K75)&gt;0</formula>
    </cfRule>
  </conditionalFormatting>
  <conditionalFormatting sqref="K89">
    <cfRule type="expression" priority="18" dxfId="0">
      <formula>LEN(K89)&gt;0</formula>
    </cfRule>
  </conditionalFormatting>
  <conditionalFormatting sqref="K34">
    <cfRule type="expression" priority="19" dxfId="0">
      <formula>LEN(K34)&gt;0</formula>
    </cfRule>
  </conditionalFormatting>
  <conditionalFormatting sqref="K47">
    <cfRule type="expression" priority="20" dxfId="0">
      <formula>LEN(K47)&gt;0</formula>
    </cfRule>
  </conditionalFormatting>
  <conditionalFormatting sqref="K63">
    <cfRule type="expression" priority="21" dxfId="0">
      <formula>LEN(K63)&gt;0</formula>
    </cfRule>
  </conditionalFormatting>
  <conditionalFormatting sqref="K76">
    <cfRule type="expression" priority="22" dxfId="0">
      <formula>LEN(K76)&gt;0</formula>
    </cfRule>
  </conditionalFormatting>
  <conditionalFormatting sqref="K90">
    <cfRule type="expression" priority="23" dxfId="0">
      <formula>LEN(K90)&gt;0</formula>
    </cfRule>
  </conditionalFormatting>
  <conditionalFormatting sqref="K35">
    <cfRule type="expression" priority="24" dxfId="0">
      <formula>LEN(K35)&gt;0</formula>
    </cfRule>
  </conditionalFormatting>
  <conditionalFormatting sqref="K48">
    <cfRule type="expression" priority="25" dxfId="0">
      <formula>LEN(K48)&gt;0</formula>
    </cfRule>
  </conditionalFormatting>
  <conditionalFormatting sqref="K64">
    <cfRule type="expression" priority="26" dxfId="0">
      <formula>LEN(K64)&gt;0</formula>
    </cfRule>
  </conditionalFormatting>
  <conditionalFormatting sqref="K77">
    <cfRule type="expression" priority="27" dxfId="0">
      <formula>LEN(K77)&gt;0</formula>
    </cfRule>
  </conditionalFormatting>
  <conditionalFormatting sqref="K91">
    <cfRule type="expression" priority="28" dxfId="0">
      <formula>LEN(K91)&gt;0</formula>
    </cfRule>
  </conditionalFormatting>
  <conditionalFormatting sqref="K36">
    <cfRule type="expression" priority="29" dxfId="0">
      <formula>LEN(K36)&gt;0</formula>
    </cfRule>
  </conditionalFormatting>
  <conditionalFormatting sqref="K49">
    <cfRule type="expression" priority="30" dxfId="0">
      <formula>LEN(K49)&gt;0</formula>
    </cfRule>
  </conditionalFormatting>
  <conditionalFormatting sqref="K65">
    <cfRule type="expression" priority="31" dxfId="0">
      <formula>LEN(K65)&gt;0</formula>
    </cfRule>
  </conditionalFormatting>
  <conditionalFormatting sqref="K78">
    <cfRule type="expression" priority="32" dxfId="0">
      <formula>LEN(K78)&gt;0</formula>
    </cfRule>
  </conditionalFormatting>
  <conditionalFormatting sqref="K92">
    <cfRule type="expression" priority="33" dxfId="0">
      <formula>LEN(K92)&gt;0</formula>
    </cfRule>
  </conditionalFormatting>
  <conditionalFormatting sqref="K37">
    <cfRule type="expression" priority="34" dxfId="0">
      <formula>LEN(K37)&gt;0</formula>
    </cfRule>
  </conditionalFormatting>
  <conditionalFormatting sqref="K50">
    <cfRule type="expression" priority="35" dxfId="0">
      <formula>LEN(K50)&gt;0</formula>
    </cfRule>
  </conditionalFormatting>
  <conditionalFormatting sqref="K66">
    <cfRule type="expression" priority="36" dxfId="0">
      <formula>LEN(K66)&gt;0</formula>
    </cfRule>
  </conditionalFormatting>
  <conditionalFormatting sqref="K79">
    <cfRule type="expression" priority="37" dxfId="0">
      <formula>LEN(K79)&gt;0</formula>
    </cfRule>
  </conditionalFormatting>
  <conditionalFormatting sqref="K93">
    <cfRule type="expression" priority="38" dxfId="0">
      <formula>LEN(K93)&gt;0</formula>
    </cfRule>
  </conditionalFormatting>
  <conditionalFormatting sqref="K38">
    <cfRule type="expression" priority="39" dxfId="0">
      <formula>LEN(K38)&gt;0</formula>
    </cfRule>
  </conditionalFormatting>
  <conditionalFormatting sqref="K51">
    <cfRule type="expression" priority="40" dxfId="0">
      <formula>LEN(K51)&gt;0</formula>
    </cfRule>
  </conditionalFormatting>
  <conditionalFormatting sqref="K67">
    <cfRule type="expression" priority="41" dxfId="0">
      <formula>LEN(K67)&gt;0</formula>
    </cfRule>
  </conditionalFormatting>
  <conditionalFormatting sqref="K80">
    <cfRule type="expression" priority="42" dxfId="0">
      <formula>LEN(K80)&gt;0</formula>
    </cfRule>
  </conditionalFormatting>
  <conditionalFormatting sqref="K94">
    <cfRule type="expression" priority="43" dxfId="0">
      <formula>LEN(K94)&gt;0</formula>
    </cfRule>
  </conditionalFormatting>
  <conditionalFormatting sqref="K39">
    <cfRule type="expression" priority="44" dxfId="0">
      <formula>LEN(K39)&gt;0</formula>
    </cfRule>
  </conditionalFormatting>
  <conditionalFormatting sqref="K52">
    <cfRule type="expression" priority="45" dxfId="0">
      <formula>LEN(K52)&gt;0</formula>
    </cfRule>
  </conditionalFormatting>
  <conditionalFormatting sqref="K68">
    <cfRule type="expression" priority="46" dxfId="0">
      <formula>LEN(K68)&gt;0</formula>
    </cfRule>
  </conditionalFormatting>
  <conditionalFormatting sqref="K81">
    <cfRule type="expression" priority="47" dxfId="0">
      <formula>LEN(K81)&gt;0</formula>
    </cfRule>
  </conditionalFormatting>
  <conditionalFormatting sqref="K95">
    <cfRule type="expression" priority="48" dxfId="0">
      <formula>LEN(K95)&gt;0</formula>
    </cfRule>
  </conditionalFormatting>
  <conditionalFormatting sqref="K40">
    <cfRule type="expression" priority="49" dxfId="0">
      <formula>LEN(K40)&gt;0</formula>
    </cfRule>
  </conditionalFormatting>
  <conditionalFormatting sqref="K53">
    <cfRule type="expression" priority="50" dxfId="0">
      <formula>LEN(K53)&gt;0</formula>
    </cfRule>
  </conditionalFormatting>
  <conditionalFormatting sqref="K69">
    <cfRule type="expression" priority="51" dxfId="0">
      <formula>LEN(K69)&gt;0</formula>
    </cfRule>
  </conditionalFormatting>
  <conditionalFormatting sqref="K82">
    <cfRule type="expression" priority="52" dxfId="0">
      <formula>LEN(K82)&gt;0</formula>
    </cfRule>
  </conditionalFormatting>
  <conditionalFormatting sqref="K96">
    <cfRule type="expression" priority="53" dxfId="0">
      <formula>LEN(K96)&gt;0</formula>
    </cfRule>
  </conditionalFormatting>
  <conditionalFormatting sqref="K41">
    <cfRule type="expression" priority="54" dxfId="0">
      <formula>LEN(K41)&gt;0</formula>
    </cfRule>
  </conditionalFormatting>
  <conditionalFormatting sqref="K54">
    <cfRule type="expression" priority="55" dxfId="0">
      <formula>LEN(K54)&gt;0</formula>
    </cfRule>
  </conditionalFormatting>
  <conditionalFormatting sqref="K70">
    <cfRule type="expression" priority="56" dxfId="0">
      <formula>LEN(K70)&gt;0</formula>
    </cfRule>
  </conditionalFormatting>
  <conditionalFormatting sqref="K83">
    <cfRule type="expression" priority="57" dxfId="0">
      <formula>LEN(K83)&gt;0</formula>
    </cfRule>
  </conditionalFormatting>
  <conditionalFormatting sqref="K97">
    <cfRule type="expression" priority="58" dxfId="0">
      <formula>LEN(K97)&gt;0</formula>
    </cfRule>
  </conditionalFormatting>
  <conditionalFormatting sqref="K42">
    <cfRule type="expression" priority="59" dxfId="0">
      <formula>LEN(K42)&gt;0</formula>
    </cfRule>
  </conditionalFormatting>
  <conditionalFormatting sqref="K55">
    <cfRule type="expression" priority="60" dxfId="0">
      <formula>LEN(K55)&gt;0</formula>
    </cfRule>
  </conditionalFormatting>
  <conditionalFormatting sqref="K71">
    <cfRule type="expression" priority="61" dxfId="0">
      <formula>LEN(K71)&gt;0</formula>
    </cfRule>
  </conditionalFormatting>
  <conditionalFormatting sqref="K84">
    <cfRule type="expression" priority="62" dxfId="0">
      <formula>LEN(K84)&gt;0</formula>
    </cfRule>
  </conditionalFormatting>
  <conditionalFormatting sqref="K98">
    <cfRule type="expression" priority="63" dxfId="0">
      <formula>LEN(K98)&gt;0</formula>
    </cfRule>
  </conditionalFormatting>
  <conditionalFormatting sqref="K102">
    <cfRule type="expression" priority="64" dxfId="0">
      <formula>LEN(K102)&gt;0</formula>
    </cfRule>
  </conditionalFormatting>
  <conditionalFormatting sqref="K103">
    <cfRule type="expression" priority="65" dxfId="0">
      <formula>LEN(K103)&gt;0</formula>
    </cfRule>
  </conditionalFormatting>
  <conditionalFormatting sqref="K104">
    <cfRule type="expression" priority="66" dxfId="0">
      <formula>LEN(K104)&gt;0</formula>
    </cfRule>
  </conditionalFormatting>
  <conditionalFormatting sqref="K105">
    <cfRule type="expression" priority="67" dxfId="0">
      <formula>LEN(K105)&gt;0</formula>
    </cfRule>
  </conditionalFormatting>
  <conditionalFormatting sqref="K106">
    <cfRule type="expression" priority="68" dxfId="0">
      <formula>LEN(K106)&gt;0</formula>
    </cfRule>
  </conditionalFormatting>
  <conditionalFormatting sqref="K107">
    <cfRule type="expression" priority="69" dxfId="0">
      <formula>LEN(K107)&gt;0</formula>
    </cfRule>
  </conditionalFormatting>
  <conditionalFormatting sqref="K108">
    <cfRule type="expression" priority="70" dxfId="0">
      <formula>LEN(K108)&gt;0</formula>
    </cfRule>
  </conditionalFormatting>
  <conditionalFormatting sqref="K109">
    <cfRule type="expression" priority="71" dxfId="0">
      <formula>LEN(K109)&gt;0</formula>
    </cfRule>
  </conditionalFormatting>
  <conditionalFormatting sqref="K110">
    <cfRule type="expression" priority="72" dxfId="0">
      <formula>LEN(K110)&gt;0</formula>
    </cfRule>
  </conditionalFormatting>
  <conditionalFormatting sqref="K111">
    <cfRule type="expression" priority="73" dxfId="0">
      <formula>LEN(K111)&gt;0</formula>
    </cfRule>
  </conditionalFormatting>
  <conditionalFormatting sqref="K113">
    <cfRule type="expression" priority="74" dxfId="0">
      <formula>LEN(K113)&gt;0</formula>
    </cfRule>
  </conditionalFormatting>
  <conditionalFormatting sqref="K114">
    <cfRule type="expression" priority="75" dxfId="0">
      <formula>LEN(K114)&gt;0</formula>
    </cfRule>
  </conditionalFormatting>
  <conditionalFormatting sqref="K115">
    <cfRule type="expression" priority="76" dxfId="0">
      <formula>LEN(K115)&gt;0</formula>
    </cfRule>
  </conditionalFormatting>
  <conditionalFormatting sqref="K116">
    <cfRule type="expression" priority="77" dxfId="0">
      <formula>LEN(K116)&gt;0</formula>
    </cfRule>
  </conditionalFormatting>
  <conditionalFormatting sqref="K117">
    <cfRule type="expression" priority="78" dxfId="0">
      <formula>LEN(K117)&gt;0</formula>
    </cfRule>
  </conditionalFormatting>
  <conditionalFormatting sqref="K118">
    <cfRule type="expression" priority="79" dxfId="0">
      <formula>LEN(K118)&gt;0</formula>
    </cfRule>
  </conditionalFormatting>
  <conditionalFormatting sqref="K158">
    <cfRule type="expression" priority="80" dxfId="0">
      <formula>LEN(K158)&gt;0</formula>
    </cfRule>
  </conditionalFormatting>
  <conditionalFormatting sqref="K159">
    <cfRule type="expression" priority="81" dxfId="0">
      <formula>LEN(K159)&gt;0</formula>
    </cfRule>
  </conditionalFormatting>
  <conditionalFormatting sqref="K160">
    <cfRule type="expression" priority="82" dxfId="0">
      <formula>LEN(K160)&gt;0</formula>
    </cfRule>
  </conditionalFormatting>
  <conditionalFormatting sqref="K161">
    <cfRule type="expression" priority="83" dxfId="0">
      <formula>LEN(K161)&gt;0</formula>
    </cfRule>
  </conditionalFormatting>
  <conditionalFormatting sqref="K162">
    <cfRule type="expression" priority="84" dxfId="0">
      <formula>LEN(K162)&gt;0</formula>
    </cfRule>
  </conditionalFormatting>
  <conditionalFormatting sqref="K163">
    <cfRule type="expression" priority="85" dxfId="0">
      <formula>LEN(K163)&gt;0</formula>
    </cfRule>
  </conditionalFormatting>
  <conditionalFormatting sqref="K164">
    <cfRule type="expression" priority="86" dxfId="0">
      <formula>LEN(K164)&gt;0</formula>
    </cfRule>
  </conditionalFormatting>
  <conditionalFormatting sqref="K165">
    <cfRule type="expression" priority="87" dxfId="0">
      <formula>LEN(K165)&gt;0</formula>
    </cfRule>
  </conditionalFormatting>
  <conditionalFormatting sqref="K166">
    <cfRule type="expression" priority="88" dxfId="0">
      <formula>LEN(K166)&gt;0</formula>
    </cfRule>
  </conditionalFormatting>
  <conditionalFormatting sqref="K167">
    <cfRule type="expression" priority="89" dxfId="0">
      <formula>LEN(K167)&gt;0</formula>
    </cfRule>
  </conditionalFormatting>
  <conditionalFormatting sqref="K168">
    <cfRule type="expression" priority="90" dxfId="0">
      <formula>LEN(K168)&gt;0</formula>
    </cfRule>
  </conditionalFormatting>
  <conditionalFormatting sqref="K169">
    <cfRule type="expression" priority="91" dxfId="0">
      <formula>LEN(K169)&gt;0</formula>
    </cfRule>
  </conditionalFormatting>
  <conditionalFormatting sqref="K171">
    <cfRule type="expression" priority="92" dxfId="0">
      <formula>LEN(K171)&gt;0</formula>
    </cfRule>
  </conditionalFormatting>
  <conditionalFormatting sqref="K172">
    <cfRule type="expression" priority="93" dxfId="0">
      <formula>LEN(K172)&gt;0</formula>
    </cfRule>
  </conditionalFormatting>
  <conditionalFormatting sqref="K173">
    <cfRule type="expression" priority="94" dxfId="0">
      <formula>LEN(K173)&gt;0</formula>
    </cfRule>
  </conditionalFormatting>
  <conditionalFormatting sqref="K174">
    <cfRule type="expression" priority="95" dxfId="0">
      <formula>LEN(K174)&gt;0</formula>
    </cfRule>
  </conditionalFormatting>
  <conditionalFormatting sqref="K175">
    <cfRule type="expression" priority="96" dxfId="0">
      <formula>LEN(K175)&gt;0</formula>
    </cfRule>
  </conditionalFormatting>
  <conditionalFormatting sqref="K176">
    <cfRule type="expression" priority="97" dxfId="0">
      <formula>LEN(K176)&gt;0</formula>
    </cfRule>
  </conditionalFormatting>
  <conditionalFormatting sqref="K177">
    <cfRule type="expression" priority="98" dxfId="0">
      <formula>LEN(K177)&gt;0</formula>
    </cfRule>
  </conditionalFormatting>
  <conditionalFormatting sqref="K178">
    <cfRule type="expression" priority="99" dxfId="0">
      <formula>LEN(K178)&gt;0</formula>
    </cfRule>
  </conditionalFormatting>
  <conditionalFormatting sqref="K179">
    <cfRule type="expression" priority="100" dxfId="0">
      <formula>LEN(K179)&gt;0</formula>
    </cfRule>
  </conditionalFormatting>
  <conditionalFormatting sqref="K180">
    <cfRule type="expression" priority="101" dxfId="0">
      <formula>LEN(K180)&gt;0</formula>
    </cfRule>
  </conditionalFormatting>
  <conditionalFormatting sqref="K181">
    <cfRule type="expression" priority="102" dxfId="0">
      <formula>LEN(K181)&gt;0</formula>
    </cfRule>
  </conditionalFormatting>
  <conditionalFormatting sqref="K182">
    <cfRule type="expression" priority="103" dxfId="0">
      <formula>LEN(K182)&gt;0</formula>
    </cfRule>
  </conditionalFormatting>
  <conditionalFormatting sqref="K184">
    <cfRule type="expression" priority="104" dxfId="0">
      <formula>LEN(K184)&gt;0</formula>
    </cfRule>
  </conditionalFormatting>
  <conditionalFormatting sqref="K185">
    <cfRule type="expression" priority="105" dxfId="0">
      <formula>LEN(K185)&gt;0</formula>
    </cfRule>
  </conditionalFormatting>
  <conditionalFormatting sqref="K186">
    <cfRule type="expression" priority="106" dxfId="0">
      <formula>LEN(K186)&gt;0</formula>
    </cfRule>
  </conditionalFormatting>
  <conditionalFormatting sqref="K187">
    <cfRule type="expression" priority="107" dxfId="0">
      <formula>LEN(K187)&gt;0</formula>
    </cfRule>
  </conditionalFormatting>
  <conditionalFormatting sqref="K188">
    <cfRule type="expression" priority="108" dxfId="0">
      <formula>LEN(K188)&gt;0</formula>
    </cfRule>
  </conditionalFormatting>
  <conditionalFormatting sqref="K189">
    <cfRule type="expression" priority="109" dxfId="0">
      <formula>LEN(K189)&gt;0</formula>
    </cfRule>
  </conditionalFormatting>
  <conditionalFormatting sqref="K190">
    <cfRule type="expression" priority="110" dxfId="0">
      <formula>LEN(K190)&gt;0</formula>
    </cfRule>
  </conditionalFormatting>
  <conditionalFormatting sqref="K191">
    <cfRule type="expression" priority="111" dxfId="0">
      <formula>LEN(K191)&gt;0</formula>
    </cfRule>
  </conditionalFormatting>
  <conditionalFormatting sqref="K192">
    <cfRule type="expression" priority="112" dxfId="0">
      <formula>LEN(K192)&gt;0</formula>
    </cfRule>
  </conditionalFormatting>
  <conditionalFormatting sqref="K193">
    <cfRule type="expression" priority="113" dxfId="0">
      <formula>LEN(K193)&gt;0</formula>
    </cfRule>
  </conditionalFormatting>
  <conditionalFormatting sqref="K194">
    <cfRule type="expression" priority="114" dxfId="0">
      <formula>LEN(K194)&gt;0</formula>
    </cfRule>
  </conditionalFormatting>
  <conditionalFormatting sqref="K195">
    <cfRule type="expression" priority="115" dxfId="0">
      <formula>LEN(K195)&gt;0</formula>
    </cfRule>
  </conditionalFormatting>
  <conditionalFormatting sqref="K197">
    <cfRule type="expression" priority="116" dxfId="0">
      <formula>LEN(K197)&gt;0</formula>
    </cfRule>
  </conditionalFormatting>
  <conditionalFormatting sqref="K198">
    <cfRule type="expression" priority="117" dxfId="0">
      <formula>LEN(K198)&gt;0</formula>
    </cfRule>
  </conditionalFormatting>
  <conditionalFormatting sqref="K199">
    <cfRule type="expression" priority="118" dxfId="0">
      <formula>LEN(K199)&gt;0</formula>
    </cfRule>
  </conditionalFormatting>
  <conditionalFormatting sqref="K200">
    <cfRule type="expression" priority="119" dxfId="0">
      <formula>LEN(K200)&gt;0</formula>
    </cfRule>
  </conditionalFormatting>
  <conditionalFormatting sqref="K201">
    <cfRule type="expression" priority="120" dxfId="0">
      <formula>LEN(K201)&gt;0</formula>
    </cfRule>
  </conditionalFormatting>
  <conditionalFormatting sqref="K202">
    <cfRule type="expression" priority="121" dxfId="0">
      <formula>LEN(K202)&gt;0</formula>
    </cfRule>
  </conditionalFormatting>
  <conditionalFormatting sqref="K203">
    <cfRule type="expression" priority="122" dxfId="0">
      <formula>LEN(K203)&gt;0</formula>
    </cfRule>
  </conditionalFormatting>
  <conditionalFormatting sqref="K204">
    <cfRule type="expression" priority="123" dxfId="0">
      <formula>LEN(K204)&gt;0</formula>
    </cfRule>
  </conditionalFormatting>
  <conditionalFormatting sqref="K205">
    <cfRule type="expression" priority="124" dxfId="0">
      <formula>LEN(K205)&gt;0</formula>
    </cfRule>
  </conditionalFormatting>
  <conditionalFormatting sqref="K206">
    <cfRule type="expression" priority="125" dxfId="0">
      <formula>LEN(K206)&gt;0</formula>
    </cfRule>
  </conditionalFormatting>
  <conditionalFormatting sqref="K207">
    <cfRule type="expression" priority="126" dxfId="0">
      <formula>LEN(K207)&gt;0</formula>
    </cfRule>
  </conditionalFormatting>
  <conditionalFormatting sqref="K208">
    <cfRule type="expression" priority="127" dxfId="0">
      <formula>LEN(K208)&gt;0</formula>
    </cfRule>
  </conditionalFormatting>
  <conditionalFormatting sqref="K215">
    <cfRule type="expression" priority="128" dxfId="0">
      <formula>LEN(K215)&gt;0</formula>
    </cfRule>
  </conditionalFormatting>
  <conditionalFormatting sqref="K213">
    <cfRule type="expression" priority="129" dxfId="0">
      <formula>LEN(K213)&gt;0</formula>
    </cfRule>
  </conditionalFormatting>
  <dataValidations count="525">
    <dataValidation sqref="B7" showDropDown="0" showInputMessage="0" showErrorMessage="1" allowBlank="1" errorTitle="Valor fora da faixa" error="Ciclo atual: use um número inteiro de 1 a 99." type="whole" errorStyle="warning" operator="between">
      <formula1>1</formula1>
      <formula2>99</formula2>
    </dataValidation>
    <dataValidation sqref="C7" showDropDown="0" showInputMessage="0" showErrorMessage="1" allowBlank="1" errorTitle="Fora da lista" error="Carregar encontro: escolha um valor da lista. A planilha pode não reconhecer outro valor." type="list" errorStyle="warning">
      <formula1>'Dados'!$BE$6:$BE$10</formula1>
    </dataValidation>
    <dataValidation sqref="E7" showDropDown="0" showInputMessage="0" showErrorMessage="1" allowBlank="1" errorTitle="Fora da lista" error="Surpresa: escolha um valor da lista. A planilha pode não reconhecer outro valor." type="list" errorStyle="warning">
      <formula1>'Dados'!$BF$6:$BF$8</formula1>
    </dataValidation>
    <dataValidation sqref="G7" showDropDown="0" showInputMessage="0" showErrorMessage="1" allowBlank="1" errorTitle="Valor fora da faixa" error="PH atual: use um número inteiro de 0 a 9." type="whole" errorStyle="warning" operator="between">
      <formula1>0</formula1>
      <formula2>9</formula2>
    </dataValidation>
    <dataValidation sqref="B15" showDropDown="0" showInputMessage="0" showErrorMessage="1" allowBlank="1" errorTitle="Fora da lista" error="Participa?: escolha um valor da lista. A planilha pode não reconhecer outro valor." type="list" errorStyle="warning">
      <formula1>'Dados'!$AT$6:$AT$7</formula1>
    </dataValidation>
    <dataValidation sqref="C15" showDropDown="0" showInputMessage="0" showErrorMessage="1" allowBlank="1" errorTitle="Valor fora da faixa" error="Ajuste de VEL: use um número inteiro de -10 a 10." type="whole" errorStyle="warning" operator="between">
      <formula1>-10</formula1>
      <formula2>10</formula2>
    </dataValidation>
    <dataValidation sqref="F15" showDropDown="0" showInputMessage="0" showErrorMessage="1" allowBlank="1" errorTitle="Valor fora da faixa" error="PV atual: use um número inteiro de 0 a 999." type="whole" errorStyle="warning" operator="between">
      <formula1>0</formula1>
      <formula2>999</formula2>
    </dataValidation>
    <dataValidation sqref="G15" showDropDown="0" showInputMessage="0" showErrorMessage="1" allowBlank="1" errorTitle="Valor fora da faixa" error="Dano agora: use um número inteiro de -999 a 999." type="whole" errorStyle="warning" operator="between">
      <formula1>-999</formula1>
      <formula2>999</formula2>
    </dataValidation>
    <dataValidation sqref="I15" showDropDown="0" showInputMessage="0" showErrorMessage="1" allowBlank="1" errorTitle="Valor fora da faixa" error="Energia: use um número inteiro de 0 a 100." type="whole" errorStyle="warning" operator="between">
      <formula1>0</formula1>
      <formula2>100</formula2>
    </dataValidation>
    <dataValidation sqref="B24" showDropDown="0" showInputMessage="0" showErrorMessage="1" allowBlank="1" errorTitle="Fora da lista" error="Ultimate usada: escolha um valor da lista. A planilha pode não reconhecer outro valor." type="list" errorStyle="warning">
      <formula1>'Dados'!$AT$6:$AT$7</formula1>
    </dataValidation>
    <dataValidation sqref="C24" showDropDown="0" showInputMessage="0" showErrorMessage="1" allowBlank="1" errorTitle="Fora da lista" error="Esforço: escolha um valor da lista. A planilha pode não reconhecer outro valor." type="list" errorStyle="warning">
      <formula1>'Dados'!$AT$6:$AT$7</formula1>
    </dataValidation>
    <dataValidation sqref="D24" showDropDown="0" showInputMessage="0" showErrorMessage="1" allowBlank="1" errorTitle="Valor fora da faixa" error="Sucessos: use um número inteiro de 0 a 3." type="whole" errorStyle="warning" operator="between">
      <formula1>0</formula1>
      <formula2>3</formula2>
    </dataValidation>
    <dataValidation sqref="E24" showDropDown="0" showInputMessage="0" showErrorMessage="1" allowBlank="1" errorTitle="Valor fora da faixa" error="Falhas: use um número inteiro de 0 a 3." type="whole" errorStyle="warning" operator="between">
      <formula1>0</formula1>
      <formula2>3</formula2>
    </dataValidation>
    <dataValidation sqref="I24" showDropDown="0" showInputMessage="0" showErrorMessage="1" allowBlank="1" errorTitle="Valor fora da faixa" error="PV temporário: use um número inteiro de 0 a 24." type="whole" errorStyle="warning" operator="between">
      <formula1>0</formula1>
      <formula2>24</formula2>
    </dataValidation>
    <dataValidation sqref="B16" showDropDown="0" showInputMessage="0" showErrorMessage="1" allowBlank="1" errorTitle="Fora da lista" error="Participa?: escolha um valor da lista. A planilha pode não reconhecer outro valor." type="list" errorStyle="warning">
      <formula1>'Dados'!$AT$6:$AT$7</formula1>
    </dataValidation>
    <dataValidation sqref="C16" showDropDown="0" showInputMessage="0" showErrorMessage="1" allowBlank="1" errorTitle="Valor fora da faixa" error="Ajuste de VEL: use um número inteiro de -10 a 10." type="whole" errorStyle="warning" operator="between">
      <formula1>-10</formula1>
      <formula2>10</formula2>
    </dataValidation>
    <dataValidation sqref="F16" showDropDown="0" showInputMessage="0" showErrorMessage="1" allowBlank="1" errorTitle="Valor fora da faixa" error="PV atual: use um número inteiro de 0 a 999." type="whole" errorStyle="warning" operator="between">
      <formula1>0</formula1>
      <formula2>999</formula2>
    </dataValidation>
    <dataValidation sqref="G16" showDropDown="0" showInputMessage="0" showErrorMessage="1" allowBlank="1" errorTitle="Valor fora da faixa" error="Dano agora: use um número inteiro de -999 a 999." type="whole" errorStyle="warning" operator="between">
      <formula1>-999</formula1>
      <formula2>999</formula2>
    </dataValidation>
    <dataValidation sqref="I16" showDropDown="0" showInputMessage="0" showErrorMessage="1" allowBlank="1" errorTitle="Valor fora da faixa" error="Energia: use um número inteiro de 0 a 100." type="whole" errorStyle="warning" operator="between">
      <formula1>0</formula1>
      <formula2>100</formula2>
    </dataValidation>
    <dataValidation sqref="B25" showDropDown="0" showInputMessage="0" showErrorMessage="1" allowBlank="1" errorTitle="Fora da lista" error="Ultimate usada: escolha um valor da lista. A planilha pode não reconhecer outro valor." type="list" errorStyle="warning">
      <formula1>'Dados'!$AT$6:$AT$7</formula1>
    </dataValidation>
    <dataValidation sqref="C25" showDropDown="0" showInputMessage="0" showErrorMessage="1" allowBlank="1" errorTitle="Fora da lista" error="Esforço: escolha um valor da lista. A planilha pode não reconhecer outro valor." type="list" errorStyle="warning">
      <formula1>'Dados'!$AT$6:$AT$7</formula1>
    </dataValidation>
    <dataValidation sqref="D25" showDropDown="0" showInputMessage="0" showErrorMessage="1" allowBlank="1" errorTitle="Valor fora da faixa" error="Sucessos: use um número inteiro de 0 a 3." type="whole" errorStyle="warning" operator="between">
      <formula1>0</formula1>
      <formula2>3</formula2>
    </dataValidation>
    <dataValidation sqref="E25" showDropDown="0" showInputMessage="0" showErrorMessage="1" allowBlank="1" errorTitle="Valor fora da faixa" error="Falhas: use um número inteiro de 0 a 3." type="whole" errorStyle="warning" operator="between">
      <formula1>0</formula1>
      <formula2>3</formula2>
    </dataValidation>
    <dataValidation sqref="I25" showDropDown="0" showInputMessage="0" showErrorMessage="1" allowBlank="1" errorTitle="Valor fora da faixa" error="PV temporário: use um número inteiro de 0 a 24." type="whole" errorStyle="warning" operator="between">
      <formula1>0</formula1>
      <formula2>24</formula2>
    </dataValidation>
    <dataValidation sqref="B17" showDropDown="0" showInputMessage="0" showErrorMessage="1" allowBlank="1" errorTitle="Fora da lista" error="Participa?: escolha um valor da lista. A planilha pode não reconhecer outro valor." type="list" errorStyle="warning">
      <formula1>'Dados'!$AT$6:$AT$7</formula1>
    </dataValidation>
    <dataValidation sqref="C17" showDropDown="0" showInputMessage="0" showErrorMessage="1" allowBlank="1" errorTitle="Valor fora da faixa" error="Ajuste de VEL: use um número inteiro de -10 a 10." type="whole" errorStyle="warning" operator="between">
      <formula1>-10</formula1>
      <formula2>10</formula2>
    </dataValidation>
    <dataValidation sqref="F17" showDropDown="0" showInputMessage="0" showErrorMessage="1" allowBlank="1" errorTitle="Valor fora da faixa" error="PV atual: use um número inteiro de 0 a 999." type="whole" errorStyle="warning" operator="between">
      <formula1>0</formula1>
      <formula2>999</formula2>
    </dataValidation>
    <dataValidation sqref="G17" showDropDown="0" showInputMessage="0" showErrorMessage="1" allowBlank="1" errorTitle="Valor fora da faixa" error="Dano agora: use um número inteiro de -999 a 999." type="whole" errorStyle="warning" operator="between">
      <formula1>-999</formula1>
      <formula2>999</formula2>
    </dataValidation>
    <dataValidation sqref="I17" showDropDown="0" showInputMessage="0" showErrorMessage="1" allowBlank="1" errorTitle="Valor fora da faixa" error="Energia: use um número inteiro de 0 a 100." type="whole" errorStyle="warning" operator="between">
      <formula1>0</formula1>
      <formula2>100</formula2>
    </dataValidation>
    <dataValidation sqref="B26" showDropDown="0" showInputMessage="0" showErrorMessage="1" allowBlank="1" errorTitle="Fora da lista" error="Ultimate usada: escolha um valor da lista. A planilha pode não reconhecer outro valor." type="list" errorStyle="warning">
      <formula1>'Dados'!$AT$6:$AT$7</formula1>
    </dataValidation>
    <dataValidation sqref="C26" showDropDown="0" showInputMessage="0" showErrorMessage="1" allowBlank="1" errorTitle="Fora da lista" error="Esforço: escolha um valor da lista. A planilha pode não reconhecer outro valor." type="list" errorStyle="warning">
      <formula1>'Dados'!$AT$6:$AT$7</formula1>
    </dataValidation>
    <dataValidation sqref="D26" showDropDown="0" showInputMessage="0" showErrorMessage="1" allowBlank="1" errorTitle="Valor fora da faixa" error="Sucessos: use um número inteiro de 0 a 3." type="whole" errorStyle="warning" operator="between">
      <formula1>0</formula1>
      <formula2>3</formula2>
    </dataValidation>
    <dataValidation sqref="E26" showDropDown="0" showInputMessage="0" showErrorMessage="1" allowBlank="1" errorTitle="Valor fora da faixa" error="Falhas: use um número inteiro de 0 a 3." type="whole" errorStyle="warning" operator="between">
      <formula1>0</formula1>
      <formula2>3</formula2>
    </dataValidation>
    <dataValidation sqref="I26" showDropDown="0" showInputMessage="0" showErrorMessage="1" allowBlank="1" errorTitle="Valor fora da faixa" error="PV temporário: use um número inteiro de 0 a 24." type="whole" errorStyle="warning" operator="between">
      <formula1>0</formula1>
      <formula2>24</formula2>
    </dataValidation>
    <dataValidation sqref="B18" showDropDown="0" showInputMessage="0" showErrorMessage="1" allowBlank="1" errorTitle="Fora da lista" error="Participa?: escolha um valor da lista. A planilha pode não reconhecer outro valor." type="list" errorStyle="warning">
      <formula1>'Dados'!$AT$6:$AT$7</formula1>
    </dataValidation>
    <dataValidation sqref="C18" showDropDown="0" showInputMessage="0" showErrorMessage="1" allowBlank="1" errorTitle="Valor fora da faixa" error="Ajuste de VEL: use um número inteiro de -10 a 10." type="whole" errorStyle="warning" operator="between">
      <formula1>-10</formula1>
      <formula2>10</formula2>
    </dataValidation>
    <dataValidation sqref="F18" showDropDown="0" showInputMessage="0" showErrorMessage="1" allowBlank="1" errorTitle="Valor fora da faixa" error="PV atual: use um número inteiro de 0 a 999." type="whole" errorStyle="warning" operator="between">
      <formula1>0</formula1>
      <formula2>999</formula2>
    </dataValidation>
    <dataValidation sqref="G18" showDropDown="0" showInputMessage="0" showErrorMessage="1" allowBlank="1" errorTitle="Valor fora da faixa" error="Dano agora: use um número inteiro de -999 a 999." type="whole" errorStyle="warning" operator="between">
      <formula1>-999</formula1>
      <formula2>999</formula2>
    </dataValidation>
    <dataValidation sqref="I18" showDropDown="0" showInputMessage="0" showErrorMessage="1" allowBlank="1" errorTitle="Valor fora da faixa" error="Energia: use um número inteiro de 0 a 100." type="whole" errorStyle="warning" operator="between">
      <formula1>0</formula1>
      <formula2>100</formula2>
    </dataValidation>
    <dataValidation sqref="B27" showDropDown="0" showInputMessage="0" showErrorMessage="1" allowBlank="1" errorTitle="Fora da lista" error="Ultimate usada: escolha um valor da lista. A planilha pode não reconhecer outro valor." type="list" errorStyle="warning">
      <formula1>'Dados'!$AT$6:$AT$7</formula1>
    </dataValidation>
    <dataValidation sqref="C27" showDropDown="0" showInputMessage="0" showErrorMessage="1" allowBlank="1" errorTitle="Fora da lista" error="Esforço: escolha um valor da lista. A planilha pode não reconhecer outro valor." type="list" errorStyle="warning">
      <formula1>'Dados'!$AT$6:$AT$7</formula1>
    </dataValidation>
    <dataValidation sqref="D27" showDropDown="0" showInputMessage="0" showErrorMessage="1" allowBlank="1" errorTitle="Valor fora da faixa" error="Sucessos: use um número inteiro de 0 a 3." type="whole" errorStyle="warning" operator="between">
      <formula1>0</formula1>
      <formula2>3</formula2>
    </dataValidation>
    <dataValidation sqref="E27" showDropDown="0" showInputMessage="0" showErrorMessage="1" allowBlank="1" errorTitle="Valor fora da faixa" error="Falhas: use um número inteiro de 0 a 3." type="whole" errorStyle="warning" operator="between">
      <formula1>0</formula1>
      <formula2>3</formula2>
    </dataValidation>
    <dataValidation sqref="I27" showDropDown="0" showInputMessage="0" showErrorMessage="1" allowBlank="1" errorTitle="Valor fora da faixa" error="PV temporário: use um número inteiro de 0 a 24." type="whole" errorStyle="warning" operator="between">
      <formula1>0</formula1>
      <formula2>24</formula2>
    </dataValidation>
    <dataValidation sqref="B19" showDropDown="0" showInputMessage="0" showErrorMessage="1" allowBlank="1" errorTitle="Fora da lista" error="Participa?: escolha um valor da lista. A planilha pode não reconhecer outro valor." type="list" errorStyle="warning">
      <formula1>'Dados'!$AT$6:$AT$7</formula1>
    </dataValidation>
    <dataValidation sqref="C19" showDropDown="0" showInputMessage="0" showErrorMessage="1" allowBlank="1" errorTitle="Valor fora da faixa" error="Ajuste de VEL: use um número inteiro de -10 a 10." type="whole" errorStyle="warning" operator="between">
      <formula1>-10</formula1>
      <formula2>10</formula2>
    </dataValidation>
    <dataValidation sqref="F19" showDropDown="0" showInputMessage="0" showErrorMessage="1" allowBlank="1" errorTitle="Valor fora da faixa" error="PV atual: use um número inteiro de 0 a 999." type="whole" errorStyle="warning" operator="between">
      <formula1>0</formula1>
      <formula2>999</formula2>
    </dataValidation>
    <dataValidation sqref="G19" showDropDown="0" showInputMessage="0" showErrorMessage="1" allowBlank="1" errorTitle="Valor fora da faixa" error="Dano agora: use um número inteiro de -999 a 999." type="whole" errorStyle="warning" operator="between">
      <formula1>-999</formula1>
      <formula2>999</formula2>
    </dataValidation>
    <dataValidation sqref="I19" showDropDown="0" showInputMessage="0" showErrorMessage="1" allowBlank="1" errorTitle="Valor fora da faixa" error="Energia: use um número inteiro de 0 a 100." type="whole" errorStyle="warning" operator="between">
      <formula1>0</formula1>
      <formula2>100</formula2>
    </dataValidation>
    <dataValidation sqref="B28" showDropDown="0" showInputMessage="0" showErrorMessage="1" allowBlank="1" errorTitle="Fora da lista" error="Ultimate usada: escolha um valor da lista. A planilha pode não reconhecer outro valor." type="list" errorStyle="warning">
      <formula1>'Dados'!$AT$6:$AT$7</formula1>
    </dataValidation>
    <dataValidation sqref="C28" showDropDown="0" showInputMessage="0" showErrorMessage="1" allowBlank="1" errorTitle="Fora da lista" error="Esforço: escolha um valor da lista. A planilha pode não reconhecer outro valor." type="list" errorStyle="warning">
      <formula1>'Dados'!$AT$6:$AT$7</formula1>
    </dataValidation>
    <dataValidation sqref="D28" showDropDown="0" showInputMessage="0" showErrorMessage="1" allowBlank="1" errorTitle="Valor fora da faixa" error="Sucessos: use um número inteiro de 0 a 3." type="whole" errorStyle="warning" operator="between">
      <formula1>0</formula1>
      <formula2>3</formula2>
    </dataValidation>
    <dataValidation sqref="E28" showDropDown="0" showInputMessage="0" showErrorMessage="1" allowBlank="1" errorTitle="Valor fora da faixa" error="Falhas: use um número inteiro de 0 a 3." type="whole" errorStyle="warning" operator="between">
      <formula1>0</formula1>
      <formula2>3</formula2>
    </dataValidation>
    <dataValidation sqref="I28" showDropDown="0" showInputMessage="0" showErrorMessage="1" allowBlank="1" errorTitle="Valor fora da faixa" error="PV temporário: use um número inteiro de 0 a 24." type="whole" errorStyle="warning" operator="between">
      <formula1>0</formula1>
      <formula2>24</formula2>
    </dataValidation>
    <dataValidation sqref="B20" showDropDown="0" showInputMessage="0" showErrorMessage="1" allowBlank="1" errorTitle="Fora da lista" error="Participa?: escolha um valor da lista. A planilha pode não reconhecer outro valor." type="list" errorStyle="warning">
      <formula1>'Dados'!$AT$6:$AT$7</formula1>
    </dataValidation>
    <dataValidation sqref="C20" showDropDown="0" showInputMessage="0" showErrorMessage="1" allowBlank="1" errorTitle="Valor fora da faixa" error="Ajuste de VEL: use um número inteiro de -10 a 10." type="whole" errorStyle="warning" operator="between">
      <formula1>-10</formula1>
      <formula2>10</formula2>
    </dataValidation>
    <dataValidation sqref="F20" showDropDown="0" showInputMessage="0" showErrorMessage="1" allowBlank="1" errorTitle="Valor fora da faixa" error="PV atual: use um número inteiro de 0 a 999." type="whole" errorStyle="warning" operator="between">
      <formula1>0</formula1>
      <formula2>999</formula2>
    </dataValidation>
    <dataValidation sqref="G20" showDropDown="0" showInputMessage="0" showErrorMessage="1" allowBlank="1" errorTitle="Valor fora da faixa" error="Dano agora: use um número inteiro de -999 a 999." type="whole" errorStyle="warning" operator="between">
      <formula1>-999</formula1>
      <formula2>999</formula2>
    </dataValidation>
    <dataValidation sqref="I20" showDropDown="0" showInputMessage="0" showErrorMessage="1" allowBlank="1" errorTitle="Valor fora da faixa" error="Energia: use um número inteiro de 0 a 100." type="whole" errorStyle="warning" operator="between">
      <formula1>0</formula1>
      <formula2>100</formula2>
    </dataValidation>
    <dataValidation sqref="B29" showDropDown="0" showInputMessage="0" showErrorMessage="1" allowBlank="1" errorTitle="Fora da lista" error="Ultimate usada: escolha um valor da lista. A planilha pode não reconhecer outro valor." type="list" errorStyle="warning">
      <formula1>'Dados'!$AT$6:$AT$7</formula1>
    </dataValidation>
    <dataValidation sqref="C29" showDropDown="0" showInputMessage="0" showErrorMessage="1" allowBlank="1" errorTitle="Fora da lista" error="Esforço: escolha um valor da lista. A planilha pode não reconhecer outro valor." type="list" errorStyle="warning">
      <formula1>'Dados'!$AT$6:$AT$7</formula1>
    </dataValidation>
    <dataValidation sqref="D29" showDropDown="0" showInputMessage="0" showErrorMessage="1" allowBlank="1" errorTitle="Valor fora da faixa" error="Sucessos: use um número inteiro de 0 a 3." type="whole" errorStyle="warning" operator="between">
      <formula1>0</formula1>
      <formula2>3</formula2>
    </dataValidation>
    <dataValidation sqref="E29" showDropDown="0" showInputMessage="0" showErrorMessage="1" allowBlank="1" errorTitle="Valor fora da faixa" error="Falhas: use um número inteiro de 0 a 3." type="whole" errorStyle="warning" operator="between">
      <formula1>0</formula1>
      <formula2>3</formula2>
    </dataValidation>
    <dataValidation sqref="I29" showDropDown="0" showInputMessage="0" showErrorMessage="1" allowBlank="1" errorTitle="Valor fora da faixa" error="PV temporário: use um número inteiro de 0 a 24." type="whole" errorStyle="warning" operator="between">
      <formula1>0</formula1>
      <formula2>24</formula2>
    </dataValidation>
    <dataValidation sqref="C33" showDropDown="0" showInputMessage="0" showErrorMessage="1" allowBlank="1" errorTitle="Fora da lista" error="Trocar por: escolha um valor da lista. A planilha pode não reconhecer outro valor." type="list" errorStyle="warning">
      <formula1>'Inimigos'!$N$11:$N$54</formula1>
    </dataValidation>
    <dataValidation sqref="B46" showDropDown="0" showInputMessage="0" showErrorMessage="1" allowBlank="1" errorTitle="Valor fora da faixa" error="Ajuste de VEL: use um número inteiro de -10 a 10." type="whole" errorStyle="warning" operator="between">
      <formula1>-10</formula1>
      <formula2>10</formula2>
    </dataValidation>
    <dataValidation sqref="E46" showDropDown="0" showInputMessage="0" showErrorMessage="1" allowBlank="1" errorTitle="Valor fora da faixa" error="PV atual: use um número inteiro de 0 a 999." type="whole" errorStyle="warning" operator="between">
      <formula1>0</formula1>
      <formula2>999</formula2>
    </dataValidation>
    <dataValidation sqref="F46" showDropDown="0" showInputMessage="0" showErrorMessage="1" allowBlank="1" errorTitle="Valor fora da faixa" error="Dano agora: use um número inteiro de -999 a 999." type="whole" errorStyle="warning" operator="between">
      <formula1>-999</formula1>
      <formula2>999</formula2>
    </dataValidation>
    <dataValidation sqref="I46" showDropDown="0" showInputMessage="0" showErrorMessage="1" allowBlank="1" errorTitle="Valor fora da faixa" error="Fase em vigor: use um número inteiro de 1 a 3." type="whole" errorStyle="warning" operator="between">
      <formula1>1</formula1>
      <formula2>3</formula2>
    </dataValidation>
    <dataValidation sqref="C62" showDropDown="0" showInputMessage="0" showErrorMessage="1" allowBlank="1" errorTitle="Valor fora da faixa" error="Redução acumulada: use um número inteiro de 0 a 99." type="whole" errorStyle="warning" operator="between">
      <formula1>0</formula1>
      <formula2>99</formula2>
    </dataValidation>
    <dataValidation sqref="B75" showDropDown="0" showInputMessage="0" showErrorMessage="1" allowBlank="1" errorTitle="Fora da lista" error="Elemento que quebrou: escolha um valor da lista. A planilha pode não reconhecer outro valor." type="list" errorStyle="warning">
      <formula1>'Dados'!$AN$6:$AN$12</formula1>
    </dataValidation>
    <dataValidation sqref="C75" showDropDown="0" showInputMessage="0" showErrorMessage="1" allowBlank="1" errorTitle="Fora da lista" error="Quem quebrou: escolha um valor da lista. A planilha pode não reconhecer outro valor." type="list" errorStyle="warning">
      <formula1>'Combate'!$N$11:$N$16</formula1>
    </dataValidation>
    <dataValidation sqref="C89" showDropDown="0" showInputMessage="0" showErrorMessage="1" allowBlank="1" errorTitle="Valor fora da faixa" error="Usada no Ciclo: use um número inteiro de 1 a 99." type="whole" errorStyle="warning" operator="between">
      <formula1>1</formula1>
      <formula2>99</formula2>
    </dataValidation>
    <dataValidation sqref="F89" showDropDown="0" showInputMessage="0" showErrorMessage="1" allowBlank="1" errorTitle="Valor fora da faixa" error="Usada no Ciclo: use um número inteiro de 1 a 99." type="whole" errorStyle="warning" operator="between">
      <formula1>1</formula1>
      <formula2>99</formula2>
    </dataValidation>
    <dataValidation sqref="I89" showDropDown="0" showInputMessage="0" showErrorMessage="1" allowBlank="1" errorTitle="Valor fora da faixa" error="Usada no Ciclo: use um número inteiro de 1 a 99." type="whole" errorStyle="warning" operator="between">
      <formula1>1</formula1>
      <formula2>99</formula2>
    </dataValidation>
    <dataValidation sqref="C34" showDropDown="0" showInputMessage="0" showErrorMessage="1" allowBlank="1" errorTitle="Fora da lista" error="Trocar por: escolha um valor da lista. A planilha pode não reconhecer outro valor." type="list" errorStyle="warning">
      <formula1>'Inimigos'!$N$11:$N$54</formula1>
    </dataValidation>
    <dataValidation sqref="B47" showDropDown="0" showInputMessage="0" showErrorMessage="1" allowBlank="1" errorTitle="Valor fora da faixa" error="Ajuste de VEL: use um número inteiro de -10 a 10." type="whole" errorStyle="warning" operator="between">
      <formula1>-10</formula1>
      <formula2>10</formula2>
    </dataValidation>
    <dataValidation sqref="E47" showDropDown="0" showInputMessage="0" showErrorMessage="1" allowBlank="1" errorTitle="Valor fora da faixa" error="PV atual: use um número inteiro de 0 a 999." type="whole" errorStyle="warning" operator="between">
      <formula1>0</formula1>
      <formula2>999</formula2>
    </dataValidation>
    <dataValidation sqref="F47" showDropDown="0" showInputMessage="0" showErrorMessage="1" allowBlank="1" errorTitle="Valor fora da faixa" error="Dano agora: use um número inteiro de -999 a 999." type="whole" errorStyle="warning" operator="between">
      <formula1>-999</formula1>
      <formula2>999</formula2>
    </dataValidation>
    <dataValidation sqref="I47" showDropDown="0" showInputMessage="0" showErrorMessage="1" allowBlank="1" errorTitle="Valor fora da faixa" error="Fase em vigor: use um número inteiro de 1 a 3." type="whole" errorStyle="warning" operator="between">
      <formula1>1</formula1>
      <formula2>3</formula2>
    </dataValidation>
    <dataValidation sqref="C63" showDropDown="0" showInputMessage="0" showErrorMessage="1" allowBlank="1" errorTitle="Valor fora da faixa" error="Redução acumulada: use um número inteiro de 0 a 99." type="whole" errorStyle="warning" operator="between">
      <formula1>0</formula1>
      <formula2>99</formula2>
    </dataValidation>
    <dataValidation sqref="B76" showDropDown="0" showInputMessage="0" showErrorMessage="1" allowBlank="1" errorTitle="Fora da lista" error="Elemento que quebrou: escolha um valor da lista. A planilha pode não reconhecer outro valor." type="list" errorStyle="warning">
      <formula1>'Dados'!$AN$6:$AN$12</formula1>
    </dataValidation>
    <dataValidation sqref="C76" showDropDown="0" showInputMessage="0" showErrorMessage="1" allowBlank="1" errorTitle="Fora da lista" error="Quem quebrou: escolha um valor da lista. A planilha pode não reconhecer outro valor." type="list" errorStyle="warning">
      <formula1>'Combate'!$N$11:$N$16</formula1>
    </dataValidation>
    <dataValidation sqref="C90" showDropDown="0" showInputMessage="0" showErrorMessage="1" allowBlank="1" errorTitle="Valor fora da faixa" error="Usada no Ciclo: use um número inteiro de 1 a 99." type="whole" errorStyle="warning" operator="between">
      <formula1>1</formula1>
      <formula2>99</formula2>
    </dataValidation>
    <dataValidation sqref="F90" showDropDown="0" showInputMessage="0" showErrorMessage="1" allowBlank="1" errorTitle="Valor fora da faixa" error="Usada no Ciclo: use um número inteiro de 1 a 99." type="whole" errorStyle="warning" operator="between">
      <formula1>1</formula1>
      <formula2>99</formula2>
    </dataValidation>
    <dataValidation sqref="I90" showDropDown="0" showInputMessage="0" showErrorMessage="1" allowBlank="1" errorTitle="Valor fora da faixa" error="Usada no Ciclo: use um número inteiro de 1 a 99." type="whole" errorStyle="warning" operator="between">
      <formula1>1</formula1>
      <formula2>99</formula2>
    </dataValidation>
    <dataValidation sqref="C35" showDropDown="0" showInputMessage="0" showErrorMessage="1" allowBlank="1" errorTitle="Fora da lista" error="Trocar por: escolha um valor da lista. A planilha pode não reconhecer outro valor." type="list" errorStyle="warning">
      <formula1>'Inimigos'!$N$11:$N$54</formula1>
    </dataValidation>
    <dataValidation sqref="B48" showDropDown="0" showInputMessage="0" showErrorMessage="1" allowBlank="1" errorTitle="Valor fora da faixa" error="Ajuste de VEL: use um número inteiro de -10 a 10." type="whole" errorStyle="warning" operator="between">
      <formula1>-10</formula1>
      <formula2>10</formula2>
    </dataValidation>
    <dataValidation sqref="E48" showDropDown="0" showInputMessage="0" showErrorMessage="1" allowBlank="1" errorTitle="Valor fora da faixa" error="PV atual: use um número inteiro de 0 a 999." type="whole" errorStyle="warning" operator="between">
      <formula1>0</formula1>
      <formula2>999</formula2>
    </dataValidation>
    <dataValidation sqref="F48" showDropDown="0" showInputMessage="0" showErrorMessage="1" allowBlank="1" errorTitle="Valor fora da faixa" error="Dano agora: use um número inteiro de -999 a 999." type="whole" errorStyle="warning" operator="between">
      <formula1>-999</formula1>
      <formula2>999</formula2>
    </dataValidation>
    <dataValidation sqref="I48" showDropDown="0" showInputMessage="0" showErrorMessage="1" allowBlank="1" errorTitle="Valor fora da faixa" error="Fase em vigor: use um número inteiro de 1 a 3." type="whole" errorStyle="warning" operator="between">
      <formula1>1</formula1>
      <formula2>3</formula2>
    </dataValidation>
    <dataValidation sqref="C64" showDropDown="0" showInputMessage="0" showErrorMessage="1" allowBlank="1" errorTitle="Valor fora da faixa" error="Redução acumulada: use um número inteiro de 0 a 99." type="whole" errorStyle="warning" operator="between">
      <formula1>0</formula1>
      <formula2>99</formula2>
    </dataValidation>
    <dataValidation sqref="B77" showDropDown="0" showInputMessage="0" showErrorMessage="1" allowBlank="1" errorTitle="Fora da lista" error="Elemento que quebrou: escolha um valor da lista. A planilha pode não reconhecer outro valor." type="list" errorStyle="warning">
      <formula1>'Dados'!$AN$6:$AN$12</formula1>
    </dataValidation>
    <dataValidation sqref="C77" showDropDown="0" showInputMessage="0" showErrorMessage="1" allowBlank="1" errorTitle="Fora da lista" error="Quem quebrou: escolha um valor da lista. A planilha pode não reconhecer outro valor." type="list" errorStyle="warning">
      <formula1>'Combate'!$N$11:$N$16</formula1>
    </dataValidation>
    <dataValidation sqref="C91" showDropDown="0" showInputMessage="0" showErrorMessage="1" allowBlank="1" errorTitle="Valor fora da faixa" error="Usada no Ciclo: use um número inteiro de 1 a 99." type="whole" errorStyle="warning" operator="between">
      <formula1>1</formula1>
      <formula2>99</formula2>
    </dataValidation>
    <dataValidation sqref="F91" showDropDown="0" showInputMessage="0" showErrorMessage="1" allowBlank="1" errorTitle="Valor fora da faixa" error="Usada no Ciclo: use um número inteiro de 1 a 99." type="whole" errorStyle="warning" operator="between">
      <formula1>1</formula1>
      <formula2>99</formula2>
    </dataValidation>
    <dataValidation sqref="I91" showDropDown="0" showInputMessage="0" showErrorMessage="1" allowBlank="1" errorTitle="Valor fora da faixa" error="Usada no Ciclo: use um número inteiro de 1 a 99." type="whole" errorStyle="warning" operator="between">
      <formula1>1</formula1>
      <formula2>99</formula2>
    </dataValidation>
    <dataValidation sqref="C36" showDropDown="0" showInputMessage="0" showErrorMessage="1" allowBlank="1" errorTitle="Fora da lista" error="Trocar por: escolha um valor da lista. A planilha pode não reconhecer outro valor." type="list" errorStyle="warning">
      <formula1>'Inimigos'!$N$11:$N$54</formula1>
    </dataValidation>
    <dataValidation sqref="B49" showDropDown="0" showInputMessage="0" showErrorMessage="1" allowBlank="1" errorTitle="Valor fora da faixa" error="Ajuste de VEL: use um número inteiro de -10 a 10." type="whole" errorStyle="warning" operator="between">
      <formula1>-10</formula1>
      <formula2>10</formula2>
    </dataValidation>
    <dataValidation sqref="E49" showDropDown="0" showInputMessage="0" showErrorMessage="1" allowBlank="1" errorTitle="Valor fora da faixa" error="PV atual: use um número inteiro de 0 a 999." type="whole" errorStyle="warning" operator="between">
      <formula1>0</formula1>
      <formula2>999</formula2>
    </dataValidation>
    <dataValidation sqref="F49" showDropDown="0" showInputMessage="0" showErrorMessage="1" allowBlank="1" errorTitle="Valor fora da faixa" error="Dano agora: use um número inteiro de -999 a 999." type="whole" errorStyle="warning" operator="between">
      <formula1>-999</formula1>
      <formula2>999</formula2>
    </dataValidation>
    <dataValidation sqref="I49" showDropDown="0" showInputMessage="0" showErrorMessage="1" allowBlank="1" errorTitle="Valor fora da faixa" error="Fase em vigor: use um número inteiro de 1 a 3." type="whole" errorStyle="warning" operator="between">
      <formula1>1</formula1>
      <formula2>3</formula2>
    </dataValidation>
    <dataValidation sqref="C65" showDropDown="0" showInputMessage="0" showErrorMessage="1" allowBlank="1" errorTitle="Valor fora da faixa" error="Redução acumulada: use um número inteiro de 0 a 99." type="whole" errorStyle="warning" operator="between">
      <formula1>0</formula1>
      <formula2>99</formula2>
    </dataValidation>
    <dataValidation sqref="B78" showDropDown="0" showInputMessage="0" showErrorMessage="1" allowBlank="1" errorTitle="Fora da lista" error="Elemento que quebrou: escolha um valor da lista. A planilha pode não reconhecer outro valor." type="list" errorStyle="warning">
      <formula1>'Dados'!$AN$6:$AN$12</formula1>
    </dataValidation>
    <dataValidation sqref="C78" showDropDown="0" showInputMessage="0" showErrorMessage="1" allowBlank="1" errorTitle="Fora da lista" error="Quem quebrou: escolha um valor da lista. A planilha pode não reconhecer outro valor." type="list" errorStyle="warning">
      <formula1>'Combate'!$N$11:$N$16</formula1>
    </dataValidation>
    <dataValidation sqref="C92" showDropDown="0" showInputMessage="0" showErrorMessage="1" allowBlank="1" errorTitle="Valor fora da faixa" error="Usada no Ciclo: use um número inteiro de 1 a 99." type="whole" errorStyle="warning" operator="between">
      <formula1>1</formula1>
      <formula2>99</formula2>
    </dataValidation>
    <dataValidation sqref="F92" showDropDown="0" showInputMessage="0" showErrorMessage="1" allowBlank="1" errorTitle="Valor fora da faixa" error="Usada no Ciclo: use um número inteiro de 1 a 99." type="whole" errorStyle="warning" operator="between">
      <formula1>1</formula1>
      <formula2>99</formula2>
    </dataValidation>
    <dataValidation sqref="I92" showDropDown="0" showInputMessage="0" showErrorMessage="1" allowBlank="1" errorTitle="Valor fora da faixa" error="Usada no Ciclo: use um número inteiro de 1 a 99." type="whole" errorStyle="warning" operator="between">
      <formula1>1</formula1>
      <formula2>99</formula2>
    </dataValidation>
    <dataValidation sqref="C37" showDropDown="0" showInputMessage="0" showErrorMessage="1" allowBlank="1" errorTitle="Fora da lista" error="Trocar por: escolha um valor da lista. A planilha pode não reconhecer outro valor." type="list" errorStyle="warning">
      <formula1>'Inimigos'!$N$11:$N$54</formula1>
    </dataValidation>
    <dataValidation sqref="B50" showDropDown="0" showInputMessage="0" showErrorMessage="1" allowBlank="1" errorTitle="Valor fora da faixa" error="Ajuste de VEL: use um número inteiro de -10 a 10." type="whole" errorStyle="warning" operator="between">
      <formula1>-10</formula1>
      <formula2>10</formula2>
    </dataValidation>
    <dataValidation sqref="E50" showDropDown="0" showInputMessage="0" showErrorMessage="1" allowBlank="1" errorTitle="Valor fora da faixa" error="PV atual: use um número inteiro de 0 a 999." type="whole" errorStyle="warning" operator="between">
      <formula1>0</formula1>
      <formula2>999</formula2>
    </dataValidation>
    <dataValidation sqref="F50" showDropDown="0" showInputMessage="0" showErrorMessage="1" allowBlank="1" errorTitle="Valor fora da faixa" error="Dano agora: use um número inteiro de -999 a 999." type="whole" errorStyle="warning" operator="between">
      <formula1>-999</formula1>
      <formula2>999</formula2>
    </dataValidation>
    <dataValidation sqref="I50" showDropDown="0" showInputMessage="0" showErrorMessage="1" allowBlank="1" errorTitle="Valor fora da faixa" error="Fase em vigor: use um número inteiro de 1 a 3." type="whole" errorStyle="warning" operator="between">
      <formula1>1</formula1>
      <formula2>3</formula2>
    </dataValidation>
    <dataValidation sqref="C66" showDropDown="0" showInputMessage="0" showErrorMessage="1" allowBlank="1" errorTitle="Valor fora da faixa" error="Redução acumulada: use um número inteiro de 0 a 99." type="whole" errorStyle="warning" operator="between">
      <formula1>0</formula1>
      <formula2>99</formula2>
    </dataValidation>
    <dataValidation sqref="B79" showDropDown="0" showInputMessage="0" showErrorMessage="1" allowBlank="1" errorTitle="Fora da lista" error="Elemento que quebrou: escolha um valor da lista. A planilha pode não reconhecer outro valor." type="list" errorStyle="warning">
      <formula1>'Dados'!$AN$6:$AN$12</formula1>
    </dataValidation>
    <dataValidation sqref="C79" showDropDown="0" showInputMessage="0" showErrorMessage="1" allowBlank="1" errorTitle="Fora da lista" error="Quem quebrou: escolha um valor da lista. A planilha pode não reconhecer outro valor." type="list" errorStyle="warning">
      <formula1>'Combate'!$N$11:$N$16</formula1>
    </dataValidation>
    <dataValidation sqref="C93" showDropDown="0" showInputMessage="0" showErrorMessage="1" allowBlank="1" errorTitle="Valor fora da faixa" error="Usada no Ciclo: use um número inteiro de 1 a 99." type="whole" errorStyle="warning" operator="between">
      <formula1>1</formula1>
      <formula2>99</formula2>
    </dataValidation>
    <dataValidation sqref="F93" showDropDown="0" showInputMessage="0" showErrorMessage="1" allowBlank="1" errorTitle="Valor fora da faixa" error="Usada no Ciclo: use um número inteiro de 1 a 99." type="whole" errorStyle="warning" operator="between">
      <formula1>1</formula1>
      <formula2>99</formula2>
    </dataValidation>
    <dataValidation sqref="I93" showDropDown="0" showInputMessage="0" showErrorMessage="1" allowBlank="1" errorTitle="Valor fora da faixa" error="Usada no Ciclo: use um número inteiro de 1 a 99." type="whole" errorStyle="warning" operator="between">
      <formula1>1</formula1>
      <formula2>99</formula2>
    </dataValidation>
    <dataValidation sqref="C38" showDropDown="0" showInputMessage="0" showErrorMessage="1" allowBlank="1" errorTitle="Fora da lista" error="Trocar por: escolha um valor da lista. A planilha pode não reconhecer outro valor." type="list" errorStyle="warning">
      <formula1>'Inimigos'!$N$11:$N$54</formula1>
    </dataValidation>
    <dataValidation sqref="B51" showDropDown="0" showInputMessage="0" showErrorMessage="1" allowBlank="1" errorTitle="Valor fora da faixa" error="Ajuste de VEL: use um número inteiro de -10 a 10." type="whole" errorStyle="warning" operator="between">
      <formula1>-10</formula1>
      <formula2>10</formula2>
    </dataValidation>
    <dataValidation sqref="E51" showDropDown="0" showInputMessage="0" showErrorMessage="1" allowBlank="1" errorTitle="Valor fora da faixa" error="PV atual: use um número inteiro de 0 a 999." type="whole" errorStyle="warning" operator="between">
      <formula1>0</formula1>
      <formula2>999</formula2>
    </dataValidation>
    <dataValidation sqref="F51" showDropDown="0" showInputMessage="0" showErrorMessage="1" allowBlank="1" errorTitle="Valor fora da faixa" error="Dano agora: use um número inteiro de -999 a 999." type="whole" errorStyle="warning" operator="between">
      <formula1>-999</formula1>
      <formula2>999</formula2>
    </dataValidation>
    <dataValidation sqref="I51" showDropDown="0" showInputMessage="0" showErrorMessage="1" allowBlank="1" errorTitle="Valor fora da faixa" error="Fase em vigor: use um número inteiro de 1 a 3." type="whole" errorStyle="warning" operator="between">
      <formula1>1</formula1>
      <formula2>3</formula2>
    </dataValidation>
    <dataValidation sqref="C67" showDropDown="0" showInputMessage="0" showErrorMessage="1" allowBlank="1" errorTitle="Valor fora da faixa" error="Redução acumulada: use um número inteiro de 0 a 99." type="whole" errorStyle="warning" operator="between">
      <formula1>0</formula1>
      <formula2>99</formula2>
    </dataValidation>
    <dataValidation sqref="B80" showDropDown="0" showInputMessage="0" showErrorMessage="1" allowBlank="1" errorTitle="Fora da lista" error="Elemento que quebrou: escolha um valor da lista. A planilha pode não reconhecer outro valor." type="list" errorStyle="warning">
      <formula1>'Dados'!$AN$6:$AN$12</formula1>
    </dataValidation>
    <dataValidation sqref="C80" showDropDown="0" showInputMessage="0" showErrorMessage="1" allowBlank="1" errorTitle="Fora da lista" error="Quem quebrou: escolha um valor da lista. A planilha pode não reconhecer outro valor." type="list" errorStyle="warning">
      <formula1>'Combate'!$N$11:$N$16</formula1>
    </dataValidation>
    <dataValidation sqref="C94" showDropDown="0" showInputMessage="0" showErrorMessage="1" allowBlank="1" errorTitle="Valor fora da faixa" error="Usada no Ciclo: use um número inteiro de 1 a 99." type="whole" errorStyle="warning" operator="between">
      <formula1>1</formula1>
      <formula2>99</formula2>
    </dataValidation>
    <dataValidation sqref="F94" showDropDown="0" showInputMessage="0" showErrorMessage="1" allowBlank="1" errorTitle="Valor fora da faixa" error="Usada no Ciclo: use um número inteiro de 1 a 99." type="whole" errorStyle="warning" operator="between">
      <formula1>1</formula1>
      <formula2>99</formula2>
    </dataValidation>
    <dataValidation sqref="I94" showDropDown="0" showInputMessage="0" showErrorMessage="1" allowBlank="1" errorTitle="Valor fora da faixa" error="Usada no Ciclo: use um número inteiro de 1 a 99." type="whole" errorStyle="warning" operator="between">
      <formula1>1</formula1>
      <formula2>99</formula2>
    </dataValidation>
    <dataValidation sqref="C39" showDropDown="0" showInputMessage="0" showErrorMessage="1" allowBlank="1" errorTitle="Fora da lista" error="Trocar por: escolha um valor da lista. A planilha pode não reconhecer outro valor." type="list" errorStyle="warning">
      <formula1>'Inimigos'!$N$11:$N$54</formula1>
    </dataValidation>
    <dataValidation sqref="B52" showDropDown="0" showInputMessage="0" showErrorMessage="1" allowBlank="1" errorTitle="Valor fora da faixa" error="Ajuste de VEL: use um número inteiro de -10 a 10." type="whole" errorStyle="warning" operator="between">
      <formula1>-10</formula1>
      <formula2>10</formula2>
    </dataValidation>
    <dataValidation sqref="E52" showDropDown="0" showInputMessage="0" showErrorMessage="1" allowBlank="1" errorTitle="Valor fora da faixa" error="PV atual: use um número inteiro de 0 a 999." type="whole" errorStyle="warning" operator="between">
      <formula1>0</formula1>
      <formula2>999</formula2>
    </dataValidation>
    <dataValidation sqref="F52" showDropDown="0" showInputMessage="0" showErrorMessage="1" allowBlank="1" errorTitle="Valor fora da faixa" error="Dano agora: use um número inteiro de -999 a 999." type="whole" errorStyle="warning" operator="between">
      <formula1>-999</formula1>
      <formula2>999</formula2>
    </dataValidation>
    <dataValidation sqref="I52" showDropDown="0" showInputMessage="0" showErrorMessage="1" allowBlank="1" errorTitle="Valor fora da faixa" error="Fase em vigor: use um número inteiro de 1 a 3." type="whole" errorStyle="warning" operator="between">
      <formula1>1</formula1>
      <formula2>3</formula2>
    </dataValidation>
    <dataValidation sqref="C68" showDropDown="0" showInputMessage="0" showErrorMessage="1" allowBlank="1" errorTitle="Valor fora da faixa" error="Redução acumulada: use um número inteiro de 0 a 99." type="whole" errorStyle="warning" operator="between">
      <formula1>0</formula1>
      <formula2>99</formula2>
    </dataValidation>
    <dataValidation sqref="B81" showDropDown="0" showInputMessage="0" showErrorMessage="1" allowBlank="1" errorTitle="Fora da lista" error="Elemento que quebrou: escolha um valor da lista. A planilha pode não reconhecer outro valor." type="list" errorStyle="warning">
      <formula1>'Dados'!$AN$6:$AN$12</formula1>
    </dataValidation>
    <dataValidation sqref="C81" showDropDown="0" showInputMessage="0" showErrorMessage="1" allowBlank="1" errorTitle="Fora da lista" error="Quem quebrou: escolha um valor da lista. A planilha pode não reconhecer outro valor." type="list" errorStyle="warning">
      <formula1>'Combate'!$N$11:$N$16</formula1>
    </dataValidation>
    <dataValidation sqref="C95" showDropDown="0" showInputMessage="0" showErrorMessage="1" allowBlank="1" errorTitle="Valor fora da faixa" error="Usada no Ciclo: use um número inteiro de 1 a 99." type="whole" errorStyle="warning" operator="between">
      <formula1>1</formula1>
      <formula2>99</formula2>
    </dataValidation>
    <dataValidation sqref="F95" showDropDown="0" showInputMessage="0" showErrorMessage="1" allowBlank="1" errorTitle="Valor fora da faixa" error="Usada no Ciclo: use um número inteiro de 1 a 99." type="whole" errorStyle="warning" operator="between">
      <formula1>1</formula1>
      <formula2>99</formula2>
    </dataValidation>
    <dataValidation sqref="I95" showDropDown="0" showInputMessage="0" showErrorMessage="1" allowBlank="1" errorTitle="Valor fora da faixa" error="Usada no Ciclo: use um número inteiro de 1 a 99." type="whole" errorStyle="warning" operator="between">
      <formula1>1</formula1>
      <formula2>99</formula2>
    </dataValidation>
    <dataValidation sqref="C40" showDropDown="0" showInputMessage="0" showErrorMessage="1" allowBlank="1" errorTitle="Fora da lista" error="Trocar por: escolha um valor da lista. A planilha pode não reconhecer outro valor." type="list" errorStyle="warning">
      <formula1>'Inimigos'!$N$11:$N$54</formula1>
    </dataValidation>
    <dataValidation sqref="B53" showDropDown="0" showInputMessage="0" showErrorMessage="1" allowBlank="1" errorTitle="Valor fora da faixa" error="Ajuste de VEL: use um número inteiro de -10 a 10." type="whole" errorStyle="warning" operator="between">
      <formula1>-10</formula1>
      <formula2>10</formula2>
    </dataValidation>
    <dataValidation sqref="E53" showDropDown="0" showInputMessage="0" showErrorMessage="1" allowBlank="1" errorTitle="Valor fora da faixa" error="PV atual: use um número inteiro de 0 a 999." type="whole" errorStyle="warning" operator="between">
      <formula1>0</formula1>
      <formula2>999</formula2>
    </dataValidation>
    <dataValidation sqref="F53" showDropDown="0" showInputMessage="0" showErrorMessage="1" allowBlank="1" errorTitle="Valor fora da faixa" error="Dano agora: use um número inteiro de -999 a 999." type="whole" errorStyle="warning" operator="between">
      <formula1>-999</formula1>
      <formula2>999</formula2>
    </dataValidation>
    <dataValidation sqref="I53" showDropDown="0" showInputMessage="0" showErrorMessage="1" allowBlank="1" errorTitle="Valor fora da faixa" error="Fase em vigor: use um número inteiro de 1 a 3." type="whole" errorStyle="warning" operator="between">
      <formula1>1</formula1>
      <formula2>3</formula2>
    </dataValidation>
    <dataValidation sqref="C69" showDropDown="0" showInputMessage="0" showErrorMessage="1" allowBlank="1" errorTitle="Valor fora da faixa" error="Redução acumulada: use um número inteiro de 0 a 99." type="whole" errorStyle="warning" operator="between">
      <formula1>0</formula1>
      <formula2>99</formula2>
    </dataValidation>
    <dataValidation sqref="B82" showDropDown="0" showInputMessage="0" showErrorMessage="1" allowBlank="1" errorTitle="Fora da lista" error="Elemento que quebrou: escolha um valor da lista. A planilha pode não reconhecer outro valor." type="list" errorStyle="warning">
      <formula1>'Dados'!$AN$6:$AN$12</formula1>
    </dataValidation>
    <dataValidation sqref="C82" showDropDown="0" showInputMessage="0" showErrorMessage="1" allowBlank="1" errorTitle="Fora da lista" error="Quem quebrou: escolha um valor da lista. A planilha pode não reconhecer outro valor." type="list" errorStyle="warning">
      <formula1>'Combate'!$N$11:$N$16</formula1>
    </dataValidation>
    <dataValidation sqref="C96" showDropDown="0" showInputMessage="0" showErrorMessage="1" allowBlank="1" errorTitle="Valor fora da faixa" error="Usada no Ciclo: use um número inteiro de 1 a 99." type="whole" errorStyle="warning" operator="between">
      <formula1>1</formula1>
      <formula2>99</formula2>
    </dataValidation>
    <dataValidation sqref="F96" showDropDown="0" showInputMessage="0" showErrorMessage="1" allowBlank="1" errorTitle="Valor fora da faixa" error="Usada no Ciclo: use um número inteiro de 1 a 99." type="whole" errorStyle="warning" operator="between">
      <formula1>1</formula1>
      <formula2>99</formula2>
    </dataValidation>
    <dataValidation sqref="I96" showDropDown="0" showInputMessage="0" showErrorMessage="1" allowBlank="1" errorTitle="Valor fora da faixa" error="Usada no Ciclo: use um número inteiro de 1 a 99." type="whole" errorStyle="warning" operator="between">
      <formula1>1</formula1>
      <formula2>99</formula2>
    </dataValidation>
    <dataValidation sqref="C41" showDropDown="0" showInputMessage="0" showErrorMessage="1" allowBlank="1" errorTitle="Fora da lista" error="Trocar por: escolha um valor da lista. A planilha pode não reconhecer outro valor." type="list" errorStyle="warning">
      <formula1>'Inimigos'!$N$11:$N$54</formula1>
    </dataValidation>
    <dataValidation sqref="B54" showDropDown="0" showInputMessage="0" showErrorMessage="1" allowBlank="1" errorTitle="Valor fora da faixa" error="Ajuste de VEL: use um número inteiro de -10 a 10." type="whole" errorStyle="warning" operator="between">
      <formula1>-10</formula1>
      <formula2>10</formula2>
    </dataValidation>
    <dataValidation sqref="E54" showDropDown="0" showInputMessage="0" showErrorMessage="1" allowBlank="1" errorTitle="Valor fora da faixa" error="PV atual: use um número inteiro de 0 a 999." type="whole" errorStyle="warning" operator="between">
      <formula1>0</formula1>
      <formula2>999</formula2>
    </dataValidation>
    <dataValidation sqref="F54" showDropDown="0" showInputMessage="0" showErrorMessage="1" allowBlank="1" errorTitle="Valor fora da faixa" error="Dano agora: use um número inteiro de -999 a 999." type="whole" errorStyle="warning" operator="between">
      <formula1>-999</formula1>
      <formula2>999</formula2>
    </dataValidation>
    <dataValidation sqref="I54" showDropDown="0" showInputMessage="0" showErrorMessage="1" allowBlank="1" errorTitle="Valor fora da faixa" error="Fase em vigor: use um número inteiro de 1 a 3." type="whole" errorStyle="warning" operator="between">
      <formula1>1</formula1>
      <formula2>3</formula2>
    </dataValidation>
    <dataValidation sqref="C70" showDropDown="0" showInputMessage="0" showErrorMessage="1" allowBlank="1" errorTitle="Valor fora da faixa" error="Redução acumulada: use um número inteiro de 0 a 99." type="whole" errorStyle="warning" operator="between">
      <formula1>0</formula1>
      <formula2>99</formula2>
    </dataValidation>
    <dataValidation sqref="B83" showDropDown="0" showInputMessage="0" showErrorMessage="1" allowBlank="1" errorTitle="Fora da lista" error="Elemento que quebrou: escolha um valor da lista. A planilha pode não reconhecer outro valor." type="list" errorStyle="warning">
      <formula1>'Dados'!$AN$6:$AN$12</formula1>
    </dataValidation>
    <dataValidation sqref="C83" showDropDown="0" showInputMessage="0" showErrorMessage="1" allowBlank="1" errorTitle="Fora da lista" error="Quem quebrou: escolha um valor da lista. A planilha pode não reconhecer outro valor." type="list" errorStyle="warning">
      <formula1>'Combate'!$N$11:$N$16</formula1>
    </dataValidation>
    <dataValidation sqref="C97" showDropDown="0" showInputMessage="0" showErrorMessage="1" allowBlank="1" errorTitle="Valor fora da faixa" error="Usada no Ciclo: use um número inteiro de 1 a 99." type="whole" errorStyle="warning" operator="between">
      <formula1>1</formula1>
      <formula2>99</formula2>
    </dataValidation>
    <dataValidation sqref="F97" showDropDown="0" showInputMessage="0" showErrorMessage="1" allowBlank="1" errorTitle="Valor fora da faixa" error="Usada no Ciclo: use um número inteiro de 1 a 99." type="whole" errorStyle="warning" operator="between">
      <formula1>1</formula1>
      <formula2>99</formula2>
    </dataValidation>
    <dataValidation sqref="I97" showDropDown="0" showInputMessage="0" showErrorMessage="1" allowBlank="1" errorTitle="Valor fora da faixa" error="Usada no Ciclo: use um número inteiro de 1 a 99." type="whole" errorStyle="warning" operator="between">
      <formula1>1</formula1>
      <formula2>99</formula2>
    </dataValidation>
    <dataValidation sqref="C42" showDropDown="0" showInputMessage="0" showErrorMessage="1" allowBlank="1" errorTitle="Fora da lista" error="Trocar por: escolha um valor da lista. A planilha pode não reconhecer outro valor." type="list" errorStyle="warning">
      <formula1>'Inimigos'!$N$11:$N$54</formula1>
    </dataValidation>
    <dataValidation sqref="B55" showDropDown="0" showInputMessage="0" showErrorMessage="1" allowBlank="1" errorTitle="Valor fora da faixa" error="Ajuste de VEL: use um número inteiro de -10 a 10." type="whole" errorStyle="warning" operator="between">
      <formula1>-10</formula1>
      <formula2>10</formula2>
    </dataValidation>
    <dataValidation sqref="E55" showDropDown="0" showInputMessage="0" showErrorMessage="1" allowBlank="1" errorTitle="Valor fora da faixa" error="PV atual: use um número inteiro de 0 a 999." type="whole" errorStyle="warning" operator="between">
      <formula1>0</formula1>
      <formula2>999</formula2>
    </dataValidation>
    <dataValidation sqref="F55" showDropDown="0" showInputMessage="0" showErrorMessage="1" allowBlank="1" errorTitle="Valor fora da faixa" error="Dano agora: use um número inteiro de -999 a 999." type="whole" errorStyle="warning" operator="between">
      <formula1>-999</formula1>
      <formula2>999</formula2>
    </dataValidation>
    <dataValidation sqref="I55" showDropDown="0" showInputMessage="0" showErrorMessage="1" allowBlank="1" errorTitle="Valor fora da faixa" error="Fase em vigor: use um número inteiro de 1 a 3." type="whole" errorStyle="warning" operator="between">
      <formula1>1</formula1>
      <formula2>3</formula2>
    </dataValidation>
    <dataValidation sqref="C71" showDropDown="0" showInputMessage="0" showErrorMessage="1" allowBlank="1" errorTitle="Valor fora da faixa" error="Redução acumulada: use um número inteiro de 0 a 99." type="whole" errorStyle="warning" operator="between">
      <formula1>0</formula1>
      <formula2>99</formula2>
    </dataValidation>
    <dataValidation sqref="B84" showDropDown="0" showInputMessage="0" showErrorMessage="1" allowBlank="1" errorTitle="Fora da lista" error="Elemento que quebrou: escolha um valor da lista. A planilha pode não reconhecer outro valor." type="list" errorStyle="warning">
      <formula1>'Dados'!$AN$6:$AN$12</formula1>
    </dataValidation>
    <dataValidation sqref="C84" showDropDown="0" showInputMessage="0" showErrorMessage="1" allowBlank="1" errorTitle="Fora da lista" error="Quem quebrou: escolha um valor da lista. A planilha pode não reconhecer outro valor." type="list" errorStyle="warning">
      <formula1>'Combate'!$N$11:$N$16</formula1>
    </dataValidation>
    <dataValidation sqref="C98" showDropDown="0" showInputMessage="0" showErrorMessage="1" allowBlank="1" errorTitle="Valor fora da faixa" error="Usada no Ciclo: use um número inteiro de 1 a 99." type="whole" errorStyle="warning" operator="between">
      <formula1>1</formula1>
      <formula2>99</formula2>
    </dataValidation>
    <dataValidation sqref="F98" showDropDown="0" showInputMessage="0" showErrorMessage="1" allowBlank="1" errorTitle="Valor fora da faixa" error="Usada no Ciclo: use um número inteiro de 1 a 99." type="whole" errorStyle="warning" operator="between">
      <formula1>1</formula1>
      <formula2>99</formula2>
    </dataValidation>
    <dataValidation sqref="I98" showDropDown="0" showInputMessage="0" showErrorMessage="1" allowBlank="1" errorTitle="Valor fora da faixa" error="Usada no Ciclo: use um número inteiro de 1 a 99." type="whole" errorStyle="warning" operator="between">
      <formula1>1</formula1>
      <formula2>99</formula2>
    </dataValidation>
    <dataValidation sqref="C102" showDropDown="0" showInputMessage="0" showErrorMessage="1" allowBlank="1" errorTitle="Valor fora da faixa" error="Ordem entre empatados: use um número inteiro de 1 a 5." type="whole" errorStyle="warning" operator="between">
      <formula1>1</formula1>
      <formula2>5</formula2>
    </dataValidation>
    <dataValidation sqref="D102" showDropDown="0" showInputMessage="0" showErrorMessage="1" allowBlank="1" errorTitle="Valor fora da faixa" error="Atraso: use um número inteiro de 0 a 20." type="whole" errorStyle="warning" operator="between">
      <formula1>0</formula1>
      <formula2>20</formula2>
    </dataValidation>
    <dataValidation sqref="E102" showDropDown="0" showInputMessage="0" showErrorMessage="1" allowBlank="1" errorTitle="Valor fora da faixa" error="Atraso pendente: use um número inteiro de 0 a 20." type="whole" errorStyle="warning" operator="between">
      <formula1>0</formula1>
      <formula2>20</formula2>
    </dataValidation>
    <dataValidation sqref="F102" showDropDown="0" showInputMessage="0" showErrorMessage="1" allowBlank="1" errorTitle="Valor fora da faixa" error="Avançar: use um número inteiro de 0 a 20." type="whole" errorStyle="warning" operator="between">
      <formula1>0</formula1>
      <formula2>20</formula2>
    </dataValidation>
    <dataValidation sqref="G102" showDropDown="0" showInputMessage="0" showErrorMessage="1" allowBlank="1" errorTitle="Fora da lista" error="Avanço Total: escolha um valor da lista. A planilha pode não reconhecer outro valor." type="list" errorStyle="warning">
      <formula1>'Dados'!$AT$6:$AT$7</formula1>
    </dataValidation>
    <dataValidation sqref="H102" showDropDown="0" showInputMessage="0" showErrorMessage="1" allowBlank="1" errorTitle="Fora da lista" error="Já agiu?: escolha um valor da lista. A planilha pode não reconhecer outro valor." type="list" errorStyle="warning">
      <formula1>'Dados'!$AT$6:$AT$7</formula1>
    </dataValidation>
    <dataValidation sqref="I102" showDropDown="0" showInputMessage="0" showErrorMessage="1" allowBlank="1" errorTitle="Valor fora da faixa" error="Casa manual: use um número inteiro de 1 a 16." type="whole" errorStyle="warning" operator="between">
      <formula1>1</formula1>
      <formula2>16</formula2>
    </dataValidation>
    <dataValidation sqref="C103" showDropDown="0" showInputMessage="0" showErrorMessage="1" allowBlank="1" errorTitle="Valor fora da faixa" error="Ordem entre empatados: use um número inteiro de 1 a 5." type="whole" errorStyle="warning" operator="between">
      <formula1>1</formula1>
      <formula2>5</formula2>
    </dataValidation>
    <dataValidation sqref="D103" showDropDown="0" showInputMessage="0" showErrorMessage="1" allowBlank="1" errorTitle="Valor fora da faixa" error="Atraso: use um número inteiro de 0 a 20." type="whole" errorStyle="warning" operator="between">
      <formula1>0</formula1>
      <formula2>20</formula2>
    </dataValidation>
    <dataValidation sqref="E103" showDropDown="0" showInputMessage="0" showErrorMessage="1" allowBlank="1" errorTitle="Valor fora da faixa" error="Atraso pendente: use um número inteiro de 0 a 20." type="whole" errorStyle="warning" operator="between">
      <formula1>0</formula1>
      <formula2>20</formula2>
    </dataValidation>
    <dataValidation sqref="F103" showDropDown="0" showInputMessage="0" showErrorMessage="1" allowBlank="1" errorTitle="Valor fora da faixa" error="Avançar: use um número inteiro de 0 a 20." type="whole" errorStyle="warning" operator="between">
      <formula1>0</formula1>
      <formula2>20</formula2>
    </dataValidation>
    <dataValidation sqref="G103" showDropDown="0" showInputMessage="0" showErrorMessage="1" allowBlank="1" errorTitle="Fora da lista" error="Avanço Total: escolha um valor da lista. A planilha pode não reconhecer outro valor." type="list" errorStyle="warning">
      <formula1>'Dados'!$AT$6:$AT$7</formula1>
    </dataValidation>
    <dataValidation sqref="H103" showDropDown="0" showInputMessage="0" showErrorMessage="1" allowBlank="1" errorTitle="Fora da lista" error="Já agiu?: escolha um valor da lista. A planilha pode não reconhecer outro valor." type="list" errorStyle="warning">
      <formula1>'Dados'!$AT$6:$AT$7</formula1>
    </dataValidation>
    <dataValidation sqref="I103" showDropDown="0" showInputMessage="0" showErrorMessage="1" allowBlank="1" errorTitle="Valor fora da faixa" error="Casa manual: use um número inteiro de 1 a 16." type="whole" errorStyle="warning" operator="between">
      <formula1>1</formula1>
      <formula2>16</formula2>
    </dataValidation>
    <dataValidation sqref="C104" showDropDown="0" showInputMessage="0" showErrorMessage="1" allowBlank="1" errorTitle="Valor fora da faixa" error="Ordem entre empatados: use um número inteiro de 1 a 5." type="whole" errorStyle="warning" operator="between">
      <formula1>1</formula1>
      <formula2>5</formula2>
    </dataValidation>
    <dataValidation sqref="D104" showDropDown="0" showInputMessage="0" showErrorMessage="1" allowBlank="1" errorTitle="Valor fora da faixa" error="Atraso: use um número inteiro de 0 a 20." type="whole" errorStyle="warning" operator="between">
      <formula1>0</formula1>
      <formula2>20</formula2>
    </dataValidation>
    <dataValidation sqref="E104" showDropDown="0" showInputMessage="0" showErrorMessage="1" allowBlank="1" errorTitle="Valor fora da faixa" error="Atraso pendente: use um número inteiro de 0 a 20." type="whole" errorStyle="warning" operator="between">
      <formula1>0</formula1>
      <formula2>20</formula2>
    </dataValidation>
    <dataValidation sqref="F104" showDropDown="0" showInputMessage="0" showErrorMessage="1" allowBlank="1" errorTitle="Valor fora da faixa" error="Avançar: use um número inteiro de 0 a 20." type="whole" errorStyle="warning" operator="between">
      <formula1>0</formula1>
      <formula2>20</formula2>
    </dataValidation>
    <dataValidation sqref="G104" showDropDown="0" showInputMessage="0" showErrorMessage="1" allowBlank="1" errorTitle="Fora da lista" error="Avanço Total: escolha um valor da lista. A planilha pode não reconhecer outro valor." type="list" errorStyle="warning">
      <formula1>'Dados'!$AT$6:$AT$7</formula1>
    </dataValidation>
    <dataValidation sqref="H104" showDropDown="0" showInputMessage="0" showErrorMessage="1" allowBlank="1" errorTitle="Fora da lista" error="Já agiu?: escolha um valor da lista. A planilha pode não reconhecer outro valor." type="list" errorStyle="warning">
      <formula1>'Dados'!$AT$6:$AT$7</formula1>
    </dataValidation>
    <dataValidation sqref="I104" showDropDown="0" showInputMessage="0" showErrorMessage="1" allowBlank="1" errorTitle="Valor fora da faixa" error="Casa manual: use um número inteiro de 1 a 16." type="whole" errorStyle="warning" operator="between">
      <formula1>1</formula1>
      <formula2>16</formula2>
    </dataValidation>
    <dataValidation sqref="C105" showDropDown="0" showInputMessage="0" showErrorMessage="1" allowBlank="1" errorTitle="Valor fora da faixa" error="Ordem entre empatados: use um número inteiro de 1 a 5." type="whole" errorStyle="warning" operator="between">
      <formula1>1</formula1>
      <formula2>5</formula2>
    </dataValidation>
    <dataValidation sqref="D105" showDropDown="0" showInputMessage="0" showErrorMessage="1" allowBlank="1" errorTitle="Valor fora da faixa" error="Atraso: use um número inteiro de 0 a 20." type="whole" errorStyle="warning" operator="between">
      <formula1>0</formula1>
      <formula2>20</formula2>
    </dataValidation>
    <dataValidation sqref="E105" showDropDown="0" showInputMessage="0" showErrorMessage="1" allowBlank="1" errorTitle="Valor fora da faixa" error="Atraso pendente: use um número inteiro de 0 a 20." type="whole" errorStyle="warning" operator="between">
      <formula1>0</formula1>
      <formula2>20</formula2>
    </dataValidation>
    <dataValidation sqref="F105" showDropDown="0" showInputMessage="0" showErrorMessage="1" allowBlank="1" errorTitle="Valor fora da faixa" error="Avançar: use um número inteiro de 0 a 20." type="whole" errorStyle="warning" operator="between">
      <formula1>0</formula1>
      <formula2>20</formula2>
    </dataValidation>
    <dataValidation sqref="G105" showDropDown="0" showInputMessage="0" showErrorMessage="1" allowBlank="1" errorTitle="Fora da lista" error="Avanço Total: escolha um valor da lista. A planilha pode não reconhecer outro valor." type="list" errorStyle="warning">
      <formula1>'Dados'!$AT$6:$AT$7</formula1>
    </dataValidation>
    <dataValidation sqref="H105" showDropDown="0" showInputMessage="0" showErrorMessage="1" allowBlank="1" errorTitle="Fora da lista" error="Já agiu?: escolha um valor da lista. A planilha pode não reconhecer outro valor." type="list" errorStyle="warning">
      <formula1>'Dados'!$AT$6:$AT$7</formula1>
    </dataValidation>
    <dataValidation sqref="I105" showDropDown="0" showInputMessage="0" showErrorMessage="1" allowBlank="1" errorTitle="Valor fora da faixa" error="Casa manual: use um número inteiro de 1 a 16." type="whole" errorStyle="warning" operator="between">
      <formula1>1</formula1>
      <formula2>16</formula2>
    </dataValidation>
    <dataValidation sqref="C106" showDropDown="0" showInputMessage="0" showErrorMessage="1" allowBlank="1" errorTitle="Valor fora da faixa" error="Ordem entre empatados: use um número inteiro de 1 a 5." type="whole" errorStyle="warning" operator="between">
      <formula1>1</formula1>
      <formula2>5</formula2>
    </dataValidation>
    <dataValidation sqref="D106" showDropDown="0" showInputMessage="0" showErrorMessage="1" allowBlank="1" errorTitle="Valor fora da faixa" error="Atraso: use um número inteiro de 0 a 20." type="whole" errorStyle="warning" operator="between">
      <formula1>0</formula1>
      <formula2>20</formula2>
    </dataValidation>
    <dataValidation sqref="E106" showDropDown="0" showInputMessage="0" showErrorMessage="1" allowBlank="1" errorTitle="Valor fora da faixa" error="Atraso pendente: use um número inteiro de 0 a 20." type="whole" errorStyle="warning" operator="between">
      <formula1>0</formula1>
      <formula2>20</formula2>
    </dataValidation>
    <dataValidation sqref="F106" showDropDown="0" showInputMessage="0" showErrorMessage="1" allowBlank="1" errorTitle="Valor fora da faixa" error="Avançar: use um número inteiro de 0 a 20." type="whole" errorStyle="warning" operator="between">
      <formula1>0</formula1>
      <formula2>20</formula2>
    </dataValidation>
    <dataValidation sqref="G106" showDropDown="0" showInputMessage="0" showErrorMessage="1" allowBlank="1" errorTitle="Fora da lista" error="Avanço Total: escolha um valor da lista. A planilha pode não reconhecer outro valor." type="list" errorStyle="warning">
      <formula1>'Dados'!$AT$6:$AT$7</formula1>
    </dataValidation>
    <dataValidation sqref="H106" showDropDown="0" showInputMessage="0" showErrorMessage="1" allowBlank="1" errorTitle="Fora da lista" error="Já agiu?: escolha um valor da lista. A planilha pode não reconhecer outro valor." type="list" errorStyle="warning">
      <formula1>'Dados'!$AT$6:$AT$7</formula1>
    </dataValidation>
    <dataValidation sqref="I106" showDropDown="0" showInputMessage="0" showErrorMessage="1" allowBlank="1" errorTitle="Valor fora da faixa" error="Casa manual: use um número inteiro de 1 a 16." type="whole" errorStyle="warning" operator="between">
      <formula1>1</formula1>
      <formula2>16</formula2>
    </dataValidation>
    <dataValidation sqref="C107" showDropDown="0" showInputMessage="0" showErrorMessage="1" allowBlank="1" errorTitle="Valor fora da faixa" error="Ordem entre empatados: use um número inteiro de 1 a 5." type="whole" errorStyle="warning" operator="between">
      <formula1>1</formula1>
      <formula2>5</formula2>
    </dataValidation>
    <dataValidation sqref="D107" showDropDown="0" showInputMessage="0" showErrorMessage="1" allowBlank="1" errorTitle="Valor fora da faixa" error="Atraso: use um número inteiro de 0 a 20." type="whole" errorStyle="warning" operator="between">
      <formula1>0</formula1>
      <formula2>20</formula2>
    </dataValidation>
    <dataValidation sqref="E107" showDropDown="0" showInputMessage="0" showErrorMessage="1" allowBlank="1" errorTitle="Valor fora da faixa" error="Atraso pendente: use um número inteiro de 0 a 20." type="whole" errorStyle="warning" operator="between">
      <formula1>0</formula1>
      <formula2>20</formula2>
    </dataValidation>
    <dataValidation sqref="F107" showDropDown="0" showInputMessage="0" showErrorMessage="1" allowBlank="1" errorTitle="Valor fora da faixa" error="Avançar: use um número inteiro de 0 a 20." type="whole" errorStyle="warning" operator="between">
      <formula1>0</formula1>
      <formula2>20</formula2>
    </dataValidation>
    <dataValidation sqref="G107" showDropDown="0" showInputMessage="0" showErrorMessage="1" allowBlank="1" errorTitle="Fora da lista" error="Avanço Total: escolha um valor da lista. A planilha pode não reconhecer outro valor." type="list" errorStyle="warning">
      <formula1>'Dados'!$AT$6:$AT$7</formula1>
    </dataValidation>
    <dataValidation sqref="H107" showDropDown="0" showInputMessage="0" showErrorMessage="1" allowBlank="1" errorTitle="Fora da lista" error="Já agiu?: escolha um valor da lista. A planilha pode não reconhecer outro valor." type="list" errorStyle="warning">
      <formula1>'Dados'!$AT$6:$AT$7</formula1>
    </dataValidation>
    <dataValidation sqref="I107" showDropDown="0" showInputMessage="0" showErrorMessage="1" allowBlank="1" errorTitle="Valor fora da faixa" error="Casa manual: use um número inteiro de 1 a 16." type="whole" errorStyle="warning" operator="between">
      <formula1>1</formula1>
      <formula2>16</formula2>
    </dataValidation>
    <dataValidation sqref="D108" showDropDown="0" showInputMessage="0" showErrorMessage="1" allowBlank="1" errorTitle="Valor fora da faixa" error="Atraso: use um número inteiro de 0 a 20." type="whole" errorStyle="warning" operator="between">
      <formula1>0</formula1>
      <formula2>20</formula2>
    </dataValidation>
    <dataValidation sqref="E108" showDropDown="0" showInputMessage="0" showErrorMessage="1" allowBlank="1" errorTitle="Valor fora da faixa" error="Atraso pendente: use um número inteiro de 0 a 20." type="whole" errorStyle="warning" operator="between">
      <formula1>0</formula1>
      <formula2>20</formula2>
    </dataValidation>
    <dataValidation sqref="F108" showDropDown="0" showInputMessage="0" showErrorMessage="1" allowBlank="1" errorTitle="Valor fora da faixa" error="Avançar: use um número inteiro de 0 a 20." type="whole" errorStyle="warning" operator="between">
      <formula1>0</formula1>
      <formula2>20</formula2>
    </dataValidation>
    <dataValidation sqref="G108" showDropDown="0" showInputMessage="0" showErrorMessage="1" allowBlank="1" errorTitle="Fora da lista" error="Avanço Total: escolha um valor da lista. A planilha pode não reconhecer outro valor." type="list" errorStyle="warning">
      <formula1>'Dados'!$AT$6:$AT$7</formula1>
    </dataValidation>
    <dataValidation sqref="H108" showDropDown="0" showInputMessage="0" showErrorMessage="1" allowBlank="1" errorTitle="Fora da lista" error="Já agiu?: escolha um valor da lista. A planilha pode não reconhecer outro valor." type="list" errorStyle="warning">
      <formula1>'Dados'!$AT$6:$AT$7</formula1>
    </dataValidation>
    <dataValidation sqref="I108" showDropDown="0" showInputMessage="0" showErrorMessage="1" allowBlank="1" errorTitle="Valor fora da faixa" error="Casa manual: use um número inteiro de 1 a 16." type="whole" errorStyle="warning" operator="between">
      <formula1>1</formula1>
      <formula2>16</formula2>
    </dataValidation>
    <dataValidation sqref="D109" showDropDown="0" showInputMessage="0" showErrorMessage="1" allowBlank="1" errorTitle="Valor fora da faixa" error="Atraso: use um número inteiro de 0 a 20." type="whole" errorStyle="warning" operator="between">
      <formula1>0</formula1>
      <formula2>20</formula2>
    </dataValidation>
    <dataValidation sqref="E109" showDropDown="0" showInputMessage="0" showErrorMessage="1" allowBlank="1" errorTitle="Valor fora da faixa" error="Atraso pendente: use um número inteiro de 0 a 20." type="whole" errorStyle="warning" operator="between">
      <formula1>0</formula1>
      <formula2>20</formula2>
    </dataValidation>
    <dataValidation sqref="F109" showDropDown="0" showInputMessage="0" showErrorMessage="1" allowBlank="1" errorTitle="Valor fora da faixa" error="Avançar: use um número inteiro de 0 a 20." type="whole" errorStyle="warning" operator="between">
      <formula1>0</formula1>
      <formula2>20</formula2>
    </dataValidation>
    <dataValidation sqref="G109" showDropDown="0" showInputMessage="0" showErrorMessage="1" allowBlank="1" errorTitle="Fora da lista" error="Avanço Total: escolha um valor da lista. A planilha pode não reconhecer outro valor." type="list" errorStyle="warning">
      <formula1>'Dados'!$AT$6:$AT$7</formula1>
    </dataValidation>
    <dataValidation sqref="H109" showDropDown="0" showInputMessage="0" showErrorMessage="1" allowBlank="1" errorTitle="Fora da lista" error="Já agiu?: escolha um valor da lista. A planilha pode não reconhecer outro valor." type="list" errorStyle="warning">
      <formula1>'Dados'!$AT$6:$AT$7</formula1>
    </dataValidation>
    <dataValidation sqref="I109" showDropDown="0" showInputMessage="0" showErrorMessage="1" allowBlank="1" errorTitle="Valor fora da faixa" error="Casa manual: use um número inteiro de 1 a 16." type="whole" errorStyle="warning" operator="between">
      <formula1>1</formula1>
      <formula2>16</formula2>
    </dataValidation>
    <dataValidation sqref="D110" showDropDown="0" showInputMessage="0" showErrorMessage="1" allowBlank="1" errorTitle="Valor fora da faixa" error="Atraso: use um número inteiro de 0 a 20." type="whole" errorStyle="warning" operator="between">
      <formula1>0</formula1>
      <formula2>20</formula2>
    </dataValidation>
    <dataValidation sqref="E110" showDropDown="0" showInputMessage="0" showErrorMessage="1" allowBlank="1" errorTitle="Valor fora da faixa" error="Atraso pendente: use um número inteiro de 0 a 20." type="whole" errorStyle="warning" operator="between">
      <formula1>0</formula1>
      <formula2>20</formula2>
    </dataValidation>
    <dataValidation sqref="F110" showDropDown="0" showInputMessage="0" showErrorMessage="1" allowBlank="1" errorTitle="Valor fora da faixa" error="Avançar: use um número inteiro de 0 a 20." type="whole" errorStyle="warning" operator="between">
      <formula1>0</formula1>
      <formula2>20</formula2>
    </dataValidation>
    <dataValidation sqref="G110" showDropDown="0" showInputMessage="0" showErrorMessage="1" allowBlank="1" errorTitle="Fora da lista" error="Avanço Total: escolha um valor da lista. A planilha pode não reconhecer outro valor." type="list" errorStyle="warning">
      <formula1>'Dados'!$AT$6:$AT$7</formula1>
    </dataValidation>
    <dataValidation sqref="H110" showDropDown="0" showInputMessage="0" showErrorMessage="1" allowBlank="1" errorTitle="Fora da lista" error="Já agiu?: escolha um valor da lista. A planilha pode não reconhecer outro valor." type="list" errorStyle="warning">
      <formula1>'Dados'!$AT$6:$AT$7</formula1>
    </dataValidation>
    <dataValidation sqref="I110" showDropDown="0" showInputMessage="0" showErrorMessage="1" allowBlank="1" errorTitle="Valor fora da faixa" error="Casa manual: use um número inteiro de 1 a 16." type="whole" errorStyle="warning" operator="between">
      <formula1>1</formula1>
      <formula2>16</formula2>
    </dataValidation>
    <dataValidation sqref="D111" showDropDown="0" showInputMessage="0" showErrorMessage="1" allowBlank="1" errorTitle="Valor fora da faixa" error="Atraso: use um número inteiro de 0 a 20." type="whole" errorStyle="warning" operator="between">
      <formula1>0</formula1>
      <formula2>20</formula2>
    </dataValidation>
    <dataValidation sqref="E111" showDropDown="0" showInputMessage="0" showErrorMessage="1" allowBlank="1" errorTitle="Valor fora da faixa" error="Atraso pendente: use um número inteiro de 0 a 20." type="whole" errorStyle="warning" operator="between">
      <formula1>0</formula1>
      <formula2>20</formula2>
    </dataValidation>
    <dataValidation sqref="F111" showDropDown="0" showInputMessage="0" showErrorMessage="1" allowBlank="1" errorTitle="Valor fora da faixa" error="Avançar: use um número inteiro de 0 a 20." type="whole" errorStyle="warning" operator="between">
      <formula1>0</formula1>
      <formula2>20</formula2>
    </dataValidation>
    <dataValidation sqref="G111" showDropDown="0" showInputMessage="0" showErrorMessage="1" allowBlank="1" errorTitle="Fora da lista" error="Avanço Total: escolha um valor da lista. A planilha pode não reconhecer outro valor." type="list" errorStyle="warning">
      <formula1>'Dados'!$AT$6:$AT$7</formula1>
    </dataValidation>
    <dataValidation sqref="H111" showDropDown="0" showInputMessage="0" showErrorMessage="1" allowBlank="1" errorTitle="Fora da lista" error="Já agiu?: escolha um valor da lista. A planilha pode não reconhecer outro valor." type="list" errorStyle="warning">
      <formula1>'Dados'!$AT$6:$AT$7</formula1>
    </dataValidation>
    <dataValidation sqref="I111" showDropDown="0" showInputMessage="0" showErrorMessage="1" allowBlank="1" errorTitle="Valor fora da faixa" error="Casa manual: use um número inteiro de 1 a 16." type="whole" errorStyle="warning" operator="between">
      <formula1>1</formula1>
      <formula2>16</formula2>
    </dataValidation>
    <dataValidation sqref="D113" showDropDown="0" showInputMessage="0" showErrorMessage="1" allowBlank="1" errorTitle="Valor fora da faixa" error="Atraso: use um número inteiro de 0 a 20." type="whole" errorStyle="warning" operator="between">
      <formula1>0</formula1>
      <formula2>20</formula2>
    </dataValidation>
    <dataValidation sqref="E113" showDropDown="0" showInputMessage="0" showErrorMessage="1" allowBlank="1" errorTitle="Valor fora da faixa" error="Atraso pendente: use um número inteiro de 0 a 20." type="whole" errorStyle="warning" operator="between">
      <formula1>0</formula1>
      <formula2>20</formula2>
    </dataValidation>
    <dataValidation sqref="F113" showDropDown="0" showInputMessage="0" showErrorMessage="1" allowBlank="1" errorTitle="Valor fora da faixa" error="Avançar: use um número inteiro de 0 a 20." type="whole" errorStyle="warning" operator="between">
      <formula1>0</formula1>
      <formula2>20</formula2>
    </dataValidation>
    <dataValidation sqref="G113" showDropDown="0" showInputMessage="0" showErrorMessage="1" allowBlank="1" errorTitle="Fora da lista" error="Avanço Total: escolha um valor da lista. A planilha pode não reconhecer outro valor." type="list" errorStyle="warning">
      <formula1>'Dados'!$AT$6:$AT$7</formula1>
    </dataValidation>
    <dataValidation sqref="H113" showDropDown="0" showInputMessage="0" showErrorMessage="1" allowBlank="1" errorTitle="Fora da lista" error="Já agiu?: escolha um valor da lista. A planilha pode não reconhecer outro valor." type="list" errorStyle="warning">
      <formula1>'Dados'!$AT$6:$AT$7</formula1>
    </dataValidation>
    <dataValidation sqref="I113" showDropDown="0" showInputMessage="0" showErrorMessage="1" allowBlank="1" errorTitle="Valor fora da faixa" error="Casa manual: use um número inteiro de 1 a 16." type="whole" errorStyle="warning" operator="between">
      <formula1>1</formula1>
      <formula2>16</formula2>
    </dataValidation>
    <dataValidation sqref="D114" showDropDown="0" showInputMessage="0" showErrorMessage="1" allowBlank="1" errorTitle="Valor fora da faixa" error="Atraso: use um número inteiro de 0 a 20." type="whole" errorStyle="warning" operator="between">
      <formula1>0</formula1>
      <formula2>20</formula2>
    </dataValidation>
    <dataValidation sqref="E114" showDropDown="0" showInputMessage="0" showErrorMessage="1" allowBlank="1" errorTitle="Valor fora da faixa" error="Atraso pendente: use um número inteiro de 0 a 20." type="whole" errorStyle="warning" operator="between">
      <formula1>0</formula1>
      <formula2>20</formula2>
    </dataValidation>
    <dataValidation sqref="F114" showDropDown="0" showInputMessage="0" showErrorMessage="1" allowBlank="1" errorTitle="Valor fora da faixa" error="Avançar: use um número inteiro de 0 a 20." type="whole" errorStyle="warning" operator="between">
      <formula1>0</formula1>
      <formula2>20</formula2>
    </dataValidation>
    <dataValidation sqref="G114" showDropDown="0" showInputMessage="0" showErrorMessage="1" allowBlank="1" errorTitle="Fora da lista" error="Avanço Total: escolha um valor da lista. A planilha pode não reconhecer outro valor." type="list" errorStyle="warning">
      <formula1>'Dados'!$AT$6:$AT$7</formula1>
    </dataValidation>
    <dataValidation sqref="H114" showDropDown="0" showInputMessage="0" showErrorMessage="1" allowBlank="1" errorTitle="Fora da lista" error="Já agiu?: escolha um valor da lista. A planilha pode não reconhecer outro valor." type="list" errorStyle="warning">
      <formula1>'Dados'!$AT$6:$AT$7</formula1>
    </dataValidation>
    <dataValidation sqref="I114" showDropDown="0" showInputMessage="0" showErrorMessage="1" allowBlank="1" errorTitle="Valor fora da faixa" error="Casa manual: use um número inteiro de 1 a 16." type="whole" errorStyle="warning" operator="between">
      <formula1>1</formula1>
      <formula2>16</formula2>
    </dataValidation>
    <dataValidation sqref="D115" showDropDown="0" showInputMessage="0" showErrorMessage="1" allowBlank="1" errorTitle="Valor fora da faixa" error="Atraso: use um número inteiro de 0 a 20." type="whole" errorStyle="warning" operator="between">
      <formula1>0</formula1>
      <formula2>20</formula2>
    </dataValidation>
    <dataValidation sqref="E115" showDropDown="0" showInputMessage="0" showErrorMessage="1" allowBlank="1" errorTitle="Valor fora da faixa" error="Atraso pendente: use um número inteiro de 0 a 20." type="whole" errorStyle="warning" operator="between">
      <formula1>0</formula1>
      <formula2>20</formula2>
    </dataValidation>
    <dataValidation sqref="F115" showDropDown="0" showInputMessage="0" showErrorMessage="1" allowBlank="1" errorTitle="Valor fora da faixa" error="Avançar: use um número inteiro de 0 a 20." type="whole" errorStyle="warning" operator="between">
      <formula1>0</formula1>
      <formula2>20</formula2>
    </dataValidation>
    <dataValidation sqref="G115" showDropDown="0" showInputMessage="0" showErrorMessage="1" allowBlank="1" errorTitle="Fora da lista" error="Avanço Total: escolha um valor da lista. A planilha pode não reconhecer outro valor." type="list" errorStyle="warning">
      <formula1>'Dados'!$AT$6:$AT$7</formula1>
    </dataValidation>
    <dataValidation sqref="H115" showDropDown="0" showInputMessage="0" showErrorMessage="1" allowBlank="1" errorTitle="Fora da lista" error="Já agiu?: escolha um valor da lista. A planilha pode não reconhecer outro valor." type="list" errorStyle="warning">
      <formula1>'Dados'!$AT$6:$AT$7</formula1>
    </dataValidation>
    <dataValidation sqref="I115" showDropDown="0" showInputMessage="0" showErrorMessage="1" allowBlank="1" errorTitle="Valor fora da faixa" error="Casa manual: use um número inteiro de 1 a 16." type="whole" errorStyle="warning" operator="between">
      <formula1>1</formula1>
      <formula2>16</formula2>
    </dataValidation>
    <dataValidation sqref="D116" showDropDown="0" showInputMessage="0" showErrorMessage="1" allowBlank="1" errorTitle="Valor fora da faixa" error="Atraso: use um número inteiro de 0 a 20." type="whole" errorStyle="warning" operator="between">
      <formula1>0</formula1>
      <formula2>20</formula2>
    </dataValidation>
    <dataValidation sqref="E116" showDropDown="0" showInputMessage="0" showErrorMessage="1" allowBlank="1" errorTitle="Valor fora da faixa" error="Atraso pendente: use um número inteiro de 0 a 20." type="whole" errorStyle="warning" operator="between">
      <formula1>0</formula1>
      <formula2>20</formula2>
    </dataValidation>
    <dataValidation sqref="F116" showDropDown="0" showInputMessage="0" showErrorMessage="1" allowBlank="1" errorTitle="Valor fora da faixa" error="Avançar: use um número inteiro de 0 a 20." type="whole" errorStyle="warning" operator="between">
      <formula1>0</formula1>
      <formula2>20</formula2>
    </dataValidation>
    <dataValidation sqref="G116" showDropDown="0" showInputMessage="0" showErrorMessage="1" allowBlank="1" errorTitle="Fora da lista" error="Avanço Total: escolha um valor da lista. A planilha pode não reconhecer outro valor." type="list" errorStyle="warning">
      <formula1>'Dados'!$AT$6:$AT$7</formula1>
    </dataValidation>
    <dataValidation sqref="H116" showDropDown="0" showInputMessage="0" showErrorMessage="1" allowBlank="1" errorTitle="Fora da lista" error="Já agiu?: escolha um valor da lista. A planilha pode não reconhecer outro valor." type="list" errorStyle="warning">
      <formula1>'Dados'!$AT$6:$AT$7</formula1>
    </dataValidation>
    <dataValidation sqref="I116" showDropDown="0" showInputMessage="0" showErrorMessage="1" allowBlank="1" errorTitle="Valor fora da faixa" error="Casa manual: use um número inteiro de 1 a 16." type="whole" errorStyle="warning" operator="between">
      <formula1>1</formula1>
      <formula2>16</formula2>
    </dataValidation>
    <dataValidation sqref="D117" showDropDown="0" showInputMessage="0" showErrorMessage="1" allowBlank="1" errorTitle="Valor fora da faixa" error="Atraso: use um número inteiro de 0 a 20." type="whole" errorStyle="warning" operator="between">
      <formula1>0</formula1>
      <formula2>20</formula2>
    </dataValidation>
    <dataValidation sqref="E117" showDropDown="0" showInputMessage="0" showErrorMessage="1" allowBlank="1" errorTitle="Valor fora da faixa" error="Atraso pendente: use um número inteiro de 0 a 20." type="whole" errorStyle="warning" operator="between">
      <formula1>0</formula1>
      <formula2>20</formula2>
    </dataValidation>
    <dataValidation sqref="F117" showDropDown="0" showInputMessage="0" showErrorMessage="1" allowBlank="1" errorTitle="Valor fora da faixa" error="Avançar: use um número inteiro de 0 a 20." type="whole" errorStyle="warning" operator="between">
      <formula1>0</formula1>
      <formula2>20</formula2>
    </dataValidation>
    <dataValidation sqref="G117" showDropDown="0" showInputMessage="0" showErrorMessage="1" allowBlank="1" errorTitle="Fora da lista" error="Avanço Total: escolha um valor da lista. A planilha pode não reconhecer outro valor." type="list" errorStyle="warning">
      <formula1>'Dados'!$AT$6:$AT$7</formula1>
    </dataValidation>
    <dataValidation sqref="H117" showDropDown="0" showInputMessage="0" showErrorMessage="1" allowBlank="1" errorTitle="Fora da lista" error="Já agiu?: escolha um valor da lista. A planilha pode não reconhecer outro valor." type="list" errorStyle="warning">
      <formula1>'Dados'!$AT$6:$AT$7</formula1>
    </dataValidation>
    <dataValidation sqref="I117" showDropDown="0" showInputMessage="0" showErrorMessage="1" allowBlank="1" errorTitle="Valor fora da faixa" error="Casa manual: use um número inteiro de 1 a 16." type="whole" errorStyle="warning" operator="between">
      <formula1>1</formula1>
      <formula2>16</formula2>
    </dataValidation>
    <dataValidation sqref="D118" showDropDown="0" showInputMessage="0" showErrorMessage="1" allowBlank="1" errorTitle="Valor fora da faixa" error="Atraso: use um número inteiro de 0 a 20." type="whole" errorStyle="warning" operator="between">
      <formula1>0</formula1>
      <formula2>20</formula2>
    </dataValidation>
    <dataValidation sqref="E118" showDropDown="0" showInputMessage="0" showErrorMessage="1" allowBlank="1" errorTitle="Valor fora da faixa" error="Atraso pendente: use um número inteiro de 0 a 20." type="whole" errorStyle="warning" operator="between">
      <formula1>0</formula1>
      <formula2>20</formula2>
    </dataValidation>
    <dataValidation sqref="F118" showDropDown="0" showInputMessage="0" showErrorMessage="1" allowBlank="1" errorTitle="Valor fora da faixa" error="Avançar: use um número inteiro de 0 a 20." type="whole" errorStyle="warning" operator="between">
      <formula1>0</formula1>
      <formula2>20</formula2>
    </dataValidation>
    <dataValidation sqref="G118" showDropDown="0" showInputMessage="0" showErrorMessage="1" allowBlank="1" errorTitle="Fora da lista" error="Avanço Total: escolha um valor da lista. A planilha pode não reconhecer outro valor." type="list" errorStyle="warning">
      <formula1>'Dados'!$AT$6:$AT$7</formula1>
    </dataValidation>
    <dataValidation sqref="H118" showDropDown="0" showInputMessage="0" showErrorMessage="1" allowBlank="1" errorTitle="Fora da lista" error="Já agiu?: escolha um valor da lista. A planilha pode não reconhecer outro valor." type="list" errorStyle="warning">
      <formula1>'Dados'!$AT$6:$AT$7</formula1>
    </dataValidation>
    <dataValidation sqref="I118" showDropDown="0" showInputMessage="0" showErrorMessage="1" allowBlank="1" errorTitle="Valor fora da faixa" error="Casa manual: use um número inteiro de 1 a 16." type="whole" errorStyle="warning" operator="between">
      <formula1>1</formula1>
      <formula2>16</formula2>
    </dataValidation>
    <dataValidation sqref="A158" showDropDown="0" showInputMessage="0" showErrorMessage="1" allowBlank="1" errorTitle="Fora da lista" error="Combatente: escolha um valor da lista. A planilha pode não reconhecer outro valor." type="list" errorStyle="warning">
      <formula1>'Combate'!$N$11:$N$26</formula1>
    </dataValidation>
    <dataValidation sqref="B158" showDropDown="0" showInputMessage="0" showErrorMessage="1" allowBlank="1" errorTitle="Fora da lista" error="Condição: escolha um valor da lista. A planilha pode não reconhecer outro valor." type="list" errorStyle="warning">
      <formula1>'Dados'!$BG$6:$BG$19</formula1>
    </dataValidation>
    <dataValidation sqref="D158" showDropDown="0" showInputMessage="0" showErrorMessage="1" allowBlank="1" errorTitle="Valor fora da faixa" error="Turnos: use um número inteiro de 0 a 20." type="whole" errorStyle="warning" operator="between">
      <formula1>0</formula1>
      <formula2>20</formula2>
    </dataValidation>
    <dataValidation sqref="E158" showDropDown="0" showInputMessage="0" showErrorMessage="1" allowBlank="1" errorTitle="Valor fora da faixa" error="Acúmulos: use um número inteiro de 0 a 5." type="whole" errorStyle="warning" operator="between">
      <formula1>0</formula1>
      <formula2>5</formula2>
    </dataValidation>
    <dataValidation sqref="F158" showDropDown="0" showInputMessage="0" showErrorMessage="1" allowBlank="1" errorTitle="Fora da lista" error="Quem aplicou: escolha um valor da lista. A planilha pode não reconhecer outro valor." type="list" errorStyle="warning">
      <formula1>'Combate'!$N$11:$N$26</formula1>
    </dataValidation>
    <dataValidation sqref="A159" showDropDown="0" showInputMessage="0" showErrorMessage="1" allowBlank="1" errorTitle="Fora da lista" error="Combatente: escolha um valor da lista. A planilha pode não reconhecer outro valor." type="list" errorStyle="warning">
      <formula1>'Combate'!$N$11:$N$26</formula1>
    </dataValidation>
    <dataValidation sqref="B159" showDropDown="0" showInputMessage="0" showErrorMessage="1" allowBlank="1" errorTitle="Fora da lista" error="Condição: escolha um valor da lista. A planilha pode não reconhecer outro valor." type="list" errorStyle="warning">
      <formula1>'Dados'!$BG$6:$BG$19</formula1>
    </dataValidation>
    <dataValidation sqref="D159" showDropDown="0" showInputMessage="0" showErrorMessage="1" allowBlank="1" errorTitle="Valor fora da faixa" error="Turnos: use um número inteiro de 0 a 20." type="whole" errorStyle="warning" operator="between">
      <formula1>0</formula1>
      <formula2>20</formula2>
    </dataValidation>
    <dataValidation sqref="E159" showDropDown="0" showInputMessage="0" showErrorMessage="1" allowBlank="1" errorTitle="Valor fora da faixa" error="Acúmulos: use um número inteiro de 0 a 5." type="whole" errorStyle="warning" operator="between">
      <formula1>0</formula1>
      <formula2>5</formula2>
    </dataValidation>
    <dataValidation sqref="F159" showDropDown="0" showInputMessage="0" showErrorMessage="1" allowBlank="1" errorTitle="Fora da lista" error="Quem aplicou: escolha um valor da lista. A planilha pode não reconhecer outro valor." type="list" errorStyle="warning">
      <formula1>'Combate'!$N$11:$N$26</formula1>
    </dataValidation>
    <dataValidation sqref="A160" showDropDown="0" showInputMessage="0" showErrorMessage="1" allowBlank="1" errorTitle="Fora da lista" error="Combatente: escolha um valor da lista. A planilha pode não reconhecer outro valor." type="list" errorStyle="warning">
      <formula1>'Combate'!$N$11:$N$26</formula1>
    </dataValidation>
    <dataValidation sqref="B160" showDropDown="0" showInputMessage="0" showErrorMessage="1" allowBlank="1" errorTitle="Fora da lista" error="Condição: escolha um valor da lista. A planilha pode não reconhecer outro valor." type="list" errorStyle="warning">
      <formula1>'Dados'!$BG$6:$BG$19</formula1>
    </dataValidation>
    <dataValidation sqref="D160" showDropDown="0" showInputMessage="0" showErrorMessage="1" allowBlank="1" errorTitle="Valor fora da faixa" error="Turnos: use um número inteiro de 0 a 20." type="whole" errorStyle="warning" operator="between">
      <formula1>0</formula1>
      <formula2>20</formula2>
    </dataValidation>
    <dataValidation sqref="E160" showDropDown="0" showInputMessage="0" showErrorMessage="1" allowBlank="1" errorTitle="Valor fora da faixa" error="Acúmulos: use um número inteiro de 0 a 5." type="whole" errorStyle="warning" operator="between">
      <formula1>0</formula1>
      <formula2>5</formula2>
    </dataValidation>
    <dataValidation sqref="F160" showDropDown="0" showInputMessage="0" showErrorMessage="1" allowBlank="1" errorTitle="Fora da lista" error="Quem aplicou: escolha um valor da lista. A planilha pode não reconhecer outro valor." type="list" errorStyle="warning">
      <formula1>'Combate'!$N$11:$N$26</formula1>
    </dataValidation>
    <dataValidation sqref="A161" showDropDown="0" showInputMessage="0" showErrorMessage="1" allowBlank="1" errorTitle="Fora da lista" error="Combatente: escolha um valor da lista. A planilha pode não reconhecer outro valor." type="list" errorStyle="warning">
      <formula1>'Combate'!$N$11:$N$26</formula1>
    </dataValidation>
    <dataValidation sqref="B161" showDropDown="0" showInputMessage="0" showErrorMessage="1" allowBlank="1" errorTitle="Fora da lista" error="Condição: escolha um valor da lista. A planilha pode não reconhecer outro valor." type="list" errorStyle="warning">
      <formula1>'Dados'!$BG$6:$BG$19</formula1>
    </dataValidation>
    <dataValidation sqref="D161" showDropDown="0" showInputMessage="0" showErrorMessage="1" allowBlank="1" errorTitle="Valor fora da faixa" error="Turnos: use um número inteiro de 0 a 20." type="whole" errorStyle="warning" operator="between">
      <formula1>0</formula1>
      <formula2>20</formula2>
    </dataValidation>
    <dataValidation sqref="E161" showDropDown="0" showInputMessage="0" showErrorMessage="1" allowBlank="1" errorTitle="Valor fora da faixa" error="Acúmulos: use um número inteiro de 0 a 5." type="whole" errorStyle="warning" operator="between">
      <formula1>0</formula1>
      <formula2>5</formula2>
    </dataValidation>
    <dataValidation sqref="F161" showDropDown="0" showInputMessage="0" showErrorMessage="1" allowBlank="1" errorTitle="Fora da lista" error="Quem aplicou: escolha um valor da lista. A planilha pode não reconhecer outro valor." type="list" errorStyle="warning">
      <formula1>'Combate'!$N$11:$N$26</formula1>
    </dataValidation>
    <dataValidation sqref="A162" showDropDown="0" showInputMessage="0" showErrorMessage="1" allowBlank="1" errorTitle="Fora da lista" error="Combatente: escolha um valor da lista. A planilha pode não reconhecer outro valor." type="list" errorStyle="warning">
      <formula1>'Combate'!$N$11:$N$26</formula1>
    </dataValidation>
    <dataValidation sqref="B162" showDropDown="0" showInputMessage="0" showErrorMessage="1" allowBlank="1" errorTitle="Fora da lista" error="Condição: escolha um valor da lista. A planilha pode não reconhecer outro valor." type="list" errorStyle="warning">
      <formula1>'Dados'!$BG$6:$BG$19</formula1>
    </dataValidation>
    <dataValidation sqref="D162" showDropDown="0" showInputMessage="0" showErrorMessage="1" allowBlank="1" errorTitle="Valor fora da faixa" error="Turnos: use um número inteiro de 0 a 20." type="whole" errorStyle="warning" operator="between">
      <formula1>0</formula1>
      <formula2>20</formula2>
    </dataValidation>
    <dataValidation sqref="E162" showDropDown="0" showInputMessage="0" showErrorMessage="1" allowBlank="1" errorTitle="Valor fora da faixa" error="Acúmulos: use um número inteiro de 0 a 5." type="whole" errorStyle="warning" operator="between">
      <formula1>0</formula1>
      <formula2>5</formula2>
    </dataValidation>
    <dataValidation sqref="F162" showDropDown="0" showInputMessage="0" showErrorMessage="1" allowBlank="1" errorTitle="Fora da lista" error="Quem aplicou: escolha um valor da lista. A planilha pode não reconhecer outro valor." type="list" errorStyle="warning">
      <formula1>'Combate'!$N$11:$N$26</formula1>
    </dataValidation>
    <dataValidation sqref="A163" showDropDown="0" showInputMessage="0" showErrorMessage="1" allowBlank="1" errorTitle="Fora da lista" error="Combatente: escolha um valor da lista. A planilha pode não reconhecer outro valor." type="list" errorStyle="warning">
      <formula1>'Combate'!$N$11:$N$26</formula1>
    </dataValidation>
    <dataValidation sqref="B163" showDropDown="0" showInputMessage="0" showErrorMessage="1" allowBlank="1" errorTitle="Fora da lista" error="Condição: escolha um valor da lista. A planilha pode não reconhecer outro valor." type="list" errorStyle="warning">
      <formula1>'Dados'!$BG$6:$BG$19</formula1>
    </dataValidation>
    <dataValidation sqref="D163" showDropDown="0" showInputMessage="0" showErrorMessage="1" allowBlank="1" errorTitle="Valor fora da faixa" error="Turnos: use um número inteiro de 0 a 20." type="whole" errorStyle="warning" operator="between">
      <formula1>0</formula1>
      <formula2>20</formula2>
    </dataValidation>
    <dataValidation sqref="E163" showDropDown="0" showInputMessage="0" showErrorMessage="1" allowBlank="1" errorTitle="Valor fora da faixa" error="Acúmulos: use um número inteiro de 0 a 5." type="whole" errorStyle="warning" operator="between">
      <formula1>0</formula1>
      <formula2>5</formula2>
    </dataValidation>
    <dataValidation sqref="F163" showDropDown="0" showInputMessage="0" showErrorMessage="1" allowBlank="1" errorTitle="Fora da lista" error="Quem aplicou: escolha um valor da lista. A planilha pode não reconhecer outro valor." type="list" errorStyle="warning">
      <formula1>'Combate'!$N$11:$N$26</formula1>
    </dataValidation>
    <dataValidation sqref="A164" showDropDown="0" showInputMessage="0" showErrorMessage="1" allowBlank="1" errorTitle="Fora da lista" error="Combatente: escolha um valor da lista. A planilha pode não reconhecer outro valor." type="list" errorStyle="warning">
      <formula1>'Combate'!$N$11:$N$26</formula1>
    </dataValidation>
    <dataValidation sqref="B164" showDropDown="0" showInputMessage="0" showErrorMessage="1" allowBlank="1" errorTitle="Fora da lista" error="Condição: escolha um valor da lista. A planilha pode não reconhecer outro valor." type="list" errorStyle="warning">
      <formula1>'Dados'!$BG$6:$BG$19</formula1>
    </dataValidation>
    <dataValidation sqref="D164" showDropDown="0" showInputMessage="0" showErrorMessage="1" allowBlank="1" errorTitle="Valor fora da faixa" error="Turnos: use um número inteiro de 0 a 20." type="whole" errorStyle="warning" operator="between">
      <formula1>0</formula1>
      <formula2>20</formula2>
    </dataValidation>
    <dataValidation sqref="E164" showDropDown="0" showInputMessage="0" showErrorMessage="1" allowBlank="1" errorTitle="Valor fora da faixa" error="Acúmulos: use um número inteiro de 0 a 5." type="whole" errorStyle="warning" operator="between">
      <formula1>0</formula1>
      <formula2>5</formula2>
    </dataValidation>
    <dataValidation sqref="F164" showDropDown="0" showInputMessage="0" showErrorMessage="1" allowBlank="1" errorTitle="Fora da lista" error="Quem aplicou: escolha um valor da lista. A planilha pode não reconhecer outro valor." type="list" errorStyle="warning">
      <formula1>'Combate'!$N$11:$N$26</formula1>
    </dataValidation>
    <dataValidation sqref="A165" showDropDown="0" showInputMessage="0" showErrorMessage="1" allowBlank="1" errorTitle="Fora da lista" error="Combatente: escolha um valor da lista. A planilha pode não reconhecer outro valor." type="list" errorStyle="warning">
      <formula1>'Combate'!$N$11:$N$26</formula1>
    </dataValidation>
    <dataValidation sqref="B165" showDropDown="0" showInputMessage="0" showErrorMessage="1" allowBlank="1" errorTitle="Fora da lista" error="Condição: escolha um valor da lista. A planilha pode não reconhecer outro valor." type="list" errorStyle="warning">
      <formula1>'Dados'!$BG$6:$BG$19</formula1>
    </dataValidation>
    <dataValidation sqref="D165" showDropDown="0" showInputMessage="0" showErrorMessage="1" allowBlank="1" errorTitle="Valor fora da faixa" error="Turnos: use um número inteiro de 0 a 20." type="whole" errorStyle="warning" operator="between">
      <formula1>0</formula1>
      <formula2>20</formula2>
    </dataValidation>
    <dataValidation sqref="E165" showDropDown="0" showInputMessage="0" showErrorMessage="1" allowBlank="1" errorTitle="Valor fora da faixa" error="Acúmulos: use um número inteiro de 0 a 5." type="whole" errorStyle="warning" operator="between">
      <formula1>0</formula1>
      <formula2>5</formula2>
    </dataValidation>
    <dataValidation sqref="F165" showDropDown="0" showInputMessage="0" showErrorMessage="1" allowBlank="1" errorTitle="Fora da lista" error="Quem aplicou: escolha um valor da lista. A planilha pode não reconhecer outro valor." type="list" errorStyle="warning">
      <formula1>'Combate'!$N$11:$N$26</formula1>
    </dataValidation>
    <dataValidation sqref="A166" showDropDown="0" showInputMessage="0" showErrorMessage="1" allowBlank="1" errorTitle="Fora da lista" error="Combatente: escolha um valor da lista. A planilha pode não reconhecer outro valor." type="list" errorStyle="warning">
      <formula1>'Combate'!$N$11:$N$26</formula1>
    </dataValidation>
    <dataValidation sqref="B166" showDropDown="0" showInputMessage="0" showErrorMessage="1" allowBlank="1" errorTitle="Fora da lista" error="Condição: escolha um valor da lista. A planilha pode não reconhecer outro valor." type="list" errorStyle="warning">
      <formula1>'Dados'!$BG$6:$BG$19</formula1>
    </dataValidation>
    <dataValidation sqref="D166" showDropDown="0" showInputMessage="0" showErrorMessage="1" allowBlank="1" errorTitle="Valor fora da faixa" error="Turnos: use um número inteiro de 0 a 20." type="whole" errorStyle="warning" operator="between">
      <formula1>0</formula1>
      <formula2>20</formula2>
    </dataValidation>
    <dataValidation sqref="E166" showDropDown="0" showInputMessage="0" showErrorMessage="1" allowBlank="1" errorTitle="Valor fora da faixa" error="Acúmulos: use um número inteiro de 0 a 5." type="whole" errorStyle="warning" operator="between">
      <formula1>0</formula1>
      <formula2>5</formula2>
    </dataValidation>
    <dataValidation sqref="F166" showDropDown="0" showInputMessage="0" showErrorMessage="1" allowBlank="1" errorTitle="Fora da lista" error="Quem aplicou: escolha um valor da lista. A planilha pode não reconhecer outro valor." type="list" errorStyle="warning">
      <formula1>'Combate'!$N$11:$N$26</formula1>
    </dataValidation>
    <dataValidation sqref="A167" showDropDown="0" showInputMessage="0" showErrorMessage="1" allowBlank="1" errorTitle="Fora da lista" error="Combatente: escolha um valor da lista. A planilha pode não reconhecer outro valor." type="list" errorStyle="warning">
      <formula1>'Combate'!$N$11:$N$26</formula1>
    </dataValidation>
    <dataValidation sqref="B167" showDropDown="0" showInputMessage="0" showErrorMessage="1" allowBlank="1" errorTitle="Fora da lista" error="Condição: escolha um valor da lista. A planilha pode não reconhecer outro valor." type="list" errorStyle="warning">
      <formula1>'Dados'!$BG$6:$BG$19</formula1>
    </dataValidation>
    <dataValidation sqref="D167" showDropDown="0" showInputMessage="0" showErrorMessage="1" allowBlank="1" errorTitle="Valor fora da faixa" error="Turnos: use um número inteiro de 0 a 20." type="whole" errorStyle="warning" operator="between">
      <formula1>0</formula1>
      <formula2>20</formula2>
    </dataValidation>
    <dataValidation sqref="E167" showDropDown="0" showInputMessage="0" showErrorMessage="1" allowBlank="1" errorTitle="Valor fora da faixa" error="Acúmulos: use um número inteiro de 0 a 5." type="whole" errorStyle="warning" operator="between">
      <formula1>0</formula1>
      <formula2>5</formula2>
    </dataValidation>
    <dataValidation sqref="F167" showDropDown="0" showInputMessage="0" showErrorMessage="1" allowBlank="1" errorTitle="Fora da lista" error="Quem aplicou: escolha um valor da lista. A planilha pode não reconhecer outro valor." type="list" errorStyle="warning">
      <formula1>'Combate'!$N$11:$N$26</formula1>
    </dataValidation>
    <dataValidation sqref="A168" showDropDown="0" showInputMessage="0" showErrorMessage="1" allowBlank="1" errorTitle="Fora da lista" error="Combatente: escolha um valor da lista. A planilha pode não reconhecer outro valor." type="list" errorStyle="warning">
      <formula1>'Combate'!$N$11:$N$26</formula1>
    </dataValidation>
    <dataValidation sqref="B168" showDropDown="0" showInputMessage="0" showErrorMessage="1" allowBlank="1" errorTitle="Fora da lista" error="Condição: escolha um valor da lista. A planilha pode não reconhecer outro valor." type="list" errorStyle="warning">
      <formula1>'Dados'!$BG$6:$BG$19</formula1>
    </dataValidation>
    <dataValidation sqref="D168" showDropDown="0" showInputMessage="0" showErrorMessage="1" allowBlank="1" errorTitle="Valor fora da faixa" error="Turnos: use um número inteiro de 0 a 20." type="whole" errorStyle="warning" operator="between">
      <formula1>0</formula1>
      <formula2>20</formula2>
    </dataValidation>
    <dataValidation sqref="E168" showDropDown="0" showInputMessage="0" showErrorMessage="1" allowBlank="1" errorTitle="Valor fora da faixa" error="Acúmulos: use um número inteiro de 0 a 5." type="whole" errorStyle="warning" operator="between">
      <formula1>0</formula1>
      <formula2>5</formula2>
    </dataValidation>
    <dataValidation sqref="F168" showDropDown="0" showInputMessage="0" showErrorMessage="1" allowBlank="1" errorTitle="Fora da lista" error="Quem aplicou: escolha um valor da lista. A planilha pode não reconhecer outro valor." type="list" errorStyle="warning">
      <formula1>'Combate'!$N$11:$N$26</formula1>
    </dataValidation>
    <dataValidation sqref="A169" showDropDown="0" showInputMessage="0" showErrorMessage="1" allowBlank="1" errorTitle="Fora da lista" error="Combatente: escolha um valor da lista. A planilha pode não reconhecer outro valor." type="list" errorStyle="warning">
      <formula1>'Combate'!$N$11:$N$26</formula1>
    </dataValidation>
    <dataValidation sqref="B169" showDropDown="0" showInputMessage="0" showErrorMessage="1" allowBlank="1" errorTitle="Fora da lista" error="Condição: escolha um valor da lista. A planilha pode não reconhecer outro valor." type="list" errorStyle="warning">
      <formula1>'Dados'!$BG$6:$BG$19</formula1>
    </dataValidation>
    <dataValidation sqref="D169" showDropDown="0" showInputMessage="0" showErrorMessage="1" allowBlank="1" errorTitle="Valor fora da faixa" error="Turnos: use um número inteiro de 0 a 20." type="whole" errorStyle="warning" operator="between">
      <formula1>0</formula1>
      <formula2>20</formula2>
    </dataValidation>
    <dataValidation sqref="E169" showDropDown="0" showInputMessage="0" showErrorMessage="1" allowBlank="1" errorTitle="Valor fora da faixa" error="Acúmulos: use um número inteiro de 0 a 5." type="whole" errorStyle="warning" operator="between">
      <formula1>0</formula1>
      <formula2>5</formula2>
    </dataValidation>
    <dataValidation sqref="F169" showDropDown="0" showInputMessage="0" showErrorMessage="1" allowBlank="1" errorTitle="Fora da lista" error="Quem aplicou: escolha um valor da lista. A planilha pode não reconhecer outro valor." type="list" errorStyle="warning">
      <formula1>'Combate'!$N$11:$N$26</formula1>
    </dataValidation>
    <dataValidation sqref="A171" showDropDown="0" showInputMessage="0" showErrorMessage="1" allowBlank="1" errorTitle="Fora da lista" error="Combatente: escolha um valor da lista. A planilha pode não reconhecer outro valor." type="list" errorStyle="warning">
      <formula1>'Combate'!$N$11:$N$26</formula1>
    </dataValidation>
    <dataValidation sqref="B171" showDropDown="0" showInputMessage="0" showErrorMessage="1" allowBlank="1" errorTitle="Fora da lista" error="Condição: escolha um valor da lista. A planilha pode não reconhecer outro valor." type="list" errorStyle="warning">
      <formula1>'Dados'!$BG$6:$BG$19</formula1>
    </dataValidation>
    <dataValidation sqref="D171" showDropDown="0" showInputMessage="0" showErrorMessage="1" allowBlank="1" errorTitle="Valor fora da faixa" error="Turnos: use um número inteiro de 0 a 20." type="whole" errorStyle="warning" operator="between">
      <formula1>0</formula1>
      <formula2>20</formula2>
    </dataValidation>
    <dataValidation sqref="E171" showDropDown="0" showInputMessage="0" showErrorMessage="1" allowBlank="1" errorTitle="Valor fora da faixa" error="Acúmulos: use um número inteiro de 0 a 5." type="whole" errorStyle="warning" operator="between">
      <formula1>0</formula1>
      <formula2>5</formula2>
    </dataValidation>
    <dataValidation sqref="F171" showDropDown="0" showInputMessage="0" showErrorMessage="1" allowBlank="1" errorTitle="Fora da lista" error="Quem aplicou: escolha um valor da lista. A planilha pode não reconhecer outro valor." type="list" errorStyle="warning">
      <formula1>'Combate'!$N$11:$N$26</formula1>
    </dataValidation>
    <dataValidation sqref="A172" showDropDown="0" showInputMessage="0" showErrorMessage="1" allowBlank="1" errorTitle="Fora da lista" error="Combatente: escolha um valor da lista. A planilha pode não reconhecer outro valor." type="list" errorStyle="warning">
      <formula1>'Combate'!$N$11:$N$26</formula1>
    </dataValidation>
    <dataValidation sqref="B172" showDropDown="0" showInputMessage="0" showErrorMessage="1" allowBlank="1" errorTitle="Fora da lista" error="Condição: escolha um valor da lista. A planilha pode não reconhecer outro valor." type="list" errorStyle="warning">
      <formula1>'Dados'!$BG$6:$BG$19</formula1>
    </dataValidation>
    <dataValidation sqref="D172" showDropDown="0" showInputMessage="0" showErrorMessage="1" allowBlank="1" errorTitle="Valor fora da faixa" error="Turnos: use um número inteiro de 0 a 20." type="whole" errorStyle="warning" operator="between">
      <formula1>0</formula1>
      <formula2>20</formula2>
    </dataValidation>
    <dataValidation sqref="E172" showDropDown="0" showInputMessage="0" showErrorMessage="1" allowBlank="1" errorTitle="Valor fora da faixa" error="Acúmulos: use um número inteiro de 0 a 5." type="whole" errorStyle="warning" operator="between">
      <formula1>0</formula1>
      <formula2>5</formula2>
    </dataValidation>
    <dataValidation sqref="F172" showDropDown="0" showInputMessage="0" showErrorMessage="1" allowBlank="1" errorTitle="Fora da lista" error="Quem aplicou: escolha um valor da lista. A planilha pode não reconhecer outro valor." type="list" errorStyle="warning">
      <formula1>'Combate'!$N$11:$N$26</formula1>
    </dataValidation>
    <dataValidation sqref="A173" showDropDown="0" showInputMessage="0" showErrorMessage="1" allowBlank="1" errorTitle="Fora da lista" error="Combatente: escolha um valor da lista. A planilha pode não reconhecer outro valor." type="list" errorStyle="warning">
      <formula1>'Combate'!$N$11:$N$26</formula1>
    </dataValidation>
    <dataValidation sqref="B173" showDropDown="0" showInputMessage="0" showErrorMessage="1" allowBlank="1" errorTitle="Fora da lista" error="Condição: escolha um valor da lista. A planilha pode não reconhecer outro valor." type="list" errorStyle="warning">
      <formula1>'Dados'!$BG$6:$BG$19</formula1>
    </dataValidation>
    <dataValidation sqref="D173" showDropDown="0" showInputMessage="0" showErrorMessage="1" allowBlank="1" errorTitle="Valor fora da faixa" error="Turnos: use um número inteiro de 0 a 20." type="whole" errorStyle="warning" operator="between">
      <formula1>0</formula1>
      <formula2>20</formula2>
    </dataValidation>
    <dataValidation sqref="E173" showDropDown="0" showInputMessage="0" showErrorMessage="1" allowBlank="1" errorTitle="Valor fora da faixa" error="Acúmulos: use um número inteiro de 0 a 5." type="whole" errorStyle="warning" operator="between">
      <formula1>0</formula1>
      <formula2>5</formula2>
    </dataValidation>
    <dataValidation sqref="F173" showDropDown="0" showInputMessage="0" showErrorMessage="1" allowBlank="1" errorTitle="Fora da lista" error="Quem aplicou: escolha um valor da lista. A planilha pode não reconhecer outro valor." type="list" errorStyle="warning">
      <formula1>'Combate'!$N$11:$N$26</formula1>
    </dataValidation>
    <dataValidation sqref="A174" showDropDown="0" showInputMessage="0" showErrorMessage="1" allowBlank="1" errorTitle="Fora da lista" error="Combatente: escolha um valor da lista. A planilha pode não reconhecer outro valor." type="list" errorStyle="warning">
      <formula1>'Combate'!$N$11:$N$26</formula1>
    </dataValidation>
    <dataValidation sqref="B174" showDropDown="0" showInputMessage="0" showErrorMessage="1" allowBlank="1" errorTitle="Fora da lista" error="Condição: escolha um valor da lista. A planilha pode não reconhecer outro valor." type="list" errorStyle="warning">
      <formula1>'Dados'!$BG$6:$BG$19</formula1>
    </dataValidation>
    <dataValidation sqref="D174" showDropDown="0" showInputMessage="0" showErrorMessage="1" allowBlank="1" errorTitle="Valor fora da faixa" error="Turnos: use um número inteiro de 0 a 20." type="whole" errorStyle="warning" operator="between">
      <formula1>0</formula1>
      <formula2>20</formula2>
    </dataValidation>
    <dataValidation sqref="E174" showDropDown="0" showInputMessage="0" showErrorMessage="1" allowBlank="1" errorTitle="Valor fora da faixa" error="Acúmulos: use um número inteiro de 0 a 5." type="whole" errorStyle="warning" operator="between">
      <formula1>0</formula1>
      <formula2>5</formula2>
    </dataValidation>
    <dataValidation sqref="F174" showDropDown="0" showInputMessage="0" showErrorMessage="1" allowBlank="1" errorTitle="Fora da lista" error="Quem aplicou: escolha um valor da lista. A planilha pode não reconhecer outro valor." type="list" errorStyle="warning">
      <formula1>'Combate'!$N$11:$N$26</formula1>
    </dataValidation>
    <dataValidation sqref="A175" showDropDown="0" showInputMessage="0" showErrorMessage="1" allowBlank="1" errorTitle="Fora da lista" error="Combatente: escolha um valor da lista. A planilha pode não reconhecer outro valor." type="list" errorStyle="warning">
      <formula1>'Combate'!$N$11:$N$26</formula1>
    </dataValidation>
    <dataValidation sqref="B175" showDropDown="0" showInputMessage="0" showErrorMessage="1" allowBlank="1" errorTitle="Fora da lista" error="Condição: escolha um valor da lista. A planilha pode não reconhecer outro valor." type="list" errorStyle="warning">
      <formula1>'Dados'!$BG$6:$BG$19</formula1>
    </dataValidation>
    <dataValidation sqref="D175" showDropDown="0" showInputMessage="0" showErrorMessage="1" allowBlank="1" errorTitle="Valor fora da faixa" error="Turnos: use um número inteiro de 0 a 20." type="whole" errorStyle="warning" operator="between">
      <formula1>0</formula1>
      <formula2>20</formula2>
    </dataValidation>
    <dataValidation sqref="E175" showDropDown="0" showInputMessage="0" showErrorMessage="1" allowBlank="1" errorTitle="Valor fora da faixa" error="Acúmulos: use um número inteiro de 0 a 5." type="whole" errorStyle="warning" operator="between">
      <formula1>0</formula1>
      <formula2>5</formula2>
    </dataValidation>
    <dataValidation sqref="F175" showDropDown="0" showInputMessage="0" showErrorMessage="1" allowBlank="1" errorTitle="Fora da lista" error="Quem aplicou: escolha um valor da lista. A planilha pode não reconhecer outro valor." type="list" errorStyle="warning">
      <formula1>'Combate'!$N$11:$N$26</formula1>
    </dataValidation>
    <dataValidation sqref="A176" showDropDown="0" showInputMessage="0" showErrorMessage="1" allowBlank="1" errorTitle="Fora da lista" error="Combatente: escolha um valor da lista. A planilha pode não reconhecer outro valor." type="list" errorStyle="warning">
      <formula1>'Combate'!$N$11:$N$26</formula1>
    </dataValidation>
    <dataValidation sqref="B176" showDropDown="0" showInputMessage="0" showErrorMessage="1" allowBlank="1" errorTitle="Fora da lista" error="Condição: escolha um valor da lista. A planilha pode não reconhecer outro valor." type="list" errorStyle="warning">
      <formula1>'Dados'!$BG$6:$BG$19</formula1>
    </dataValidation>
    <dataValidation sqref="D176" showDropDown="0" showInputMessage="0" showErrorMessage="1" allowBlank="1" errorTitle="Valor fora da faixa" error="Turnos: use um número inteiro de 0 a 20." type="whole" errorStyle="warning" operator="between">
      <formula1>0</formula1>
      <formula2>20</formula2>
    </dataValidation>
    <dataValidation sqref="E176" showDropDown="0" showInputMessage="0" showErrorMessage="1" allowBlank="1" errorTitle="Valor fora da faixa" error="Acúmulos: use um número inteiro de 0 a 5." type="whole" errorStyle="warning" operator="between">
      <formula1>0</formula1>
      <formula2>5</formula2>
    </dataValidation>
    <dataValidation sqref="F176" showDropDown="0" showInputMessage="0" showErrorMessage="1" allowBlank="1" errorTitle="Fora da lista" error="Quem aplicou: escolha um valor da lista. A planilha pode não reconhecer outro valor." type="list" errorStyle="warning">
      <formula1>'Combate'!$N$11:$N$26</formula1>
    </dataValidation>
    <dataValidation sqref="A177" showDropDown="0" showInputMessage="0" showErrorMessage="1" allowBlank="1" errorTitle="Fora da lista" error="Combatente: escolha um valor da lista. A planilha pode não reconhecer outro valor." type="list" errorStyle="warning">
      <formula1>'Combate'!$N$11:$N$26</formula1>
    </dataValidation>
    <dataValidation sqref="B177" showDropDown="0" showInputMessage="0" showErrorMessage="1" allowBlank="1" errorTitle="Fora da lista" error="Condição: escolha um valor da lista. A planilha pode não reconhecer outro valor." type="list" errorStyle="warning">
      <formula1>'Dados'!$BG$6:$BG$19</formula1>
    </dataValidation>
    <dataValidation sqref="D177" showDropDown="0" showInputMessage="0" showErrorMessage="1" allowBlank="1" errorTitle="Valor fora da faixa" error="Turnos: use um número inteiro de 0 a 20." type="whole" errorStyle="warning" operator="between">
      <formula1>0</formula1>
      <formula2>20</formula2>
    </dataValidation>
    <dataValidation sqref="E177" showDropDown="0" showInputMessage="0" showErrorMessage="1" allowBlank="1" errorTitle="Valor fora da faixa" error="Acúmulos: use um número inteiro de 0 a 5." type="whole" errorStyle="warning" operator="between">
      <formula1>0</formula1>
      <formula2>5</formula2>
    </dataValidation>
    <dataValidation sqref="F177" showDropDown="0" showInputMessage="0" showErrorMessage="1" allowBlank="1" errorTitle="Fora da lista" error="Quem aplicou: escolha um valor da lista. A planilha pode não reconhecer outro valor." type="list" errorStyle="warning">
      <formula1>'Combate'!$N$11:$N$26</formula1>
    </dataValidation>
    <dataValidation sqref="A178" showDropDown="0" showInputMessage="0" showErrorMessage="1" allowBlank="1" errorTitle="Fora da lista" error="Combatente: escolha um valor da lista. A planilha pode não reconhecer outro valor." type="list" errorStyle="warning">
      <formula1>'Combate'!$N$11:$N$26</formula1>
    </dataValidation>
    <dataValidation sqref="B178" showDropDown="0" showInputMessage="0" showErrorMessage="1" allowBlank="1" errorTitle="Fora da lista" error="Condição: escolha um valor da lista. A planilha pode não reconhecer outro valor." type="list" errorStyle="warning">
      <formula1>'Dados'!$BG$6:$BG$19</formula1>
    </dataValidation>
    <dataValidation sqref="D178" showDropDown="0" showInputMessage="0" showErrorMessage="1" allowBlank="1" errorTitle="Valor fora da faixa" error="Turnos: use um número inteiro de 0 a 20." type="whole" errorStyle="warning" operator="between">
      <formula1>0</formula1>
      <formula2>20</formula2>
    </dataValidation>
    <dataValidation sqref="E178" showDropDown="0" showInputMessage="0" showErrorMessage="1" allowBlank="1" errorTitle="Valor fora da faixa" error="Acúmulos: use um número inteiro de 0 a 5." type="whole" errorStyle="warning" operator="between">
      <formula1>0</formula1>
      <formula2>5</formula2>
    </dataValidation>
    <dataValidation sqref="F178" showDropDown="0" showInputMessage="0" showErrorMessage="1" allowBlank="1" errorTitle="Fora da lista" error="Quem aplicou: escolha um valor da lista. A planilha pode não reconhecer outro valor." type="list" errorStyle="warning">
      <formula1>'Combate'!$N$11:$N$26</formula1>
    </dataValidation>
    <dataValidation sqref="A179" showDropDown="0" showInputMessage="0" showErrorMessage="1" allowBlank="1" errorTitle="Fora da lista" error="Combatente: escolha um valor da lista. A planilha pode não reconhecer outro valor." type="list" errorStyle="warning">
      <formula1>'Combate'!$N$11:$N$26</formula1>
    </dataValidation>
    <dataValidation sqref="B179" showDropDown="0" showInputMessage="0" showErrorMessage="1" allowBlank="1" errorTitle="Fora da lista" error="Condição: escolha um valor da lista. A planilha pode não reconhecer outro valor." type="list" errorStyle="warning">
      <formula1>'Dados'!$BG$6:$BG$19</formula1>
    </dataValidation>
    <dataValidation sqref="D179" showDropDown="0" showInputMessage="0" showErrorMessage="1" allowBlank="1" errorTitle="Valor fora da faixa" error="Turnos: use um número inteiro de 0 a 20." type="whole" errorStyle="warning" operator="between">
      <formula1>0</formula1>
      <formula2>20</formula2>
    </dataValidation>
    <dataValidation sqref="E179" showDropDown="0" showInputMessage="0" showErrorMessage="1" allowBlank="1" errorTitle="Valor fora da faixa" error="Acúmulos: use um número inteiro de 0 a 5." type="whole" errorStyle="warning" operator="between">
      <formula1>0</formula1>
      <formula2>5</formula2>
    </dataValidation>
    <dataValidation sqref="F179" showDropDown="0" showInputMessage="0" showErrorMessage="1" allowBlank="1" errorTitle="Fora da lista" error="Quem aplicou: escolha um valor da lista. A planilha pode não reconhecer outro valor." type="list" errorStyle="warning">
      <formula1>'Combate'!$N$11:$N$26</formula1>
    </dataValidation>
    <dataValidation sqref="A180" showDropDown="0" showInputMessage="0" showErrorMessage="1" allowBlank="1" errorTitle="Fora da lista" error="Combatente: escolha um valor da lista. A planilha pode não reconhecer outro valor." type="list" errorStyle="warning">
      <formula1>'Combate'!$N$11:$N$26</formula1>
    </dataValidation>
    <dataValidation sqref="B180" showDropDown="0" showInputMessage="0" showErrorMessage="1" allowBlank="1" errorTitle="Fora da lista" error="Condição: escolha um valor da lista. A planilha pode não reconhecer outro valor." type="list" errorStyle="warning">
      <formula1>'Dados'!$BG$6:$BG$19</formula1>
    </dataValidation>
    <dataValidation sqref="D180" showDropDown="0" showInputMessage="0" showErrorMessage="1" allowBlank="1" errorTitle="Valor fora da faixa" error="Turnos: use um número inteiro de 0 a 20." type="whole" errorStyle="warning" operator="between">
      <formula1>0</formula1>
      <formula2>20</formula2>
    </dataValidation>
    <dataValidation sqref="E180" showDropDown="0" showInputMessage="0" showErrorMessage="1" allowBlank="1" errorTitle="Valor fora da faixa" error="Acúmulos: use um número inteiro de 0 a 5." type="whole" errorStyle="warning" operator="between">
      <formula1>0</formula1>
      <formula2>5</formula2>
    </dataValidation>
    <dataValidation sqref="F180" showDropDown="0" showInputMessage="0" showErrorMessage="1" allowBlank="1" errorTitle="Fora da lista" error="Quem aplicou: escolha um valor da lista. A planilha pode não reconhecer outro valor." type="list" errorStyle="warning">
      <formula1>'Combate'!$N$11:$N$26</formula1>
    </dataValidation>
    <dataValidation sqref="A181" showDropDown="0" showInputMessage="0" showErrorMessage="1" allowBlank="1" errorTitle="Fora da lista" error="Combatente: escolha um valor da lista. A planilha pode não reconhecer outro valor." type="list" errorStyle="warning">
      <formula1>'Combate'!$N$11:$N$26</formula1>
    </dataValidation>
    <dataValidation sqref="B181" showDropDown="0" showInputMessage="0" showErrorMessage="1" allowBlank="1" errorTitle="Fora da lista" error="Condição: escolha um valor da lista. A planilha pode não reconhecer outro valor." type="list" errorStyle="warning">
      <formula1>'Dados'!$BG$6:$BG$19</formula1>
    </dataValidation>
    <dataValidation sqref="D181" showDropDown="0" showInputMessage="0" showErrorMessage="1" allowBlank="1" errorTitle="Valor fora da faixa" error="Turnos: use um número inteiro de 0 a 20." type="whole" errorStyle="warning" operator="between">
      <formula1>0</formula1>
      <formula2>20</formula2>
    </dataValidation>
    <dataValidation sqref="E181" showDropDown="0" showInputMessage="0" showErrorMessage="1" allowBlank="1" errorTitle="Valor fora da faixa" error="Acúmulos: use um número inteiro de 0 a 5." type="whole" errorStyle="warning" operator="between">
      <formula1>0</formula1>
      <formula2>5</formula2>
    </dataValidation>
    <dataValidation sqref="F181" showDropDown="0" showInputMessage="0" showErrorMessage="1" allowBlank="1" errorTitle="Fora da lista" error="Quem aplicou: escolha um valor da lista. A planilha pode não reconhecer outro valor." type="list" errorStyle="warning">
      <formula1>'Combate'!$N$11:$N$26</formula1>
    </dataValidation>
    <dataValidation sqref="A182" showDropDown="0" showInputMessage="0" showErrorMessage="1" allowBlank="1" errorTitle="Fora da lista" error="Combatente: escolha um valor da lista. A planilha pode não reconhecer outro valor." type="list" errorStyle="warning">
      <formula1>'Combate'!$N$11:$N$26</formula1>
    </dataValidation>
    <dataValidation sqref="B182" showDropDown="0" showInputMessage="0" showErrorMessage="1" allowBlank="1" errorTitle="Fora da lista" error="Condição: escolha um valor da lista. A planilha pode não reconhecer outro valor." type="list" errorStyle="warning">
      <formula1>'Dados'!$BG$6:$BG$19</formula1>
    </dataValidation>
    <dataValidation sqref="D182" showDropDown="0" showInputMessage="0" showErrorMessage="1" allowBlank="1" errorTitle="Valor fora da faixa" error="Turnos: use um número inteiro de 0 a 20." type="whole" errorStyle="warning" operator="between">
      <formula1>0</formula1>
      <formula2>20</formula2>
    </dataValidation>
    <dataValidation sqref="E182" showDropDown="0" showInputMessage="0" showErrorMessage="1" allowBlank="1" errorTitle="Valor fora da faixa" error="Acúmulos: use um número inteiro de 0 a 5." type="whole" errorStyle="warning" operator="between">
      <formula1>0</formula1>
      <formula2>5</formula2>
    </dataValidation>
    <dataValidation sqref="F182" showDropDown="0" showInputMessage="0" showErrorMessage="1" allowBlank="1" errorTitle="Fora da lista" error="Quem aplicou: escolha um valor da lista. A planilha pode não reconhecer outro valor." type="list" errorStyle="warning">
      <formula1>'Combate'!$N$11:$N$26</formula1>
    </dataValidation>
    <dataValidation sqref="A184" showDropDown="0" showInputMessage="0" showErrorMessage="1" allowBlank="1" errorTitle="Fora da lista" error="Combatente: escolha um valor da lista. A planilha pode não reconhecer outro valor." type="list" errorStyle="warning">
      <formula1>'Combate'!$N$11:$N$26</formula1>
    </dataValidation>
    <dataValidation sqref="B184" showDropDown="0" showInputMessage="0" showErrorMessage="1" allowBlank="1" errorTitle="Fora da lista" error="Condição: escolha um valor da lista. A planilha pode não reconhecer outro valor." type="list" errorStyle="warning">
      <formula1>'Dados'!$BG$6:$BG$19</formula1>
    </dataValidation>
    <dataValidation sqref="D184" showDropDown="0" showInputMessage="0" showErrorMessage="1" allowBlank="1" errorTitle="Valor fora da faixa" error="Turnos: use um número inteiro de 0 a 20." type="whole" errorStyle="warning" operator="between">
      <formula1>0</formula1>
      <formula2>20</formula2>
    </dataValidation>
    <dataValidation sqref="E184" showDropDown="0" showInputMessage="0" showErrorMessage="1" allowBlank="1" errorTitle="Valor fora da faixa" error="Acúmulos: use um número inteiro de 0 a 5." type="whole" errorStyle="warning" operator="between">
      <formula1>0</formula1>
      <formula2>5</formula2>
    </dataValidation>
    <dataValidation sqref="F184" showDropDown="0" showInputMessage="0" showErrorMessage="1" allowBlank="1" errorTitle="Fora da lista" error="Quem aplicou: escolha um valor da lista. A planilha pode não reconhecer outro valor." type="list" errorStyle="warning">
      <formula1>'Combate'!$N$11:$N$26</formula1>
    </dataValidation>
    <dataValidation sqref="A185" showDropDown="0" showInputMessage="0" showErrorMessage="1" allowBlank="1" errorTitle="Fora da lista" error="Combatente: escolha um valor da lista. A planilha pode não reconhecer outro valor." type="list" errorStyle="warning">
      <formula1>'Combate'!$N$11:$N$26</formula1>
    </dataValidation>
    <dataValidation sqref="B185" showDropDown="0" showInputMessage="0" showErrorMessage="1" allowBlank="1" errorTitle="Fora da lista" error="Condição: escolha um valor da lista. A planilha pode não reconhecer outro valor." type="list" errorStyle="warning">
      <formula1>'Dados'!$BG$6:$BG$19</formula1>
    </dataValidation>
    <dataValidation sqref="D185" showDropDown="0" showInputMessage="0" showErrorMessage="1" allowBlank="1" errorTitle="Valor fora da faixa" error="Turnos: use um número inteiro de 0 a 20." type="whole" errorStyle="warning" operator="between">
      <formula1>0</formula1>
      <formula2>20</formula2>
    </dataValidation>
    <dataValidation sqref="E185" showDropDown="0" showInputMessage="0" showErrorMessage="1" allowBlank="1" errorTitle="Valor fora da faixa" error="Acúmulos: use um número inteiro de 0 a 5." type="whole" errorStyle="warning" operator="between">
      <formula1>0</formula1>
      <formula2>5</formula2>
    </dataValidation>
    <dataValidation sqref="F185" showDropDown="0" showInputMessage="0" showErrorMessage="1" allowBlank="1" errorTitle="Fora da lista" error="Quem aplicou: escolha um valor da lista. A planilha pode não reconhecer outro valor." type="list" errorStyle="warning">
      <formula1>'Combate'!$N$11:$N$26</formula1>
    </dataValidation>
    <dataValidation sqref="A186" showDropDown="0" showInputMessage="0" showErrorMessage="1" allowBlank="1" errorTitle="Fora da lista" error="Combatente: escolha um valor da lista. A planilha pode não reconhecer outro valor." type="list" errorStyle="warning">
      <formula1>'Combate'!$N$11:$N$26</formula1>
    </dataValidation>
    <dataValidation sqref="B186" showDropDown="0" showInputMessage="0" showErrorMessage="1" allowBlank="1" errorTitle="Fora da lista" error="Condição: escolha um valor da lista. A planilha pode não reconhecer outro valor." type="list" errorStyle="warning">
      <formula1>'Dados'!$BG$6:$BG$19</formula1>
    </dataValidation>
    <dataValidation sqref="D186" showDropDown="0" showInputMessage="0" showErrorMessage="1" allowBlank="1" errorTitle="Valor fora da faixa" error="Turnos: use um número inteiro de 0 a 20." type="whole" errorStyle="warning" operator="between">
      <formula1>0</formula1>
      <formula2>20</formula2>
    </dataValidation>
    <dataValidation sqref="E186" showDropDown="0" showInputMessage="0" showErrorMessage="1" allowBlank="1" errorTitle="Valor fora da faixa" error="Acúmulos: use um número inteiro de 0 a 5." type="whole" errorStyle="warning" operator="between">
      <formula1>0</formula1>
      <formula2>5</formula2>
    </dataValidation>
    <dataValidation sqref="F186" showDropDown="0" showInputMessage="0" showErrorMessage="1" allowBlank="1" errorTitle="Fora da lista" error="Quem aplicou: escolha um valor da lista. A planilha pode não reconhecer outro valor." type="list" errorStyle="warning">
      <formula1>'Combate'!$N$11:$N$26</formula1>
    </dataValidation>
    <dataValidation sqref="A187" showDropDown="0" showInputMessage="0" showErrorMessage="1" allowBlank="1" errorTitle="Fora da lista" error="Combatente: escolha um valor da lista. A planilha pode não reconhecer outro valor." type="list" errorStyle="warning">
      <formula1>'Combate'!$N$11:$N$26</formula1>
    </dataValidation>
    <dataValidation sqref="B187" showDropDown="0" showInputMessage="0" showErrorMessage="1" allowBlank="1" errorTitle="Fora da lista" error="Condição: escolha um valor da lista. A planilha pode não reconhecer outro valor." type="list" errorStyle="warning">
      <formula1>'Dados'!$BG$6:$BG$19</formula1>
    </dataValidation>
    <dataValidation sqref="D187" showDropDown="0" showInputMessage="0" showErrorMessage="1" allowBlank="1" errorTitle="Valor fora da faixa" error="Turnos: use um número inteiro de 0 a 20." type="whole" errorStyle="warning" operator="between">
      <formula1>0</formula1>
      <formula2>20</formula2>
    </dataValidation>
    <dataValidation sqref="E187" showDropDown="0" showInputMessage="0" showErrorMessage="1" allowBlank="1" errorTitle="Valor fora da faixa" error="Acúmulos: use um número inteiro de 0 a 5." type="whole" errorStyle="warning" operator="between">
      <formula1>0</formula1>
      <formula2>5</formula2>
    </dataValidation>
    <dataValidation sqref="F187" showDropDown="0" showInputMessage="0" showErrorMessage="1" allowBlank="1" errorTitle="Fora da lista" error="Quem aplicou: escolha um valor da lista. A planilha pode não reconhecer outro valor." type="list" errorStyle="warning">
      <formula1>'Combate'!$N$11:$N$26</formula1>
    </dataValidation>
    <dataValidation sqref="A188" showDropDown="0" showInputMessage="0" showErrorMessage="1" allowBlank="1" errorTitle="Fora da lista" error="Combatente: escolha um valor da lista. A planilha pode não reconhecer outro valor." type="list" errorStyle="warning">
      <formula1>'Combate'!$N$11:$N$26</formula1>
    </dataValidation>
    <dataValidation sqref="B188" showDropDown="0" showInputMessage="0" showErrorMessage="1" allowBlank="1" errorTitle="Fora da lista" error="Condição: escolha um valor da lista. A planilha pode não reconhecer outro valor." type="list" errorStyle="warning">
      <formula1>'Dados'!$BG$6:$BG$19</formula1>
    </dataValidation>
    <dataValidation sqref="D188" showDropDown="0" showInputMessage="0" showErrorMessage="1" allowBlank="1" errorTitle="Valor fora da faixa" error="Turnos: use um número inteiro de 0 a 20." type="whole" errorStyle="warning" operator="between">
      <formula1>0</formula1>
      <formula2>20</formula2>
    </dataValidation>
    <dataValidation sqref="E188" showDropDown="0" showInputMessage="0" showErrorMessage="1" allowBlank="1" errorTitle="Valor fora da faixa" error="Acúmulos: use um número inteiro de 0 a 5." type="whole" errorStyle="warning" operator="between">
      <formula1>0</formula1>
      <formula2>5</formula2>
    </dataValidation>
    <dataValidation sqref="F188" showDropDown="0" showInputMessage="0" showErrorMessage="1" allowBlank="1" errorTitle="Fora da lista" error="Quem aplicou: escolha um valor da lista. A planilha pode não reconhecer outro valor." type="list" errorStyle="warning">
      <formula1>'Combate'!$N$11:$N$26</formula1>
    </dataValidation>
    <dataValidation sqref="A189" showDropDown="0" showInputMessage="0" showErrorMessage="1" allowBlank="1" errorTitle="Fora da lista" error="Combatente: escolha um valor da lista. A planilha pode não reconhecer outro valor." type="list" errorStyle="warning">
      <formula1>'Combate'!$N$11:$N$26</formula1>
    </dataValidation>
    <dataValidation sqref="B189" showDropDown="0" showInputMessage="0" showErrorMessage="1" allowBlank="1" errorTitle="Fora da lista" error="Condição: escolha um valor da lista. A planilha pode não reconhecer outro valor." type="list" errorStyle="warning">
      <formula1>'Dados'!$BG$6:$BG$19</formula1>
    </dataValidation>
    <dataValidation sqref="D189" showDropDown="0" showInputMessage="0" showErrorMessage="1" allowBlank="1" errorTitle="Valor fora da faixa" error="Turnos: use um número inteiro de 0 a 20." type="whole" errorStyle="warning" operator="between">
      <formula1>0</formula1>
      <formula2>20</formula2>
    </dataValidation>
    <dataValidation sqref="E189" showDropDown="0" showInputMessage="0" showErrorMessage="1" allowBlank="1" errorTitle="Valor fora da faixa" error="Acúmulos: use um número inteiro de 0 a 5." type="whole" errorStyle="warning" operator="between">
      <formula1>0</formula1>
      <formula2>5</formula2>
    </dataValidation>
    <dataValidation sqref="F189" showDropDown="0" showInputMessage="0" showErrorMessage="1" allowBlank="1" errorTitle="Fora da lista" error="Quem aplicou: escolha um valor da lista. A planilha pode não reconhecer outro valor." type="list" errorStyle="warning">
      <formula1>'Combate'!$N$11:$N$26</formula1>
    </dataValidation>
    <dataValidation sqref="A190" showDropDown="0" showInputMessage="0" showErrorMessage="1" allowBlank="1" errorTitle="Fora da lista" error="Combatente: escolha um valor da lista. A planilha pode não reconhecer outro valor." type="list" errorStyle="warning">
      <formula1>'Combate'!$N$11:$N$26</formula1>
    </dataValidation>
    <dataValidation sqref="B190" showDropDown="0" showInputMessage="0" showErrorMessage="1" allowBlank="1" errorTitle="Fora da lista" error="Condição: escolha um valor da lista. A planilha pode não reconhecer outro valor." type="list" errorStyle="warning">
      <formula1>'Dados'!$BG$6:$BG$19</formula1>
    </dataValidation>
    <dataValidation sqref="D190" showDropDown="0" showInputMessage="0" showErrorMessage="1" allowBlank="1" errorTitle="Valor fora da faixa" error="Turnos: use um número inteiro de 0 a 20." type="whole" errorStyle="warning" operator="between">
      <formula1>0</formula1>
      <formula2>20</formula2>
    </dataValidation>
    <dataValidation sqref="E190" showDropDown="0" showInputMessage="0" showErrorMessage="1" allowBlank="1" errorTitle="Valor fora da faixa" error="Acúmulos: use um número inteiro de 0 a 5." type="whole" errorStyle="warning" operator="between">
      <formula1>0</formula1>
      <formula2>5</formula2>
    </dataValidation>
    <dataValidation sqref="F190" showDropDown="0" showInputMessage="0" showErrorMessage="1" allowBlank="1" errorTitle="Fora da lista" error="Quem aplicou: escolha um valor da lista. A planilha pode não reconhecer outro valor." type="list" errorStyle="warning">
      <formula1>'Combate'!$N$11:$N$26</formula1>
    </dataValidation>
    <dataValidation sqref="A191" showDropDown="0" showInputMessage="0" showErrorMessage="1" allowBlank="1" errorTitle="Fora da lista" error="Combatente: escolha um valor da lista. A planilha pode não reconhecer outro valor." type="list" errorStyle="warning">
      <formula1>'Combate'!$N$11:$N$26</formula1>
    </dataValidation>
    <dataValidation sqref="B191" showDropDown="0" showInputMessage="0" showErrorMessage="1" allowBlank="1" errorTitle="Fora da lista" error="Condição: escolha um valor da lista. A planilha pode não reconhecer outro valor." type="list" errorStyle="warning">
      <formula1>'Dados'!$BG$6:$BG$19</formula1>
    </dataValidation>
    <dataValidation sqref="D191" showDropDown="0" showInputMessage="0" showErrorMessage="1" allowBlank="1" errorTitle="Valor fora da faixa" error="Turnos: use um número inteiro de 0 a 20." type="whole" errorStyle="warning" operator="between">
      <formula1>0</formula1>
      <formula2>20</formula2>
    </dataValidation>
    <dataValidation sqref="E191" showDropDown="0" showInputMessage="0" showErrorMessage="1" allowBlank="1" errorTitle="Valor fora da faixa" error="Acúmulos: use um número inteiro de 0 a 5." type="whole" errorStyle="warning" operator="between">
      <formula1>0</formula1>
      <formula2>5</formula2>
    </dataValidation>
    <dataValidation sqref="F191" showDropDown="0" showInputMessage="0" showErrorMessage="1" allowBlank="1" errorTitle="Fora da lista" error="Quem aplicou: escolha um valor da lista. A planilha pode não reconhecer outro valor." type="list" errorStyle="warning">
      <formula1>'Combate'!$N$11:$N$26</formula1>
    </dataValidation>
    <dataValidation sqref="A192" showDropDown="0" showInputMessage="0" showErrorMessage="1" allowBlank="1" errorTitle="Fora da lista" error="Combatente: escolha um valor da lista. A planilha pode não reconhecer outro valor." type="list" errorStyle="warning">
      <formula1>'Combate'!$N$11:$N$26</formula1>
    </dataValidation>
    <dataValidation sqref="B192" showDropDown="0" showInputMessage="0" showErrorMessage="1" allowBlank="1" errorTitle="Fora da lista" error="Condição: escolha um valor da lista. A planilha pode não reconhecer outro valor." type="list" errorStyle="warning">
      <formula1>'Dados'!$BG$6:$BG$19</formula1>
    </dataValidation>
    <dataValidation sqref="D192" showDropDown="0" showInputMessage="0" showErrorMessage="1" allowBlank="1" errorTitle="Valor fora da faixa" error="Turnos: use um número inteiro de 0 a 20." type="whole" errorStyle="warning" operator="between">
      <formula1>0</formula1>
      <formula2>20</formula2>
    </dataValidation>
    <dataValidation sqref="E192" showDropDown="0" showInputMessage="0" showErrorMessage="1" allowBlank="1" errorTitle="Valor fora da faixa" error="Acúmulos: use um número inteiro de 0 a 5." type="whole" errorStyle="warning" operator="between">
      <formula1>0</formula1>
      <formula2>5</formula2>
    </dataValidation>
    <dataValidation sqref="F192" showDropDown="0" showInputMessage="0" showErrorMessage="1" allowBlank="1" errorTitle="Fora da lista" error="Quem aplicou: escolha um valor da lista. A planilha pode não reconhecer outro valor." type="list" errorStyle="warning">
      <formula1>'Combate'!$N$11:$N$26</formula1>
    </dataValidation>
    <dataValidation sqref="A193" showDropDown="0" showInputMessage="0" showErrorMessage="1" allowBlank="1" errorTitle="Fora da lista" error="Combatente: escolha um valor da lista. A planilha pode não reconhecer outro valor." type="list" errorStyle="warning">
      <formula1>'Combate'!$N$11:$N$26</formula1>
    </dataValidation>
    <dataValidation sqref="B193" showDropDown="0" showInputMessage="0" showErrorMessage="1" allowBlank="1" errorTitle="Fora da lista" error="Condição: escolha um valor da lista. A planilha pode não reconhecer outro valor." type="list" errorStyle="warning">
      <formula1>'Dados'!$BG$6:$BG$19</formula1>
    </dataValidation>
    <dataValidation sqref="D193" showDropDown="0" showInputMessage="0" showErrorMessage="1" allowBlank="1" errorTitle="Valor fora da faixa" error="Turnos: use um número inteiro de 0 a 20." type="whole" errorStyle="warning" operator="between">
      <formula1>0</formula1>
      <formula2>20</formula2>
    </dataValidation>
    <dataValidation sqref="E193" showDropDown="0" showInputMessage="0" showErrorMessage="1" allowBlank="1" errorTitle="Valor fora da faixa" error="Acúmulos: use um número inteiro de 0 a 5." type="whole" errorStyle="warning" operator="between">
      <formula1>0</formula1>
      <formula2>5</formula2>
    </dataValidation>
    <dataValidation sqref="F193" showDropDown="0" showInputMessage="0" showErrorMessage="1" allowBlank="1" errorTitle="Fora da lista" error="Quem aplicou: escolha um valor da lista. A planilha pode não reconhecer outro valor." type="list" errorStyle="warning">
      <formula1>'Combate'!$N$11:$N$26</formula1>
    </dataValidation>
    <dataValidation sqref="A194" showDropDown="0" showInputMessage="0" showErrorMessage="1" allowBlank="1" errorTitle="Fora da lista" error="Combatente: escolha um valor da lista. A planilha pode não reconhecer outro valor." type="list" errorStyle="warning">
      <formula1>'Combate'!$N$11:$N$26</formula1>
    </dataValidation>
    <dataValidation sqref="B194" showDropDown="0" showInputMessage="0" showErrorMessage="1" allowBlank="1" errorTitle="Fora da lista" error="Condição: escolha um valor da lista. A planilha pode não reconhecer outro valor." type="list" errorStyle="warning">
      <formula1>'Dados'!$BG$6:$BG$19</formula1>
    </dataValidation>
    <dataValidation sqref="D194" showDropDown="0" showInputMessage="0" showErrorMessage="1" allowBlank="1" errorTitle="Valor fora da faixa" error="Turnos: use um número inteiro de 0 a 20." type="whole" errorStyle="warning" operator="between">
      <formula1>0</formula1>
      <formula2>20</formula2>
    </dataValidation>
    <dataValidation sqref="E194" showDropDown="0" showInputMessage="0" showErrorMessage="1" allowBlank="1" errorTitle="Valor fora da faixa" error="Acúmulos: use um número inteiro de 0 a 5." type="whole" errorStyle="warning" operator="between">
      <formula1>0</formula1>
      <formula2>5</formula2>
    </dataValidation>
    <dataValidation sqref="F194" showDropDown="0" showInputMessage="0" showErrorMessage="1" allowBlank="1" errorTitle="Fora da lista" error="Quem aplicou: escolha um valor da lista. A planilha pode não reconhecer outro valor." type="list" errorStyle="warning">
      <formula1>'Combate'!$N$11:$N$26</formula1>
    </dataValidation>
    <dataValidation sqref="A195" showDropDown="0" showInputMessage="0" showErrorMessage="1" allowBlank="1" errorTitle="Fora da lista" error="Combatente: escolha um valor da lista. A planilha pode não reconhecer outro valor." type="list" errorStyle="warning">
      <formula1>'Combate'!$N$11:$N$26</formula1>
    </dataValidation>
    <dataValidation sqref="B195" showDropDown="0" showInputMessage="0" showErrorMessage="1" allowBlank="1" errorTitle="Fora da lista" error="Condição: escolha um valor da lista. A planilha pode não reconhecer outro valor." type="list" errorStyle="warning">
      <formula1>'Dados'!$BG$6:$BG$19</formula1>
    </dataValidation>
    <dataValidation sqref="D195" showDropDown="0" showInputMessage="0" showErrorMessage="1" allowBlank="1" errorTitle="Valor fora da faixa" error="Turnos: use um número inteiro de 0 a 20." type="whole" errorStyle="warning" operator="between">
      <formula1>0</formula1>
      <formula2>20</formula2>
    </dataValidation>
    <dataValidation sqref="E195" showDropDown="0" showInputMessage="0" showErrorMessage="1" allowBlank="1" errorTitle="Valor fora da faixa" error="Acúmulos: use um número inteiro de 0 a 5." type="whole" errorStyle="warning" operator="between">
      <formula1>0</formula1>
      <formula2>5</formula2>
    </dataValidation>
    <dataValidation sqref="F195" showDropDown="0" showInputMessage="0" showErrorMessage="1" allowBlank="1" errorTitle="Fora da lista" error="Quem aplicou: escolha um valor da lista. A planilha pode não reconhecer outro valor." type="list" errorStyle="warning">
      <formula1>'Combate'!$N$11:$N$26</formula1>
    </dataValidation>
    <dataValidation sqref="A197" showDropDown="0" showInputMessage="0" showErrorMessage="1" allowBlank="1" errorTitle="Fora da lista" error="Combatente: escolha um valor da lista. A planilha pode não reconhecer outro valor." type="list" errorStyle="warning">
      <formula1>'Combate'!$N$11:$N$26</formula1>
    </dataValidation>
    <dataValidation sqref="B197" showDropDown="0" showInputMessage="0" showErrorMessage="1" allowBlank="1" errorTitle="Fora da lista" error="Condição: escolha um valor da lista. A planilha pode não reconhecer outro valor." type="list" errorStyle="warning">
      <formula1>'Dados'!$BG$6:$BG$19</formula1>
    </dataValidation>
    <dataValidation sqref="D197" showDropDown="0" showInputMessage="0" showErrorMessage="1" allowBlank="1" errorTitle="Valor fora da faixa" error="Turnos: use um número inteiro de 0 a 20." type="whole" errorStyle="warning" operator="between">
      <formula1>0</formula1>
      <formula2>20</formula2>
    </dataValidation>
    <dataValidation sqref="E197" showDropDown="0" showInputMessage="0" showErrorMessage="1" allowBlank="1" errorTitle="Valor fora da faixa" error="Acúmulos: use um número inteiro de 0 a 5." type="whole" errorStyle="warning" operator="between">
      <formula1>0</formula1>
      <formula2>5</formula2>
    </dataValidation>
    <dataValidation sqref="F197" showDropDown="0" showInputMessage="0" showErrorMessage="1" allowBlank="1" errorTitle="Fora da lista" error="Quem aplicou: escolha um valor da lista. A planilha pode não reconhecer outro valor." type="list" errorStyle="warning">
      <formula1>'Combate'!$N$11:$N$26</formula1>
    </dataValidation>
    <dataValidation sqref="A198" showDropDown="0" showInputMessage="0" showErrorMessage="1" allowBlank="1" errorTitle="Fora da lista" error="Combatente: escolha um valor da lista. A planilha pode não reconhecer outro valor." type="list" errorStyle="warning">
      <formula1>'Combate'!$N$11:$N$26</formula1>
    </dataValidation>
    <dataValidation sqref="B198" showDropDown="0" showInputMessage="0" showErrorMessage="1" allowBlank="1" errorTitle="Fora da lista" error="Condição: escolha um valor da lista. A planilha pode não reconhecer outro valor." type="list" errorStyle="warning">
      <formula1>'Dados'!$BG$6:$BG$19</formula1>
    </dataValidation>
    <dataValidation sqref="D198" showDropDown="0" showInputMessage="0" showErrorMessage="1" allowBlank="1" errorTitle="Valor fora da faixa" error="Turnos: use um número inteiro de 0 a 20." type="whole" errorStyle="warning" operator="between">
      <formula1>0</formula1>
      <formula2>20</formula2>
    </dataValidation>
    <dataValidation sqref="E198" showDropDown="0" showInputMessage="0" showErrorMessage="1" allowBlank="1" errorTitle="Valor fora da faixa" error="Acúmulos: use um número inteiro de 0 a 5." type="whole" errorStyle="warning" operator="between">
      <formula1>0</formula1>
      <formula2>5</formula2>
    </dataValidation>
    <dataValidation sqref="F198" showDropDown="0" showInputMessage="0" showErrorMessage="1" allowBlank="1" errorTitle="Fora da lista" error="Quem aplicou: escolha um valor da lista. A planilha pode não reconhecer outro valor." type="list" errorStyle="warning">
      <formula1>'Combate'!$N$11:$N$26</formula1>
    </dataValidation>
    <dataValidation sqref="A199" showDropDown="0" showInputMessage="0" showErrorMessage="1" allowBlank="1" errorTitle="Fora da lista" error="Combatente: escolha um valor da lista. A planilha pode não reconhecer outro valor." type="list" errorStyle="warning">
      <formula1>'Combate'!$N$11:$N$26</formula1>
    </dataValidation>
    <dataValidation sqref="B199" showDropDown="0" showInputMessage="0" showErrorMessage="1" allowBlank="1" errorTitle="Fora da lista" error="Condição: escolha um valor da lista. A planilha pode não reconhecer outro valor." type="list" errorStyle="warning">
      <formula1>'Dados'!$BG$6:$BG$19</formula1>
    </dataValidation>
    <dataValidation sqref="D199" showDropDown="0" showInputMessage="0" showErrorMessage="1" allowBlank="1" errorTitle="Valor fora da faixa" error="Turnos: use um número inteiro de 0 a 20." type="whole" errorStyle="warning" operator="between">
      <formula1>0</formula1>
      <formula2>20</formula2>
    </dataValidation>
    <dataValidation sqref="E199" showDropDown="0" showInputMessage="0" showErrorMessage="1" allowBlank="1" errorTitle="Valor fora da faixa" error="Acúmulos: use um número inteiro de 0 a 5." type="whole" errorStyle="warning" operator="between">
      <formula1>0</formula1>
      <formula2>5</formula2>
    </dataValidation>
    <dataValidation sqref="F199" showDropDown="0" showInputMessage="0" showErrorMessage="1" allowBlank="1" errorTitle="Fora da lista" error="Quem aplicou: escolha um valor da lista. A planilha pode não reconhecer outro valor." type="list" errorStyle="warning">
      <formula1>'Combate'!$N$11:$N$26</formula1>
    </dataValidation>
    <dataValidation sqref="A200" showDropDown="0" showInputMessage="0" showErrorMessage="1" allowBlank="1" errorTitle="Fora da lista" error="Combatente: escolha um valor da lista. A planilha pode não reconhecer outro valor." type="list" errorStyle="warning">
      <formula1>'Combate'!$N$11:$N$26</formula1>
    </dataValidation>
    <dataValidation sqref="B200" showDropDown="0" showInputMessage="0" showErrorMessage="1" allowBlank="1" errorTitle="Fora da lista" error="Condição: escolha um valor da lista. A planilha pode não reconhecer outro valor." type="list" errorStyle="warning">
      <formula1>'Dados'!$BG$6:$BG$19</formula1>
    </dataValidation>
    <dataValidation sqref="D200" showDropDown="0" showInputMessage="0" showErrorMessage="1" allowBlank="1" errorTitle="Valor fora da faixa" error="Turnos: use um número inteiro de 0 a 20." type="whole" errorStyle="warning" operator="between">
      <formula1>0</formula1>
      <formula2>20</formula2>
    </dataValidation>
    <dataValidation sqref="E200" showDropDown="0" showInputMessage="0" showErrorMessage="1" allowBlank="1" errorTitle="Valor fora da faixa" error="Acúmulos: use um número inteiro de 0 a 5." type="whole" errorStyle="warning" operator="between">
      <formula1>0</formula1>
      <formula2>5</formula2>
    </dataValidation>
    <dataValidation sqref="F200" showDropDown="0" showInputMessage="0" showErrorMessage="1" allowBlank="1" errorTitle="Fora da lista" error="Quem aplicou: escolha um valor da lista. A planilha pode não reconhecer outro valor." type="list" errorStyle="warning">
      <formula1>'Combate'!$N$11:$N$26</formula1>
    </dataValidation>
    <dataValidation sqref="A201" showDropDown="0" showInputMessage="0" showErrorMessage="1" allowBlank="1" errorTitle="Fora da lista" error="Combatente: escolha um valor da lista. A planilha pode não reconhecer outro valor." type="list" errorStyle="warning">
      <formula1>'Combate'!$N$11:$N$26</formula1>
    </dataValidation>
    <dataValidation sqref="B201" showDropDown="0" showInputMessage="0" showErrorMessage="1" allowBlank="1" errorTitle="Fora da lista" error="Condição: escolha um valor da lista. A planilha pode não reconhecer outro valor." type="list" errorStyle="warning">
      <formula1>'Dados'!$BG$6:$BG$19</formula1>
    </dataValidation>
    <dataValidation sqref="D201" showDropDown="0" showInputMessage="0" showErrorMessage="1" allowBlank="1" errorTitle="Valor fora da faixa" error="Turnos: use um número inteiro de 0 a 20." type="whole" errorStyle="warning" operator="between">
      <formula1>0</formula1>
      <formula2>20</formula2>
    </dataValidation>
    <dataValidation sqref="E201" showDropDown="0" showInputMessage="0" showErrorMessage="1" allowBlank="1" errorTitle="Valor fora da faixa" error="Acúmulos: use um número inteiro de 0 a 5." type="whole" errorStyle="warning" operator="between">
      <formula1>0</formula1>
      <formula2>5</formula2>
    </dataValidation>
    <dataValidation sqref="F201" showDropDown="0" showInputMessage="0" showErrorMessage="1" allowBlank="1" errorTitle="Fora da lista" error="Quem aplicou: escolha um valor da lista. A planilha pode não reconhecer outro valor." type="list" errorStyle="warning">
      <formula1>'Combate'!$N$11:$N$26</formula1>
    </dataValidation>
    <dataValidation sqref="A202" showDropDown="0" showInputMessage="0" showErrorMessage="1" allowBlank="1" errorTitle="Fora da lista" error="Combatente: escolha um valor da lista. A planilha pode não reconhecer outro valor." type="list" errorStyle="warning">
      <formula1>'Combate'!$N$11:$N$26</formula1>
    </dataValidation>
    <dataValidation sqref="B202" showDropDown="0" showInputMessage="0" showErrorMessage="1" allowBlank="1" errorTitle="Fora da lista" error="Condição: escolha um valor da lista. A planilha pode não reconhecer outro valor." type="list" errorStyle="warning">
      <formula1>'Dados'!$BG$6:$BG$19</formula1>
    </dataValidation>
    <dataValidation sqref="D202" showDropDown="0" showInputMessage="0" showErrorMessage="1" allowBlank="1" errorTitle="Valor fora da faixa" error="Turnos: use um número inteiro de 0 a 20." type="whole" errorStyle="warning" operator="between">
      <formula1>0</formula1>
      <formula2>20</formula2>
    </dataValidation>
    <dataValidation sqref="E202" showDropDown="0" showInputMessage="0" showErrorMessage="1" allowBlank="1" errorTitle="Valor fora da faixa" error="Acúmulos: use um número inteiro de 0 a 5." type="whole" errorStyle="warning" operator="between">
      <formula1>0</formula1>
      <formula2>5</formula2>
    </dataValidation>
    <dataValidation sqref="F202" showDropDown="0" showInputMessage="0" showErrorMessage="1" allowBlank="1" errorTitle="Fora da lista" error="Quem aplicou: escolha um valor da lista. A planilha pode não reconhecer outro valor." type="list" errorStyle="warning">
      <formula1>'Combate'!$N$11:$N$26</formula1>
    </dataValidation>
    <dataValidation sqref="A203" showDropDown="0" showInputMessage="0" showErrorMessage="1" allowBlank="1" errorTitle="Fora da lista" error="Combatente: escolha um valor da lista. A planilha pode não reconhecer outro valor." type="list" errorStyle="warning">
      <formula1>'Combate'!$N$11:$N$26</formula1>
    </dataValidation>
    <dataValidation sqref="B203" showDropDown="0" showInputMessage="0" showErrorMessage="1" allowBlank="1" errorTitle="Fora da lista" error="Condição: escolha um valor da lista. A planilha pode não reconhecer outro valor." type="list" errorStyle="warning">
      <formula1>'Dados'!$BG$6:$BG$19</formula1>
    </dataValidation>
    <dataValidation sqref="D203" showDropDown="0" showInputMessage="0" showErrorMessage="1" allowBlank="1" errorTitle="Valor fora da faixa" error="Turnos: use um número inteiro de 0 a 20." type="whole" errorStyle="warning" operator="between">
      <formula1>0</formula1>
      <formula2>20</formula2>
    </dataValidation>
    <dataValidation sqref="E203" showDropDown="0" showInputMessage="0" showErrorMessage="1" allowBlank="1" errorTitle="Valor fora da faixa" error="Acúmulos: use um número inteiro de 0 a 5." type="whole" errorStyle="warning" operator="between">
      <formula1>0</formula1>
      <formula2>5</formula2>
    </dataValidation>
    <dataValidation sqref="F203" showDropDown="0" showInputMessage="0" showErrorMessage="1" allowBlank="1" errorTitle="Fora da lista" error="Quem aplicou: escolha um valor da lista. A planilha pode não reconhecer outro valor." type="list" errorStyle="warning">
      <formula1>'Combate'!$N$11:$N$26</formula1>
    </dataValidation>
    <dataValidation sqref="A204" showDropDown="0" showInputMessage="0" showErrorMessage="1" allowBlank="1" errorTitle="Fora da lista" error="Combatente: escolha um valor da lista. A planilha pode não reconhecer outro valor." type="list" errorStyle="warning">
      <formula1>'Combate'!$N$11:$N$26</formula1>
    </dataValidation>
    <dataValidation sqref="B204" showDropDown="0" showInputMessage="0" showErrorMessage="1" allowBlank="1" errorTitle="Fora da lista" error="Condição: escolha um valor da lista. A planilha pode não reconhecer outro valor." type="list" errorStyle="warning">
      <formula1>'Dados'!$BG$6:$BG$19</formula1>
    </dataValidation>
    <dataValidation sqref="D204" showDropDown="0" showInputMessage="0" showErrorMessage="1" allowBlank="1" errorTitle="Valor fora da faixa" error="Turnos: use um número inteiro de 0 a 20." type="whole" errorStyle="warning" operator="between">
      <formula1>0</formula1>
      <formula2>20</formula2>
    </dataValidation>
    <dataValidation sqref="E204" showDropDown="0" showInputMessage="0" showErrorMessage="1" allowBlank="1" errorTitle="Valor fora da faixa" error="Acúmulos: use um número inteiro de 0 a 5." type="whole" errorStyle="warning" operator="between">
      <formula1>0</formula1>
      <formula2>5</formula2>
    </dataValidation>
    <dataValidation sqref="F204" showDropDown="0" showInputMessage="0" showErrorMessage="1" allowBlank="1" errorTitle="Fora da lista" error="Quem aplicou: escolha um valor da lista. A planilha pode não reconhecer outro valor." type="list" errorStyle="warning">
      <formula1>'Combate'!$N$11:$N$26</formula1>
    </dataValidation>
    <dataValidation sqref="A205" showDropDown="0" showInputMessage="0" showErrorMessage="1" allowBlank="1" errorTitle="Fora da lista" error="Combatente: escolha um valor da lista. A planilha pode não reconhecer outro valor." type="list" errorStyle="warning">
      <formula1>'Combate'!$N$11:$N$26</formula1>
    </dataValidation>
    <dataValidation sqref="B205" showDropDown="0" showInputMessage="0" showErrorMessage="1" allowBlank="1" errorTitle="Fora da lista" error="Condição: escolha um valor da lista. A planilha pode não reconhecer outro valor." type="list" errorStyle="warning">
      <formula1>'Dados'!$BG$6:$BG$19</formula1>
    </dataValidation>
    <dataValidation sqref="D205" showDropDown="0" showInputMessage="0" showErrorMessage="1" allowBlank="1" errorTitle="Valor fora da faixa" error="Turnos: use um número inteiro de 0 a 20." type="whole" errorStyle="warning" operator="between">
      <formula1>0</formula1>
      <formula2>20</formula2>
    </dataValidation>
    <dataValidation sqref="E205" showDropDown="0" showInputMessage="0" showErrorMessage="1" allowBlank="1" errorTitle="Valor fora da faixa" error="Acúmulos: use um número inteiro de 0 a 5." type="whole" errorStyle="warning" operator="between">
      <formula1>0</formula1>
      <formula2>5</formula2>
    </dataValidation>
    <dataValidation sqref="F205" showDropDown="0" showInputMessage="0" showErrorMessage="1" allowBlank="1" errorTitle="Fora da lista" error="Quem aplicou: escolha um valor da lista. A planilha pode não reconhecer outro valor." type="list" errorStyle="warning">
      <formula1>'Combate'!$N$11:$N$26</formula1>
    </dataValidation>
    <dataValidation sqref="A206" showDropDown="0" showInputMessage="0" showErrorMessage="1" allowBlank="1" errorTitle="Fora da lista" error="Combatente: escolha um valor da lista. A planilha pode não reconhecer outro valor." type="list" errorStyle="warning">
      <formula1>'Combate'!$N$11:$N$26</formula1>
    </dataValidation>
    <dataValidation sqref="B206" showDropDown="0" showInputMessage="0" showErrorMessage="1" allowBlank="1" errorTitle="Fora da lista" error="Condição: escolha um valor da lista. A planilha pode não reconhecer outro valor." type="list" errorStyle="warning">
      <formula1>'Dados'!$BG$6:$BG$19</formula1>
    </dataValidation>
    <dataValidation sqref="D206" showDropDown="0" showInputMessage="0" showErrorMessage="1" allowBlank="1" errorTitle="Valor fora da faixa" error="Turnos: use um número inteiro de 0 a 20." type="whole" errorStyle="warning" operator="between">
      <formula1>0</formula1>
      <formula2>20</formula2>
    </dataValidation>
    <dataValidation sqref="E206" showDropDown="0" showInputMessage="0" showErrorMessage="1" allowBlank="1" errorTitle="Valor fora da faixa" error="Acúmulos: use um número inteiro de 0 a 5." type="whole" errorStyle="warning" operator="between">
      <formula1>0</formula1>
      <formula2>5</formula2>
    </dataValidation>
    <dataValidation sqref="F206" showDropDown="0" showInputMessage="0" showErrorMessage="1" allowBlank="1" errorTitle="Fora da lista" error="Quem aplicou: escolha um valor da lista. A planilha pode não reconhecer outro valor." type="list" errorStyle="warning">
      <formula1>'Combate'!$N$11:$N$26</formula1>
    </dataValidation>
    <dataValidation sqref="A207" showDropDown="0" showInputMessage="0" showErrorMessage="1" allowBlank="1" errorTitle="Fora da lista" error="Combatente: escolha um valor da lista. A planilha pode não reconhecer outro valor." type="list" errorStyle="warning">
      <formula1>'Combate'!$N$11:$N$26</formula1>
    </dataValidation>
    <dataValidation sqref="B207" showDropDown="0" showInputMessage="0" showErrorMessage="1" allowBlank="1" errorTitle="Fora da lista" error="Condição: escolha um valor da lista. A planilha pode não reconhecer outro valor." type="list" errorStyle="warning">
      <formula1>'Dados'!$BG$6:$BG$19</formula1>
    </dataValidation>
    <dataValidation sqref="D207" showDropDown="0" showInputMessage="0" showErrorMessage="1" allowBlank="1" errorTitle="Valor fora da faixa" error="Turnos: use um número inteiro de 0 a 20." type="whole" errorStyle="warning" operator="between">
      <formula1>0</formula1>
      <formula2>20</formula2>
    </dataValidation>
    <dataValidation sqref="E207" showDropDown="0" showInputMessage="0" showErrorMessage="1" allowBlank="1" errorTitle="Valor fora da faixa" error="Acúmulos: use um número inteiro de 0 a 5." type="whole" errorStyle="warning" operator="between">
      <formula1>0</formula1>
      <formula2>5</formula2>
    </dataValidation>
    <dataValidation sqref="F207" showDropDown="0" showInputMessage="0" showErrorMessage="1" allowBlank="1" errorTitle="Fora da lista" error="Quem aplicou: escolha um valor da lista. A planilha pode não reconhecer outro valor." type="list" errorStyle="warning">
      <formula1>'Combate'!$N$11:$N$26</formula1>
    </dataValidation>
    <dataValidation sqref="A208" showDropDown="0" showInputMessage="0" showErrorMessage="1" allowBlank="1" errorTitle="Fora da lista" error="Combatente: escolha um valor da lista. A planilha pode não reconhecer outro valor." type="list" errorStyle="warning">
      <formula1>'Combate'!$N$11:$N$26</formula1>
    </dataValidation>
    <dataValidation sqref="B208" showDropDown="0" showInputMessage="0" showErrorMessage="1" allowBlank="1" errorTitle="Fora da lista" error="Condição: escolha um valor da lista. A planilha pode não reconhecer outro valor." type="list" errorStyle="warning">
      <formula1>'Dados'!$BG$6:$BG$19</formula1>
    </dataValidation>
    <dataValidation sqref="D208" showDropDown="0" showInputMessage="0" showErrorMessage="1" allowBlank="1" errorTitle="Valor fora da faixa" error="Turnos: use um número inteiro de 0 a 20." type="whole" errorStyle="warning" operator="between">
      <formula1>0</formula1>
      <formula2>20</formula2>
    </dataValidation>
    <dataValidation sqref="E208" showDropDown="0" showInputMessage="0" showErrorMessage="1" allowBlank="1" errorTitle="Valor fora da faixa" error="Acúmulos: use um número inteiro de 0 a 5." type="whole" errorStyle="warning" operator="between">
      <formula1>0</formula1>
      <formula2>5</formula2>
    </dataValidation>
    <dataValidation sqref="F208" showDropDown="0" showInputMessage="0" showErrorMessage="1" allowBlank="1" errorTitle="Fora da lista" error="Quem aplicou: escolha um valor da lista. A planilha pode não reconhecer outro valor." type="list" errorStyle="warning">
      <formula1>'Combate'!$N$11:$N$26</formula1>
    </dataValidation>
    <dataValidation sqref="C213" showDropDown="0" showInputMessage="0" showErrorMessage="1" allowBlank="1" errorTitle="Fora da lista" error="Alvo: escolha um valor da lista. A planilha pode não reconhecer outro valor." type="list" errorStyle="warning">
      <formula1>'Combate'!$N$17:$N$26</formula1>
    </dataValidation>
    <dataValidation sqref="B213" showDropDown="0" showInputMessage="0" showErrorMessage="1" allowBlank="1" errorTitle="Fora da lista" error="Fonte: escolha um valor da lista. A planilha pode não reconhecer outro valor." type="list" errorStyle="warning">
      <formula1>'Dados'!$BI$6:$BI$15</formula1>
    </dataValidation>
    <dataValidation sqref="D213" showDropDown="0" showInputMessage="0" showErrorMessage="1" allowBlank="1" errorTitle="Valor fora da faixa" error="Nº de dados: use um número inteiro de 1 a 20." type="whole" errorStyle="warning" operator="between">
      <formula1>1</formula1>
      <formula2>20</formula2>
    </dataValidation>
    <dataValidation sqref="E213" showDropDown="0" showInputMessage="0" showErrorMessage="1" allowBlank="1" errorTitle="Valor fora da faixa" error="Faces: use um número inteiro de 2 a 20." type="whole" errorStyle="warning" operator="between">
      <formula1>2</formula1>
      <formula2>20</formula2>
    </dataValidation>
    <dataValidation sqref="F213" showDropDown="0" showInputMessage="0" showErrorMessage="1" allowBlank="1" errorTitle="Valor fora da faixa" error="Bônus fixo: use um número inteiro de -20 a 99." type="whole" errorStyle="warning" operator="between">
      <formula1>-20</formula1>
      <formula2>99</formula2>
    </dataValidation>
    <dataValidation sqref="G213" showDropDown="0" showInputMessage="0" showErrorMessage="1" allowBlank="1" errorTitle="Fora da lista" error="Elemento: escolha um valor da lista. A planilha pode não reconhecer outro valor." type="list" errorStyle="warning">
      <formula1>'Dados'!$AN$6:$AN$12</formula1>
    </dataValidation>
    <dataValidation sqref="H213" showDropDown="0" showInputMessage="0" showErrorMessage="1" allowBlank="1" errorTitle="Fora da lista" error="Crítico?: escolha um valor da lista. A planilha pode não reconhecer outro valor." type="list" errorStyle="warning">
      <formula1>'Dados'!$AT$6:$AT$7</formula1>
    </dataValidation>
    <dataValidation sqref="I213" showDropDown="0" showInputMessage="0" showErrorMessage="1" allowBlank="1" errorTitle="Valor fora da faixa" error="Dados extras: use um número inteiro de 0 a 5." type="whole" errorStyle="warning" operator="between">
      <formula1>0</formula1>
      <formula2>5</formula2>
    </dataValidation>
    <dataValidation sqref="J213" showDropDown="0" showInputMessage="0" showErrorMessage="1" allowBlank="1" errorTitle="Valor fora da faixa" error="Resultado rolado: use um número inteiro de 0 a 999." type="whole" errorStyle="warning" operator="between">
      <formula1>0</formula1>
      <formula2>999</formula2>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U116"/>
  <sheetViews>
    <sheetView showGridLines="1" workbookViewId="0">
      <selection activeCell="A1" sqref="A1"/>
    </sheetView>
  </sheetViews>
  <sheetFormatPr baseColWidth="8" defaultRowHeight="15"/>
  <cols>
    <col width="20.786" customWidth="1" min="1" max="1"/>
    <col width="13.643" customWidth="1" min="2" max="2"/>
    <col width="13.643"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1.5" customWidth="1" min="11" max="11"/>
    <col width="21.5" customWidth="1" min="12" max="12"/>
    <col hidden="1" width="13" customWidth="1" min="13" max="13"/>
    <col hidden="1" width="13" customWidth="1" min="14" max="14"/>
    <col hidden="1"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hidden="1" width="13" customWidth="1" min="27" max="27"/>
    <col hidden="1" width="13" customWidth="1" min="28" max="28"/>
    <col hidden="1" width="13" customWidth="1" min="29" max="29"/>
    <col width="13" customWidth="1" min="30" max="30"/>
    <col hidden="1" width="13" customWidth="1" min="31" max="31"/>
    <col hidden="1" width="13" customWidth="1" min="32" max="32"/>
    <col hidden="1" width="13" customWidth="1" min="33" max="33"/>
    <col hidden="1" width="13" customWidth="1" min="34" max="34"/>
    <col hidden="1" width="13" customWidth="1" min="35" max="35"/>
    <col width="13" customWidth="1" min="36" max="36"/>
    <col hidden="1" width="13" customWidth="1" min="37" max="37"/>
    <col hidden="1" width="13" customWidth="1" min="38" max="38"/>
    <col hidden="1" width="13" customWidth="1" min="39" max="39"/>
    <col width="13" customWidth="1" min="40" max="40"/>
    <col hidden="1" width="13" customWidth="1" min="41" max="41"/>
    <col hidden="1" width="13" customWidth="1" min="42" max="42"/>
    <col width="13" customWidth="1" min="43" max="43"/>
    <col width="13" customWidth="1" min="44" max="44"/>
    <col hidden="1" width="13" customWidth="1" min="45" max="45"/>
    <col hidden="1" width="13" customWidth="1" min="46" max="46"/>
    <col hidden="1" width="13" customWidth="1" min="47" max="47"/>
  </cols>
  <sheetData>
    <row r="1" ht="24" customHeight="1">
      <c r="A1" s="1" t="inlineStr">
        <is>
          <t>Aventuras — Explorando Galáxias v1.1</t>
        </is>
      </c>
    </row>
    <row r="2" ht="37" customHeight="1">
      <c r="A2" s="2"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Gerador de aventuras: tipo, gancho, contratante, objetivo, local, antagonista, complicação, reviravolta, prazo, recompensa e cinco cenas.</t>
        </is>
      </c>
    </row>
    <row r="4"/>
    <row r="5" ht="20" customHeight="1">
      <c r="A5" s="12" t="inlineStr">
        <is>
          <t>Gerador de aventuras (G = 300): vazio = Sortear; faixa vazia = a do grupo</t>
        </is>
      </c>
    </row>
    <row r="6">
      <c r="A6" s="7" t="inlineStr">
        <is>
          <t>Rolagem nº</t>
        </is>
      </c>
      <c r="B6" s="7" t="inlineStr">
        <is>
          <t>Tipo</t>
        </is>
      </c>
      <c r="C6" s="20" t="n"/>
      <c r="D6" s="20" t="n"/>
      <c r="E6" s="7" t="inlineStr">
        <is>
          <t>Faixa</t>
        </is>
      </c>
      <c r="F6" s="7" t="inlineStr">
        <is>
          <t>Facção do conflito</t>
        </is>
      </c>
      <c r="G6" s="20" t="n"/>
      <c r="H6" s="20" t="n"/>
      <c r="I6" s="7" t="inlineStr">
        <is>
          <t>Rolagem efetiva</t>
        </is>
      </c>
      <c r="J6" s="20" t="n"/>
      <c r="K6" s="7" t="inlineStr">
        <is>
          <t>Aviso</t>
        </is>
      </c>
      <c r="L6" s="20" t="n"/>
    </row>
    <row r="7" ht="26" customHeight="1">
      <c r="A7" s="35" t="n"/>
      <c r="B7" s="3" t="n"/>
      <c r="C7" s="24" t="n"/>
      <c r="D7" s="16" t="n"/>
      <c r="E7" s="36" t="n"/>
      <c r="F7" s="3" t="n"/>
      <c r="G7" s="24" t="n"/>
      <c r="H7" s="16" t="n"/>
      <c r="I7" s="17">
        <f>IF(ISNUMBER($AO$7),IF(AND($AO$7&gt;=1,$AO$7&lt;=1000000,INT($AO$7)=$AO$7),$AO$7,1),1)</f>
        <v/>
      </c>
      <c r="K7" s="18">
        <f>IF(AU7&gt;0,"O Google leu como fórmula: escolha de novo ou digite com ' na frente.",IF(LEN(IF(LEN($AO$7)=0,"",IF(ISNUMBER($AO$7),IF(AND($AO$7&gt;=1,$AO$7&lt;=1000000,INT($AO$7)=$AO$7),"","Rolagem nº fora de 1 a 1.000.000: usando 1"),"Rolagem nº fora de 1 a 1.000.000: usando 1")))&gt;0,IF(LEN($AO$7)=0,"",IF(ISNUMBER($AO$7),IF(AND($AO$7&gt;=1,$AO$7&lt;=1000000,INT($AO$7)=$AO$7),"","Rolagem nº fora de 1 a 1.000.000: usando 1"),"Rolagem nº fora de 1 a 1.000.000: usando 1")),IF(AND(LEN($AP$7)&gt;0,$AP$7&lt;&gt;"Sortear",COUNTIF($AH$10:$AH$110,$AP$7)=0),"Tipo fora da lista (aba Tabelas): sorteando",IF(AND(LEN($AS$7)&gt;0,LEN(IFERROR(INDEX('Dados'!$B$7:$B$11,MATCH($AS$7,'Dados'!$AP$6:$AP$10,0)),""))=0),"Faixa fora da lista: usando a do grupo",IF(AND(LEN($AT$7)&gt;0,$AT$7&lt;&gt;"Sortear",COUNTIF($AI$10:$AI$110,$AT$7)=0),"Facção fora da lista (aba Tabelas): sorteando","")))))</f>
        <v/>
      </c>
      <c r="AO7" s="19">
        <f>IF(ISERROR($A$7),"",IF(ISBLANK($A$7),"",$A$7))</f>
        <v/>
      </c>
      <c r="AP7" s="19">
        <f>IF(ISERROR($B$7),"",IF(ISBLANK($B$7),"",$B$7))</f>
        <v/>
      </c>
      <c r="AS7" s="19">
        <f>IF(ISERROR($E$7),"",IF(ISBLANK($E$7),"",$E$7))</f>
        <v/>
      </c>
      <c r="AT7" s="19">
        <f>IF(ISERROR($F$7),"",IF(ISBLANK($F$7),"",$F$7))</f>
        <v/>
      </c>
      <c r="AU7" s="19">
        <f>ISERROR($A$7)*1+ISERROR($B$7)*1+ISERROR($E$7)*1+ISERROR($F$7)*1</f>
        <v/>
      </c>
    </row>
    <row r="8"/>
    <row r="9" ht="20" customHeight="1">
      <c r="A9" s="12" t="inlineStr">
        <is>
          <t>Aventura sorteada (automático)</t>
        </is>
      </c>
    </row>
    <row r="10">
      <c r="A10" s="7" t="inlineStr">
        <is>
          <t>Campo</t>
        </is>
      </c>
      <c r="B10" s="7" t="inlineStr">
        <is>
          <t>Sorteado</t>
        </is>
      </c>
      <c r="C10" s="20" t="n"/>
      <c r="D10" s="20" t="n"/>
      <c r="E10" s="20" t="n"/>
      <c r="F10" s="20" t="n"/>
      <c r="G10" s="20" t="n"/>
      <c r="H10" s="20" t="n"/>
      <c r="I10" s="7" t="inlineStr">
        <is>
          <t>De onde vem</t>
        </is>
      </c>
      <c r="J10" s="20" t="n"/>
      <c r="K10" s="7" t="inlineStr">
        <is>
          <t>Aviso</t>
        </is>
      </c>
      <c r="L10" s="20" t="n"/>
      <c r="N10" s="19">
        <f>IF(AND(LEN($AP$7)&gt;0,$AP$7&lt;&gt;"Sortear",COUNTIF($AH$10:$AH$110,$AP$7)&gt;0),$AP$7,IF('Tabelas'!$F$469&lt;=0,"",IFERROR(INDEX('Tabelas'!$AB$472:$AB$578,MATCH(IF('Tabelas'!$F$469&lt;=0,0,INT($AC$10*'Tabelas'!$F$469/2147483647)+1),'Tabelas'!$R$472:$R$578,0))&amp;"","")))</f>
        <v/>
      </c>
      <c r="AA10" s="19">
        <f>MOD(MOD(MOD((MOD('Início'!$E$15+104729*$I$7+3675409,2147483646)+1)*16807,2147483647)*16807,2147483647)*16807,2147483647)</f>
        <v/>
      </c>
      <c r="AB10" s="19">
        <f>MOD(MOD(MOD((MOD(MOD(INT($AA$10/65536)*$AA$10,2147483647)*65536+MOD($AA$10,65536)*$AA$10,2147483647))*16807,2147483647)*16807,2147483647)*16807,2147483647)</f>
        <v/>
      </c>
      <c r="AC10" s="19">
        <f>MOD(MOD(MOD((MOD($AB$10+INT($AB$10/65536)*MOD($AB$10,65536),2147483646)+1)*16807,2147483647)*16807,2147483647)*16807,2147483647)</f>
        <v/>
      </c>
      <c r="AE10" s="19">
        <f>0+IF(AND(LEN($N$10)&gt;0,INDEX('Tabelas'!$Z$472:$Z$578,1)&amp;""=$N$10,LEN(INDEX('Tabelas'!$AA$472:$AA$578,1)&amp;"")&gt;0),1,0)</f>
        <v/>
      </c>
      <c r="AF10" s="19">
        <f>IF(LEN(INDEX('Tabelas'!$Y$12:$Y$118,1)&amp;"")=0,0,IF(ISNUMBER(MATCH(INDEX('Tabelas'!$Y$12:$Y$118,1)&amp;"",'Dados'!$A$549:$A$554,0)),IF(AND(INDEX('Dados'!$B$549:$B$554,MATCH(INDEX('Tabelas'!$Y$12:$Y$118,1)&amp;"",'Dados'!$A$549:$A$554,0))&lt;=$N$12,INDEX('Dados'!$C$549:$C$554,MATCH(INDEX('Tabelas'!$Y$12:$Y$118,1)&amp;"",'Dados'!$A$549:$A$554,0))&gt;=$N$12),1,0),1))</f>
        <v/>
      </c>
      <c r="AG10" s="19">
        <f>0+$AF$10</f>
        <v/>
      </c>
      <c r="AH10" s="19">
        <f>"Sortear"</f>
        <v/>
      </c>
      <c r="AI10" s="19">
        <f>"Sortear"</f>
        <v/>
      </c>
    </row>
    <row r="11" ht="26" customHeight="1">
      <c r="A11" s="8" t="inlineStr">
        <is>
          <t>Tipo</t>
        </is>
      </c>
      <c r="B11" s="4">
        <f>$N$10</f>
        <v/>
      </c>
      <c r="I11" s="4">
        <f>IF(AND(LEN($AP$7)&gt;0,$AP$7&lt;&gt;"Sortear"),"Escolhido","Tabelas: Tipo de aventura")</f>
        <v/>
      </c>
      <c r="K11" s="18">
        <f>IF('Tabelas'!$F$469&lt;=0,"Lista 'Tipo de aventura' está vazia (aba Tabelas)","")</f>
        <v/>
      </c>
      <c r="N11" s="19">
        <f>IF(LEN(IFERROR(INDEX('Dados'!$B$7:$B$11,MATCH($AS$7,'Dados'!$AP$6:$AP$10,0)),""))&gt;0,IFERROR(INDEX('Dados'!$B$7:$B$11,MATCH($AS$7,'Dados'!$AP$6:$AP$10,0)),""),'Campanha'!$B$19)</f>
        <v/>
      </c>
      <c r="AA11" s="19">
        <f>MOD(MOD(MOD((MOD('Início'!$E$15+104729*$I$7+4975118,2147483646)+1)*16807,2147483647)*16807,2147483647)*16807,2147483647)</f>
        <v/>
      </c>
      <c r="AB11" s="19">
        <f>MOD(MOD(MOD((MOD(MOD(INT($AA$11/65536)*$AA$11,2147483647)*65536+MOD($AA$11,65536)*$AA$11,2147483647))*16807,2147483647)*16807,2147483647)*16807,2147483647)</f>
        <v/>
      </c>
      <c r="AC11" s="19">
        <f>MOD(MOD(MOD((MOD($AB$11+INT($AB$11/65536)*MOD($AB$11,65536),2147483646)+1)*16807,2147483647)*16807,2147483647)*16807,2147483647)</f>
        <v/>
      </c>
      <c r="AE11" s="19">
        <f>$AE$10+IF(AND(LEN($N$10)&gt;0,INDEX('Tabelas'!$Z$472:$Z$578,2)&amp;""=$N$10,LEN(INDEX('Tabelas'!$AA$472:$AA$578,2)&amp;"")&gt;0),1,0)</f>
        <v/>
      </c>
      <c r="AF11" s="19">
        <f>IF(LEN(INDEX('Tabelas'!$Y$12:$Y$118,2)&amp;"")=0,0,IF(ISNUMBER(MATCH(INDEX('Tabelas'!$Y$12:$Y$118,2)&amp;"",'Dados'!$A$549:$A$554,0)),IF(AND(INDEX('Dados'!$B$549:$B$554,MATCH(INDEX('Tabelas'!$Y$12:$Y$118,2)&amp;"",'Dados'!$A$549:$A$554,0))&lt;=$N$12,INDEX('Dados'!$C$549:$C$554,MATCH(INDEX('Tabelas'!$Y$12:$Y$118,2)&amp;"",'Dados'!$A$549:$A$554,0))&gt;=$N$12),1,0),1))</f>
        <v/>
      </c>
      <c r="AG11" s="19">
        <f>$AG$10+$AF$11</f>
        <v/>
      </c>
      <c r="AH11" s="19">
        <f>'Tabelas'!$AB$472&amp;""</f>
        <v/>
      </c>
      <c r="AI11" s="19">
        <f>'Tabelas'!$X$12&amp;""</f>
        <v/>
      </c>
      <c r="AK11" s="19">
        <f>0+IF(AND('Dados'!$C$92="Boss",'Dados'!$D$92=$N$11,COUNTIFS('Dados'!$A$520:$A$545,$N$13,'Dados'!$B$520:$B$545,'Dados'!$B$92)&gt;0),1,0)</f>
        <v/>
      </c>
      <c r="AL11" s="19">
        <f>0+IF(AND('Dados'!$C$92="Elite",'Dados'!$D$92=$N$11,COUNTIFS('Dados'!$A$520:$A$545,$N$13,'Dados'!$B$520:$B$545,'Dados'!$B$92)&gt;0),1,0)</f>
        <v/>
      </c>
      <c r="AM11" s="19">
        <f>0+IF(AND('Dados'!$C$92="Boss",'Dados'!$D$92=$N$11),1,0)</f>
        <v/>
      </c>
    </row>
    <row r="12" ht="37" customHeight="1">
      <c r="A12" s="21" t="inlineStr">
        <is>
          <t>Gancho</t>
        </is>
      </c>
      <c r="B12" s="9">
        <f>$N$47</f>
        <v/>
      </c>
      <c r="I12" s="9">
        <f>IF($N$44=1,"27.18, faixa "&amp;$N$11,"Tabelas: Gancho de aventura")&amp;" · Sugestão da planilha — não é regra do livro (H20)"</f>
        <v/>
      </c>
      <c r="K12" s="26">
        <f>IF(LEN($N$47)=0,"Listas de gancho vazias (aba Tabelas)","")</f>
        <v/>
      </c>
      <c r="N12" s="19">
        <f>MATCH($N$11,'Dados'!$B$7:$B$11,0)</f>
        <v/>
      </c>
      <c r="AA12" s="19">
        <f>MOD(MOD(MOD((MOD('Início'!$E$15+104729*$I$7+6274827,2147483646)+1)*16807,2147483647)*16807,2147483647)*16807,2147483647)</f>
        <v/>
      </c>
      <c r="AB12" s="19">
        <f>MOD(MOD(MOD((MOD(MOD(INT($AA$12/65536)*$AA$12,2147483647)*65536+MOD($AA$12,65536)*$AA$12,2147483647))*16807,2147483647)*16807,2147483647)*16807,2147483647)</f>
        <v/>
      </c>
      <c r="AC12" s="19">
        <f>MOD(MOD(MOD((MOD($AB$12+INT($AB$12/65536)*MOD($AB$12,65536),2147483646)+1)*16807,2147483647)*16807,2147483647)*16807,2147483647)</f>
        <v/>
      </c>
      <c r="AE12" s="19">
        <f>$AE$11+IF(AND(LEN($N$10)&gt;0,INDEX('Tabelas'!$Z$472:$Z$578,3)&amp;""=$N$10,LEN(INDEX('Tabelas'!$AA$472:$AA$578,3)&amp;"")&gt;0),1,0)</f>
        <v/>
      </c>
      <c r="AF12" s="19">
        <f>IF(LEN(INDEX('Tabelas'!$Y$12:$Y$118,3)&amp;"")=0,0,IF(ISNUMBER(MATCH(INDEX('Tabelas'!$Y$12:$Y$118,3)&amp;"",'Dados'!$A$549:$A$554,0)),IF(AND(INDEX('Dados'!$B$549:$B$554,MATCH(INDEX('Tabelas'!$Y$12:$Y$118,3)&amp;"",'Dados'!$A$549:$A$554,0))&lt;=$N$12,INDEX('Dados'!$C$549:$C$554,MATCH(INDEX('Tabelas'!$Y$12:$Y$118,3)&amp;"",'Dados'!$A$549:$A$554,0))&gt;=$N$12),1,0),1))</f>
        <v/>
      </c>
      <c r="AG12" s="19">
        <f>$AG$11+$AF$12</f>
        <v/>
      </c>
      <c r="AH12" s="19">
        <f>'Tabelas'!$AB$473&amp;""</f>
        <v/>
      </c>
      <c r="AI12" s="19">
        <f>'Tabelas'!$X$13&amp;""</f>
        <v/>
      </c>
      <c r="AK12" s="19">
        <f>$AK$11+IF(AND('Dados'!$C$93="Boss",'Dados'!$D$93=$N$11,COUNTIFS('Dados'!$A$520:$A$545,$N$13,'Dados'!$B$520:$B$545,'Dados'!$B$93)&gt;0),1,0)</f>
        <v/>
      </c>
      <c r="AL12" s="19">
        <f>$AL$11+IF(AND('Dados'!$C$93="Elite",'Dados'!$D$93=$N$11,COUNTIFS('Dados'!$A$520:$A$545,$N$13,'Dados'!$B$520:$B$545,'Dados'!$B$93)&gt;0),1,0)</f>
        <v/>
      </c>
      <c r="AM12" s="19">
        <f>$AM$11+IF(AND('Dados'!$C$93="Boss",'Dados'!$D$93=$N$11),1,0)</f>
        <v/>
      </c>
    </row>
    <row r="13" ht="48" customHeight="1">
      <c r="A13" s="8" t="inlineStr">
        <is>
          <t>Contratante</t>
        </is>
      </c>
      <c r="B13" s="4">
        <f>$N$22</f>
        <v/>
      </c>
      <c r="I13" s="4">
        <f>"Facção de 27.16 diferente da do conflito; nome pela cultura (05) · Sugestão da planilha — não é regra do livro (H26)"</f>
        <v/>
      </c>
      <c r="N13" s="19">
        <f>IF(AND(LEN($AT$7)&gt;0,$AT$7&lt;&gt;"Sortear",COUNTIF($AI$10:$AI$110,$AT$7)&gt;0),$AT$7,IF('Tabelas'!$B$9&lt;=0,"",IFERROR(INDEX('Tabelas'!$X$12:$X$118,MATCH(IF('Tabelas'!$B$9&lt;=0,0,INT($AC$29*'Tabelas'!$B$9/2147483647)+1),'Tabelas'!$N$12:$N$118,0))&amp;"","")))</f>
        <v/>
      </c>
      <c r="AA13" s="19">
        <f>MOD(MOD(MOD((MOD('Início'!$E$15+104729*$I$7+7574536,2147483646)+1)*16807,2147483647)*16807,2147483647)*16807,2147483647)</f>
        <v/>
      </c>
      <c r="AB13" s="19">
        <f>MOD(MOD(MOD((MOD(MOD(INT($AA$13/65536)*$AA$13,2147483647)*65536+MOD($AA$13,65536)*$AA$13,2147483647))*16807,2147483647)*16807,2147483647)*16807,2147483647)</f>
        <v/>
      </c>
      <c r="AC13" s="19">
        <f>MOD(MOD(MOD((MOD($AB$13+INT($AB$13/65536)*MOD($AB$13,65536),2147483646)+1)*16807,2147483647)*16807,2147483647)*16807,2147483647)</f>
        <v/>
      </c>
      <c r="AE13" s="19">
        <f>$AE$12+IF(AND(LEN($N$10)&gt;0,INDEX('Tabelas'!$Z$472:$Z$578,4)&amp;""=$N$10,LEN(INDEX('Tabelas'!$AA$472:$AA$578,4)&amp;"")&gt;0),1,0)</f>
        <v/>
      </c>
      <c r="AF13" s="19">
        <f>IF(LEN(INDEX('Tabelas'!$Y$12:$Y$118,4)&amp;"")=0,0,IF(ISNUMBER(MATCH(INDEX('Tabelas'!$Y$12:$Y$118,4)&amp;"",'Dados'!$A$549:$A$554,0)),IF(AND(INDEX('Dados'!$B$549:$B$554,MATCH(INDEX('Tabelas'!$Y$12:$Y$118,4)&amp;"",'Dados'!$A$549:$A$554,0))&lt;=$N$12,INDEX('Dados'!$C$549:$C$554,MATCH(INDEX('Tabelas'!$Y$12:$Y$118,4)&amp;"",'Dados'!$A$549:$A$554,0))&gt;=$N$12),1,0),1))</f>
        <v/>
      </c>
      <c r="AG13" s="19">
        <f>$AG$12+$AF$13</f>
        <v/>
      </c>
      <c r="AH13" s="19">
        <f>'Tabelas'!$AB$474&amp;""</f>
        <v/>
      </c>
      <c r="AI13" s="19">
        <f>'Tabelas'!$X$14&amp;""</f>
        <v/>
      </c>
      <c r="AK13" s="19">
        <f>$AK$12+IF(AND('Dados'!$C$94="Boss",'Dados'!$D$94=$N$11,COUNTIFS('Dados'!$A$520:$A$545,$N$13,'Dados'!$B$520:$B$545,'Dados'!$B$94)&gt;0),1,0)</f>
        <v/>
      </c>
      <c r="AL13" s="19">
        <f>$AL$12+IF(AND('Dados'!$C$94="Elite",'Dados'!$D$94=$N$11,COUNTIFS('Dados'!$A$520:$A$545,$N$13,'Dados'!$B$520:$B$545,'Dados'!$B$94)&gt;0),1,0)</f>
        <v/>
      </c>
      <c r="AM13" s="19">
        <f>$AM$12+IF(AND('Dados'!$C$94="Boss",'Dados'!$D$94=$N$11),1,0)</f>
        <v/>
      </c>
    </row>
    <row r="14" ht="26" customHeight="1">
      <c r="A14" s="21" t="inlineStr">
        <is>
          <t>Objetivo</t>
        </is>
      </c>
      <c r="B14" s="9">
        <f>$N$24</f>
        <v/>
      </c>
      <c r="I14" s="9">
        <f>"Tabelas: Objetivo por tipo"</f>
        <v/>
      </c>
      <c r="K14" s="26">
        <f>IF($N$23=0,"Sem objetivo para o tipo "&amp;$N$10&amp;" na aba Tabelas","")</f>
        <v/>
      </c>
      <c r="N14" s="19">
        <f>IFERROR(INDEX('Tabelas'!$N$12:$N$118,MATCH($N$13,'Tabelas'!$X$12:$X$118,0)),0)</f>
        <v/>
      </c>
      <c r="AA14" s="19">
        <f>MOD(MOD(MOD((MOD('Início'!$E$15+104729*$I$7+8874245,2147483646)+1)*16807,2147483647)*16807,2147483647)*16807,2147483647)</f>
        <v/>
      </c>
      <c r="AB14" s="19">
        <f>MOD(MOD(MOD((MOD(MOD(INT($AA$14/65536)*$AA$14,2147483647)*65536+MOD($AA$14,65536)*$AA$14,2147483647))*16807,2147483647)*16807,2147483647)*16807,2147483647)</f>
        <v/>
      </c>
      <c r="AC14" s="19">
        <f>MOD(MOD(MOD((MOD($AB$14+INT($AB$14/65536)*MOD($AB$14,65536),2147483646)+1)*16807,2147483647)*16807,2147483647)*16807,2147483647)</f>
        <v/>
      </c>
      <c r="AE14" s="19">
        <f>$AE$13+IF(AND(LEN($N$10)&gt;0,INDEX('Tabelas'!$Z$472:$Z$578,5)&amp;""=$N$10,LEN(INDEX('Tabelas'!$AA$472:$AA$578,5)&amp;"")&gt;0),1,0)</f>
        <v/>
      </c>
      <c r="AF14" s="19">
        <f>IF(LEN(INDEX('Tabelas'!$Y$12:$Y$118,5)&amp;"")=0,0,IF(ISNUMBER(MATCH(INDEX('Tabelas'!$Y$12:$Y$118,5)&amp;"",'Dados'!$A$549:$A$554,0)),IF(AND(INDEX('Dados'!$B$549:$B$554,MATCH(INDEX('Tabelas'!$Y$12:$Y$118,5)&amp;"",'Dados'!$A$549:$A$554,0))&lt;=$N$12,INDEX('Dados'!$C$549:$C$554,MATCH(INDEX('Tabelas'!$Y$12:$Y$118,5)&amp;"",'Dados'!$A$549:$A$554,0))&gt;=$N$12),1,0),1))</f>
        <v/>
      </c>
      <c r="AG14" s="19">
        <f>$AG$13+$AF$14</f>
        <v/>
      </c>
      <c r="AH14" s="19">
        <f>'Tabelas'!$AB$475&amp;""</f>
        <v/>
      </c>
      <c r="AI14" s="19">
        <f>'Tabelas'!$X$15&amp;""</f>
        <v/>
      </c>
      <c r="AK14" s="19">
        <f>$AK$13+IF(AND('Dados'!$C$95="Boss",'Dados'!$D$95=$N$11,COUNTIFS('Dados'!$A$520:$A$545,$N$13,'Dados'!$B$520:$B$545,'Dados'!$B$95)&gt;0),1,0)</f>
        <v/>
      </c>
      <c r="AL14" s="19">
        <f>$AL$13+IF(AND('Dados'!$C$95="Elite",'Dados'!$D$95=$N$11,COUNTIFS('Dados'!$A$520:$A$545,$N$13,'Dados'!$B$520:$B$545,'Dados'!$B$95)&gt;0),1,0)</f>
        <v/>
      </c>
      <c r="AM14" s="19">
        <f>$AM$13+IF(AND('Dados'!$C$95="Boss",'Dados'!$D$95=$N$11),1,0)</f>
        <v/>
      </c>
    </row>
    <row r="15" ht="37" customHeight="1">
      <c r="A15" s="8" t="inlineStr">
        <is>
          <t>Local</t>
        </is>
      </c>
      <c r="B15" s="4">
        <f>$N$29</f>
        <v/>
      </c>
      <c r="I15" s="4">
        <f>IF(AND($N$28=1,LEN($N$26)&gt;0),"27.17 (lugar que serve à faixa)","Tabelas: Local")&amp;" · Sugestão da planilha — não é regra do livro (H26)"</f>
        <v/>
      </c>
      <c r="K15" s="18">
        <f>IF(LEN($N$29)=0,"Listas de local vazias (aba Tabelas)","")</f>
        <v/>
      </c>
      <c r="N15" s="19">
        <f>IF('Tabelas'!$B$9&lt;=0,"",IFERROR(INDEX('Tabelas'!$X$12:$X$118,MATCH(IF($N$14&gt;0,IF('Tabelas'!$B$9&lt;=1,$N$14,MOD($N$14-1+1+INT($AC$12*('Tabelas'!$B$9-1)/2147483647),'Tabelas'!$B$9)+1),IF('Tabelas'!$B$9&lt;=0,0,INT($AC$12*'Tabelas'!$B$9/2147483647)+1)),'Tabelas'!$N$12:$N$118,0))&amp;"",""))</f>
        <v/>
      </c>
      <c r="AA15" s="19">
        <f>MOD(MOD(MOD((MOD('Início'!$E$15+104729*$I$7+10173954,2147483646)+1)*16807,2147483647)*16807,2147483647)*16807,2147483647)</f>
        <v/>
      </c>
      <c r="AB15" s="19">
        <f>MOD(MOD(MOD((MOD(MOD(INT($AA$15/65536)*$AA$15,2147483647)*65536+MOD($AA$15,65536)*$AA$15,2147483647))*16807,2147483647)*16807,2147483647)*16807,2147483647)</f>
        <v/>
      </c>
      <c r="AC15" s="19">
        <f>MOD(MOD(MOD((MOD($AB$15+INT($AB$15/65536)*MOD($AB$15,65536),2147483646)+1)*16807,2147483647)*16807,2147483647)*16807,2147483647)</f>
        <v/>
      </c>
      <c r="AE15" s="19">
        <f>$AE$14+IF(AND(LEN($N$10)&gt;0,INDEX('Tabelas'!$Z$472:$Z$578,6)&amp;""=$N$10,LEN(INDEX('Tabelas'!$AA$472:$AA$578,6)&amp;"")&gt;0),1,0)</f>
        <v/>
      </c>
      <c r="AF15" s="19">
        <f>IF(LEN(INDEX('Tabelas'!$Y$12:$Y$118,6)&amp;"")=0,0,IF(ISNUMBER(MATCH(INDEX('Tabelas'!$Y$12:$Y$118,6)&amp;"",'Dados'!$A$549:$A$554,0)),IF(AND(INDEX('Dados'!$B$549:$B$554,MATCH(INDEX('Tabelas'!$Y$12:$Y$118,6)&amp;"",'Dados'!$A$549:$A$554,0))&lt;=$N$12,INDEX('Dados'!$C$549:$C$554,MATCH(INDEX('Tabelas'!$Y$12:$Y$118,6)&amp;"",'Dados'!$A$549:$A$554,0))&gt;=$N$12),1,0),1))</f>
        <v/>
      </c>
      <c r="AG15" s="19">
        <f>$AG$14+$AF$15</f>
        <v/>
      </c>
      <c r="AH15" s="19">
        <f>'Tabelas'!$AB$476&amp;""</f>
        <v/>
      </c>
      <c r="AI15" s="19">
        <f>'Tabelas'!$X$16&amp;""</f>
        <v/>
      </c>
      <c r="AK15" s="19">
        <f>$AK$14+IF(AND('Dados'!$C$96="Boss",'Dados'!$D$96=$N$11,COUNTIFS('Dados'!$A$520:$A$545,$N$13,'Dados'!$B$520:$B$545,'Dados'!$B$96)&gt;0),1,0)</f>
        <v/>
      </c>
      <c r="AL15" s="19">
        <f>$AL$14+IF(AND('Dados'!$C$96="Elite",'Dados'!$D$96=$N$11,COUNTIFS('Dados'!$A$520:$A$545,$N$13,'Dados'!$B$520:$B$545,'Dados'!$B$96)&gt;0),1,0)</f>
        <v/>
      </c>
      <c r="AM15" s="19">
        <f>$AM$14+IF(AND('Dados'!$C$96="Boss",'Dados'!$D$96=$N$11),1,0)</f>
        <v/>
      </c>
    </row>
    <row r="16">
      <c r="A16" s="21" t="inlineStr">
        <is>
          <t>Facção do conflito</t>
        </is>
      </c>
      <c r="B16" s="9">
        <f>$N$13</f>
        <v/>
      </c>
      <c r="I16" s="9">
        <f>IF(AND(LEN($AT$7)&gt;0,$AT$7&lt;&gt;"Sortear"),"Escolhida","Sorteada (27.16)")</f>
        <v/>
      </c>
      <c r="K16" s="26">
        <f>IF('Tabelas'!$B$9&lt;=0,"Lista 'Facções' está vazia (aba Tabelas)","")</f>
        <v/>
      </c>
      <c r="N16" s="19">
        <f>INDEX('Dados'!$A$350:$A$356,INT($AC$13*7/2147483647)+1)</f>
        <v/>
      </c>
      <c r="AA16" s="19">
        <f>MOD(MOD(MOD((MOD('Início'!$E$15+104729*$I$7+11473663,2147483646)+1)*16807,2147483647)*16807,2147483647)*16807,2147483647)</f>
        <v/>
      </c>
      <c r="AB16" s="19">
        <f>MOD(MOD(MOD((MOD(MOD(INT($AA$16/65536)*$AA$16,2147483647)*65536+MOD($AA$16,65536)*$AA$16,2147483647))*16807,2147483647)*16807,2147483647)*16807,2147483647)</f>
        <v/>
      </c>
      <c r="AC16" s="19">
        <f>MOD(MOD(MOD((MOD($AB$16+INT($AB$16/65536)*MOD($AB$16,65536),2147483646)+1)*16807,2147483647)*16807,2147483647)*16807,2147483647)</f>
        <v/>
      </c>
      <c r="AE16" s="19">
        <f>$AE$15+IF(AND(LEN($N$10)&gt;0,INDEX('Tabelas'!$Z$472:$Z$578,7)&amp;""=$N$10,LEN(INDEX('Tabelas'!$AA$472:$AA$578,7)&amp;"")&gt;0),1,0)</f>
        <v/>
      </c>
      <c r="AF16" s="19">
        <f>IF(LEN(INDEX('Tabelas'!$Y$12:$Y$118,7)&amp;"")=0,0,IF(ISNUMBER(MATCH(INDEX('Tabelas'!$Y$12:$Y$118,7)&amp;"",'Dados'!$A$549:$A$554,0)),IF(AND(INDEX('Dados'!$B$549:$B$554,MATCH(INDEX('Tabelas'!$Y$12:$Y$118,7)&amp;"",'Dados'!$A$549:$A$554,0))&lt;=$N$12,INDEX('Dados'!$C$549:$C$554,MATCH(INDEX('Tabelas'!$Y$12:$Y$118,7)&amp;"",'Dados'!$A$549:$A$554,0))&gt;=$N$12),1,0),1))</f>
        <v/>
      </c>
      <c r="AG16" s="19">
        <f>$AG$15+$AF$16</f>
        <v/>
      </c>
      <c r="AH16" s="19">
        <f>'Tabelas'!$AB$477&amp;""</f>
        <v/>
      </c>
      <c r="AI16" s="19">
        <f>'Tabelas'!$X$17&amp;""</f>
        <v/>
      </c>
      <c r="AK16" s="19">
        <f>$AK$15+IF(AND('Dados'!$C$97="Boss",'Dados'!$D$97=$N$11,COUNTIFS('Dados'!$A$520:$A$545,$N$13,'Dados'!$B$520:$B$545,'Dados'!$B$97)&gt;0),1,0)</f>
        <v/>
      </c>
      <c r="AL16" s="19">
        <f>$AL$15+IF(AND('Dados'!$C$97="Elite",'Dados'!$D$97=$N$11,COUNTIFS('Dados'!$A$520:$A$545,$N$13,'Dados'!$B$520:$B$545,'Dados'!$B$97)&gt;0),1,0)</f>
        <v/>
      </c>
      <c r="AM16" s="19">
        <f>$AM$15+IF(AND('Dados'!$C$97="Boss",'Dados'!$D$97=$N$11),1,0)</f>
        <v/>
      </c>
    </row>
    <row r="17" ht="48" customHeight="1">
      <c r="A17" s="8" t="inlineStr">
        <is>
          <t>Antagonista</t>
        </is>
      </c>
      <c r="B17" s="4">
        <f>$N$32</f>
        <v/>
      </c>
      <c r="I17" s="4">
        <f>CHOOSE(MAX(1,$N$30),"Boss da facção na faixa","Elite da facção na faixa","Boss da faixa")&amp;" (28.11, 27.16) · Sugestão da planilha — não é regra do livro (H22)"</f>
        <v/>
      </c>
      <c r="N17" s="19">
        <f>IFERROR(MATCH($N$16,'Dados'!$A$388:$A$394,0),1)</f>
        <v/>
      </c>
      <c r="AA17" s="19">
        <f>MOD(MOD(MOD((MOD('Início'!$E$15+104729*$I$7+12773372,2147483646)+1)*16807,2147483647)*16807,2147483647)*16807,2147483647)</f>
        <v/>
      </c>
      <c r="AB17" s="19">
        <f>MOD(MOD(MOD((MOD(MOD(INT($AA$17/65536)*$AA$17,2147483647)*65536+MOD($AA$17,65536)*$AA$17,2147483647))*16807,2147483647)*16807,2147483647)*16807,2147483647)</f>
        <v/>
      </c>
      <c r="AC17" s="19">
        <f>MOD(MOD(MOD((MOD($AB$17+INT($AB$17/65536)*MOD($AB$17,65536),2147483646)+1)*16807,2147483647)*16807,2147483647)*16807,2147483647)</f>
        <v/>
      </c>
      <c r="AE17" s="19">
        <f>$AE$16+IF(AND(LEN($N$10)&gt;0,INDEX('Tabelas'!$Z$472:$Z$578,8)&amp;""=$N$10,LEN(INDEX('Tabelas'!$AA$472:$AA$578,8)&amp;"")&gt;0),1,0)</f>
        <v/>
      </c>
      <c r="AF17" s="19">
        <f>IF(LEN(INDEX('Tabelas'!$Y$12:$Y$118,8)&amp;"")=0,0,IF(ISNUMBER(MATCH(INDEX('Tabelas'!$Y$12:$Y$118,8)&amp;"",'Dados'!$A$549:$A$554,0)),IF(AND(INDEX('Dados'!$B$549:$B$554,MATCH(INDEX('Tabelas'!$Y$12:$Y$118,8)&amp;"",'Dados'!$A$549:$A$554,0))&lt;=$N$12,INDEX('Dados'!$C$549:$C$554,MATCH(INDEX('Tabelas'!$Y$12:$Y$118,8)&amp;"",'Dados'!$A$549:$A$554,0))&gt;=$N$12),1,0),1))</f>
        <v/>
      </c>
      <c r="AG17" s="19">
        <f>$AG$16+$AF$17</f>
        <v/>
      </c>
      <c r="AH17" s="19">
        <f>'Tabelas'!$AB$478&amp;""</f>
        <v/>
      </c>
      <c r="AI17" s="19">
        <f>'Tabelas'!$X$18&amp;""</f>
        <v/>
      </c>
      <c r="AK17" s="19">
        <f>$AK$16+IF(AND('Dados'!$C$98="Boss",'Dados'!$D$98=$N$11,COUNTIFS('Dados'!$A$520:$A$545,$N$13,'Dados'!$B$520:$B$545,'Dados'!$B$98)&gt;0),1,0)</f>
        <v/>
      </c>
      <c r="AL17" s="19">
        <f>$AL$16+IF(AND('Dados'!$C$98="Elite",'Dados'!$D$98=$N$11,COUNTIFS('Dados'!$A$520:$A$545,$N$13,'Dados'!$B$520:$B$545,'Dados'!$B$98)&gt;0),1,0)</f>
        <v/>
      </c>
      <c r="AM17" s="19">
        <f>$AM$16+IF(AND('Dados'!$C$98="Boss",'Dados'!$D$98=$N$11),1,0)</f>
        <v/>
      </c>
    </row>
    <row r="18" ht="26" customHeight="1">
      <c r="A18" s="21" t="inlineStr">
        <is>
          <t>Complicação</t>
        </is>
      </c>
      <c r="B18" s="9">
        <f>$N$33</f>
        <v/>
      </c>
      <c r="I18" s="9">
        <f>"Tabelas: Complicação (falhe para frente, 02)"</f>
        <v/>
      </c>
      <c r="K18" s="26">
        <f>IF('Tabelas'!$I$469&lt;=0,"Lista 'Complicação' está vazia (aba Tabelas)","")</f>
        <v/>
      </c>
      <c r="N18" s="19">
        <f>IF($N$17=1,IF('Tabelas'!$B$124&lt;=0,"",IFERROR(INDEX('Tabelas'!$X$127:$X$233,MATCH(IF('Tabelas'!$B$124&lt;=0,0,INT($AC$26*'Tabelas'!$B$124/2147483647)+1),'Tabelas'!$N$127:$N$233,0))&amp;"","")),IF($N$17=2,IF('Tabelas'!$C$124&lt;=0,"",IFERROR(INDEX('Tabelas'!$Y$127:$Y$233,MATCH(IF('Tabelas'!$C$124&lt;=0,0,INT($AC$26*'Tabelas'!$C$124/2147483647)+1),'Tabelas'!$O$127:$O$233,0))&amp;"","")),IF($N$17=3,IF('Tabelas'!$D$124&lt;=0,"",IFERROR(INDEX('Tabelas'!$Z$127:$Z$233,MATCH(IF('Tabelas'!$D$124&lt;=0,0,INT($AC$26*'Tabelas'!$D$124/2147483647)+1),'Tabelas'!$P$127:$P$233,0))&amp;"","")),IF($N$17=4,IF('Tabelas'!$E$124&lt;=0,"",IFERROR(INDEX('Tabelas'!$AA$127:$AA$233,MATCH(IF('Tabelas'!$E$124&lt;=0,0,INT($AC$26*'Tabelas'!$E$124/2147483647)+1),'Tabelas'!$Q$127:$Q$233,0))&amp;"","")),IF($N$17=5,IF('Tabelas'!$F$124&lt;=0,"",IFERROR(INDEX('Tabelas'!$AB$127:$AB$233,MATCH(IF('Tabelas'!$F$124&lt;=0,0,INT($AC$26*'Tabelas'!$F$124/2147483647)+1),'Tabelas'!$R$127:$R$233,0))&amp;"","")),IF($N$17=6,IF('Tabelas'!$G$124&lt;=0,"",IFERROR(INDEX('Tabelas'!$AC$127:$AC$233,MATCH(IF('Tabelas'!$G$124&lt;=0,0,INT($AC$26*'Tabelas'!$G$124/2147483647)+1),'Tabelas'!$S$127:$S$233,0))&amp;"","")),IF('Tabelas'!$H$124&lt;=0,"",IFERROR(INDEX('Tabelas'!$AD$127:$AD$233,MATCH(IF('Tabelas'!$H$124&lt;=0,0,INT($AC$26*'Tabelas'!$H$124/2147483647)+1),'Tabelas'!$T$127:$T$233,0))&amp;"",""))))))))</f>
        <v/>
      </c>
      <c r="AA18" s="19">
        <f>MOD(MOD(MOD((MOD('Início'!$E$15+104729*$I$7+14073081,2147483646)+1)*16807,2147483647)*16807,2147483647)*16807,2147483647)</f>
        <v/>
      </c>
      <c r="AB18" s="19">
        <f>MOD(MOD(MOD((MOD(MOD(INT($AA$18/65536)*$AA$18,2147483647)*65536+MOD($AA$18,65536)*$AA$18,2147483647))*16807,2147483647)*16807,2147483647)*16807,2147483647)</f>
        <v/>
      </c>
      <c r="AC18" s="19">
        <f>MOD(MOD(MOD((MOD($AB$18+INT($AB$18/65536)*MOD($AB$18,65536),2147483646)+1)*16807,2147483647)*16807,2147483647)*16807,2147483647)</f>
        <v/>
      </c>
      <c r="AE18" s="19">
        <f>$AE$17+IF(AND(LEN($N$10)&gt;0,INDEX('Tabelas'!$Z$472:$Z$578,9)&amp;""=$N$10,LEN(INDEX('Tabelas'!$AA$472:$AA$578,9)&amp;"")&gt;0),1,0)</f>
        <v/>
      </c>
      <c r="AF18" s="19">
        <f>IF(LEN(INDEX('Tabelas'!$Y$12:$Y$118,9)&amp;"")=0,0,IF(ISNUMBER(MATCH(INDEX('Tabelas'!$Y$12:$Y$118,9)&amp;"",'Dados'!$A$549:$A$554,0)),IF(AND(INDEX('Dados'!$B$549:$B$554,MATCH(INDEX('Tabelas'!$Y$12:$Y$118,9)&amp;"",'Dados'!$A$549:$A$554,0))&lt;=$N$12,INDEX('Dados'!$C$549:$C$554,MATCH(INDEX('Tabelas'!$Y$12:$Y$118,9)&amp;"",'Dados'!$A$549:$A$554,0))&gt;=$N$12),1,0),1))</f>
        <v/>
      </c>
      <c r="AG18" s="19">
        <f>$AG$17+$AF$18</f>
        <v/>
      </c>
      <c r="AH18" s="19">
        <f>'Tabelas'!$AB$479&amp;""</f>
        <v/>
      </c>
      <c r="AI18" s="19">
        <f>'Tabelas'!$X$19&amp;""</f>
        <v/>
      </c>
      <c r="AK18" s="19">
        <f>$AK$17+IF(AND('Dados'!$C$99="Boss",'Dados'!$D$99=$N$11,COUNTIFS('Dados'!$A$520:$A$545,$N$13,'Dados'!$B$520:$B$545,'Dados'!$B$99)&gt;0),1,0)</f>
        <v/>
      </c>
      <c r="AL18" s="19">
        <f>$AL$17+IF(AND('Dados'!$C$99="Elite",'Dados'!$D$99=$N$11,COUNTIFS('Dados'!$A$520:$A$545,$N$13,'Dados'!$B$520:$B$545,'Dados'!$B$99)&gt;0),1,0)</f>
        <v/>
      </c>
      <c r="AM18" s="19">
        <f>$AM$17+IF(AND('Dados'!$C$99="Boss",'Dados'!$D$99=$N$11),1,0)</f>
        <v/>
      </c>
    </row>
    <row r="19">
      <c r="A19" s="8" t="inlineStr">
        <is>
          <t>Reviravolta</t>
        </is>
      </c>
      <c r="B19" s="4">
        <f>$N$34</f>
        <v/>
      </c>
      <c r="I19" s="4">
        <f>"Tabelas: Reviravolta"</f>
        <v/>
      </c>
      <c r="K19" s="18">
        <f>IF('Tabelas'!$J$469&lt;=0,"Lista 'Reviravolta' está vazia (aba Tabelas)","")</f>
        <v/>
      </c>
      <c r="N19" s="19">
        <f>IF($N$17=1,IF('Tabelas'!$B$239&lt;=0,"",IFERROR(INDEX('Tabelas'!$X$242:$X$348,MATCH(IF('Tabelas'!$B$239&lt;=0,0,INT($AC$30*'Tabelas'!$B$239/2147483647)+1),'Tabelas'!$N$242:$N$348,0))&amp;"","")),IF($N$17=2,IF('Tabelas'!$C$239&lt;=0,"",IFERROR(INDEX('Tabelas'!$Y$242:$Y$348,MATCH(IF('Tabelas'!$C$239&lt;=0,0,INT($AC$30*'Tabelas'!$C$239/2147483647)+1),'Tabelas'!$O$242:$O$348,0))&amp;"","")),IF($N$17=3,IF('Tabelas'!$D$239&lt;=0,"",IFERROR(INDEX('Tabelas'!$Z$242:$Z$348,MATCH(IF('Tabelas'!$D$239&lt;=0,0,INT($AC$30*'Tabelas'!$D$239/2147483647)+1),'Tabelas'!$P$242:$P$348,0))&amp;"","")),IF($N$17=4,IF('Tabelas'!$E$239&lt;=0,"",IFERROR(INDEX('Tabelas'!$AA$242:$AA$348,MATCH(IF('Tabelas'!$E$239&lt;=0,0,INT($AC$30*'Tabelas'!$E$239/2147483647)+1),'Tabelas'!$Q$242:$Q$348,0))&amp;"","")),IF($N$17=5,IF('Tabelas'!$F$239&lt;=0,"",IFERROR(INDEX('Tabelas'!$AB$242:$AB$348,MATCH(IF('Tabelas'!$F$239&lt;=0,0,INT($AC$30*'Tabelas'!$F$239/2147483647)+1),'Tabelas'!$R$242:$R$348,0))&amp;"","")),IF($N$17=6,IF('Tabelas'!$G$239&lt;=0,"",IFERROR(INDEX('Tabelas'!$AC$242:$AC$348,MATCH(IF('Tabelas'!$G$239&lt;=0,0,INT($AC$30*'Tabelas'!$G$239/2147483647)+1),'Tabelas'!$S$242:$S$348,0))&amp;"","")),IF('Tabelas'!$H$239&lt;=0,"",IFERROR(INDEX('Tabelas'!$AD$242:$AD$348,MATCH(IF('Tabelas'!$H$239&lt;=0,0,INT($AC$30*'Tabelas'!$H$239/2147483647)+1),'Tabelas'!$T$242:$T$348,0))&amp;"",""))))))))</f>
        <v/>
      </c>
      <c r="AA19" s="19">
        <f>MOD(MOD(MOD((MOD('Início'!$E$15+104729*$I$7+15372790,2147483646)+1)*16807,2147483647)*16807,2147483647)*16807,2147483647)</f>
        <v/>
      </c>
      <c r="AB19" s="19">
        <f>MOD(MOD(MOD((MOD(MOD(INT($AA$19/65536)*$AA$19,2147483647)*65536+MOD($AA$19,65536)*$AA$19,2147483647))*16807,2147483647)*16807,2147483647)*16807,2147483647)</f>
        <v/>
      </c>
      <c r="AC19" s="19">
        <f>MOD(MOD(MOD((MOD($AB$19+INT($AB$19/65536)*MOD($AB$19,65536),2147483646)+1)*16807,2147483647)*16807,2147483647)*16807,2147483647)</f>
        <v/>
      </c>
      <c r="AE19" s="19">
        <f>$AE$18+IF(AND(LEN($N$10)&gt;0,INDEX('Tabelas'!$Z$472:$Z$578,10)&amp;""=$N$10,LEN(INDEX('Tabelas'!$AA$472:$AA$578,10)&amp;"")&gt;0),1,0)</f>
        <v/>
      </c>
      <c r="AF19" s="19">
        <f>IF(LEN(INDEX('Tabelas'!$Y$12:$Y$118,10)&amp;"")=0,0,IF(ISNUMBER(MATCH(INDEX('Tabelas'!$Y$12:$Y$118,10)&amp;"",'Dados'!$A$549:$A$554,0)),IF(AND(INDEX('Dados'!$B$549:$B$554,MATCH(INDEX('Tabelas'!$Y$12:$Y$118,10)&amp;"",'Dados'!$A$549:$A$554,0))&lt;=$N$12,INDEX('Dados'!$C$549:$C$554,MATCH(INDEX('Tabelas'!$Y$12:$Y$118,10)&amp;"",'Dados'!$A$549:$A$554,0))&gt;=$N$12),1,0),1))</f>
        <v/>
      </c>
      <c r="AG19" s="19">
        <f>$AG$18+$AF$19</f>
        <v/>
      </c>
      <c r="AH19" s="19">
        <f>'Tabelas'!$AB$480&amp;""</f>
        <v/>
      </c>
      <c r="AI19" s="19">
        <f>'Tabelas'!$X$20&amp;""</f>
        <v/>
      </c>
      <c r="AK19" s="19">
        <f>$AK$18+IF(AND('Dados'!$C$100="Boss",'Dados'!$D$100=$N$11,COUNTIFS('Dados'!$A$520:$A$545,$N$13,'Dados'!$B$520:$B$545,'Dados'!$B$100)&gt;0),1,0)</f>
        <v/>
      </c>
      <c r="AL19" s="19">
        <f>$AL$18+IF(AND('Dados'!$C$100="Elite",'Dados'!$D$100=$N$11,COUNTIFS('Dados'!$A$520:$A$545,$N$13,'Dados'!$B$520:$B$545,'Dados'!$B$100)&gt;0),1,0)</f>
        <v/>
      </c>
      <c r="AM19" s="19">
        <f>$AM$18+IF(AND('Dados'!$C$100="Boss",'Dados'!$D$100=$N$11),1,0)</f>
        <v/>
      </c>
    </row>
    <row r="20" ht="26" customHeight="1">
      <c r="A20" s="21" t="inlineStr">
        <is>
          <t>Prazo ou risco</t>
        </is>
      </c>
      <c r="B20" s="9">
        <f>$N$35</f>
        <v/>
      </c>
      <c r="I20" s="9">
        <f>"Tabelas: Prazo (27.7: ponha relógio na ficção)"</f>
        <v/>
      </c>
      <c r="K20" s="26">
        <f>IF('Tabelas'!$B$584&lt;=0,"Lista 'Prazo ou risco' está vazia (aba Tabelas)","")</f>
        <v/>
      </c>
      <c r="N20" s="19">
        <f>IF(LEN($N$19)=0,$N$18,IF(LEN($N$18)=0,$N$19,IF(INDEX('Dados'!$B$388:$B$394,$N$17)=2,$N$19&amp;INDEX('Dados'!$C$388:$C$394,$N$17)&amp;$N$18,$N$18&amp;INDEX('Dados'!$C$388:$C$394,$N$17)&amp;$N$19)))</f>
        <v/>
      </c>
      <c r="AA20" s="19">
        <f>MOD(MOD(MOD((MOD('Início'!$E$15+104729*$I$7+16672499,2147483646)+1)*16807,2147483647)*16807,2147483647)*16807,2147483647)</f>
        <v/>
      </c>
      <c r="AB20" s="19">
        <f>MOD(MOD(MOD((MOD(MOD(INT($AA$20/65536)*$AA$20,2147483647)*65536+MOD($AA$20,65536)*$AA$20,2147483647))*16807,2147483647)*16807,2147483647)*16807,2147483647)</f>
        <v/>
      </c>
      <c r="AC20" s="19">
        <f>MOD(MOD(MOD((MOD($AB$20+INT($AB$20/65536)*MOD($AB$20,65536),2147483646)+1)*16807,2147483647)*16807,2147483647)*16807,2147483647)</f>
        <v/>
      </c>
      <c r="AE20" s="19">
        <f>$AE$19+IF(AND(LEN($N$10)&gt;0,INDEX('Tabelas'!$Z$472:$Z$578,11)&amp;""=$N$10,LEN(INDEX('Tabelas'!$AA$472:$AA$578,11)&amp;"")&gt;0),1,0)</f>
        <v/>
      </c>
      <c r="AF20" s="19">
        <f>IF(LEN(INDEX('Tabelas'!$Y$12:$Y$118,11)&amp;"")=0,0,IF(ISNUMBER(MATCH(INDEX('Tabelas'!$Y$12:$Y$118,11)&amp;"",'Dados'!$A$549:$A$554,0)),IF(AND(INDEX('Dados'!$B$549:$B$554,MATCH(INDEX('Tabelas'!$Y$12:$Y$118,11)&amp;"",'Dados'!$A$549:$A$554,0))&lt;=$N$12,INDEX('Dados'!$C$549:$C$554,MATCH(INDEX('Tabelas'!$Y$12:$Y$118,11)&amp;"",'Dados'!$A$549:$A$554,0))&gt;=$N$12),1,0),1))</f>
        <v/>
      </c>
      <c r="AG20" s="19">
        <f>$AG$19+$AF$20</f>
        <v/>
      </c>
      <c r="AH20" s="19">
        <f>'Tabelas'!$AB$481&amp;""</f>
        <v/>
      </c>
      <c r="AI20" s="19">
        <f>'Tabelas'!$X$21&amp;""</f>
        <v/>
      </c>
      <c r="AK20" s="19">
        <f>$AK$19+IF(AND('Dados'!$C$101="Boss",'Dados'!$D$101=$N$11,COUNTIFS('Dados'!$A$520:$A$545,$N$13,'Dados'!$B$520:$B$545,'Dados'!$B$101)&gt;0),1,0)</f>
        <v/>
      </c>
      <c r="AL20" s="19">
        <f>$AL$19+IF(AND('Dados'!$C$101="Elite",'Dados'!$D$101=$N$11,COUNTIFS('Dados'!$A$520:$A$545,$N$13,'Dados'!$B$520:$B$545,'Dados'!$B$101)&gt;0),1,0)</f>
        <v/>
      </c>
      <c r="AM20" s="19">
        <f>$AM$19+IF(AND('Dados'!$C$101="Boss",'Dados'!$D$101=$N$11),1,0)</f>
        <v/>
      </c>
    </row>
    <row r="21" ht="37" customHeight="1">
      <c r="A21" s="8" t="inlineStr">
        <is>
          <t>Recompensa</t>
        </is>
      </c>
      <c r="B21" s="4">
        <f>"Verba de marco: "&amp;$N$52&amp;" Cr para o grupo ao subir de nível (24.5) · equipamento de faixa se esta aventura fechar o arco (25.1) · 1 "&amp;$N$41&amp;" ("&amp;$N$42&amp;" Cr, 24.3) · pista: "&amp;$N$43</f>
        <v/>
      </c>
      <c r="I21" s="4">
        <f>"Faixa "&amp;$N$11&amp;"; o consumível é Sugestão da planilha — não é regra do livro (H9)"</f>
        <v/>
      </c>
      <c r="N21" s="19">
        <f>IF('Tabelas'!$B$354&lt;=0,"",IFERROR(INDEX('Tabelas'!$X$357:$X$463,MATCH(IF('Tabelas'!$B$354&lt;=0,0,INT($AC$25*'Tabelas'!$B$354/2147483647)+1),'Tabelas'!$N$357:$N$463,0))&amp;"",""))</f>
        <v/>
      </c>
      <c r="AA21" s="19">
        <f>MOD(MOD(MOD((MOD('Início'!$E$15+104729*$I$7+17972208,2147483646)+1)*16807,2147483647)*16807,2147483647)*16807,2147483647)</f>
        <v/>
      </c>
      <c r="AB21" s="19">
        <f>MOD(MOD(MOD((MOD(MOD(INT($AA$21/65536)*$AA$21,2147483647)*65536+MOD($AA$21,65536)*$AA$21,2147483647))*16807,2147483647)*16807,2147483647)*16807,2147483647)</f>
        <v/>
      </c>
      <c r="AC21" s="19">
        <f>MOD(MOD(MOD((MOD($AB$21+INT($AB$21/65536)*MOD($AB$21,65536),2147483646)+1)*16807,2147483647)*16807,2147483647)*16807,2147483647)</f>
        <v/>
      </c>
      <c r="AE21" s="19">
        <f>$AE$20+IF(AND(LEN($N$10)&gt;0,INDEX('Tabelas'!$Z$472:$Z$578,12)&amp;""=$N$10,LEN(INDEX('Tabelas'!$AA$472:$AA$578,12)&amp;"")&gt;0),1,0)</f>
        <v/>
      </c>
      <c r="AF21" s="19">
        <f>IF(LEN(INDEX('Tabelas'!$Y$12:$Y$118,12)&amp;"")=0,0,IF(ISNUMBER(MATCH(INDEX('Tabelas'!$Y$12:$Y$118,12)&amp;"",'Dados'!$A$549:$A$554,0)),IF(AND(INDEX('Dados'!$B$549:$B$554,MATCH(INDEX('Tabelas'!$Y$12:$Y$118,12)&amp;"",'Dados'!$A$549:$A$554,0))&lt;=$N$12,INDEX('Dados'!$C$549:$C$554,MATCH(INDEX('Tabelas'!$Y$12:$Y$118,12)&amp;"",'Dados'!$A$549:$A$554,0))&gt;=$N$12),1,0),1))</f>
        <v/>
      </c>
      <c r="AG21" s="19">
        <f>$AG$20+$AF$21</f>
        <v/>
      </c>
      <c r="AH21" s="19">
        <f>'Tabelas'!$AB$482&amp;""</f>
        <v/>
      </c>
      <c r="AI21" s="19">
        <f>'Tabelas'!$X$22&amp;""</f>
        <v/>
      </c>
      <c r="AK21" s="19">
        <f>$AK$20+IF(AND('Dados'!$C$102="Boss",'Dados'!$D$102=$N$11,COUNTIFS('Dados'!$A$520:$A$545,$N$13,'Dados'!$B$520:$B$545,'Dados'!$B$102)&gt;0),1,0)</f>
        <v/>
      </c>
      <c r="AL21" s="19">
        <f>$AL$20+IF(AND('Dados'!$C$102="Elite",'Dados'!$D$102=$N$11,COUNTIFS('Dados'!$A$520:$A$545,$N$13,'Dados'!$B$520:$B$545,'Dados'!$B$102)&gt;0),1,0)</f>
        <v/>
      </c>
      <c r="AM21" s="19">
        <f>$AM$20+IF(AND('Dados'!$C$102="Boss",'Dados'!$D$102=$N$11),1,0)</f>
        <v/>
      </c>
    </row>
    <row r="22">
      <c r="N22" s="19">
        <f>$N$20&amp;IF(LEN($N$21)&gt;0,", "&amp;$N$21,"")&amp;IF(LEN($N$15)&gt;0," ("&amp;$N$15&amp;")","")</f>
        <v/>
      </c>
      <c r="AA22" s="19">
        <f>MOD(MOD(MOD((MOD('Início'!$E$15+104729*$I$7+19271917,2147483646)+1)*16807,2147483647)*16807,2147483647)*16807,2147483647)</f>
        <v/>
      </c>
      <c r="AB22" s="19">
        <f>MOD(MOD(MOD((MOD(MOD(INT($AA$22/65536)*$AA$22,2147483647)*65536+MOD($AA$22,65536)*$AA$22,2147483647))*16807,2147483647)*16807,2147483647)*16807,2147483647)</f>
        <v/>
      </c>
      <c r="AC22" s="19">
        <f>MOD(MOD(MOD((MOD($AB$22+INT($AB$22/65536)*MOD($AB$22,65536),2147483646)+1)*16807,2147483647)*16807,2147483647)*16807,2147483647)</f>
        <v/>
      </c>
      <c r="AE22" s="19">
        <f>$AE$21+IF(AND(LEN($N$10)&gt;0,INDEX('Tabelas'!$Z$472:$Z$578,13)&amp;""=$N$10,LEN(INDEX('Tabelas'!$AA$472:$AA$578,13)&amp;"")&gt;0),1,0)</f>
        <v/>
      </c>
      <c r="AF22" s="19">
        <f>IF(LEN(INDEX('Tabelas'!$Y$12:$Y$118,13)&amp;"")=0,0,IF(ISNUMBER(MATCH(INDEX('Tabelas'!$Y$12:$Y$118,13)&amp;"",'Dados'!$A$549:$A$554,0)),IF(AND(INDEX('Dados'!$B$549:$B$554,MATCH(INDEX('Tabelas'!$Y$12:$Y$118,13)&amp;"",'Dados'!$A$549:$A$554,0))&lt;=$N$12,INDEX('Dados'!$C$549:$C$554,MATCH(INDEX('Tabelas'!$Y$12:$Y$118,13)&amp;"",'Dados'!$A$549:$A$554,0))&gt;=$N$12),1,0),1))</f>
        <v/>
      </c>
      <c r="AG22" s="19">
        <f>$AG$21+$AF$22</f>
        <v/>
      </c>
      <c r="AH22" s="19">
        <f>'Tabelas'!$AB$483&amp;""</f>
        <v/>
      </c>
      <c r="AI22" s="19">
        <f>'Tabelas'!$X$23&amp;""</f>
        <v/>
      </c>
      <c r="AK22" s="19">
        <f>$AK$21+IF(AND('Dados'!$C$103="Boss",'Dados'!$D$103=$N$11,COUNTIFS('Dados'!$A$520:$A$545,$N$13,'Dados'!$B$520:$B$545,'Dados'!$B$103)&gt;0),1,0)</f>
        <v/>
      </c>
      <c r="AL22" s="19">
        <f>$AL$21+IF(AND('Dados'!$C$103="Elite",'Dados'!$D$103=$N$11,COUNTIFS('Dados'!$A$520:$A$545,$N$13,'Dados'!$B$520:$B$545,'Dados'!$B$103)&gt;0),1,0)</f>
        <v/>
      </c>
      <c r="AM22" s="19">
        <f>$AM$21+IF(AND('Dados'!$C$103="Boss",'Dados'!$D$103=$N$11),1,0)</f>
        <v/>
      </c>
    </row>
    <row r="23" ht="26" customHeight="1">
      <c r="A23" s="12" t="inlineStr">
        <is>
          <t>Estrutura em 5 cenas (27.4 e 27.7; a DT é a da faixa do desafio, 27.2)</t>
        </is>
      </c>
      <c r="K23" s="11" t="inlineStr">
        <is>
          <t>Sugestão da planilha — não é regra do livro (H14)</t>
        </is>
      </c>
      <c r="N23" s="19">
        <f>$AE$116</f>
        <v/>
      </c>
      <c r="AA23" s="19">
        <f>MOD(MOD(MOD((MOD('Início'!$E$15+104729*$I$7+20571626,2147483646)+1)*16807,2147483647)*16807,2147483647)*16807,2147483647)</f>
        <v/>
      </c>
      <c r="AB23" s="19">
        <f>MOD(MOD(MOD((MOD(MOD(INT($AA$23/65536)*$AA$23,2147483647)*65536+MOD($AA$23,65536)*$AA$23,2147483647))*16807,2147483647)*16807,2147483647)*16807,2147483647)</f>
        <v/>
      </c>
      <c r="AC23" s="19">
        <f>MOD(MOD(MOD((MOD($AB$23+INT($AB$23/65536)*MOD($AB$23,65536),2147483646)+1)*16807,2147483647)*16807,2147483647)*16807,2147483647)</f>
        <v/>
      </c>
      <c r="AE23" s="19">
        <f>$AE$22</f>
        <v/>
      </c>
      <c r="AF23" s="19">
        <f>0</f>
        <v/>
      </c>
      <c r="AG23" s="19">
        <f>$AG$22+$AF$23</f>
        <v/>
      </c>
      <c r="AH23" s="19">
        <f>'Tabelas'!$AB$484&amp;""</f>
        <v/>
      </c>
      <c r="AI23" s="19">
        <f>'Tabelas'!$X$24&amp;""</f>
        <v/>
      </c>
      <c r="AK23" s="19">
        <f>$AK$22+IF(AND('Dados'!$C$104="Boss",'Dados'!$D$104=$N$11,COUNTIFS('Dados'!$A$520:$A$545,$N$13,'Dados'!$B$520:$B$545,'Dados'!$B$104)&gt;0),1,0)</f>
        <v/>
      </c>
      <c r="AL23" s="19">
        <f>$AL$22+IF(AND('Dados'!$C$104="Elite",'Dados'!$D$104=$N$11,COUNTIFS('Dados'!$A$520:$A$545,$N$13,'Dados'!$B$520:$B$545,'Dados'!$B$104)&gt;0),1,0)</f>
        <v/>
      </c>
      <c r="AM23" s="19">
        <f>$AM$22+IF(AND('Dados'!$C$104="Boss",'Dados'!$D$104=$N$11),1,0)</f>
        <v/>
      </c>
    </row>
    <row r="24" ht="26" customHeight="1">
      <c r="A24" s="7" t="inlineStr">
        <is>
          <t>Cena</t>
        </is>
      </c>
      <c r="B24" s="7" t="inlineStr">
        <is>
          <t>Tipo</t>
        </is>
      </c>
      <c r="C24" s="7" t="inlineStr">
        <is>
          <t>O que acontece</t>
        </is>
      </c>
      <c r="D24" s="20" t="n"/>
      <c r="E24" s="20" t="n"/>
      <c r="F24" s="20" t="n"/>
      <c r="G24" s="20" t="n"/>
      <c r="H24" s="20" t="n"/>
      <c r="I24" s="7" t="inlineStr">
        <is>
          <t>DT</t>
        </is>
      </c>
      <c r="J24" s="7" t="inlineStr">
        <is>
          <t>Orçamento (PV)</t>
        </is>
      </c>
      <c r="K24" s="7" t="inlineStr">
        <is>
          <t>Aviso</t>
        </is>
      </c>
      <c r="L24" s="20" t="n"/>
      <c r="N24" s="19">
        <f>IF($N$23=0,"",IFERROR(INDEX('Tabelas'!$AA$472:$AA$578,MATCH(INT($AC$14*$N$23/2147483647)+1,$AE$10:$AE$116,0))&amp;"",""))</f>
        <v/>
      </c>
      <c r="AA24" s="19">
        <f>MOD(MOD(MOD((MOD('Início'!$E$15+104729*$I$7+21871335,2147483646)+1)*16807,2147483647)*16807,2147483647)*16807,2147483647)</f>
        <v/>
      </c>
      <c r="AB24" s="19">
        <f>MOD(MOD(MOD((MOD(MOD(INT($AA$24/65536)*$AA$24,2147483647)*65536+MOD($AA$24,65536)*$AA$24,2147483647))*16807,2147483647)*16807,2147483647)*16807,2147483647)</f>
        <v/>
      </c>
      <c r="AC24" s="19">
        <f>MOD(MOD(MOD((MOD($AB$24+INT($AB$24/65536)*MOD($AB$24,65536),2147483646)+1)*16807,2147483647)*16807,2147483647)*16807,2147483647)</f>
        <v/>
      </c>
      <c r="AE24" s="19">
        <f>$AE$23+IF(AND(LEN($N$10)&gt;0,INDEX('Tabelas'!$Z$472:$Z$578,15)&amp;""=$N$10,LEN(INDEX('Tabelas'!$AA$472:$AA$578,15)&amp;"")&gt;0),1,0)</f>
        <v/>
      </c>
      <c r="AF24" s="19">
        <f>IF(LEN(INDEX('Tabelas'!$Y$12:$Y$118,15)&amp;"")=0,0,IF(ISNUMBER(MATCH(INDEX('Tabelas'!$Y$12:$Y$118,15)&amp;"",'Dados'!$A$549:$A$554,0)),IF(AND(INDEX('Dados'!$B$549:$B$554,MATCH(INDEX('Tabelas'!$Y$12:$Y$118,15)&amp;"",'Dados'!$A$549:$A$554,0))&lt;=$N$12,INDEX('Dados'!$C$549:$C$554,MATCH(INDEX('Tabelas'!$Y$12:$Y$118,15)&amp;"",'Dados'!$A$549:$A$554,0))&gt;=$N$12),1,0),1))</f>
        <v/>
      </c>
      <c r="AG24" s="19">
        <f>$AG$23+$AF$24</f>
        <v/>
      </c>
      <c r="AH24" s="19">
        <f>'Tabelas'!$AB$486&amp;""</f>
        <v/>
      </c>
      <c r="AI24" s="19">
        <f>'Tabelas'!$X$26&amp;""</f>
        <v/>
      </c>
      <c r="AK24" s="19">
        <f>$AK$23+IF(AND('Dados'!$C$105="Boss",'Dados'!$D$105=$N$11,COUNTIFS('Dados'!$A$520:$A$545,$N$13,'Dados'!$B$520:$B$545,'Dados'!$B$105)&gt;0),1,0)</f>
        <v/>
      </c>
      <c r="AL24" s="19">
        <f>$AL$23+IF(AND('Dados'!$C$105="Elite",'Dados'!$D$105=$N$11,COUNTIFS('Dados'!$A$520:$A$545,$N$13,'Dados'!$B$520:$B$545,'Dados'!$B$105)&gt;0),1,0)</f>
        <v/>
      </c>
      <c r="AM24" s="19">
        <f>$AM$23+IF(AND('Dados'!$C$105="Boss",'Dados'!$D$105=$N$11),1,0)</f>
        <v/>
      </c>
    </row>
    <row r="25" ht="26" customHeight="1">
      <c r="A25" s="8" t="inlineStr">
        <is>
          <t>1 · Gancho</t>
        </is>
      </c>
      <c r="B25" s="17">
        <f>"Social ou descoberta"</f>
        <v/>
      </c>
      <c r="C25" s="4">
        <f>$N$47</f>
        <v/>
      </c>
      <c r="I25" s="17">
        <f>$N$50</f>
        <v/>
      </c>
      <c r="J25" s="17">
        <f>"—"</f>
        <v/>
      </c>
      <c r="N25" s="19">
        <f>$AG$116</f>
        <v/>
      </c>
      <c r="AA25" s="19">
        <f>MOD(MOD(MOD((MOD('Início'!$E$15+104729*$I$7+23171044,2147483646)+1)*16807,2147483647)*16807,2147483647)*16807,2147483647)</f>
        <v/>
      </c>
      <c r="AB25" s="19">
        <f>MOD(MOD(MOD((MOD(MOD(INT($AA$25/65536)*$AA$25,2147483647)*65536+MOD($AA$25,65536)*$AA$25,2147483647))*16807,2147483647)*16807,2147483647)*16807,2147483647)</f>
        <v/>
      </c>
      <c r="AC25" s="19">
        <f>MOD(MOD(MOD((MOD($AB$25+INT($AB$25/65536)*MOD($AB$25,65536),2147483646)+1)*16807,2147483647)*16807,2147483647)*16807,2147483647)</f>
        <v/>
      </c>
      <c r="AE25" s="19">
        <f>$AE$24+IF(AND(LEN($N$10)&gt;0,INDEX('Tabelas'!$Z$472:$Z$578,16)&amp;""=$N$10,LEN(INDEX('Tabelas'!$AA$472:$AA$578,16)&amp;"")&gt;0),1,0)</f>
        <v/>
      </c>
      <c r="AF25" s="19">
        <f>IF(LEN(INDEX('Tabelas'!$Y$12:$Y$118,16)&amp;"")=0,0,IF(ISNUMBER(MATCH(INDEX('Tabelas'!$Y$12:$Y$118,16)&amp;"",'Dados'!$A$549:$A$554,0)),IF(AND(INDEX('Dados'!$B$549:$B$554,MATCH(INDEX('Tabelas'!$Y$12:$Y$118,16)&amp;"",'Dados'!$A$549:$A$554,0))&lt;=$N$12,INDEX('Dados'!$C$549:$C$554,MATCH(INDEX('Tabelas'!$Y$12:$Y$118,16)&amp;"",'Dados'!$A$549:$A$554,0))&gt;=$N$12),1,0),1))</f>
        <v/>
      </c>
      <c r="AG25" s="19">
        <f>$AG$24+$AF$25</f>
        <v/>
      </c>
      <c r="AH25" s="19">
        <f>'Tabelas'!$AB$487&amp;""</f>
        <v/>
      </c>
      <c r="AI25" s="19">
        <f>'Tabelas'!$X$27&amp;""</f>
        <v/>
      </c>
      <c r="AK25" s="19">
        <f>$AK$24+IF(AND('Dados'!$C$106="Boss",'Dados'!$D$106=$N$11,COUNTIFS('Dados'!$A$520:$A$545,$N$13,'Dados'!$B$520:$B$545,'Dados'!$B$106)&gt;0),1,0)</f>
        <v/>
      </c>
      <c r="AL25" s="19">
        <f>$AL$24+IF(AND('Dados'!$C$106="Elite",'Dados'!$D$106=$N$11,COUNTIFS('Dados'!$A$520:$A$545,$N$13,'Dados'!$B$520:$B$545,'Dados'!$B$106)&gt;0),1,0)</f>
        <v/>
      </c>
      <c r="AM25" s="19">
        <f>$AM$24+IF(AND('Dados'!$C$106="Boss",'Dados'!$D$106=$N$11),1,0)</f>
        <v/>
      </c>
    </row>
    <row r="26" ht="26" customHeight="1">
      <c r="A26" s="21" t="inlineStr">
        <is>
          <t>2 · Investigação ou viagem</t>
        </is>
      </c>
      <c r="B26" s="29">
        <f>"Exploração"</f>
        <v/>
      </c>
      <c r="C26" s="9">
        <f>"Um Teste de Perícia da faixa do desafio (DT Média, 27.2); falhe para frente: chegar tarde, sem recurso ou devendo um favor (02, 27.15)."</f>
        <v/>
      </c>
      <c r="I26" s="29">
        <f>$N$50</f>
        <v/>
      </c>
      <c r="J26" s="29">
        <f>"—"</f>
        <v/>
      </c>
      <c r="K26" s="38" t="n"/>
      <c r="L26" s="38" t="n"/>
      <c r="N26" s="19">
        <f>IF($N$25=0,"",IFERROR(INDEX('Tabelas'!$Y$12:$Y$118,MATCH(INT($AC$15*$N$25/2147483647)+1,$AG$10:$AG$116,0))&amp;"",""))</f>
        <v/>
      </c>
      <c r="AA26" s="19">
        <f>MOD(MOD(MOD((MOD('Início'!$E$15+104729*$I$7+24470753,2147483646)+1)*16807,2147483647)*16807,2147483647)*16807,2147483647)</f>
        <v/>
      </c>
      <c r="AB26" s="19">
        <f>MOD(MOD(MOD((MOD(MOD(INT($AA$26/65536)*$AA$26,2147483647)*65536+MOD($AA$26,65536)*$AA$26,2147483647))*16807,2147483647)*16807,2147483647)*16807,2147483647)</f>
        <v/>
      </c>
      <c r="AC26" s="19">
        <f>MOD(MOD(MOD((MOD($AB$26+INT($AB$26/65536)*MOD($AB$26,65536),2147483646)+1)*16807,2147483647)*16807,2147483647)*16807,2147483647)</f>
        <v/>
      </c>
      <c r="AE26" s="19">
        <f>$AE$25+IF(AND(LEN($N$10)&gt;0,INDEX('Tabelas'!$Z$472:$Z$578,17)&amp;""=$N$10,LEN(INDEX('Tabelas'!$AA$472:$AA$578,17)&amp;"")&gt;0),1,0)</f>
        <v/>
      </c>
      <c r="AF26" s="19">
        <f>IF(LEN(INDEX('Tabelas'!$Y$12:$Y$118,17)&amp;"")=0,0,IF(ISNUMBER(MATCH(INDEX('Tabelas'!$Y$12:$Y$118,17)&amp;"",'Dados'!$A$549:$A$554,0)),IF(AND(INDEX('Dados'!$B$549:$B$554,MATCH(INDEX('Tabelas'!$Y$12:$Y$118,17)&amp;"",'Dados'!$A$549:$A$554,0))&lt;=$N$12,INDEX('Dados'!$C$549:$C$554,MATCH(INDEX('Tabelas'!$Y$12:$Y$118,17)&amp;"",'Dados'!$A$549:$A$554,0))&gt;=$N$12),1,0),1))</f>
        <v/>
      </c>
      <c r="AG26" s="19">
        <f>$AG$25+$AF$26</f>
        <v/>
      </c>
      <c r="AH26" s="19">
        <f>'Tabelas'!$AB$488&amp;""</f>
        <v/>
      </c>
      <c r="AI26" s="19">
        <f>'Tabelas'!$X$28&amp;""</f>
        <v/>
      </c>
      <c r="AK26" s="19">
        <f>$AK$25+IF(AND('Dados'!$C$107="Boss",'Dados'!$D$107=$N$11,COUNTIFS('Dados'!$A$520:$A$545,$N$13,'Dados'!$B$520:$B$545,'Dados'!$B$107)&gt;0),1,0)</f>
        <v/>
      </c>
      <c r="AL26" s="19">
        <f>$AL$25+IF(AND('Dados'!$C$107="Elite",'Dados'!$D$107=$N$11,COUNTIFS('Dados'!$A$520:$A$545,$N$13,'Dados'!$B$520:$B$545,'Dados'!$B$107)&gt;0),1,0)</f>
        <v/>
      </c>
      <c r="AM26" s="19">
        <f>$AM$25+IF(AND('Dados'!$C$107="Boss",'Dados'!$D$107=$N$11),1,0)</f>
        <v/>
      </c>
    </row>
    <row r="27" ht="26" customHeight="1">
      <c r="A27" s="8" t="inlineStr">
        <is>
          <t>3 · Primeiro encontro</t>
        </is>
      </c>
      <c r="B27" s="17">
        <f>"Combate"</f>
        <v/>
      </c>
      <c r="C27" s="4">
        <f>"Composição "&amp;$N$36&amp;" a 50% do orçamento: cena de passagem, cerca de 2 Ciclos (27.4)."</f>
        <v/>
      </c>
      <c r="I27" s="17">
        <f>"—"</f>
        <v/>
      </c>
      <c r="J27" s="17">
        <f>INT($N$49/2)</f>
        <v/>
      </c>
      <c r="N27" s="19">
        <f>IF('Tabelas'!$H$469&lt;=0,"",IFERROR(INDEX('Tabelas'!$AD$472:$AD$578,MATCH(IF('Tabelas'!$H$469&lt;=0,0,INT($AC$15*'Tabelas'!$H$469/2147483647)+1),'Tabelas'!$T$472:$T$578,0))&amp;"",""))</f>
        <v/>
      </c>
      <c r="AA27" s="19">
        <f>MOD(MOD(MOD((MOD('Início'!$E$15+104729*$I$7+25770462,2147483646)+1)*16807,2147483647)*16807,2147483647)*16807,2147483647)</f>
        <v/>
      </c>
      <c r="AB27" s="19">
        <f>MOD(MOD(MOD((MOD(MOD(INT($AA$27/65536)*$AA$27,2147483647)*65536+MOD($AA$27,65536)*$AA$27,2147483647))*16807,2147483647)*16807,2147483647)*16807,2147483647)</f>
        <v/>
      </c>
      <c r="AC27" s="19">
        <f>MOD(MOD(MOD((MOD($AB$27+INT($AB$27/65536)*MOD($AB$27,65536),2147483646)+1)*16807,2147483647)*16807,2147483647)*16807,2147483647)</f>
        <v/>
      </c>
      <c r="AE27" s="19">
        <f>$AE$26+IF(AND(LEN($N$10)&gt;0,INDEX('Tabelas'!$Z$472:$Z$578,18)&amp;""=$N$10,LEN(INDEX('Tabelas'!$AA$472:$AA$578,18)&amp;"")&gt;0),1,0)</f>
        <v/>
      </c>
      <c r="AF27" s="19">
        <f>IF(LEN(INDEX('Tabelas'!$Y$12:$Y$118,18)&amp;"")=0,0,IF(ISNUMBER(MATCH(INDEX('Tabelas'!$Y$12:$Y$118,18)&amp;"",'Dados'!$A$549:$A$554,0)),IF(AND(INDEX('Dados'!$B$549:$B$554,MATCH(INDEX('Tabelas'!$Y$12:$Y$118,18)&amp;"",'Dados'!$A$549:$A$554,0))&lt;=$N$12,INDEX('Dados'!$C$549:$C$554,MATCH(INDEX('Tabelas'!$Y$12:$Y$118,18)&amp;"",'Dados'!$A$549:$A$554,0))&gt;=$N$12),1,0),1))</f>
        <v/>
      </c>
      <c r="AG27" s="19">
        <f>$AG$26+$AF$27</f>
        <v/>
      </c>
      <c r="AH27" s="19">
        <f>'Tabelas'!$AB$489&amp;""</f>
        <v/>
      </c>
      <c r="AI27" s="19">
        <f>'Tabelas'!$X$29&amp;""</f>
        <v/>
      </c>
      <c r="AK27" s="19">
        <f>$AK$26+IF(AND('Dados'!$C$108="Boss",'Dados'!$D$108=$N$11,COUNTIFS('Dados'!$A$520:$A$545,$N$13,'Dados'!$B$520:$B$545,'Dados'!$B$108)&gt;0),1,0)</f>
        <v/>
      </c>
      <c r="AL27" s="19">
        <f>$AL$26+IF(AND('Dados'!$C$108="Elite",'Dados'!$D$108=$N$11,COUNTIFS('Dados'!$A$520:$A$545,$N$13,'Dados'!$B$520:$B$545,'Dados'!$B$108)&gt;0),1,0)</f>
        <v/>
      </c>
      <c r="AM27" s="19">
        <f>$AM$26+IF(AND('Dados'!$C$108="Boss",'Dados'!$D$108=$N$11),1,0)</f>
        <v/>
      </c>
    </row>
    <row r="28" ht="26" customHeight="1">
      <c r="A28" s="21" t="inlineStr">
        <is>
          <t>4 · Complicação</t>
        </is>
      </c>
      <c r="B28" s="29">
        <f>IF($N$37=1,"Combate","Objetivo")</f>
        <v/>
      </c>
      <c r="C28" s="9">
        <f>$N$33&amp;" — "&amp;IF($N$37=1,"e um encontro típico (27.4).","e um objetivo que não seja matar todo mundo: "&amp;$N$38&amp;" (27.7).")</f>
        <v/>
      </c>
      <c r="I28" s="29">
        <f>$N$51</f>
        <v/>
      </c>
      <c r="J28" s="29">
        <f>IF($N$37=1,$N$49,"—")</f>
        <v/>
      </c>
      <c r="K28" s="38" t="n"/>
      <c r="L28" s="38" t="n"/>
      <c r="N28" s="19">
        <f>(1+INT($AC$27*((2)-(1)+1)/2147483647))</f>
        <v/>
      </c>
      <c r="AA28" s="19">
        <f>MOD(MOD(MOD((MOD('Início'!$E$15+104729*$I$7+27070171,2147483646)+1)*16807,2147483647)*16807,2147483647)*16807,2147483647)</f>
        <v/>
      </c>
      <c r="AB28" s="19">
        <f>MOD(MOD(MOD((MOD(MOD(INT($AA$28/65536)*$AA$28,2147483647)*65536+MOD($AA$28,65536)*$AA$28,2147483647))*16807,2147483647)*16807,2147483647)*16807,2147483647)</f>
        <v/>
      </c>
      <c r="AC28" s="19">
        <f>MOD(MOD(MOD((MOD($AB$28+INT($AB$28/65536)*MOD($AB$28,65536),2147483646)+1)*16807,2147483647)*16807,2147483647)*16807,2147483647)</f>
        <v/>
      </c>
      <c r="AE28" s="19">
        <f>$AE$27+IF(AND(LEN($N$10)&gt;0,INDEX('Tabelas'!$Z$472:$Z$578,19)&amp;""=$N$10,LEN(INDEX('Tabelas'!$AA$472:$AA$578,19)&amp;"")&gt;0),1,0)</f>
        <v/>
      </c>
      <c r="AF28" s="19">
        <f>IF(LEN(INDEX('Tabelas'!$Y$12:$Y$118,19)&amp;"")=0,0,IF(ISNUMBER(MATCH(INDEX('Tabelas'!$Y$12:$Y$118,19)&amp;"",'Dados'!$A$549:$A$554,0)),IF(AND(INDEX('Dados'!$B$549:$B$554,MATCH(INDEX('Tabelas'!$Y$12:$Y$118,19)&amp;"",'Dados'!$A$549:$A$554,0))&lt;=$N$12,INDEX('Dados'!$C$549:$C$554,MATCH(INDEX('Tabelas'!$Y$12:$Y$118,19)&amp;"",'Dados'!$A$549:$A$554,0))&gt;=$N$12),1,0),1))</f>
        <v/>
      </c>
      <c r="AG28" s="19">
        <f>$AG$27+$AF$28</f>
        <v/>
      </c>
      <c r="AH28" s="19">
        <f>'Tabelas'!$AB$490&amp;""</f>
        <v/>
      </c>
      <c r="AI28" s="19">
        <f>'Tabelas'!$X$30&amp;""</f>
        <v/>
      </c>
      <c r="AK28" s="19">
        <f>$AK$27+IF(AND('Dados'!$C$109="Boss",'Dados'!$D$109=$N$11,COUNTIFS('Dados'!$A$520:$A$545,$N$13,'Dados'!$B$520:$B$545,'Dados'!$B$109)&gt;0),1,0)</f>
        <v/>
      </c>
      <c r="AL28" s="19">
        <f>$AL$27+IF(AND('Dados'!$C$109="Elite",'Dados'!$D$109=$N$11,COUNTIFS('Dados'!$A$520:$A$545,$N$13,'Dados'!$B$520:$B$545,'Dados'!$B$109)&gt;0),1,0)</f>
        <v/>
      </c>
      <c r="AM28" s="19">
        <f>$AM$27+IF(AND('Dados'!$C$109="Boss",'Dados'!$D$109=$N$11),1,0)</f>
        <v/>
      </c>
    </row>
    <row r="29" ht="37" customHeight="1">
      <c r="A29" s="8" t="inlineStr">
        <is>
          <t>5 · Clímax</t>
        </is>
      </c>
      <c r="B29" s="17">
        <f>"Combate"</f>
        <v/>
      </c>
      <c r="C29" s="4">
        <f>"Antagonista: "&amp;$N$32&amp;". Cumpra o contrato da Fraqueza (27.5); três combates no dia é um dia de verdade, quatro é emergência (27.7)."</f>
        <v/>
      </c>
      <c r="I29" s="17">
        <f>$N$51</f>
        <v/>
      </c>
      <c r="J29" s="17">
        <f>$N$49</f>
        <v/>
      </c>
      <c r="N29" s="19">
        <f>IF($N$28=1,IF(LEN($N$26)&gt;0,$N$26,$N$27),IF(LEN($N$27)&gt;0,$N$27,$N$26))</f>
        <v/>
      </c>
      <c r="AA29" s="19">
        <f>MOD(MOD(MOD((MOD('Início'!$E$15+104729*$I$7+28369880,2147483646)+1)*16807,2147483647)*16807,2147483647)*16807,2147483647)</f>
        <v/>
      </c>
      <c r="AB29" s="19">
        <f>MOD(MOD(MOD((MOD(MOD(INT($AA$29/65536)*$AA$29,2147483647)*65536+MOD($AA$29,65536)*$AA$29,2147483647))*16807,2147483647)*16807,2147483647)*16807,2147483647)</f>
        <v/>
      </c>
      <c r="AC29" s="19">
        <f>MOD(MOD(MOD((MOD($AB$29+INT($AB$29/65536)*MOD($AB$29,65536),2147483646)+1)*16807,2147483647)*16807,2147483647)*16807,2147483647)</f>
        <v/>
      </c>
      <c r="AE29" s="19">
        <f>$AE$28+IF(AND(LEN($N$10)&gt;0,INDEX('Tabelas'!$Z$472:$Z$578,20)&amp;""=$N$10,LEN(INDEX('Tabelas'!$AA$472:$AA$578,20)&amp;"")&gt;0),1,0)</f>
        <v/>
      </c>
      <c r="AF29" s="19">
        <f>IF(LEN(INDEX('Tabelas'!$Y$12:$Y$118,20)&amp;"")=0,0,IF(ISNUMBER(MATCH(INDEX('Tabelas'!$Y$12:$Y$118,20)&amp;"",'Dados'!$A$549:$A$554,0)),IF(AND(INDEX('Dados'!$B$549:$B$554,MATCH(INDEX('Tabelas'!$Y$12:$Y$118,20)&amp;"",'Dados'!$A$549:$A$554,0))&lt;=$N$12,INDEX('Dados'!$C$549:$C$554,MATCH(INDEX('Tabelas'!$Y$12:$Y$118,20)&amp;"",'Dados'!$A$549:$A$554,0))&gt;=$N$12),1,0),1))</f>
        <v/>
      </c>
      <c r="AG29" s="19">
        <f>$AG$28+$AF$29</f>
        <v/>
      </c>
      <c r="AH29" s="19">
        <f>'Tabelas'!$AB$491&amp;""</f>
        <v/>
      </c>
      <c r="AI29" s="19">
        <f>'Tabelas'!$X$31&amp;""</f>
        <v/>
      </c>
      <c r="AK29" s="19">
        <f>$AK$28+IF(AND('Dados'!$C$110="Boss",'Dados'!$D$110=$N$11,COUNTIFS('Dados'!$A$520:$A$545,$N$13,'Dados'!$B$520:$B$545,'Dados'!$B$110)&gt;0),1,0)</f>
        <v/>
      </c>
      <c r="AL29" s="19">
        <f>$AL$28+IF(AND('Dados'!$C$110="Elite",'Dados'!$D$110=$N$11,COUNTIFS('Dados'!$A$520:$A$545,$N$13,'Dados'!$B$520:$B$545,'Dados'!$B$110)&gt;0),1,0)</f>
        <v/>
      </c>
      <c r="AM29" s="19">
        <f>$AM$28+IF(AND('Dados'!$C$110="Boss",'Dados'!$D$110=$N$11),1,0)</f>
        <v/>
      </c>
    </row>
    <row r="30">
      <c r="A30" s="33">
        <f>"Orçamento da faixa "&amp;$N$11&amp;" para "&amp;'Campanha'!$B$21&amp;" jogadores: "&amp;$N$49&amp;" PV (27.4"&amp;IF('Campanha'!$B$21=4,")","; grupo diferente de 4: Sugestão da planilha — não é regra do livro (H5))")&amp;". DT Média "&amp;$N$50&amp;", Difícil "&amp;$N$51&amp;" (27.2)."</f>
        <v/>
      </c>
      <c r="N30" s="19">
        <f>IF($AK$42&gt;0,1,IF($AL$42&gt;0,2,IF($AM$42&gt;0,3,0)))</f>
        <v/>
      </c>
      <c r="O30" s="19">
        <f>IF(ISNUMBER($N$31),INDEX('Dados'!$B$92:$B$123,$N$31),"")</f>
        <v/>
      </c>
      <c r="AA30" s="19">
        <f>MOD(MOD(MOD((MOD('Início'!$E$15+104729*$I$7+29669589,2147483646)+1)*16807,2147483647)*16807,2147483647)*16807,2147483647)</f>
        <v/>
      </c>
      <c r="AB30" s="19">
        <f>MOD(MOD(MOD((MOD(MOD(INT($AA$30/65536)*$AA$30,2147483647)*65536+MOD($AA$30,65536)*$AA$30,2147483647))*16807,2147483647)*16807,2147483647)*16807,2147483647)</f>
        <v/>
      </c>
      <c r="AC30" s="19">
        <f>MOD(MOD(MOD((MOD($AB$30+INT($AB$30/65536)*MOD($AB$30,65536),2147483646)+1)*16807,2147483647)*16807,2147483647)*16807,2147483647)</f>
        <v/>
      </c>
      <c r="AE30" s="19">
        <f>$AE$29+IF(AND(LEN($N$10)&gt;0,INDEX('Tabelas'!$Z$472:$Z$578,21)&amp;""=$N$10,LEN(INDEX('Tabelas'!$AA$472:$AA$578,21)&amp;"")&gt;0),1,0)</f>
        <v/>
      </c>
      <c r="AF30" s="19">
        <f>IF(LEN(INDEX('Tabelas'!$Y$12:$Y$118,21)&amp;"")=0,0,IF(ISNUMBER(MATCH(INDEX('Tabelas'!$Y$12:$Y$118,21)&amp;"",'Dados'!$A$549:$A$554,0)),IF(AND(INDEX('Dados'!$B$549:$B$554,MATCH(INDEX('Tabelas'!$Y$12:$Y$118,21)&amp;"",'Dados'!$A$549:$A$554,0))&lt;=$N$12,INDEX('Dados'!$C$549:$C$554,MATCH(INDEX('Tabelas'!$Y$12:$Y$118,21)&amp;"",'Dados'!$A$549:$A$554,0))&gt;=$N$12),1,0),1))</f>
        <v/>
      </c>
      <c r="AG30" s="19">
        <f>$AG$29+$AF$30</f>
        <v/>
      </c>
      <c r="AH30" s="19">
        <f>'Tabelas'!$AB$492&amp;""</f>
        <v/>
      </c>
      <c r="AI30" s="19">
        <f>'Tabelas'!$X$32&amp;""</f>
        <v/>
      </c>
      <c r="AK30" s="19">
        <f>$AK$29+IF(AND('Dados'!$C$111="Boss",'Dados'!$D$111=$N$11,COUNTIFS('Dados'!$A$520:$A$545,$N$13,'Dados'!$B$520:$B$545,'Dados'!$B$111)&gt;0),1,0)</f>
        <v/>
      </c>
      <c r="AL30" s="19">
        <f>$AL$29+IF(AND('Dados'!$C$111="Elite",'Dados'!$D$111=$N$11,COUNTIFS('Dados'!$A$520:$A$545,$N$13,'Dados'!$B$520:$B$545,'Dados'!$B$111)&gt;0),1,0)</f>
        <v/>
      </c>
      <c r="AM30" s="19">
        <f>$AM$29+IF(AND('Dados'!$C$111="Boss",'Dados'!$D$111=$N$11),1,0)</f>
        <v/>
      </c>
    </row>
    <row r="31">
      <c r="N31" s="19">
        <f>IF($N$30=0,"",IFERROR(MATCH(INT($AC$16*IF($N$30=1,$AK$42,IF($N$30=2,$AL$42,$AM$42))/2147483647)+1,IF($N$30=1,$AK$11:$AK$42,IF($N$30=2,$AL$11:$AL$42,$AM$11:$AM$42)),0),""))</f>
        <v/>
      </c>
      <c r="AE31" s="19">
        <f>$AE$30+IF(AND(LEN($N$10)&gt;0,INDEX('Tabelas'!$Z$472:$Z$578,22)&amp;""=$N$10,LEN(INDEX('Tabelas'!$AA$472:$AA$578,22)&amp;"")&gt;0),1,0)</f>
        <v/>
      </c>
      <c r="AF31" s="19">
        <f>IF(LEN(INDEX('Tabelas'!$Y$12:$Y$118,22)&amp;"")=0,0,IF(ISNUMBER(MATCH(INDEX('Tabelas'!$Y$12:$Y$118,22)&amp;"",'Dados'!$A$549:$A$554,0)),IF(AND(INDEX('Dados'!$B$549:$B$554,MATCH(INDEX('Tabelas'!$Y$12:$Y$118,22)&amp;"",'Dados'!$A$549:$A$554,0))&lt;=$N$12,INDEX('Dados'!$C$549:$C$554,MATCH(INDEX('Tabelas'!$Y$12:$Y$118,22)&amp;"",'Dados'!$A$549:$A$554,0))&gt;=$N$12),1,0),1))</f>
        <v/>
      </c>
      <c r="AG31" s="19">
        <f>$AG$30+$AF$31</f>
        <v/>
      </c>
      <c r="AH31" s="19">
        <f>'Tabelas'!$AB$493&amp;""</f>
        <v/>
      </c>
      <c r="AI31" s="19">
        <f>'Tabelas'!$X$33&amp;""</f>
        <v/>
      </c>
      <c r="AK31" s="19">
        <f>$AK$30+IF(AND('Dados'!$C$112="Boss",'Dados'!$D$112=$N$11,COUNTIFS('Dados'!$A$520:$A$545,$N$13,'Dados'!$B$520:$B$545,'Dados'!$B$112)&gt;0),1,0)</f>
        <v/>
      </c>
      <c r="AL31" s="19">
        <f>$AL$30+IF(AND('Dados'!$C$112="Elite",'Dados'!$D$112=$N$11,COUNTIFS('Dados'!$A$520:$A$545,$N$13,'Dados'!$B$520:$B$545,'Dados'!$B$112)&gt;0),1,0)</f>
        <v/>
      </c>
      <c r="AM31" s="19">
        <f>$AM$30+IF(AND('Dados'!$C$112="Boss",'Dados'!$D$112=$N$11),1,0)</f>
        <v/>
      </c>
    </row>
    <row r="32" ht="20" customHeight="1">
      <c r="A32" s="12" t="inlineStr">
        <is>
          <t>Linha de saída: copie A:J e cole como valores em Missões (Colar especial → Somente valores)</t>
        </is>
      </c>
      <c r="N32" s="19">
        <f>IF(ISNUMBER($N$31),INDEX('Dados'!$B$92:$B$123,$N$31)&amp;" ("&amp;INDEX('Dados'!$C$92:$C$123,$N$31)&amp;", faixa "&amp;INDEX('Dados'!$D$92:$D$123,$N$31)&amp;", "&amp;INDEX('Dados'!$E$92:$E$123,$N$31)&amp;")","")</f>
        <v/>
      </c>
      <c r="AE32" s="19">
        <f>$AE$31+IF(AND(LEN($N$10)&gt;0,INDEX('Tabelas'!$Z$472:$Z$578,23)&amp;""=$N$10,LEN(INDEX('Tabelas'!$AA$472:$AA$578,23)&amp;"")&gt;0),1,0)</f>
        <v/>
      </c>
      <c r="AF32" s="19">
        <f>IF(LEN(INDEX('Tabelas'!$Y$12:$Y$118,23)&amp;"")=0,0,IF(ISNUMBER(MATCH(INDEX('Tabelas'!$Y$12:$Y$118,23)&amp;"",'Dados'!$A$549:$A$554,0)),IF(AND(INDEX('Dados'!$B$549:$B$554,MATCH(INDEX('Tabelas'!$Y$12:$Y$118,23)&amp;"",'Dados'!$A$549:$A$554,0))&lt;=$N$12,INDEX('Dados'!$C$549:$C$554,MATCH(INDEX('Tabelas'!$Y$12:$Y$118,23)&amp;"",'Dados'!$A$549:$A$554,0))&gt;=$N$12),1,0),1))</f>
        <v/>
      </c>
      <c r="AG32" s="19">
        <f>$AG$31+$AF$32</f>
        <v/>
      </c>
      <c r="AH32" s="19">
        <f>'Tabelas'!$AB$494&amp;""</f>
        <v/>
      </c>
      <c r="AI32" s="19">
        <f>'Tabelas'!$X$34&amp;""</f>
        <v/>
      </c>
      <c r="AK32" s="19">
        <f>$AK$31+IF(AND('Dados'!$C$113="Boss",'Dados'!$D$113=$N$11,COUNTIFS('Dados'!$A$520:$A$545,$N$13,'Dados'!$B$520:$B$545,'Dados'!$B$113)&gt;0),1,0)</f>
        <v/>
      </c>
      <c r="AL32" s="19">
        <f>$AL$31+IF(AND('Dados'!$C$113="Elite",'Dados'!$D$113=$N$11,COUNTIFS('Dados'!$A$520:$A$545,$N$13,'Dados'!$B$520:$B$545,'Dados'!$B$113)&gt;0),1,0)</f>
        <v/>
      </c>
      <c r="AM32" s="19">
        <f>$AM$31+IF(AND('Dados'!$C$113="Boss",'Dados'!$D$113=$N$11),1,0)</f>
        <v/>
      </c>
    </row>
    <row r="33" ht="26" customHeight="1">
      <c r="A33" s="7" t="inlineStr">
        <is>
          <t>Missão</t>
        </is>
      </c>
      <c r="B33" s="7" t="inlineStr">
        <is>
          <t>Tipo</t>
        </is>
      </c>
      <c r="C33" s="7" t="inlineStr">
        <is>
          <t>Contratante</t>
        </is>
      </c>
      <c r="D33" s="20" t="n"/>
      <c r="E33" s="7" t="inlineStr">
        <is>
          <t>Objetivo</t>
        </is>
      </c>
      <c r="F33" s="20" t="n"/>
      <c r="G33" s="7" t="inlineStr">
        <is>
          <t>Local</t>
        </is>
      </c>
      <c r="H33" s="7" t="inlineStr">
        <is>
          <t>Prazo</t>
        </is>
      </c>
      <c r="I33" s="7" t="inlineStr">
        <is>
          <t>Estado</t>
        </is>
      </c>
      <c r="J33" s="7" t="inlineStr">
        <is>
          <t>Recompensa combinada</t>
        </is>
      </c>
      <c r="N33" s="19">
        <f>IF('Tabelas'!$I$469&lt;=0,"",IFERROR(INDEX('Tabelas'!$AE$472:$AE$578,MATCH(IF('Tabelas'!$I$469&lt;=0,0,INT($AC$17*'Tabelas'!$I$469/2147483647)+1),'Tabelas'!$U$472:$U$578,0))&amp;"",""))</f>
        <v/>
      </c>
      <c r="AE33" s="19">
        <f>$AE$32+IF(AND(LEN($N$10)&gt;0,INDEX('Tabelas'!$Z$472:$Z$578,24)&amp;""=$N$10,LEN(INDEX('Tabelas'!$AA$472:$AA$578,24)&amp;"")&gt;0),1,0)</f>
        <v/>
      </c>
      <c r="AF33" s="19">
        <f>IF(LEN(INDEX('Tabelas'!$Y$12:$Y$118,24)&amp;"")=0,0,IF(ISNUMBER(MATCH(INDEX('Tabelas'!$Y$12:$Y$118,24)&amp;"",'Dados'!$A$549:$A$554,0)),IF(AND(INDEX('Dados'!$B$549:$B$554,MATCH(INDEX('Tabelas'!$Y$12:$Y$118,24)&amp;"",'Dados'!$A$549:$A$554,0))&lt;=$N$12,INDEX('Dados'!$C$549:$C$554,MATCH(INDEX('Tabelas'!$Y$12:$Y$118,24)&amp;"",'Dados'!$A$549:$A$554,0))&gt;=$N$12),1,0),1))</f>
        <v/>
      </c>
      <c r="AG33" s="19">
        <f>$AG$32+$AF$33</f>
        <v/>
      </c>
      <c r="AH33" s="19">
        <f>'Tabelas'!$AB$495&amp;""</f>
        <v/>
      </c>
      <c r="AI33" s="19">
        <f>'Tabelas'!$X$35&amp;""</f>
        <v/>
      </c>
      <c r="AK33" s="19">
        <f>$AK$32+IF(AND('Dados'!$C$114="Boss",'Dados'!$D$114=$N$11,COUNTIFS('Dados'!$A$520:$A$545,$N$13,'Dados'!$B$520:$B$545,'Dados'!$B$114)&gt;0),1,0)</f>
        <v/>
      </c>
      <c r="AL33" s="19">
        <f>$AL$32+IF(AND('Dados'!$C$114="Elite",'Dados'!$D$114=$N$11,COUNTIFS('Dados'!$A$520:$A$545,$N$13,'Dados'!$B$520:$B$545,'Dados'!$B$114)&gt;0),1,0)</f>
        <v/>
      </c>
      <c r="AM33" s="19">
        <f>$AM$32+IF(AND('Dados'!$C$114="Boss",'Dados'!$D$114=$N$11),1,0)</f>
        <v/>
      </c>
    </row>
    <row r="34" ht="82" customHeight="1">
      <c r="A34" s="32">
        <f>$N$10&amp;" — "&amp;$N$29</f>
        <v/>
      </c>
      <c r="B34" s="4">
        <f>$N$10</f>
        <v/>
      </c>
      <c r="C34" s="4">
        <f>$N$22</f>
        <v/>
      </c>
      <c r="E34" s="4">
        <f>$N$24</f>
        <v/>
      </c>
      <c r="G34" s="4">
        <f>$N$29</f>
        <v/>
      </c>
      <c r="H34" s="4">
        <f>$N$35</f>
        <v/>
      </c>
      <c r="I34" s="17">
        <f>"Oferecida"</f>
        <v/>
      </c>
      <c r="J34" s="4">
        <f>$N$52&amp;" Cr · "&amp;$N$41&amp;" · equipamento de faixa se fechar o arco"</f>
        <v/>
      </c>
      <c r="N34" s="19">
        <f>IF('Tabelas'!$J$469&lt;=0,"",IFERROR(INDEX('Tabelas'!$AF$472:$AF$578,MATCH(IF('Tabelas'!$J$469&lt;=0,0,INT($AC$18*'Tabelas'!$J$469/2147483647)+1),'Tabelas'!$V$472:$V$578,0))&amp;"",""))</f>
        <v/>
      </c>
      <c r="AE34" s="19">
        <f>$AE$33+IF(AND(LEN($N$10)&gt;0,INDEX('Tabelas'!$Z$472:$Z$578,25)&amp;""=$N$10,LEN(INDEX('Tabelas'!$AA$472:$AA$578,25)&amp;"")&gt;0),1,0)</f>
        <v/>
      </c>
      <c r="AF34" s="19">
        <f>IF(LEN(INDEX('Tabelas'!$Y$12:$Y$118,25)&amp;"")=0,0,IF(ISNUMBER(MATCH(INDEX('Tabelas'!$Y$12:$Y$118,25)&amp;"",'Dados'!$A$549:$A$554,0)),IF(AND(INDEX('Dados'!$B$549:$B$554,MATCH(INDEX('Tabelas'!$Y$12:$Y$118,25)&amp;"",'Dados'!$A$549:$A$554,0))&lt;=$N$12,INDEX('Dados'!$C$549:$C$554,MATCH(INDEX('Tabelas'!$Y$12:$Y$118,25)&amp;"",'Dados'!$A$549:$A$554,0))&gt;=$N$12),1,0),1))</f>
        <v/>
      </c>
      <c r="AG34" s="19">
        <f>$AG$33+$AF$34</f>
        <v/>
      </c>
      <c r="AH34" s="19">
        <f>'Tabelas'!$AB$496&amp;""</f>
        <v/>
      </c>
      <c r="AI34" s="19">
        <f>'Tabelas'!$X$36&amp;""</f>
        <v/>
      </c>
      <c r="AK34" s="19">
        <f>$AK$33+IF(AND('Dados'!$C$115="Boss",'Dados'!$D$115=$N$11,COUNTIFS('Dados'!$A$520:$A$545,$N$13,'Dados'!$B$520:$B$545,'Dados'!$B$115)&gt;0),1,0)</f>
        <v/>
      </c>
      <c r="AL34" s="19">
        <f>$AL$33+IF(AND('Dados'!$C$115="Elite",'Dados'!$D$115=$N$11,COUNTIFS('Dados'!$A$520:$A$545,$N$13,'Dados'!$B$520:$B$545,'Dados'!$B$115)&gt;0),1,0)</f>
        <v/>
      </c>
      <c r="AM34" s="19">
        <f>$AM$33+IF(AND('Dados'!$C$115="Boss",'Dados'!$D$115=$N$11),1,0)</f>
        <v/>
      </c>
    </row>
    <row r="35">
      <c r="A35" s="41" t="inlineStr">
        <is>
          <t>As colunas estão na ordem da aba Missões (missão, tipo, contratante, objetivo, local, prazo, estado, recompensa; D6). A recompensa usa a faixa da aventura e não lê a aba Recompensas.</t>
        </is>
      </c>
      <c r="N35" s="19">
        <f>IF('Tabelas'!$B$584&lt;=0,"",IFERROR(INDEX('Tabelas'!$X$587:$X$693,MATCH(IF('Tabelas'!$B$584&lt;=0,0,INT($AC$19*'Tabelas'!$B$584/2147483647)+1),'Tabelas'!$N$587:$N$693,0))&amp;"",""))</f>
        <v/>
      </c>
      <c r="AE35" s="19">
        <f>$AE$34+IF(AND(LEN($N$10)&gt;0,INDEX('Tabelas'!$Z$472:$Z$578,26)&amp;""=$N$10,LEN(INDEX('Tabelas'!$AA$472:$AA$578,26)&amp;"")&gt;0),1,0)</f>
        <v/>
      </c>
      <c r="AF35" s="19">
        <f>IF(LEN(INDEX('Tabelas'!$Y$12:$Y$118,26)&amp;"")=0,0,IF(ISNUMBER(MATCH(INDEX('Tabelas'!$Y$12:$Y$118,26)&amp;"",'Dados'!$A$549:$A$554,0)),IF(AND(INDEX('Dados'!$B$549:$B$554,MATCH(INDEX('Tabelas'!$Y$12:$Y$118,26)&amp;"",'Dados'!$A$549:$A$554,0))&lt;=$N$12,INDEX('Dados'!$C$549:$C$554,MATCH(INDEX('Tabelas'!$Y$12:$Y$118,26)&amp;"",'Dados'!$A$549:$A$554,0))&gt;=$N$12),1,0),1))</f>
        <v/>
      </c>
      <c r="AG35" s="19">
        <f>$AG$34+$AF$35</f>
        <v/>
      </c>
      <c r="AH35" s="19">
        <f>'Tabelas'!$AB$497&amp;""</f>
        <v/>
      </c>
      <c r="AI35" s="19">
        <f>'Tabelas'!$X$37&amp;""</f>
        <v/>
      </c>
      <c r="AK35" s="19">
        <f>$AK$34+IF(AND('Dados'!$C$116="Boss",'Dados'!$D$116=$N$11,COUNTIFS('Dados'!$A$520:$A$545,$N$13,'Dados'!$B$520:$B$545,'Dados'!$B$116)&gt;0),1,0)</f>
        <v/>
      </c>
      <c r="AL35" s="19">
        <f>$AL$34+IF(AND('Dados'!$C$116="Elite",'Dados'!$D$116=$N$11,COUNTIFS('Dados'!$A$520:$A$545,$N$13,'Dados'!$B$520:$B$545,'Dados'!$B$116)&gt;0),1,0)</f>
        <v/>
      </c>
      <c r="AM35" s="19">
        <f>$AM$34+IF(AND('Dados'!$C$116="Boss",'Dados'!$D$116=$N$11),1,0)</f>
        <v/>
      </c>
    </row>
    <row r="36">
      <c r="N36" s="19">
        <f>INDEX('Dados'!$A$269:$A$272,IF(4&lt;=0,0,INT($AC$20*4/2147483647)+1))</f>
        <v/>
      </c>
      <c r="AE36" s="19">
        <f>$AE$35+IF(AND(LEN($N$10)&gt;0,INDEX('Tabelas'!$Z$472:$Z$578,27)&amp;""=$N$10,LEN(INDEX('Tabelas'!$AA$472:$AA$578,27)&amp;"")&gt;0),1,0)</f>
        <v/>
      </c>
      <c r="AF36" s="19">
        <f>IF(LEN(INDEX('Tabelas'!$Y$12:$Y$118,27)&amp;"")=0,0,IF(ISNUMBER(MATCH(INDEX('Tabelas'!$Y$12:$Y$118,27)&amp;"",'Dados'!$A$549:$A$554,0)),IF(AND(INDEX('Dados'!$B$549:$B$554,MATCH(INDEX('Tabelas'!$Y$12:$Y$118,27)&amp;"",'Dados'!$A$549:$A$554,0))&lt;=$N$12,INDEX('Dados'!$C$549:$C$554,MATCH(INDEX('Tabelas'!$Y$12:$Y$118,27)&amp;"",'Dados'!$A$549:$A$554,0))&gt;=$N$12),1,0),1))</f>
        <v/>
      </c>
      <c r="AG36" s="19">
        <f>$AG$35+$AF$36</f>
        <v/>
      </c>
      <c r="AH36" s="19">
        <f>'Tabelas'!$AB$498&amp;""</f>
        <v/>
      </c>
      <c r="AI36" s="19">
        <f>'Tabelas'!$X$38&amp;""</f>
        <v/>
      </c>
      <c r="AK36" s="19">
        <f>$AK$35+IF(AND('Dados'!$C$117="Boss",'Dados'!$D$117=$N$11,COUNTIFS('Dados'!$A$520:$A$545,$N$13,'Dados'!$B$520:$B$545,'Dados'!$B$117)&gt;0),1,0)</f>
        <v/>
      </c>
      <c r="AL36" s="19">
        <f>$AL$35+IF(AND('Dados'!$C$117="Elite",'Dados'!$D$117=$N$11,COUNTIFS('Dados'!$A$520:$A$545,$N$13,'Dados'!$B$520:$B$545,'Dados'!$B$117)&gt;0),1,0)</f>
        <v/>
      </c>
      <c r="AM36" s="19">
        <f>$AM$35+IF(AND('Dados'!$C$117="Boss",'Dados'!$D$117=$N$11),1,0)</f>
        <v/>
      </c>
    </row>
    <row r="37">
      <c r="N37" s="19">
        <f>(1+INT($AC$21*((2)-(1)+1)/2147483647))</f>
        <v/>
      </c>
      <c r="AE37" s="19">
        <f>$AE$36</f>
        <v/>
      </c>
      <c r="AF37" s="19">
        <f>0</f>
        <v/>
      </c>
      <c r="AG37" s="19">
        <f>$AG$36+$AF$37</f>
        <v/>
      </c>
      <c r="AH37" s="19">
        <f>'Tabelas'!$AB$500&amp;""</f>
        <v/>
      </c>
      <c r="AI37" s="19">
        <f>'Tabelas'!$X$40&amp;""</f>
        <v/>
      </c>
      <c r="AK37" s="19">
        <f>$AK$36+IF(AND('Dados'!$C$118="Boss",'Dados'!$D$118=$N$11,COUNTIFS('Dados'!$A$520:$A$545,$N$13,'Dados'!$B$520:$B$545,'Dados'!$B$118)&gt;0),1,0)</f>
        <v/>
      </c>
      <c r="AL37" s="19">
        <f>$AL$36+IF(AND('Dados'!$C$118="Elite",'Dados'!$D$118=$N$11,COUNTIFS('Dados'!$A$520:$A$545,$N$13,'Dados'!$B$520:$B$545,'Dados'!$B$118)&gt;0),1,0)</f>
        <v/>
      </c>
      <c r="AM37" s="19">
        <f>$AM$36+IF(AND('Dados'!$C$118="Boss",'Dados'!$D$118=$N$11),1,0)</f>
        <v/>
      </c>
    </row>
    <row r="38">
      <c r="N38" s="19">
        <f>INDEX('Dados'!$A$558:$A$560,IF(3&lt;=0,0,INT($AC$28*3/2147483647)+1))</f>
        <v/>
      </c>
      <c r="AE38" s="19">
        <f>$AE$37+IF(AND(LEN($N$10)&gt;0,INDEX('Tabelas'!$Z$472:$Z$578,29)&amp;""=$N$10,LEN(INDEX('Tabelas'!$AA$472:$AA$578,29)&amp;"")&gt;0),1,0)</f>
        <v/>
      </c>
      <c r="AF38" s="19">
        <f>IF(LEN(INDEX('Tabelas'!$Y$12:$Y$118,29)&amp;"")=0,0,IF(ISNUMBER(MATCH(INDEX('Tabelas'!$Y$12:$Y$118,29)&amp;"",'Dados'!$A$549:$A$554,0)),IF(AND(INDEX('Dados'!$B$549:$B$554,MATCH(INDEX('Tabelas'!$Y$12:$Y$118,29)&amp;"",'Dados'!$A$549:$A$554,0))&lt;=$N$12,INDEX('Dados'!$C$549:$C$554,MATCH(INDEX('Tabelas'!$Y$12:$Y$118,29)&amp;"",'Dados'!$A$549:$A$554,0))&gt;=$N$12),1,0),1))</f>
        <v/>
      </c>
      <c r="AG38" s="19">
        <f>$AG$37+$AF$38</f>
        <v/>
      </c>
      <c r="AH38" s="19">
        <f>'Tabelas'!$AB$501&amp;""</f>
        <v/>
      </c>
      <c r="AI38" s="19">
        <f>'Tabelas'!$X$41&amp;""</f>
        <v/>
      </c>
      <c r="AK38" s="19">
        <f>$AK$37+IF(AND('Dados'!$C$119="Boss",'Dados'!$D$119=$N$11,COUNTIFS('Dados'!$A$520:$A$545,$N$13,'Dados'!$B$520:$B$545,'Dados'!$B$119)&gt;0),1,0)</f>
        <v/>
      </c>
      <c r="AL38" s="19">
        <f>$AL$37+IF(AND('Dados'!$C$119="Elite",'Dados'!$D$119=$N$11,COUNTIFS('Dados'!$A$520:$A$545,$N$13,'Dados'!$B$520:$B$545,'Dados'!$B$119)&gt;0),1,0)</f>
        <v/>
      </c>
      <c r="AM38" s="19">
        <f>$AM$37+IF(AND('Dados'!$C$119="Boss",'Dados'!$D$119=$N$11),1,0)</f>
        <v/>
      </c>
    </row>
    <row r="39">
      <c r="N39" s="19">
        <f>IF(INDEX('Dados'!$B$460:$B$464,$N$12)&lt;=0,0,INT($AC$22*INDEX('Dados'!$B$460:$B$464,$N$12)/2147483647)+1)</f>
        <v/>
      </c>
      <c r="AE39" s="19">
        <f>$AE$38+IF(AND(LEN($N$10)&gt;0,INDEX('Tabelas'!$Z$472:$Z$578,30)&amp;""=$N$10,LEN(INDEX('Tabelas'!$AA$472:$AA$578,30)&amp;"")&gt;0),1,0)</f>
        <v/>
      </c>
      <c r="AF39" s="19">
        <f>IF(LEN(INDEX('Tabelas'!$Y$12:$Y$118,30)&amp;"")=0,0,IF(ISNUMBER(MATCH(INDEX('Tabelas'!$Y$12:$Y$118,30)&amp;"",'Dados'!$A$549:$A$554,0)),IF(AND(INDEX('Dados'!$B$549:$B$554,MATCH(INDEX('Tabelas'!$Y$12:$Y$118,30)&amp;"",'Dados'!$A$549:$A$554,0))&lt;=$N$12,INDEX('Dados'!$C$549:$C$554,MATCH(INDEX('Tabelas'!$Y$12:$Y$118,30)&amp;"",'Dados'!$A$549:$A$554,0))&gt;=$N$12),1,0),1))</f>
        <v/>
      </c>
      <c r="AG39" s="19">
        <f>$AG$38+$AF$39</f>
        <v/>
      </c>
      <c r="AH39" s="19">
        <f>'Tabelas'!$AB$502&amp;""</f>
        <v/>
      </c>
      <c r="AI39" s="19">
        <f>'Tabelas'!$X$42&amp;""</f>
        <v/>
      </c>
      <c r="AK39" s="19">
        <f>$AK$38+IF(AND('Dados'!$C$120="Boss",'Dados'!$D$120=$N$11,COUNTIFS('Dados'!$A$520:$A$545,$N$13,'Dados'!$B$520:$B$545,'Dados'!$B$120)&gt;0),1,0)</f>
        <v/>
      </c>
      <c r="AL39" s="19">
        <f>$AL$38+IF(AND('Dados'!$C$120="Elite",'Dados'!$D$120=$N$11,COUNTIFS('Dados'!$A$520:$A$545,$N$13,'Dados'!$B$520:$B$545,'Dados'!$B$120)&gt;0),1,0)</f>
        <v/>
      </c>
      <c r="AM39" s="19">
        <f>$AM$38+IF(AND('Dados'!$C$120="Boss",'Dados'!$D$120=$N$11),1,0)</f>
        <v/>
      </c>
    </row>
    <row r="40">
      <c r="N40" s="19">
        <f>IF($N$12=1,MATCH($N$39,'Dados'!$E$443:$E$456,0),IF($N$12=2,MATCH($N$39,'Dados'!$F$443:$F$456,0),IF($N$12=3,MATCH($N$39,'Dados'!$G$443:$G$456,0),IF($N$12=4,MATCH($N$39,'Dados'!$H$443:$H$456,0),MATCH($N$39,'Dados'!$I$443:$I$456,0)))))</f>
        <v/>
      </c>
      <c r="AE40" s="19">
        <f>$AE$39+IF(AND(LEN($N$10)&gt;0,INDEX('Tabelas'!$Z$472:$Z$578,31)&amp;""=$N$10,LEN(INDEX('Tabelas'!$AA$472:$AA$578,31)&amp;"")&gt;0),1,0)</f>
        <v/>
      </c>
      <c r="AF40" s="19">
        <f>IF(LEN(INDEX('Tabelas'!$Y$12:$Y$118,31)&amp;"")=0,0,IF(ISNUMBER(MATCH(INDEX('Tabelas'!$Y$12:$Y$118,31)&amp;"",'Dados'!$A$549:$A$554,0)),IF(AND(INDEX('Dados'!$B$549:$B$554,MATCH(INDEX('Tabelas'!$Y$12:$Y$118,31)&amp;"",'Dados'!$A$549:$A$554,0))&lt;=$N$12,INDEX('Dados'!$C$549:$C$554,MATCH(INDEX('Tabelas'!$Y$12:$Y$118,31)&amp;"",'Dados'!$A$549:$A$554,0))&gt;=$N$12),1,0),1))</f>
        <v/>
      </c>
      <c r="AG40" s="19">
        <f>$AG$39+$AF$40</f>
        <v/>
      </c>
      <c r="AH40" s="19">
        <f>'Tabelas'!$AB$503&amp;""</f>
        <v/>
      </c>
      <c r="AI40" s="19">
        <f>'Tabelas'!$X$43&amp;""</f>
        <v/>
      </c>
      <c r="AK40" s="19">
        <f>$AK$39+IF(AND('Dados'!$C$121="Boss",'Dados'!$D$121=$N$11,COUNTIFS('Dados'!$A$520:$A$545,$N$13,'Dados'!$B$520:$B$545,'Dados'!$B$121)&gt;0),1,0)</f>
        <v/>
      </c>
      <c r="AL40" s="19">
        <f>$AL$39+IF(AND('Dados'!$C$121="Elite",'Dados'!$D$121=$N$11,COUNTIFS('Dados'!$A$520:$A$545,$N$13,'Dados'!$B$520:$B$545,'Dados'!$B$121)&gt;0),1,0)</f>
        <v/>
      </c>
      <c r="AM40" s="19">
        <f>$AM$39+IF(AND('Dados'!$C$121="Boss",'Dados'!$D$121=$N$11),1,0)</f>
        <v/>
      </c>
    </row>
    <row r="41">
      <c r="N41" s="19">
        <f>INDEX('Dados'!$A$443:$A$456,$N$40)</f>
        <v/>
      </c>
      <c r="AE41" s="19">
        <f>$AE$40+IF(AND(LEN($N$10)&gt;0,INDEX('Tabelas'!$Z$472:$Z$578,32)&amp;""=$N$10,LEN(INDEX('Tabelas'!$AA$472:$AA$578,32)&amp;"")&gt;0),1,0)</f>
        <v/>
      </c>
      <c r="AF41" s="19">
        <f>IF(LEN(INDEX('Tabelas'!$Y$12:$Y$118,32)&amp;"")=0,0,IF(ISNUMBER(MATCH(INDEX('Tabelas'!$Y$12:$Y$118,32)&amp;"",'Dados'!$A$549:$A$554,0)),IF(AND(INDEX('Dados'!$B$549:$B$554,MATCH(INDEX('Tabelas'!$Y$12:$Y$118,32)&amp;"",'Dados'!$A$549:$A$554,0))&lt;=$N$12,INDEX('Dados'!$C$549:$C$554,MATCH(INDEX('Tabelas'!$Y$12:$Y$118,32)&amp;"",'Dados'!$A$549:$A$554,0))&gt;=$N$12),1,0),1))</f>
        <v/>
      </c>
      <c r="AG41" s="19">
        <f>$AG$40+$AF$41</f>
        <v/>
      </c>
      <c r="AH41" s="19">
        <f>'Tabelas'!$AB$504&amp;""</f>
        <v/>
      </c>
      <c r="AI41" s="19">
        <f>'Tabelas'!$X$44&amp;""</f>
        <v/>
      </c>
      <c r="AK41" s="19">
        <f>$AK$40+IF(AND('Dados'!$C$122="Boss",'Dados'!$D$122=$N$11,COUNTIFS('Dados'!$A$520:$A$545,$N$13,'Dados'!$B$520:$B$545,'Dados'!$B$122)&gt;0),1,0)</f>
        <v/>
      </c>
      <c r="AL41" s="19">
        <f>$AL$40+IF(AND('Dados'!$C$122="Elite",'Dados'!$D$122=$N$11,COUNTIFS('Dados'!$A$520:$A$545,$N$13,'Dados'!$B$520:$B$545,'Dados'!$B$122)&gt;0),1,0)</f>
        <v/>
      </c>
      <c r="AM41" s="19">
        <f>$AM$40+IF(AND('Dados'!$C$122="Boss",'Dados'!$D$122=$N$11),1,0)</f>
        <v/>
      </c>
    </row>
    <row r="42">
      <c r="N42" s="19">
        <f>INDEX('Dados'!$B$443:$B$456,$N$40)</f>
        <v/>
      </c>
      <c r="AE42" s="19">
        <f>$AE$41+IF(AND(LEN($N$10)&gt;0,INDEX('Tabelas'!$Z$472:$Z$578,33)&amp;""=$N$10,LEN(INDEX('Tabelas'!$AA$472:$AA$578,33)&amp;"")&gt;0),1,0)</f>
        <v/>
      </c>
      <c r="AF42" s="19">
        <f>IF(LEN(INDEX('Tabelas'!$Y$12:$Y$118,33)&amp;"")=0,0,IF(ISNUMBER(MATCH(INDEX('Tabelas'!$Y$12:$Y$118,33)&amp;"",'Dados'!$A$549:$A$554,0)),IF(AND(INDEX('Dados'!$B$549:$B$554,MATCH(INDEX('Tabelas'!$Y$12:$Y$118,33)&amp;"",'Dados'!$A$549:$A$554,0))&lt;=$N$12,INDEX('Dados'!$C$549:$C$554,MATCH(INDEX('Tabelas'!$Y$12:$Y$118,33)&amp;"",'Dados'!$A$549:$A$554,0))&gt;=$N$12),1,0),1))</f>
        <v/>
      </c>
      <c r="AG42" s="19">
        <f>$AG$41+$AF$42</f>
        <v/>
      </c>
      <c r="AH42" s="19">
        <f>'Tabelas'!$AB$505&amp;""</f>
        <v/>
      </c>
      <c r="AI42" s="19">
        <f>'Tabelas'!$X$45&amp;""</f>
        <v/>
      </c>
      <c r="AK42" s="19">
        <f>$AK$41+IF(AND('Dados'!$C$123="Boss",'Dados'!$D$123=$N$11,COUNTIFS('Dados'!$A$520:$A$545,$N$13,'Dados'!$B$520:$B$545,'Dados'!$B$123)&gt;0),1,0)</f>
        <v/>
      </c>
      <c r="AL42" s="19">
        <f>$AL$41+IF(AND('Dados'!$C$123="Elite",'Dados'!$D$123=$N$11,COUNTIFS('Dados'!$A$520:$A$545,$N$13,'Dados'!$B$520:$B$545,'Dados'!$B$123)&gt;0),1,0)</f>
        <v/>
      </c>
      <c r="AM42" s="19">
        <f>$AM$41+IF(AND('Dados'!$C$123="Boss",'Dados'!$D$123=$N$11),1,0)</f>
        <v/>
      </c>
    </row>
    <row r="43">
      <c r="N43" s="19">
        <f>IF('Tabelas'!$B$699&lt;=0,"",IFERROR(INDEX('Tabelas'!$X$702:$X$808,MATCH(IF('Tabelas'!$B$699&lt;=0,0,INT($AC$23*'Tabelas'!$B$699/2147483647)+1),'Tabelas'!$N$702:$N$808,0))&amp;"",""))</f>
        <v/>
      </c>
      <c r="AE43" s="19">
        <f>$AE$42+IF(AND(LEN($N$10)&gt;0,INDEX('Tabelas'!$Z$472:$Z$578,34)&amp;""=$N$10,LEN(INDEX('Tabelas'!$AA$472:$AA$578,34)&amp;"")&gt;0),1,0)</f>
        <v/>
      </c>
      <c r="AF43" s="19">
        <f>IF(LEN(INDEX('Tabelas'!$Y$12:$Y$118,34)&amp;"")=0,0,IF(ISNUMBER(MATCH(INDEX('Tabelas'!$Y$12:$Y$118,34)&amp;"",'Dados'!$A$549:$A$554,0)),IF(AND(INDEX('Dados'!$B$549:$B$554,MATCH(INDEX('Tabelas'!$Y$12:$Y$118,34)&amp;"",'Dados'!$A$549:$A$554,0))&lt;=$N$12,INDEX('Dados'!$C$549:$C$554,MATCH(INDEX('Tabelas'!$Y$12:$Y$118,34)&amp;"",'Dados'!$A$549:$A$554,0))&gt;=$N$12),1,0),1))</f>
        <v/>
      </c>
      <c r="AG43" s="19">
        <f>$AG$42+$AF$43</f>
        <v/>
      </c>
      <c r="AH43" s="19">
        <f>'Tabelas'!$AB$506&amp;""</f>
        <v/>
      </c>
      <c r="AI43" s="19">
        <f>'Tabelas'!$X$46&amp;""</f>
        <v/>
      </c>
    </row>
    <row r="44">
      <c r="N44" s="19">
        <f>(1+INT($AC$24*((2)-(1)+1)/2147483647))</f>
        <v/>
      </c>
      <c r="AE44" s="19">
        <f>$AE$43+IF(AND(LEN($N$10)&gt;0,INDEX('Tabelas'!$Z$472:$Z$578,35)&amp;""=$N$10,LEN(INDEX('Tabelas'!$AA$472:$AA$578,35)&amp;"")&gt;0),1,0)</f>
        <v/>
      </c>
      <c r="AF44" s="19">
        <f>IF(LEN(INDEX('Tabelas'!$Y$12:$Y$118,35)&amp;"")=0,0,IF(ISNUMBER(MATCH(INDEX('Tabelas'!$Y$12:$Y$118,35)&amp;"",'Dados'!$A$549:$A$554,0)),IF(AND(INDEX('Dados'!$B$549:$B$554,MATCH(INDEX('Tabelas'!$Y$12:$Y$118,35)&amp;"",'Dados'!$A$549:$A$554,0))&lt;=$N$12,INDEX('Dados'!$C$549:$C$554,MATCH(INDEX('Tabelas'!$Y$12:$Y$118,35)&amp;"",'Dados'!$A$549:$A$554,0))&gt;=$N$12),1,0),1))</f>
        <v/>
      </c>
      <c r="AG44" s="19">
        <f>$AG$43+$AF$44</f>
        <v/>
      </c>
      <c r="AH44" s="19">
        <f>'Tabelas'!$AB$507&amp;""</f>
        <v/>
      </c>
      <c r="AI44" s="19">
        <f>'Tabelas'!$X$47&amp;""</f>
        <v/>
      </c>
    </row>
    <row r="45">
      <c r="N45" s="19">
        <f>IF($N$12=1,IF('Tabelas'!$D$9&lt;=0,"",IFERROR(INDEX('Tabelas'!$Z$12:$Z$118,MATCH(IF('Tabelas'!$D$9&lt;=0,0,INT($AC$11*'Tabelas'!$D$9/2147483647)+1),'Tabelas'!$P$12:$P$118,0))&amp;"","")),IF($N$12=2,IF('Tabelas'!$E$9&lt;=0,"",IFERROR(INDEX('Tabelas'!$AA$12:$AA$118,MATCH(IF('Tabelas'!$E$9&lt;=0,0,INT($AC$11*'Tabelas'!$E$9/2147483647)+1),'Tabelas'!$Q$12:$Q$118,0))&amp;"","")),IF($N$12=3,IF('Tabelas'!$F$9&lt;=0,"",IFERROR(INDEX('Tabelas'!$AB$12:$AB$118,MATCH(IF('Tabelas'!$F$9&lt;=0,0,INT($AC$11*'Tabelas'!$F$9/2147483647)+1),'Tabelas'!$R$12:$R$118,0))&amp;"","")),IF($N$12=4,IF('Tabelas'!$G$9&lt;=0,"",IFERROR(INDEX('Tabelas'!$AC$12:$AC$118,MATCH(IF('Tabelas'!$G$9&lt;=0,0,INT($AC$11*'Tabelas'!$G$9/2147483647)+1),'Tabelas'!$S$12:$S$118,0))&amp;"","")),IF('Tabelas'!$H$9&lt;=0,"",IFERROR(INDEX('Tabelas'!$AD$12:$AD$118,MATCH(IF('Tabelas'!$H$9&lt;=0,0,INT($AC$11*'Tabelas'!$H$9/2147483647)+1),'Tabelas'!$T$12:$T$118,0))&amp;"",""))))))</f>
        <v/>
      </c>
      <c r="AE45" s="19">
        <f>$AE$44+IF(AND(LEN($N$10)&gt;0,INDEX('Tabelas'!$Z$472:$Z$578,36)&amp;""=$N$10,LEN(INDEX('Tabelas'!$AA$472:$AA$578,36)&amp;"")&gt;0),1,0)</f>
        <v/>
      </c>
      <c r="AF45" s="19">
        <f>IF(LEN(INDEX('Tabelas'!$Y$12:$Y$118,36)&amp;"")=0,0,IF(ISNUMBER(MATCH(INDEX('Tabelas'!$Y$12:$Y$118,36)&amp;"",'Dados'!$A$549:$A$554,0)),IF(AND(INDEX('Dados'!$B$549:$B$554,MATCH(INDEX('Tabelas'!$Y$12:$Y$118,36)&amp;"",'Dados'!$A$549:$A$554,0))&lt;=$N$12,INDEX('Dados'!$C$549:$C$554,MATCH(INDEX('Tabelas'!$Y$12:$Y$118,36)&amp;"",'Dados'!$A$549:$A$554,0))&gt;=$N$12),1,0),1))</f>
        <v/>
      </c>
      <c r="AG45" s="19">
        <f>$AG$44+$AF$45</f>
        <v/>
      </c>
      <c r="AH45" s="19">
        <f>'Tabelas'!$AB$508&amp;""</f>
        <v/>
      </c>
      <c r="AI45" s="19">
        <f>'Tabelas'!$X$48&amp;""</f>
        <v/>
      </c>
    </row>
    <row r="46">
      <c r="N46" s="19">
        <f>IF('Tabelas'!$G$469&lt;=0,"",IFERROR(INDEX('Tabelas'!$AC$472:$AC$578,MATCH(IF('Tabelas'!$G$469&lt;=0,0,INT($AC$11*'Tabelas'!$G$469/2147483647)+1),'Tabelas'!$S$472:$S$578,0))&amp;"",""))</f>
        <v/>
      </c>
      <c r="AE46" s="19">
        <f>$AE$45+IF(AND(LEN($N$10)&gt;0,INDEX('Tabelas'!$Z$472:$Z$578,37)&amp;""=$N$10,LEN(INDEX('Tabelas'!$AA$472:$AA$578,37)&amp;"")&gt;0),1,0)</f>
        <v/>
      </c>
      <c r="AF46" s="19">
        <f>IF(LEN(INDEX('Tabelas'!$Y$12:$Y$118,37)&amp;"")=0,0,IF(ISNUMBER(MATCH(INDEX('Tabelas'!$Y$12:$Y$118,37)&amp;"",'Dados'!$A$549:$A$554,0)),IF(AND(INDEX('Dados'!$B$549:$B$554,MATCH(INDEX('Tabelas'!$Y$12:$Y$118,37)&amp;"",'Dados'!$A$549:$A$554,0))&lt;=$N$12,INDEX('Dados'!$C$549:$C$554,MATCH(INDEX('Tabelas'!$Y$12:$Y$118,37)&amp;"",'Dados'!$A$549:$A$554,0))&gt;=$N$12),1,0),1))</f>
        <v/>
      </c>
      <c r="AG46" s="19">
        <f>$AG$45+$AF$46</f>
        <v/>
      </c>
      <c r="AH46" s="19">
        <f>'Tabelas'!$AB$509&amp;""</f>
        <v/>
      </c>
      <c r="AI46" s="19">
        <f>'Tabelas'!$X$49&amp;""</f>
        <v/>
      </c>
    </row>
    <row r="47">
      <c r="N47" s="19">
        <f>IF($N$44=1,IF(LEN($N$45)&gt;0,$N$45,$N$46),IF(LEN($N$46)&gt;0,$N$46,$N$45))</f>
        <v/>
      </c>
      <c r="AE47" s="19">
        <f>$AE$46+IF(AND(LEN($N$10)&gt;0,INDEX('Tabelas'!$Z$472:$Z$578,38)&amp;""=$N$10,LEN(INDEX('Tabelas'!$AA$472:$AA$578,38)&amp;"")&gt;0),1,0)</f>
        <v/>
      </c>
      <c r="AF47" s="19">
        <f>IF(LEN(INDEX('Tabelas'!$Y$12:$Y$118,38)&amp;"")=0,0,IF(ISNUMBER(MATCH(INDEX('Tabelas'!$Y$12:$Y$118,38)&amp;"",'Dados'!$A$549:$A$554,0)),IF(AND(INDEX('Dados'!$B$549:$B$554,MATCH(INDEX('Tabelas'!$Y$12:$Y$118,38)&amp;"",'Dados'!$A$549:$A$554,0))&lt;=$N$12,INDEX('Dados'!$C$549:$C$554,MATCH(INDEX('Tabelas'!$Y$12:$Y$118,38)&amp;"",'Dados'!$A$549:$A$554,0))&gt;=$N$12),1,0),1))</f>
        <v/>
      </c>
      <c r="AG47" s="19">
        <f>$AG$46+$AF$47</f>
        <v/>
      </c>
      <c r="AH47" s="19">
        <f>'Tabelas'!$AB$510&amp;""</f>
        <v/>
      </c>
      <c r="AI47" s="19">
        <f>'Tabelas'!$X$50&amp;""</f>
        <v/>
      </c>
    </row>
    <row r="48">
      <c r="N48" s="19">
        <f>INDEX('Dados'!$C$261:$C$265,$N$12)</f>
        <v/>
      </c>
      <c r="AE48" s="19">
        <f>$AE$47+IF(AND(LEN($N$10)&gt;0,INDEX('Tabelas'!$Z$472:$Z$578,39)&amp;""=$N$10,LEN(INDEX('Tabelas'!$AA$472:$AA$578,39)&amp;"")&gt;0),1,0)</f>
        <v/>
      </c>
      <c r="AF48" s="19">
        <f>IF(LEN(INDEX('Tabelas'!$Y$12:$Y$118,39)&amp;"")=0,0,IF(ISNUMBER(MATCH(INDEX('Tabelas'!$Y$12:$Y$118,39)&amp;"",'Dados'!$A$549:$A$554,0)),IF(AND(INDEX('Dados'!$B$549:$B$554,MATCH(INDEX('Tabelas'!$Y$12:$Y$118,39)&amp;"",'Dados'!$A$549:$A$554,0))&lt;=$N$12,INDEX('Dados'!$C$549:$C$554,MATCH(INDEX('Tabelas'!$Y$12:$Y$118,39)&amp;"",'Dados'!$A$549:$A$554,0))&gt;=$N$12),1,0),1))</f>
        <v/>
      </c>
      <c r="AG48" s="19">
        <f>$AG$47+$AF$48</f>
        <v/>
      </c>
      <c r="AH48" s="19">
        <f>'Tabelas'!$AB$511&amp;""</f>
        <v/>
      </c>
      <c r="AI48" s="19">
        <f>'Tabelas'!$X$51&amp;""</f>
        <v/>
      </c>
    </row>
    <row r="49">
      <c r="N49" s="19">
        <f>IF('Campanha'!$B$21=4,$N$48,INT($N$48*'Campanha'!$B$21/4))</f>
        <v/>
      </c>
      <c r="AE49" s="19">
        <f>$AE$48+IF(AND(LEN($N$10)&gt;0,INDEX('Tabelas'!$Z$472:$Z$578,40)&amp;""=$N$10,LEN(INDEX('Tabelas'!$AA$472:$AA$578,40)&amp;"")&gt;0),1,0)</f>
        <v/>
      </c>
      <c r="AF49" s="19">
        <f>IF(LEN(INDEX('Tabelas'!$Y$12:$Y$118,40)&amp;"")=0,0,IF(ISNUMBER(MATCH(INDEX('Tabelas'!$Y$12:$Y$118,40)&amp;"",'Dados'!$A$549:$A$554,0)),IF(AND(INDEX('Dados'!$B$549:$B$554,MATCH(INDEX('Tabelas'!$Y$12:$Y$118,40)&amp;"",'Dados'!$A$549:$A$554,0))&lt;=$N$12,INDEX('Dados'!$C$549:$C$554,MATCH(INDEX('Tabelas'!$Y$12:$Y$118,40)&amp;"",'Dados'!$A$549:$A$554,0))&gt;=$N$12),1,0),1))</f>
        <v/>
      </c>
      <c r="AG49" s="19">
        <f>$AG$48+$AF$49</f>
        <v/>
      </c>
      <c r="AH49" s="19">
        <f>'Tabelas'!$AB$512&amp;""</f>
        <v/>
      </c>
      <c r="AI49" s="19">
        <f>'Tabelas'!$X$52&amp;""</f>
        <v/>
      </c>
    </row>
    <row r="50">
      <c r="N50" s="19">
        <f>IF($N$12=1,INDEX('Dados'!$B$284:$B$289,3),IF($N$12=2,INDEX('Dados'!$C$284:$C$289,3),IF($N$12=3,INDEX('Dados'!$D$284:$D$289,3),IF($N$12=4,INDEX('Dados'!$E$284:$E$289,3),INDEX('Dados'!$F$284:$F$289,3)))))</f>
        <v/>
      </c>
      <c r="AE50" s="19">
        <f>$AE$49+IF(AND(LEN($N$10)&gt;0,INDEX('Tabelas'!$Z$472:$Z$578,41)&amp;""=$N$10,LEN(INDEX('Tabelas'!$AA$472:$AA$578,41)&amp;"")&gt;0),1,0)</f>
        <v/>
      </c>
      <c r="AF50" s="19">
        <f>IF(LEN(INDEX('Tabelas'!$Y$12:$Y$118,41)&amp;"")=0,0,IF(ISNUMBER(MATCH(INDEX('Tabelas'!$Y$12:$Y$118,41)&amp;"",'Dados'!$A$549:$A$554,0)),IF(AND(INDEX('Dados'!$B$549:$B$554,MATCH(INDEX('Tabelas'!$Y$12:$Y$118,41)&amp;"",'Dados'!$A$549:$A$554,0))&lt;=$N$12,INDEX('Dados'!$C$549:$C$554,MATCH(INDEX('Tabelas'!$Y$12:$Y$118,41)&amp;"",'Dados'!$A$549:$A$554,0))&gt;=$N$12),1,0),1))</f>
        <v/>
      </c>
      <c r="AG50" s="19">
        <f>$AG$49+$AF$50</f>
        <v/>
      </c>
      <c r="AH50" s="19">
        <f>'Tabelas'!$AB$514&amp;""</f>
        <v/>
      </c>
      <c r="AI50" s="19">
        <f>'Tabelas'!$X$54&amp;""</f>
        <v/>
      </c>
    </row>
    <row r="51">
      <c r="N51" s="19">
        <f>IF($N$12=1,INDEX('Dados'!$B$284:$B$289,4),IF($N$12=2,INDEX('Dados'!$C$284:$C$289,4),IF($N$12=3,INDEX('Dados'!$D$284:$D$289,4),IF($N$12=4,INDEX('Dados'!$E$284:$E$289,4),INDEX('Dados'!$F$284:$F$289,4)))))</f>
        <v/>
      </c>
      <c r="AE51" s="19">
        <f>$AE$50</f>
        <v/>
      </c>
      <c r="AF51" s="19">
        <f>0</f>
        <v/>
      </c>
      <c r="AG51" s="19">
        <f>$AG$50+$AF$51</f>
        <v/>
      </c>
      <c r="AH51" s="19">
        <f>'Tabelas'!$AB$515&amp;""</f>
        <v/>
      </c>
      <c r="AI51" s="19">
        <f>'Tabelas'!$X$55&amp;""</f>
        <v/>
      </c>
    </row>
    <row r="52">
      <c r="N52" s="19">
        <f>INDEX('Dados'!$B$372:$B$376,$N$12)</f>
        <v/>
      </c>
      <c r="AE52" s="19">
        <f>$AE$51+IF(AND(LEN($N$10)&gt;0,INDEX('Tabelas'!$Z$472:$Z$578,43)&amp;""=$N$10,LEN(INDEX('Tabelas'!$AA$472:$AA$578,43)&amp;"")&gt;0),1,0)</f>
        <v/>
      </c>
      <c r="AF52" s="19">
        <f>IF(LEN(INDEX('Tabelas'!$Y$12:$Y$118,43)&amp;"")=0,0,IF(ISNUMBER(MATCH(INDEX('Tabelas'!$Y$12:$Y$118,43)&amp;"",'Dados'!$A$549:$A$554,0)),IF(AND(INDEX('Dados'!$B$549:$B$554,MATCH(INDEX('Tabelas'!$Y$12:$Y$118,43)&amp;"",'Dados'!$A$549:$A$554,0))&lt;=$N$12,INDEX('Dados'!$C$549:$C$554,MATCH(INDEX('Tabelas'!$Y$12:$Y$118,43)&amp;"",'Dados'!$A$549:$A$554,0))&gt;=$N$12),1,0),1))</f>
        <v/>
      </c>
      <c r="AG52" s="19">
        <f>$AG$51+$AF$52</f>
        <v/>
      </c>
      <c r="AH52" s="19">
        <f>'Tabelas'!$AB$516&amp;""</f>
        <v/>
      </c>
      <c r="AI52" s="19">
        <f>'Tabelas'!$X$56&amp;""</f>
        <v/>
      </c>
    </row>
    <row r="53">
      <c r="AE53" s="19">
        <f>$AE$52+IF(AND(LEN($N$10)&gt;0,INDEX('Tabelas'!$Z$472:$Z$578,44)&amp;""=$N$10,LEN(INDEX('Tabelas'!$AA$472:$AA$578,44)&amp;"")&gt;0),1,0)</f>
        <v/>
      </c>
      <c r="AF53" s="19">
        <f>IF(LEN(INDEX('Tabelas'!$Y$12:$Y$118,44)&amp;"")=0,0,IF(ISNUMBER(MATCH(INDEX('Tabelas'!$Y$12:$Y$118,44)&amp;"",'Dados'!$A$549:$A$554,0)),IF(AND(INDEX('Dados'!$B$549:$B$554,MATCH(INDEX('Tabelas'!$Y$12:$Y$118,44)&amp;"",'Dados'!$A$549:$A$554,0))&lt;=$N$12,INDEX('Dados'!$C$549:$C$554,MATCH(INDEX('Tabelas'!$Y$12:$Y$118,44)&amp;"",'Dados'!$A$549:$A$554,0))&gt;=$N$12),1,0),1))</f>
        <v/>
      </c>
      <c r="AG53" s="19">
        <f>$AG$52+$AF$53</f>
        <v/>
      </c>
      <c r="AH53" s="19">
        <f>'Tabelas'!$AB$517&amp;""</f>
        <v/>
      </c>
      <c r="AI53" s="19">
        <f>'Tabelas'!$X$57&amp;""</f>
        <v/>
      </c>
    </row>
    <row r="54">
      <c r="AE54" s="19">
        <f>$AE$53+IF(AND(LEN($N$10)&gt;0,INDEX('Tabelas'!$Z$472:$Z$578,45)&amp;""=$N$10,LEN(INDEX('Tabelas'!$AA$472:$AA$578,45)&amp;"")&gt;0),1,0)</f>
        <v/>
      </c>
      <c r="AF54" s="19">
        <f>IF(LEN(INDEX('Tabelas'!$Y$12:$Y$118,45)&amp;"")=0,0,IF(ISNUMBER(MATCH(INDEX('Tabelas'!$Y$12:$Y$118,45)&amp;"",'Dados'!$A$549:$A$554,0)),IF(AND(INDEX('Dados'!$B$549:$B$554,MATCH(INDEX('Tabelas'!$Y$12:$Y$118,45)&amp;"",'Dados'!$A$549:$A$554,0))&lt;=$N$12,INDEX('Dados'!$C$549:$C$554,MATCH(INDEX('Tabelas'!$Y$12:$Y$118,45)&amp;"",'Dados'!$A$549:$A$554,0))&gt;=$N$12),1,0),1))</f>
        <v/>
      </c>
      <c r="AG54" s="19">
        <f>$AG$53+$AF$54</f>
        <v/>
      </c>
      <c r="AH54" s="19">
        <f>'Tabelas'!$AB$518&amp;""</f>
        <v/>
      </c>
      <c r="AI54" s="19">
        <f>'Tabelas'!$X$58&amp;""</f>
        <v/>
      </c>
    </row>
    <row r="55">
      <c r="AE55" s="19">
        <f>$AE$54+IF(AND(LEN($N$10)&gt;0,INDEX('Tabelas'!$Z$472:$Z$578,46)&amp;""=$N$10,LEN(INDEX('Tabelas'!$AA$472:$AA$578,46)&amp;"")&gt;0),1,0)</f>
        <v/>
      </c>
      <c r="AF55" s="19">
        <f>IF(LEN(INDEX('Tabelas'!$Y$12:$Y$118,46)&amp;"")=0,0,IF(ISNUMBER(MATCH(INDEX('Tabelas'!$Y$12:$Y$118,46)&amp;"",'Dados'!$A$549:$A$554,0)),IF(AND(INDEX('Dados'!$B$549:$B$554,MATCH(INDEX('Tabelas'!$Y$12:$Y$118,46)&amp;"",'Dados'!$A$549:$A$554,0))&lt;=$N$12,INDEX('Dados'!$C$549:$C$554,MATCH(INDEX('Tabelas'!$Y$12:$Y$118,46)&amp;"",'Dados'!$A$549:$A$554,0))&gt;=$N$12),1,0),1))</f>
        <v/>
      </c>
      <c r="AG55" s="19">
        <f>$AG$54+$AF$55</f>
        <v/>
      </c>
      <c r="AH55" s="19">
        <f>'Tabelas'!$AB$519&amp;""</f>
        <v/>
      </c>
      <c r="AI55" s="19">
        <f>'Tabelas'!$X$59&amp;""</f>
        <v/>
      </c>
    </row>
    <row r="56">
      <c r="AE56" s="19">
        <f>$AE$55+IF(AND(LEN($N$10)&gt;0,INDEX('Tabelas'!$Z$472:$Z$578,47)&amp;""=$N$10,LEN(INDEX('Tabelas'!$AA$472:$AA$578,47)&amp;"")&gt;0),1,0)</f>
        <v/>
      </c>
      <c r="AF56" s="19">
        <f>IF(LEN(INDEX('Tabelas'!$Y$12:$Y$118,47)&amp;"")=0,0,IF(ISNUMBER(MATCH(INDEX('Tabelas'!$Y$12:$Y$118,47)&amp;"",'Dados'!$A$549:$A$554,0)),IF(AND(INDEX('Dados'!$B$549:$B$554,MATCH(INDEX('Tabelas'!$Y$12:$Y$118,47)&amp;"",'Dados'!$A$549:$A$554,0))&lt;=$N$12,INDEX('Dados'!$C$549:$C$554,MATCH(INDEX('Tabelas'!$Y$12:$Y$118,47)&amp;"",'Dados'!$A$549:$A$554,0))&gt;=$N$12),1,0),1))</f>
        <v/>
      </c>
      <c r="AG56" s="19">
        <f>$AG$55+$AF$56</f>
        <v/>
      </c>
      <c r="AH56" s="19">
        <f>'Tabelas'!$AB$520&amp;""</f>
        <v/>
      </c>
      <c r="AI56" s="19">
        <f>'Tabelas'!$X$60&amp;""</f>
        <v/>
      </c>
    </row>
    <row r="57">
      <c r="AE57" s="19">
        <f>$AE$56+IF(AND(LEN($N$10)&gt;0,INDEX('Tabelas'!$Z$472:$Z$578,48)&amp;""=$N$10,LEN(INDEX('Tabelas'!$AA$472:$AA$578,48)&amp;"")&gt;0),1,0)</f>
        <v/>
      </c>
      <c r="AF57" s="19">
        <f>IF(LEN(INDEX('Tabelas'!$Y$12:$Y$118,48)&amp;"")=0,0,IF(ISNUMBER(MATCH(INDEX('Tabelas'!$Y$12:$Y$118,48)&amp;"",'Dados'!$A$549:$A$554,0)),IF(AND(INDEX('Dados'!$B$549:$B$554,MATCH(INDEX('Tabelas'!$Y$12:$Y$118,48)&amp;"",'Dados'!$A$549:$A$554,0))&lt;=$N$12,INDEX('Dados'!$C$549:$C$554,MATCH(INDEX('Tabelas'!$Y$12:$Y$118,48)&amp;"",'Dados'!$A$549:$A$554,0))&gt;=$N$12),1,0),1))</f>
        <v/>
      </c>
      <c r="AG57" s="19">
        <f>$AG$56+$AF$57</f>
        <v/>
      </c>
      <c r="AH57" s="19">
        <f>'Tabelas'!$AB$521&amp;""</f>
        <v/>
      </c>
      <c r="AI57" s="19">
        <f>'Tabelas'!$X$61&amp;""</f>
        <v/>
      </c>
    </row>
    <row r="58">
      <c r="AE58" s="19">
        <f>$AE$57+IF(AND(LEN($N$10)&gt;0,INDEX('Tabelas'!$Z$472:$Z$578,49)&amp;""=$N$10,LEN(INDEX('Tabelas'!$AA$472:$AA$578,49)&amp;"")&gt;0),1,0)</f>
        <v/>
      </c>
      <c r="AF58" s="19">
        <f>IF(LEN(INDEX('Tabelas'!$Y$12:$Y$118,49)&amp;"")=0,0,IF(ISNUMBER(MATCH(INDEX('Tabelas'!$Y$12:$Y$118,49)&amp;"",'Dados'!$A$549:$A$554,0)),IF(AND(INDEX('Dados'!$B$549:$B$554,MATCH(INDEX('Tabelas'!$Y$12:$Y$118,49)&amp;"",'Dados'!$A$549:$A$554,0))&lt;=$N$12,INDEX('Dados'!$C$549:$C$554,MATCH(INDEX('Tabelas'!$Y$12:$Y$118,49)&amp;"",'Dados'!$A$549:$A$554,0))&gt;=$N$12),1,0),1))</f>
        <v/>
      </c>
      <c r="AG58" s="19">
        <f>$AG$57+$AF$58</f>
        <v/>
      </c>
      <c r="AH58" s="19">
        <f>'Tabelas'!$AB$522&amp;""</f>
        <v/>
      </c>
      <c r="AI58" s="19">
        <f>'Tabelas'!$X$62&amp;""</f>
        <v/>
      </c>
    </row>
    <row r="59">
      <c r="AE59" s="19">
        <f>$AE$58+IF(AND(LEN($N$10)&gt;0,INDEX('Tabelas'!$Z$472:$Z$578,50)&amp;""=$N$10,LEN(INDEX('Tabelas'!$AA$472:$AA$578,50)&amp;"")&gt;0),1,0)</f>
        <v/>
      </c>
      <c r="AF59" s="19">
        <f>IF(LEN(INDEX('Tabelas'!$Y$12:$Y$118,50)&amp;"")=0,0,IF(ISNUMBER(MATCH(INDEX('Tabelas'!$Y$12:$Y$118,50)&amp;"",'Dados'!$A$549:$A$554,0)),IF(AND(INDEX('Dados'!$B$549:$B$554,MATCH(INDEX('Tabelas'!$Y$12:$Y$118,50)&amp;"",'Dados'!$A$549:$A$554,0))&lt;=$N$12,INDEX('Dados'!$C$549:$C$554,MATCH(INDEX('Tabelas'!$Y$12:$Y$118,50)&amp;"",'Dados'!$A$549:$A$554,0))&gt;=$N$12),1,0),1))</f>
        <v/>
      </c>
      <c r="AG59" s="19">
        <f>$AG$58+$AF$59</f>
        <v/>
      </c>
      <c r="AH59" s="19">
        <f>'Tabelas'!$AB$523&amp;""</f>
        <v/>
      </c>
      <c r="AI59" s="19">
        <f>'Tabelas'!$X$63&amp;""</f>
        <v/>
      </c>
    </row>
    <row r="60">
      <c r="AE60" s="19">
        <f>$AE$59+IF(AND(LEN($N$10)&gt;0,INDEX('Tabelas'!$Z$472:$Z$578,51)&amp;""=$N$10,LEN(INDEX('Tabelas'!$AA$472:$AA$578,51)&amp;"")&gt;0),1,0)</f>
        <v/>
      </c>
      <c r="AF60" s="19">
        <f>IF(LEN(INDEX('Tabelas'!$Y$12:$Y$118,51)&amp;"")=0,0,IF(ISNUMBER(MATCH(INDEX('Tabelas'!$Y$12:$Y$118,51)&amp;"",'Dados'!$A$549:$A$554,0)),IF(AND(INDEX('Dados'!$B$549:$B$554,MATCH(INDEX('Tabelas'!$Y$12:$Y$118,51)&amp;"",'Dados'!$A$549:$A$554,0))&lt;=$N$12,INDEX('Dados'!$C$549:$C$554,MATCH(INDEX('Tabelas'!$Y$12:$Y$118,51)&amp;"",'Dados'!$A$549:$A$554,0))&gt;=$N$12),1,0),1))</f>
        <v/>
      </c>
      <c r="AG60" s="19">
        <f>$AG$59+$AF$60</f>
        <v/>
      </c>
      <c r="AH60" s="19">
        <f>'Tabelas'!$AB$524&amp;""</f>
        <v/>
      </c>
      <c r="AI60" s="19">
        <f>'Tabelas'!$X$64&amp;""</f>
        <v/>
      </c>
    </row>
    <row r="61">
      <c r="AE61" s="19">
        <f>$AE$60+IF(AND(LEN($N$10)&gt;0,INDEX('Tabelas'!$Z$472:$Z$578,52)&amp;""=$N$10,LEN(INDEX('Tabelas'!$AA$472:$AA$578,52)&amp;"")&gt;0),1,0)</f>
        <v/>
      </c>
      <c r="AF61" s="19">
        <f>IF(LEN(INDEX('Tabelas'!$Y$12:$Y$118,52)&amp;"")=0,0,IF(ISNUMBER(MATCH(INDEX('Tabelas'!$Y$12:$Y$118,52)&amp;"",'Dados'!$A$549:$A$554,0)),IF(AND(INDEX('Dados'!$B$549:$B$554,MATCH(INDEX('Tabelas'!$Y$12:$Y$118,52)&amp;"",'Dados'!$A$549:$A$554,0))&lt;=$N$12,INDEX('Dados'!$C$549:$C$554,MATCH(INDEX('Tabelas'!$Y$12:$Y$118,52)&amp;"",'Dados'!$A$549:$A$554,0))&gt;=$N$12),1,0),1))</f>
        <v/>
      </c>
      <c r="AG61" s="19">
        <f>$AG$60+$AF$61</f>
        <v/>
      </c>
      <c r="AH61" s="19">
        <f>'Tabelas'!$AB$525&amp;""</f>
        <v/>
      </c>
      <c r="AI61" s="19">
        <f>'Tabelas'!$X$65&amp;""</f>
        <v/>
      </c>
    </row>
    <row r="62">
      <c r="AE62" s="19">
        <f>$AE$61+IF(AND(LEN($N$10)&gt;0,INDEX('Tabelas'!$Z$472:$Z$578,53)&amp;""=$N$10,LEN(INDEX('Tabelas'!$AA$472:$AA$578,53)&amp;"")&gt;0),1,0)</f>
        <v/>
      </c>
      <c r="AF62" s="19">
        <f>IF(LEN(INDEX('Tabelas'!$Y$12:$Y$118,53)&amp;"")=0,0,IF(ISNUMBER(MATCH(INDEX('Tabelas'!$Y$12:$Y$118,53)&amp;"",'Dados'!$A$549:$A$554,0)),IF(AND(INDEX('Dados'!$B$549:$B$554,MATCH(INDEX('Tabelas'!$Y$12:$Y$118,53)&amp;"",'Dados'!$A$549:$A$554,0))&lt;=$N$12,INDEX('Dados'!$C$549:$C$554,MATCH(INDEX('Tabelas'!$Y$12:$Y$118,53)&amp;"",'Dados'!$A$549:$A$554,0))&gt;=$N$12),1,0),1))</f>
        <v/>
      </c>
      <c r="AG62" s="19">
        <f>$AG$61+$AF$62</f>
        <v/>
      </c>
      <c r="AH62" s="19">
        <f>'Tabelas'!$AB$526&amp;""</f>
        <v/>
      </c>
      <c r="AI62" s="19">
        <f>'Tabelas'!$X$66&amp;""</f>
        <v/>
      </c>
    </row>
    <row r="63">
      <c r="AE63" s="19">
        <f>$AE$62+IF(AND(LEN($N$10)&gt;0,INDEX('Tabelas'!$Z$472:$Z$578,54)&amp;""=$N$10,LEN(INDEX('Tabelas'!$AA$472:$AA$578,54)&amp;"")&gt;0),1,0)</f>
        <v/>
      </c>
      <c r="AF63" s="19">
        <f>IF(LEN(INDEX('Tabelas'!$Y$12:$Y$118,54)&amp;"")=0,0,IF(ISNUMBER(MATCH(INDEX('Tabelas'!$Y$12:$Y$118,54)&amp;"",'Dados'!$A$549:$A$554,0)),IF(AND(INDEX('Dados'!$B$549:$B$554,MATCH(INDEX('Tabelas'!$Y$12:$Y$118,54)&amp;"",'Dados'!$A$549:$A$554,0))&lt;=$N$12,INDEX('Dados'!$C$549:$C$554,MATCH(INDEX('Tabelas'!$Y$12:$Y$118,54)&amp;"",'Dados'!$A$549:$A$554,0))&gt;=$N$12),1,0),1))</f>
        <v/>
      </c>
      <c r="AG63" s="19">
        <f>$AG$62+$AF$63</f>
        <v/>
      </c>
      <c r="AH63" s="19">
        <f>'Tabelas'!$AB$528&amp;""</f>
        <v/>
      </c>
      <c r="AI63" s="19">
        <f>'Tabelas'!$X$68&amp;""</f>
        <v/>
      </c>
    </row>
    <row r="64">
      <c r="AE64" s="19">
        <f>$AE$63+IF(AND(LEN($N$10)&gt;0,INDEX('Tabelas'!$Z$472:$Z$578,55)&amp;""=$N$10,LEN(INDEX('Tabelas'!$AA$472:$AA$578,55)&amp;"")&gt;0),1,0)</f>
        <v/>
      </c>
      <c r="AF64" s="19">
        <f>IF(LEN(INDEX('Tabelas'!$Y$12:$Y$118,55)&amp;"")=0,0,IF(ISNUMBER(MATCH(INDEX('Tabelas'!$Y$12:$Y$118,55)&amp;"",'Dados'!$A$549:$A$554,0)),IF(AND(INDEX('Dados'!$B$549:$B$554,MATCH(INDEX('Tabelas'!$Y$12:$Y$118,55)&amp;"",'Dados'!$A$549:$A$554,0))&lt;=$N$12,INDEX('Dados'!$C$549:$C$554,MATCH(INDEX('Tabelas'!$Y$12:$Y$118,55)&amp;"",'Dados'!$A$549:$A$554,0))&gt;=$N$12),1,0),1))</f>
        <v/>
      </c>
      <c r="AG64" s="19">
        <f>$AG$63+$AF$64</f>
        <v/>
      </c>
      <c r="AH64" s="19">
        <f>'Tabelas'!$AB$529&amp;""</f>
        <v/>
      </c>
      <c r="AI64" s="19">
        <f>'Tabelas'!$X$69&amp;""</f>
        <v/>
      </c>
    </row>
    <row r="65">
      <c r="AE65" s="19">
        <f>$AE$64</f>
        <v/>
      </c>
      <c r="AF65" s="19">
        <f>0</f>
        <v/>
      </c>
      <c r="AG65" s="19">
        <f>$AG$64+$AF$65</f>
        <v/>
      </c>
      <c r="AH65" s="19">
        <f>'Tabelas'!$AB$530&amp;""</f>
        <v/>
      </c>
      <c r="AI65" s="19">
        <f>'Tabelas'!$X$70&amp;""</f>
        <v/>
      </c>
    </row>
    <row r="66">
      <c r="AE66" s="19">
        <f>$AE$65+IF(AND(LEN($N$10)&gt;0,INDEX('Tabelas'!$Z$472:$Z$578,57)&amp;""=$N$10,LEN(INDEX('Tabelas'!$AA$472:$AA$578,57)&amp;"")&gt;0),1,0)</f>
        <v/>
      </c>
      <c r="AF66" s="19">
        <f>IF(LEN(INDEX('Tabelas'!$Y$12:$Y$118,57)&amp;"")=0,0,IF(ISNUMBER(MATCH(INDEX('Tabelas'!$Y$12:$Y$118,57)&amp;"",'Dados'!$A$549:$A$554,0)),IF(AND(INDEX('Dados'!$B$549:$B$554,MATCH(INDEX('Tabelas'!$Y$12:$Y$118,57)&amp;"",'Dados'!$A$549:$A$554,0))&lt;=$N$12,INDEX('Dados'!$C$549:$C$554,MATCH(INDEX('Tabelas'!$Y$12:$Y$118,57)&amp;"",'Dados'!$A$549:$A$554,0))&gt;=$N$12),1,0),1))</f>
        <v/>
      </c>
      <c r="AG66" s="19">
        <f>$AG$65+$AF$66</f>
        <v/>
      </c>
      <c r="AH66" s="19">
        <f>'Tabelas'!$AB$531&amp;""</f>
        <v/>
      </c>
      <c r="AI66" s="19">
        <f>'Tabelas'!$X$71&amp;""</f>
        <v/>
      </c>
    </row>
    <row r="67">
      <c r="AE67" s="19">
        <f>$AE$66+IF(AND(LEN($N$10)&gt;0,INDEX('Tabelas'!$Z$472:$Z$578,58)&amp;""=$N$10,LEN(INDEX('Tabelas'!$AA$472:$AA$578,58)&amp;"")&gt;0),1,0)</f>
        <v/>
      </c>
      <c r="AF67" s="19">
        <f>IF(LEN(INDEX('Tabelas'!$Y$12:$Y$118,58)&amp;"")=0,0,IF(ISNUMBER(MATCH(INDEX('Tabelas'!$Y$12:$Y$118,58)&amp;"",'Dados'!$A$549:$A$554,0)),IF(AND(INDEX('Dados'!$B$549:$B$554,MATCH(INDEX('Tabelas'!$Y$12:$Y$118,58)&amp;"",'Dados'!$A$549:$A$554,0))&lt;=$N$12,INDEX('Dados'!$C$549:$C$554,MATCH(INDEX('Tabelas'!$Y$12:$Y$118,58)&amp;"",'Dados'!$A$549:$A$554,0))&gt;=$N$12),1,0),1))</f>
        <v/>
      </c>
      <c r="AG67" s="19">
        <f>$AG$66+$AF$67</f>
        <v/>
      </c>
      <c r="AH67" s="19">
        <f>'Tabelas'!$AB$532&amp;""</f>
        <v/>
      </c>
      <c r="AI67" s="19">
        <f>'Tabelas'!$X$72&amp;""</f>
        <v/>
      </c>
    </row>
    <row r="68">
      <c r="AE68" s="19">
        <f>$AE$67+IF(AND(LEN($N$10)&gt;0,INDEX('Tabelas'!$Z$472:$Z$578,59)&amp;""=$N$10,LEN(INDEX('Tabelas'!$AA$472:$AA$578,59)&amp;"")&gt;0),1,0)</f>
        <v/>
      </c>
      <c r="AF68" s="19">
        <f>IF(LEN(INDEX('Tabelas'!$Y$12:$Y$118,59)&amp;"")=0,0,IF(ISNUMBER(MATCH(INDEX('Tabelas'!$Y$12:$Y$118,59)&amp;"",'Dados'!$A$549:$A$554,0)),IF(AND(INDEX('Dados'!$B$549:$B$554,MATCH(INDEX('Tabelas'!$Y$12:$Y$118,59)&amp;"",'Dados'!$A$549:$A$554,0))&lt;=$N$12,INDEX('Dados'!$C$549:$C$554,MATCH(INDEX('Tabelas'!$Y$12:$Y$118,59)&amp;"",'Dados'!$A$549:$A$554,0))&gt;=$N$12),1,0),1))</f>
        <v/>
      </c>
      <c r="AG68" s="19">
        <f>$AG$67+$AF$68</f>
        <v/>
      </c>
      <c r="AH68" s="19">
        <f>'Tabelas'!$AB$533&amp;""</f>
        <v/>
      </c>
      <c r="AI68" s="19">
        <f>'Tabelas'!$X$73&amp;""</f>
        <v/>
      </c>
    </row>
    <row r="69">
      <c r="AE69" s="19">
        <f>$AE$68+IF(AND(LEN($N$10)&gt;0,INDEX('Tabelas'!$Z$472:$Z$578,60)&amp;""=$N$10,LEN(INDEX('Tabelas'!$AA$472:$AA$578,60)&amp;"")&gt;0),1,0)</f>
        <v/>
      </c>
      <c r="AF69" s="19">
        <f>IF(LEN(INDEX('Tabelas'!$Y$12:$Y$118,60)&amp;"")=0,0,IF(ISNUMBER(MATCH(INDEX('Tabelas'!$Y$12:$Y$118,60)&amp;"",'Dados'!$A$549:$A$554,0)),IF(AND(INDEX('Dados'!$B$549:$B$554,MATCH(INDEX('Tabelas'!$Y$12:$Y$118,60)&amp;"",'Dados'!$A$549:$A$554,0))&lt;=$N$12,INDEX('Dados'!$C$549:$C$554,MATCH(INDEX('Tabelas'!$Y$12:$Y$118,60)&amp;"",'Dados'!$A$549:$A$554,0))&gt;=$N$12),1,0),1))</f>
        <v/>
      </c>
      <c r="AG69" s="19">
        <f>$AG$68+$AF$69</f>
        <v/>
      </c>
      <c r="AH69" s="19">
        <f>'Tabelas'!$AB$534&amp;""</f>
        <v/>
      </c>
      <c r="AI69" s="19">
        <f>'Tabelas'!$X$74&amp;""</f>
        <v/>
      </c>
    </row>
    <row r="70">
      <c r="AE70" s="19">
        <f>$AE$69+IF(AND(LEN($N$10)&gt;0,INDEX('Tabelas'!$Z$472:$Z$578,61)&amp;""=$N$10,LEN(INDEX('Tabelas'!$AA$472:$AA$578,61)&amp;"")&gt;0),1,0)</f>
        <v/>
      </c>
      <c r="AF70" s="19">
        <f>IF(LEN(INDEX('Tabelas'!$Y$12:$Y$118,61)&amp;"")=0,0,IF(ISNUMBER(MATCH(INDEX('Tabelas'!$Y$12:$Y$118,61)&amp;"",'Dados'!$A$549:$A$554,0)),IF(AND(INDEX('Dados'!$B$549:$B$554,MATCH(INDEX('Tabelas'!$Y$12:$Y$118,61)&amp;"",'Dados'!$A$549:$A$554,0))&lt;=$N$12,INDEX('Dados'!$C$549:$C$554,MATCH(INDEX('Tabelas'!$Y$12:$Y$118,61)&amp;"",'Dados'!$A$549:$A$554,0))&gt;=$N$12),1,0),1))</f>
        <v/>
      </c>
      <c r="AG70" s="19">
        <f>$AG$69+$AF$70</f>
        <v/>
      </c>
      <c r="AH70" s="19">
        <f>'Tabelas'!$AB$535&amp;""</f>
        <v/>
      </c>
      <c r="AI70" s="19">
        <f>'Tabelas'!$X$75&amp;""</f>
        <v/>
      </c>
    </row>
    <row r="71">
      <c r="AE71" s="19">
        <f>$AE$70+IF(AND(LEN($N$10)&gt;0,INDEX('Tabelas'!$Z$472:$Z$578,62)&amp;""=$N$10,LEN(INDEX('Tabelas'!$AA$472:$AA$578,62)&amp;"")&gt;0),1,0)</f>
        <v/>
      </c>
      <c r="AF71" s="19">
        <f>IF(LEN(INDEX('Tabelas'!$Y$12:$Y$118,62)&amp;"")=0,0,IF(ISNUMBER(MATCH(INDEX('Tabelas'!$Y$12:$Y$118,62)&amp;"",'Dados'!$A$549:$A$554,0)),IF(AND(INDEX('Dados'!$B$549:$B$554,MATCH(INDEX('Tabelas'!$Y$12:$Y$118,62)&amp;"",'Dados'!$A$549:$A$554,0))&lt;=$N$12,INDEX('Dados'!$C$549:$C$554,MATCH(INDEX('Tabelas'!$Y$12:$Y$118,62)&amp;"",'Dados'!$A$549:$A$554,0))&gt;=$N$12),1,0),1))</f>
        <v/>
      </c>
      <c r="AG71" s="19">
        <f>$AG$70+$AF$71</f>
        <v/>
      </c>
      <c r="AH71" s="19">
        <f>'Tabelas'!$AB$536&amp;""</f>
        <v/>
      </c>
      <c r="AI71" s="19">
        <f>'Tabelas'!$X$76&amp;""</f>
        <v/>
      </c>
    </row>
    <row r="72">
      <c r="AE72" s="19">
        <f>$AE$71+IF(AND(LEN($N$10)&gt;0,INDEX('Tabelas'!$Z$472:$Z$578,63)&amp;""=$N$10,LEN(INDEX('Tabelas'!$AA$472:$AA$578,63)&amp;"")&gt;0),1,0)</f>
        <v/>
      </c>
      <c r="AF72" s="19">
        <f>IF(LEN(INDEX('Tabelas'!$Y$12:$Y$118,63)&amp;"")=0,0,IF(ISNUMBER(MATCH(INDEX('Tabelas'!$Y$12:$Y$118,63)&amp;"",'Dados'!$A$549:$A$554,0)),IF(AND(INDEX('Dados'!$B$549:$B$554,MATCH(INDEX('Tabelas'!$Y$12:$Y$118,63)&amp;"",'Dados'!$A$549:$A$554,0))&lt;=$N$12,INDEX('Dados'!$C$549:$C$554,MATCH(INDEX('Tabelas'!$Y$12:$Y$118,63)&amp;"",'Dados'!$A$549:$A$554,0))&gt;=$N$12),1,0),1))</f>
        <v/>
      </c>
      <c r="AG72" s="19">
        <f>$AG$71+$AF$72</f>
        <v/>
      </c>
      <c r="AH72" s="19">
        <f>'Tabelas'!$AB$537&amp;""</f>
        <v/>
      </c>
      <c r="AI72" s="19">
        <f>'Tabelas'!$X$77&amp;""</f>
        <v/>
      </c>
    </row>
    <row r="73">
      <c r="AE73" s="19">
        <f>$AE$72+IF(AND(LEN($N$10)&gt;0,INDEX('Tabelas'!$Z$472:$Z$578,64)&amp;""=$N$10,LEN(INDEX('Tabelas'!$AA$472:$AA$578,64)&amp;"")&gt;0),1,0)</f>
        <v/>
      </c>
      <c r="AF73" s="19">
        <f>IF(LEN(INDEX('Tabelas'!$Y$12:$Y$118,64)&amp;"")=0,0,IF(ISNUMBER(MATCH(INDEX('Tabelas'!$Y$12:$Y$118,64)&amp;"",'Dados'!$A$549:$A$554,0)),IF(AND(INDEX('Dados'!$B$549:$B$554,MATCH(INDEX('Tabelas'!$Y$12:$Y$118,64)&amp;"",'Dados'!$A$549:$A$554,0))&lt;=$N$12,INDEX('Dados'!$C$549:$C$554,MATCH(INDEX('Tabelas'!$Y$12:$Y$118,64)&amp;"",'Dados'!$A$549:$A$554,0))&gt;=$N$12),1,0),1))</f>
        <v/>
      </c>
      <c r="AG73" s="19">
        <f>$AG$72+$AF$73</f>
        <v/>
      </c>
      <c r="AH73" s="19">
        <f>'Tabelas'!$AB$538&amp;""</f>
        <v/>
      </c>
      <c r="AI73" s="19">
        <f>'Tabelas'!$X$78&amp;""</f>
        <v/>
      </c>
    </row>
    <row r="74">
      <c r="AE74" s="19">
        <f>$AE$73+IF(AND(LEN($N$10)&gt;0,INDEX('Tabelas'!$Z$472:$Z$578,65)&amp;""=$N$10,LEN(INDEX('Tabelas'!$AA$472:$AA$578,65)&amp;"")&gt;0),1,0)</f>
        <v/>
      </c>
      <c r="AF74" s="19">
        <f>IF(LEN(INDEX('Tabelas'!$Y$12:$Y$118,65)&amp;"")=0,0,IF(ISNUMBER(MATCH(INDEX('Tabelas'!$Y$12:$Y$118,65)&amp;"",'Dados'!$A$549:$A$554,0)),IF(AND(INDEX('Dados'!$B$549:$B$554,MATCH(INDEX('Tabelas'!$Y$12:$Y$118,65)&amp;"",'Dados'!$A$549:$A$554,0))&lt;=$N$12,INDEX('Dados'!$C$549:$C$554,MATCH(INDEX('Tabelas'!$Y$12:$Y$118,65)&amp;"",'Dados'!$A$549:$A$554,0))&gt;=$N$12),1,0),1))</f>
        <v/>
      </c>
      <c r="AG74" s="19">
        <f>$AG$73+$AF$74</f>
        <v/>
      </c>
      <c r="AH74" s="19">
        <f>'Tabelas'!$AB$539&amp;""</f>
        <v/>
      </c>
      <c r="AI74" s="19">
        <f>'Tabelas'!$X$79&amp;""</f>
        <v/>
      </c>
    </row>
    <row r="75">
      <c r="AE75" s="19">
        <f>$AE$74+IF(AND(LEN($N$10)&gt;0,INDEX('Tabelas'!$Z$472:$Z$578,66)&amp;""=$N$10,LEN(INDEX('Tabelas'!$AA$472:$AA$578,66)&amp;"")&gt;0),1,0)</f>
        <v/>
      </c>
      <c r="AF75" s="19">
        <f>IF(LEN(INDEX('Tabelas'!$Y$12:$Y$118,66)&amp;"")=0,0,IF(ISNUMBER(MATCH(INDEX('Tabelas'!$Y$12:$Y$118,66)&amp;"",'Dados'!$A$549:$A$554,0)),IF(AND(INDEX('Dados'!$B$549:$B$554,MATCH(INDEX('Tabelas'!$Y$12:$Y$118,66)&amp;"",'Dados'!$A$549:$A$554,0))&lt;=$N$12,INDEX('Dados'!$C$549:$C$554,MATCH(INDEX('Tabelas'!$Y$12:$Y$118,66)&amp;"",'Dados'!$A$549:$A$554,0))&gt;=$N$12),1,0),1))</f>
        <v/>
      </c>
      <c r="AG75" s="19">
        <f>$AG$74+$AF$75</f>
        <v/>
      </c>
      <c r="AH75" s="19">
        <f>'Tabelas'!$AB$540&amp;""</f>
        <v/>
      </c>
      <c r="AI75" s="19">
        <f>'Tabelas'!$X$80&amp;""</f>
        <v/>
      </c>
    </row>
    <row r="76">
      <c r="AE76" s="19">
        <f>$AE$75+IF(AND(LEN($N$10)&gt;0,INDEX('Tabelas'!$Z$472:$Z$578,67)&amp;""=$N$10,LEN(INDEX('Tabelas'!$AA$472:$AA$578,67)&amp;"")&gt;0),1,0)</f>
        <v/>
      </c>
      <c r="AF76" s="19">
        <f>IF(LEN(INDEX('Tabelas'!$Y$12:$Y$118,67)&amp;"")=0,0,IF(ISNUMBER(MATCH(INDEX('Tabelas'!$Y$12:$Y$118,67)&amp;"",'Dados'!$A$549:$A$554,0)),IF(AND(INDEX('Dados'!$B$549:$B$554,MATCH(INDEX('Tabelas'!$Y$12:$Y$118,67)&amp;"",'Dados'!$A$549:$A$554,0))&lt;=$N$12,INDEX('Dados'!$C$549:$C$554,MATCH(INDEX('Tabelas'!$Y$12:$Y$118,67)&amp;"",'Dados'!$A$549:$A$554,0))&gt;=$N$12),1,0),1))</f>
        <v/>
      </c>
      <c r="AG76" s="19">
        <f>$AG$75+$AF$76</f>
        <v/>
      </c>
      <c r="AH76" s="19">
        <f>'Tabelas'!$AB$542&amp;""</f>
        <v/>
      </c>
      <c r="AI76" s="19">
        <f>'Tabelas'!$X$82&amp;""</f>
        <v/>
      </c>
    </row>
    <row r="77">
      <c r="AE77" s="19">
        <f>$AE$76+IF(AND(LEN($N$10)&gt;0,INDEX('Tabelas'!$Z$472:$Z$578,68)&amp;""=$N$10,LEN(INDEX('Tabelas'!$AA$472:$AA$578,68)&amp;"")&gt;0),1,0)</f>
        <v/>
      </c>
      <c r="AF77" s="19">
        <f>IF(LEN(INDEX('Tabelas'!$Y$12:$Y$118,68)&amp;"")=0,0,IF(ISNUMBER(MATCH(INDEX('Tabelas'!$Y$12:$Y$118,68)&amp;"",'Dados'!$A$549:$A$554,0)),IF(AND(INDEX('Dados'!$B$549:$B$554,MATCH(INDEX('Tabelas'!$Y$12:$Y$118,68)&amp;"",'Dados'!$A$549:$A$554,0))&lt;=$N$12,INDEX('Dados'!$C$549:$C$554,MATCH(INDEX('Tabelas'!$Y$12:$Y$118,68)&amp;"",'Dados'!$A$549:$A$554,0))&gt;=$N$12),1,0),1))</f>
        <v/>
      </c>
      <c r="AG77" s="19">
        <f>$AG$76+$AF$77</f>
        <v/>
      </c>
      <c r="AH77" s="19">
        <f>'Tabelas'!$AB$543&amp;""</f>
        <v/>
      </c>
      <c r="AI77" s="19">
        <f>'Tabelas'!$X$83&amp;""</f>
        <v/>
      </c>
    </row>
    <row r="78">
      <c r="AE78" s="19">
        <f>$AE$77+IF(AND(LEN($N$10)&gt;0,INDEX('Tabelas'!$Z$472:$Z$578,69)&amp;""=$N$10,LEN(INDEX('Tabelas'!$AA$472:$AA$578,69)&amp;"")&gt;0),1,0)</f>
        <v/>
      </c>
      <c r="AF78" s="19">
        <f>IF(LEN(INDEX('Tabelas'!$Y$12:$Y$118,69)&amp;"")=0,0,IF(ISNUMBER(MATCH(INDEX('Tabelas'!$Y$12:$Y$118,69)&amp;"",'Dados'!$A$549:$A$554,0)),IF(AND(INDEX('Dados'!$B$549:$B$554,MATCH(INDEX('Tabelas'!$Y$12:$Y$118,69)&amp;"",'Dados'!$A$549:$A$554,0))&lt;=$N$12,INDEX('Dados'!$C$549:$C$554,MATCH(INDEX('Tabelas'!$Y$12:$Y$118,69)&amp;"",'Dados'!$A$549:$A$554,0))&gt;=$N$12),1,0),1))</f>
        <v/>
      </c>
      <c r="AG78" s="19">
        <f>$AG$77+$AF$78</f>
        <v/>
      </c>
      <c r="AH78" s="19">
        <f>'Tabelas'!$AB$544&amp;""</f>
        <v/>
      </c>
      <c r="AI78" s="19">
        <f>'Tabelas'!$X$84&amp;""</f>
        <v/>
      </c>
    </row>
    <row r="79">
      <c r="AE79" s="19">
        <f>$AE$78</f>
        <v/>
      </c>
      <c r="AF79" s="19">
        <f>0</f>
        <v/>
      </c>
      <c r="AG79" s="19">
        <f>$AG$78+$AF$79</f>
        <v/>
      </c>
      <c r="AH79" s="19">
        <f>'Tabelas'!$AB$545&amp;""</f>
        <v/>
      </c>
      <c r="AI79" s="19">
        <f>'Tabelas'!$X$85&amp;""</f>
        <v/>
      </c>
    </row>
    <row r="80">
      <c r="AE80" s="19">
        <f>$AE$79+IF(AND(LEN($N$10)&gt;0,INDEX('Tabelas'!$Z$472:$Z$578,71)&amp;""=$N$10,LEN(INDEX('Tabelas'!$AA$472:$AA$578,71)&amp;"")&gt;0),1,0)</f>
        <v/>
      </c>
      <c r="AF80" s="19">
        <f>IF(LEN(INDEX('Tabelas'!$Y$12:$Y$118,71)&amp;"")=0,0,IF(ISNUMBER(MATCH(INDEX('Tabelas'!$Y$12:$Y$118,71)&amp;"",'Dados'!$A$549:$A$554,0)),IF(AND(INDEX('Dados'!$B$549:$B$554,MATCH(INDEX('Tabelas'!$Y$12:$Y$118,71)&amp;"",'Dados'!$A$549:$A$554,0))&lt;=$N$12,INDEX('Dados'!$C$549:$C$554,MATCH(INDEX('Tabelas'!$Y$12:$Y$118,71)&amp;"",'Dados'!$A$549:$A$554,0))&gt;=$N$12),1,0),1))</f>
        <v/>
      </c>
      <c r="AG80" s="19">
        <f>$AG$79+$AF$80</f>
        <v/>
      </c>
      <c r="AH80" s="19">
        <f>'Tabelas'!$AB$546&amp;""</f>
        <v/>
      </c>
      <c r="AI80" s="19">
        <f>'Tabelas'!$X$86&amp;""</f>
        <v/>
      </c>
    </row>
    <row r="81">
      <c r="AE81" s="19">
        <f>$AE$80+IF(AND(LEN($N$10)&gt;0,INDEX('Tabelas'!$Z$472:$Z$578,72)&amp;""=$N$10,LEN(INDEX('Tabelas'!$AA$472:$AA$578,72)&amp;"")&gt;0),1,0)</f>
        <v/>
      </c>
      <c r="AF81" s="19">
        <f>IF(LEN(INDEX('Tabelas'!$Y$12:$Y$118,72)&amp;"")=0,0,IF(ISNUMBER(MATCH(INDEX('Tabelas'!$Y$12:$Y$118,72)&amp;"",'Dados'!$A$549:$A$554,0)),IF(AND(INDEX('Dados'!$B$549:$B$554,MATCH(INDEX('Tabelas'!$Y$12:$Y$118,72)&amp;"",'Dados'!$A$549:$A$554,0))&lt;=$N$12,INDEX('Dados'!$C$549:$C$554,MATCH(INDEX('Tabelas'!$Y$12:$Y$118,72)&amp;"",'Dados'!$A$549:$A$554,0))&gt;=$N$12),1,0),1))</f>
        <v/>
      </c>
      <c r="AG81" s="19">
        <f>$AG$80+$AF$81</f>
        <v/>
      </c>
      <c r="AH81" s="19">
        <f>'Tabelas'!$AB$547&amp;""</f>
        <v/>
      </c>
      <c r="AI81" s="19">
        <f>'Tabelas'!$X$87&amp;""</f>
        <v/>
      </c>
    </row>
    <row r="82">
      <c r="AE82" s="19">
        <f>$AE$81+IF(AND(LEN($N$10)&gt;0,INDEX('Tabelas'!$Z$472:$Z$578,73)&amp;""=$N$10,LEN(INDEX('Tabelas'!$AA$472:$AA$578,73)&amp;"")&gt;0),1,0)</f>
        <v/>
      </c>
      <c r="AF82" s="19">
        <f>IF(LEN(INDEX('Tabelas'!$Y$12:$Y$118,73)&amp;"")=0,0,IF(ISNUMBER(MATCH(INDEX('Tabelas'!$Y$12:$Y$118,73)&amp;"",'Dados'!$A$549:$A$554,0)),IF(AND(INDEX('Dados'!$B$549:$B$554,MATCH(INDEX('Tabelas'!$Y$12:$Y$118,73)&amp;"",'Dados'!$A$549:$A$554,0))&lt;=$N$12,INDEX('Dados'!$C$549:$C$554,MATCH(INDEX('Tabelas'!$Y$12:$Y$118,73)&amp;"",'Dados'!$A$549:$A$554,0))&gt;=$N$12),1,0),1))</f>
        <v/>
      </c>
      <c r="AG82" s="19">
        <f>$AG$81+$AF$82</f>
        <v/>
      </c>
      <c r="AH82" s="19">
        <f>'Tabelas'!$AB$548&amp;""</f>
        <v/>
      </c>
      <c r="AI82" s="19">
        <f>'Tabelas'!$X$88&amp;""</f>
        <v/>
      </c>
    </row>
    <row r="83">
      <c r="AE83" s="19">
        <f>$AE$82+IF(AND(LEN($N$10)&gt;0,INDEX('Tabelas'!$Z$472:$Z$578,74)&amp;""=$N$10,LEN(INDEX('Tabelas'!$AA$472:$AA$578,74)&amp;"")&gt;0),1,0)</f>
        <v/>
      </c>
      <c r="AF83" s="19">
        <f>IF(LEN(INDEX('Tabelas'!$Y$12:$Y$118,74)&amp;"")=0,0,IF(ISNUMBER(MATCH(INDEX('Tabelas'!$Y$12:$Y$118,74)&amp;"",'Dados'!$A$549:$A$554,0)),IF(AND(INDEX('Dados'!$B$549:$B$554,MATCH(INDEX('Tabelas'!$Y$12:$Y$118,74)&amp;"",'Dados'!$A$549:$A$554,0))&lt;=$N$12,INDEX('Dados'!$C$549:$C$554,MATCH(INDEX('Tabelas'!$Y$12:$Y$118,74)&amp;"",'Dados'!$A$549:$A$554,0))&gt;=$N$12),1,0),1))</f>
        <v/>
      </c>
      <c r="AG83" s="19">
        <f>$AG$82+$AF$83</f>
        <v/>
      </c>
      <c r="AH83" s="19">
        <f>'Tabelas'!$AB$549&amp;""</f>
        <v/>
      </c>
      <c r="AI83" s="19">
        <f>'Tabelas'!$X$89&amp;""</f>
        <v/>
      </c>
    </row>
    <row r="84">
      <c r="AE84" s="19">
        <f>$AE$83+IF(AND(LEN($N$10)&gt;0,INDEX('Tabelas'!$Z$472:$Z$578,75)&amp;""=$N$10,LEN(INDEX('Tabelas'!$AA$472:$AA$578,75)&amp;"")&gt;0),1,0)</f>
        <v/>
      </c>
      <c r="AF84" s="19">
        <f>IF(LEN(INDEX('Tabelas'!$Y$12:$Y$118,75)&amp;"")=0,0,IF(ISNUMBER(MATCH(INDEX('Tabelas'!$Y$12:$Y$118,75)&amp;"",'Dados'!$A$549:$A$554,0)),IF(AND(INDEX('Dados'!$B$549:$B$554,MATCH(INDEX('Tabelas'!$Y$12:$Y$118,75)&amp;"",'Dados'!$A$549:$A$554,0))&lt;=$N$12,INDEX('Dados'!$C$549:$C$554,MATCH(INDEX('Tabelas'!$Y$12:$Y$118,75)&amp;"",'Dados'!$A$549:$A$554,0))&gt;=$N$12),1,0),1))</f>
        <v/>
      </c>
      <c r="AG84" s="19">
        <f>$AG$83+$AF$84</f>
        <v/>
      </c>
      <c r="AH84" s="19">
        <f>'Tabelas'!$AB$550&amp;""</f>
        <v/>
      </c>
      <c r="AI84" s="19">
        <f>'Tabelas'!$X$90&amp;""</f>
        <v/>
      </c>
    </row>
    <row r="85">
      <c r="AE85" s="19">
        <f>$AE$84+IF(AND(LEN($N$10)&gt;0,INDEX('Tabelas'!$Z$472:$Z$578,76)&amp;""=$N$10,LEN(INDEX('Tabelas'!$AA$472:$AA$578,76)&amp;"")&gt;0),1,0)</f>
        <v/>
      </c>
      <c r="AF85" s="19">
        <f>IF(LEN(INDEX('Tabelas'!$Y$12:$Y$118,76)&amp;"")=0,0,IF(ISNUMBER(MATCH(INDEX('Tabelas'!$Y$12:$Y$118,76)&amp;"",'Dados'!$A$549:$A$554,0)),IF(AND(INDEX('Dados'!$B$549:$B$554,MATCH(INDEX('Tabelas'!$Y$12:$Y$118,76)&amp;"",'Dados'!$A$549:$A$554,0))&lt;=$N$12,INDEX('Dados'!$C$549:$C$554,MATCH(INDEX('Tabelas'!$Y$12:$Y$118,76)&amp;"",'Dados'!$A$549:$A$554,0))&gt;=$N$12),1,0),1))</f>
        <v/>
      </c>
      <c r="AG85" s="19">
        <f>$AG$84+$AF$85</f>
        <v/>
      </c>
      <c r="AH85" s="19">
        <f>'Tabelas'!$AB$551&amp;""</f>
        <v/>
      </c>
      <c r="AI85" s="19">
        <f>'Tabelas'!$X$91&amp;""</f>
        <v/>
      </c>
    </row>
    <row r="86">
      <c r="AE86" s="19">
        <f>$AE$85+IF(AND(LEN($N$10)&gt;0,INDEX('Tabelas'!$Z$472:$Z$578,77)&amp;""=$N$10,LEN(INDEX('Tabelas'!$AA$472:$AA$578,77)&amp;"")&gt;0),1,0)</f>
        <v/>
      </c>
      <c r="AF86" s="19">
        <f>IF(LEN(INDEX('Tabelas'!$Y$12:$Y$118,77)&amp;"")=0,0,IF(ISNUMBER(MATCH(INDEX('Tabelas'!$Y$12:$Y$118,77)&amp;"",'Dados'!$A$549:$A$554,0)),IF(AND(INDEX('Dados'!$B$549:$B$554,MATCH(INDEX('Tabelas'!$Y$12:$Y$118,77)&amp;"",'Dados'!$A$549:$A$554,0))&lt;=$N$12,INDEX('Dados'!$C$549:$C$554,MATCH(INDEX('Tabelas'!$Y$12:$Y$118,77)&amp;"",'Dados'!$A$549:$A$554,0))&gt;=$N$12),1,0),1))</f>
        <v/>
      </c>
      <c r="AG86" s="19">
        <f>$AG$85+$AF$86</f>
        <v/>
      </c>
      <c r="AH86" s="19">
        <f>'Tabelas'!$AB$552&amp;""</f>
        <v/>
      </c>
      <c r="AI86" s="19">
        <f>'Tabelas'!$X$92&amp;""</f>
        <v/>
      </c>
    </row>
    <row r="87">
      <c r="AE87" s="19">
        <f>$AE$86+IF(AND(LEN($N$10)&gt;0,INDEX('Tabelas'!$Z$472:$Z$578,78)&amp;""=$N$10,LEN(INDEX('Tabelas'!$AA$472:$AA$578,78)&amp;"")&gt;0),1,0)</f>
        <v/>
      </c>
      <c r="AF87" s="19">
        <f>IF(LEN(INDEX('Tabelas'!$Y$12:$Y$118,78)&amp;"")=0,0,IF(ISNUMBER(MATCH(INDEX('Tabelas'!$Y$12:$Y$118,78)&amp;"",'Dados'!$A$549:$A$554,0)),IF(AND(INDEX('Dados'!$B$549:$B$554,MATCH(INDEX('Tabelas'!$Y$12:$Y$118,78)&amp;"",'Dados'!$A$549:$A$554,0))&lt;=$N$12,INDEX('Dados'!$C$549:$C$554,MATCH(INDEX('Tabelas'!$Y$12:$Y$118,78)&amp;"",'Dados'!$A$549:$A$554,0))&gt;=$N$12),1,0),1))</f>
        <v/>
      </c>
      <c r="AG87" s="19">
        <f>$AG$86+$AF$87</f>
        <v/>
      </c>
      <c r="AH87" s="19">
        <f>'Tabelas'!$AB$553&amp;""</f>
        <v/>
      </c>
      <c r="AI87" s="19">
        <f>'Tabelas'!$X$93&amp;""</f>
        <v/>
      </c>
    </row>
    <row r="88">
      <c r="AE88" s="19">
        <f>$AE$87+IF(AND(LEN($N$10)&gt;0,INDEX('Tabelas'!$Z$472:$Z$578,79)&amp;""=$N$10,LEN(INDEX('Tabelas'!$AA$472:$AA$578,79)&amp;"")&gt;0),1,0)</f>
        <v/>
      </c>
      <c r="AF88" s="19">
        <f>IF(LEN(INDEX('Tabelas'!$Y$12:$Y$118,79)&amp;"")=0,0,IF(ISNUMBER(MATCH(INDEX('Tabelas'!$Y$12:$Y$118,79)&amp;"",'Dados'!$A$549:$A$554,0)),IF(AND(INDEX('Dados'!$B$549:$B$554,MATCH(INDEX('Tabelas'!$Y$12:$Y$118,79)&amp;"",'Dados'!$A$549:$A$554,0))&lt;=$N$12,INDEX('Dados'!$C$549:$C$554,MATCH(INDEX('Tabelas'!$Y$12:$Y$118,79)&amp;"",'Dados'!$A$549:$A$554,0))&gt;=$N$12),1,0),1))</f>
        <v/>
      </c>
      <c r="AG88" s="19">
        <f>$AG$87+$AF$88</f>
        <v/>
      </c>
      <c r="AH88" s="19">
        <f>'Tabelas'!$AB$554&amp;""</f>
        <v/>
      </c>
      <c r="AI88" s="19">
        <f>'Tabelas'!$X$94&amp;""</f>
        <v/>
      </c>
    </row>
    <row r="89">
      <c r="AE89" s="19">
        <f>$AE$88+IF(AND(LEN($N$10)&gt;0,INDEX('Tabelas'!$Z$472:$Z$578,80)&amp;""=$N$10,LEN(INDEX('Tabelas'!$AA$472:$AA$578,80)&amp;"")&gt;0),1,0)</f>
        <v/>
      </c>
      <c r="AF89" s="19">
        <f>IF(LEN(INDEX('Tabelas'!$Y$12:$Y$118,80)&amp;"")=0,0,IF(ISNUMBER(MATCH(INDEX('Tabelas'!$Y$12:$Y$118,80)&amp;"",'Dados'!$A$549:$A$554,0)),IF(AND(INDEX('Dados'!$B$549:$B$554,MATCH(INDEX('Tabelas'!$Y$12:$Y$118,80)&amp;"",'Dados'!$A$549:$A$554,0))&lt;=$N$12,INDEX('Dados'!$C$549:$C$554,MATCH(INDEX('Tabelas'!$Y$12:$Y$118,80)&amp;"",'Dados'!$A$549:$A$554,0))&gt;=$N$12),1,0),1))</f>
        <v/>
      </c>
      <c r="AG89" s="19">
        <f>$AG$88+$AF$89</f>
        <v/>
      </c>
      <c r="AH89" s="19">
        <f>'Tabelas'!$AB$556&amp;""</f>
        <v/>
      </c>
      <c r="AI89" s="19">
        <f>'Tabelas'!$X$96&amp;""</f>
        <v/>
      </c>
    </row>
    <row r="90">
      <c r="AE90" s="19">
        <f>$AE$89+IF(AND(LEN($N$10)&gt;0,INDEX('Tabelas'!$Z$472:$Z$578,81)&amp;""=$N$10,LEN(INDEX('Tabelas'!$AA$472:$AA$578,81)&amp;"")&gt;0),1,0)</f>
        <v/>
      </c>
      <c r="AF90" s="19">
        <f>IF(LEN(INDEX('Tabelas'!$Y$12:$Y$118,81)&amp;"")=0,0,IF(ISNUMBER(MATCH(INDEX('Tabelas'!$Y$12:$Y$118,81)&amp;"",'Dados'!$A$549:$A$554,0)),IF(AND(INDEX('Dados'!$B$549:$B$554,MATCH(INDEX('Tabelas'!$Y$12:$Y$118,81)&amp;"",'Dados'!$A$549:$A$554,0))&lt;=$N$12,INDEX('Dados'!$C$549:$C$554,MATCH(INDEX('Tabelas'!$Y$12:$Y$118,81)&amp;"",'Dados'!$A$549:$A$554,0))&gt;=$N$12),1,0),1))</f>
        <v/>
      </c>
      <c r="AG90" s="19">
        <f>$AG$89+$AF$90</f>
        <v/>
      </c>
      <c r="AH90" s="19">
        <f>'Tabelas'!$AB$557&amp;""</f>
        <v/>
      </c>
      <c r="AI90" s="19">
        <f>'Tabelas'!$X$97&amp;""</f>
        <v/>
      </c>
    </row>
    <row r="91">
      <c r="AE91" s="19">
        <f>$AE$90+IF(AND(LEN($N$10)&gt;0,INDEX('Tabelas'!$Z$472:$Z$578,82)&amp;""=$N$10,LEN(INDEX('Tabelas'!$AA$472:$AA$578,82)&amp;"")&gt;0),1,0)</f>
        <v/>
      </c>
      <c r="AF91" s="19">
        <f>IF(LEN(INDEX('Tabelas'!$Y$12:$Y$118,82)&amp;"")=0,0,IF(ISNUMBER(MATCH(INDEX('Tabelas'!$Y$12:$Y$118,82)&amp;"",'Dados'!$A$549:$A$554,0)),IF(AND(INDEX('Dados'!$B$549:$B$554,MATCH(INDEX('Tabelas'!$Y$12:$Y$118,82)&amp;"",'Dados'!$A$549:$A$554,0))&lt;=$N$12,INDEX('Dados'!$C$549:$C$554,MATCH(INDEX('Tabelas'!$Y$12:$Y$118,82)&amp;"",'Dados'!$A$549:$A$554,0))&gt;=$N$12),1,0),1))</f>
        <v/>
      </c>
      <c r="AG91" s="19">
        <f>$AG$90+$AF$91</f>
        <v/>
      </c>
      <c r="AH91" s="19">
        <f>'Tabelas'!$AB$558&amp;""</f>
        <v/>
      </c>
      <c r="AI91" s="19">
        <f>'Tabelas'!$X$98&amp;""</f>
        <v/>
      </c>
    </row>
    <row r="92">
      <c r="AE92" s="19">
        <f>$AE$91+IF(AND(LEN($N$10)&gt;0,INDEX('Tabelas'!$Z$472:$Z$578,83)&amp;""=$N$10,LEN(INDEX('Tabelas'!$AA$472:$AA$578,83)&amp;"")&gt;0),1,0)</f>
        <v/>
      </c>
      <c r="AF92" s="19">
        <f>IF(LEN(INDEX('Tabelas'!$Y$12:$Y$118,83)&amp;"")=0,0,IF(ISNUMBER(MATCH(INDEX('Tabelas'!$Y$12:$Y$118,83)&amp;"",'Dados'!$A$549:$A$554,0)),IF(AND(INDEX('Dados'!$B$549:$B$554,MATCH(INDEX('Tabelas'!$Y$12:$Y$118,83)&amp;"",'Dados'!$A$549:$A$554,0))&lt;=$N$12,INDEX('Dados'!$C$549:$C$554,MATCH(INDEX('Tabelas'!$Y$12:$Y$118,83)&amp;"",'Dados'!$A$549:$A$554,0))&gt;=$N$12),1,0),1))</f>
        <v/>
      </c>
      <c r="AG92" s="19">
        <f>$AG$91+$AF$92</f>
        <v/>
      </c>
      <c r="AH92" s="19">
        <f>'Tabelas'!$AB$559&amp;""</f>
        <v/>
      </c>
      <c r="AI92" s="19">
        <f>'Tabelas'!$X$99&amp;""</f>
        <v/>
      </c>
    </row>
    <row r="93">
      <c r="AE93" s="19">
        <f>$AE$92</f>
        <v/>
      </c>
      <c r="AF93" s="19">
        <f>0</f>
        <v/>
      </c>
      <c r="AG93" s="19">
        <f>$AG$92+$AF$93</f>
        <v/>
      </c>
      <c r="AH93" s="19">
        <f>'Tabelas'!$AB$560&amp;""</f>
        <v/>
      </c>
      <c r="AI93" s="19">
        <f>'Tabelas'!$X$100&amp;""</f>
        <v/>
      </c>
    </row>
    <row r="94">
      <c r="AE94" s="19">
        <f>$AE$93+IF(AND(LEN($N$10)&gt;0,INDEX('Tabelas'!$Z$472:$Z$578,85)&amp;""=$N$10,LEN(INDEX('Tabelas'!$AA$472:$AA$578,85)&amp;"")&gt;0),1,0)</f>
        <v/>
      </c>
      <c r="AF94" s="19">
        <f>IF(LEN(INDEX('Tabelas'!$Y$12:$Y$118,85)&amp;"")=0,0,IF(ISNUMBER(MATCH(INDEX('Tabelas'!$Y$12:$Y$118,85)&amp;"",'Dados'!$A$549:$A$554,0)),IF(AND(INDEX('Dados'!$B$549:$B$554,MATCH(INDEX('Tabelas'!$Y$12:$Y$118,85)&amp;"",'Dados'!$A$549:$A$554,0))&lt;=$N$12,INDEX('Dados'!$C$549:$C$554,MATCH(INDEX('Tabelas'!$Y$12:$Y$118,85)&amp;"",'Dados'!$A$549:$A$554,0))&gt;=$N$12),1,0),1))</f>
        <v/>
      </c>
      <c r="AG94" s="19">
        <f>$AG$93+$AF$94</f>
        <v/>
      </c>
      <c r="AH94" s="19">
        <f>'Tabelas'!$AB$561&amp;""</f>
        <v/>
      </c>
      <c r="AI94" s="19">
        <f>'Tabelas'!$X$101&amp;""</f>
        <v/>
      </c>
    </row>
    <row r="95">
      <c r="AE95" s="19">
        <f>$AE$94+IF(AND(LEN($N$10)&gt;0,INDEX('Tabelas'!$Z$472:$Z$578,86)&amp;""=$N$10,LEN(INDEX('Tabelas'!$AA$472:$AA$578,86)&amp;"")&gt;0),1,0)</f>
        <v/>
      </c>
      <c r="AF95" s="19">
        <f>IF(LEN(INDEX('Tabelas'!$Y$12:$Y$118,86)&amp;"")=0,0,IF(ISNUMBER(MATCH(INDEX('Tabelas'!$Y$12:$Y$118,86)&amp;"",'Dados'!$A$549:$A$554,0)),IF(AND(INDEX('Dados'!$B$549:$B$554,MATCH(INDEX('Tabelas'!$Y$12:$Y$118,86)&amp;"",'Dados'!$A$549:$A$554,0))&lt;=$N$12,INDEX('Dados'!$C$549:$C$554,MATCH(INDEX('Tabelas'!$Y$12:$Y$118,86)&amp;"",'Dados'!$A$549:$A$554,0))&gt;=$N$12),1,0),1))</f>
        <v/>
      </c>
      <c r="AG95" s="19">
        <f>$AG$94+$AF$95</f>
        <v/>
      </c>
      <c r="AH95" s="19">
        <f>'Tabelas'!$AB$562&amp;""</f>
        <v/>
      </c>
      <c r="AI95" s="19">
        <f>'Tabelas'!$X$102&amp;""</f>
        <v/>
      </c>
    </row>
    <row r="96">
      <c r="AE96" s="19">
        <f>$AE$95+IF(AND(LEN($N$10)&gt;0,INDEX('Tabelas'!$Z$472:$Z$578,87)&amp;""=$N$10,LEN(INDEX('Tabelas'!$AA$472:$AA$578,87)&amp;"")&gt;0),1,0)</f>
        <v/>
      </c>
      <c r="AF96" s="19">
        <f>IF(LEN(INDEX('Tabelas'!$Y$12:$Y$118,87)&amp;"")=0,0,IF(ISNUMBER(MATCH(INDEX('Tabelas'!$Y$12:$Y$118,87)&amp;"",'Dados'!$A$549:$A$554,0)),IF(AND(INDEX('Dados'!$B$549:$B$554,MATCH(INDEX('Tabelas'!$Y$12:$Y$118,87)&amp;"",'Dados'!$A$549:$A$554,0))&lt;=$N$12,INDEX('Dados'!$C$549:$C$554,MATCH(INDEX('Tabelas'!$Y$12:$Y$118,87)&amp;"",'Dados'!$A$549:$A$554,0))&gt;=$N$12),1,0),1))</f>
        <v/>
      </c>
      <c r="AG96" s="19">
        <f>$AG$95+$AF$96</f>
        <v/>
      </c>
      <c r="AH96" s="19">
        <f>'Tabelas'!$AB$563&amp;""</f>
        <v/>
      </c>
      <c r="AI96" s="19">
        <f>'Tabelas'!$X$103&amp;""</f>
        <v/>
      </c>
    </row>
    <row r="97">
      <c r="AE97" s="19">
        <f>$AE$96+IF(AND(LEN($N$10)&gt;0,INDEX('Tabelas'!$Z$472:$Z$578,88)&amp;""=$N$10,LEN(INDEX('Tabelas'!$AA$472:$AA$578,88)&amp;"")&gt;0),1,0)</f>
        <v/>
      </c>
      <c r="AF97" s="19">
        <f>IF(LEN(INDEX('Tabelas'!$Y$12:$Y$118,88)&amp;"")=0,0,IF(ISNUMBER(MATCH(INDEX('Tabelas'!$Y$12:$Y$118,88)&amp;"",'Dados'!$A$549:$A$554,0)),IF(AND(INDEX('Dados'!$B$549:$B$554,MATCH(INDEX('Tabelas'!$Y$12:$Y$118,88)&amp;"",'Dados'!$A$549:$A$554,0))&lt;=$N$12,INDEX('Dados'!$C$549:$C$554,MATCH(INDEX('Tabelas'!$Y$12:$Y$118,88)&amp;"",'Dados'!$A$549:$A$554,0))&gt;=$N$12),1,0),1))</f>
        <v/>
      </c>
      <c r="AG97" s="19">
        <f>$AG$96+$AF$97</f>
        <v/>
      </c>
      <c r="AH97" s="19">
        <f>'Tabelas'!$AB$564&amp;""</f>
        <v/>
      </c>
      <c r="AI97" s="19">
        <f>'Tabelas'!$X$104&amp;""</f>
        <v/>
      </c>
    </row>
    <row r="98">
      <c r="AE98" s="19">
        <f>$AE$97+IF(AND(LEN($N$10)&gt;0,INDEX('Tabelas'!$Z$472:$Z$578,89)&amp;""=$N$10,LEN(INDEX('Tabelas'!$AA$472:$AA$578,89)&amp;"")&gt;0),1,0)</f>
        <v/>
      </c>
      <c r="AF98" s="19">
        <f>IF(LEN(INDEX('Tabelas'!$Y$12:$Y$118,89)&amp;"")=0,0,IF(ISNUMBER(MATCH(INDEX('Tabelas'!$Y$12:$Y$118,89)&amp;"",'Dados'!$A$549:$A$554,0)),IF(AND(INDEX('Dados'!$B$549:$B$554,MATCH(INDEX('Tabelas'!$Y$12:$Y$118,89)&amp;"",'Dados'!$A$549:$A$554,0))&lt;=$N$12,INDEX('Dados'!$C$549:$C$554,MATCH(INDEX('Tabelas'!$Y$12:$Y$118,89)&amp;"",'Dados'!$A$549:$A$554,0))&gt;=$N$12),1,0),1))</f>
        <v/>
      </c>
      <c r="AG98" s="19">
        <f>$AG$97+$AF$98</f>
        <v/>
      </c>
      <c r="AH98" s="19">
        <f>'Tabelas'!$AB$565&amp;""</f>
        <v/>
      </c>
      <c r="AI98" s="19">
        <f>'Tabelas'!$X$105&amp;""</f>
        <v/>
      </c>
    </row>
    <row r="99">
      <c r="AE99" s="19">
        <f>$AE$98+IF(AND(LEN($N$10)&gt;0,INDEX('Tabelas'!$Z$472:$Z$578,90)&amp;""=$N$10,LEN(INDEX('Tabelas'!$AA$472:$AA$578,90)&amp;"")&gt;0),1,0)</f>
        <v/>
      </c>
      <c r="AF99" s="19">
        <f>IF(LEN(INDEX('Tabelas'!$Y$12:$Y$118,90)&amp;"")=0,0,IF(ISNUMBER(MATCH(INDEX('Tabelas'!$Y$12:$Y$118,90)&amp;"",'Dados'!$A$549:$A$554,0)),IF(AND(INDEX('Dados'!$B$549:$B$554,MATCH(INDEX('Tabelas'!$Y$12:$Y$118,90)&amp;"",'Dados'!$A$549:$A$554,0))&lt;=$N$12,INDEX('Dados'!$C$549:$C$554,MATCH(INDEX('Tabelas'!$Y$12:$Y$118,90)&amp;"",'Dados'!$A$549:$A$554,0))&gt;=$N$12),1,0),1))</f>
        <v/>
      </c>
      <c r="AG99" s="19">
        <f>$AG$98+$AF$99</f>
        <v/>
      </c>
      <c r="AH99" s="19">
        <f>'Tabelas'!$AB$566&amp;""</f>
        <v/>
      </c>
      <c r="AI99" s="19">
        <f>'Tabelas'!$X$106&amp;""</f>
        <v/>
      </c>
    </row>
    <row r="100">
      <c r="AE100" s="19">
        <f>$AE$99+IF(AND(LEN($N$10)&gt;0,INDEX('Tabelas'!$Z$472:$Z$578,91)&amp;""=$N$10,LEN(INDEX('Tabelas'!$AA$472:$AA$578,91)&amp;"")&gt;0),1,0)</f>
        <v/>
      </c>
      <c r="AF100" s="19">
        <f>IF(LEN(INDEX('Tabelas'!$Y$12:$Y$118,91)&amp;"")=0,0,IF(ISNUMBER(MATCH(INDEX('Tabelas'!$Y$12:$Y$118,91)&amp;"",'Dados'!$A$549:$A$554,0)),IF(AND(INDEX('Dados'!$B$549:$B$554,MATCH(INDEX('Tabelas'!$Y$12:$Y$118,91)&amp;"",'Dados'!$A$549:$A$554,0))&lt;=$N$12,INDEX('Dados'!$C$549:$C$554,MATCH(INDEX('Tabelas'!$Y$12:$Y$118,91)&amp;"",'Dados'!$A$549:$A$554,0))&gt;=$N$12),1,0),1))</f>
        <v/>
      </c>
      <c r="AG100" s="19">
        <f>$AG$99+$AF$100</f>
        <v/>
      </c>
      <c r="AH100" s="19">
        <f>'Tabelas'!$AB$567&amp;""</f>
        <v/>
      </c>
      <c r="AI100" s="19">
        <f>'Tabelas'!$X$107&amp;""</f>
        <v/>
      </c>
    </row>
    <row r="101">
      <c r="AE101" s="19">
        <f>$AE$100+IF(AND(LEN($N$10)&gt;0,INDEX('Tabelas'!$Z$472:$Z$578,92)&amp;""=$N$10,LEN(INDEX('Tabelas'!$AA$472:$AA$578,92)&amp;"")&gt;0),1,0)</f>
        <v/>
      </c>
      <c r="AF101" s="19">
        <f>IF(LEN(INDEX('Tabelas'!$Y$12:$Y$118,92)&amp;"")=0,0,IF(ISNUMBER(MATCH(INDEX('Tabelas'!$Y$12:$Y$118,92)&amp;"",'Dados'!$A$549:$A$554,0)),IF(AND(INDEX('Dados'!$B$549:$B$554,MATCH(INDEX('Tabelas'!$Y$12:$Y$118,92)&amp;"",'Dados'!$A$549:$A$554,0))&lt;=$N$12,INDEX('Dados'!$C$549:$C$554,MATCH(INDEX('Tabelas'!$Y$12:$Y$118,92)&amp;"",'Dados'!$A$549:$A$554,0))&gt;=$N$12),1,0),1))</f>
        <v/>
      </c>
      <c r="AG101" s="19">
        <f>$AG$100+$AF$101</f>
        <v/>
      </c>
      <c r="AH101" s="19">
        <f>'Tabelas'!$AB$568&amp;""</f>
        <v/>
      </c>
      <c r="AI101" s="19">
        <f>'Tabelas'!$X$108&amp;""</f>
        <v/>
      </c>
    </row>
    <row r="102">
      <c r="AE102" s="19">
        <f>$AE$101+IF(AND(LEN($N$10)&gt;0,INDEX('Tabelas'!$Z$472:$Z$578,93)&amp;""=$N$10,LEN(INDEX('Tabelas'!$AA$472:$AA$578,93)&amp;"")&gt;0),1,0)</f>
        <v/>
      </c>
      <c r="AF102" s="19">
        <f>IF(LEN(INDEX('Tabelas'!$Y$12:$Y$118,93)&amp;"")=0,0,IF(ISNUMBER(MATCH(INDEX('Tabelas'!$Y$12:$Y$118,93)&amp;"",'Dados'!$A$549:$A$554,0)),IF(AND(INDEX('Dados'!$B$549:$B$554,MATCH(INDEX('Tabelas'!$Y$12:$Y$118,93)&amp;"",'Dados'!$A$549:$A$554,0))&lt;=$N$12,INDEX('Dados'!$C$549:$C$554,MATCH(INDEX('Tabelas'!$Y$12:$Y$118,93)&amp;"",'Dados'!$A$549:$A$554,0))&gt;=$N$12),1,0),1))</f>
        <v/>
      </c>
      <c r="AG102" s="19">
        <f>$AG$101+$AF$102</f>
        <v/>
      </c>
      <c r="AH102" s="19">
        <f>'Tabelas'!$AB$570&amp;""</f>
        <v/>
      </c>
      <c r="AI102" s="19">
        <f>'Tabelas'!$X$110&amp;""</f>
        <v/>
      </c>
    </row>
    <row r="103">
      <c r="AE103" s="19">
        <f>$AE$102+IF(AND(LEN($N$10)&gt;0,INDEX('Tabelas'!$Z$472:$Z$578,94)&amp;""=$N$10,LEN(INDEX('Tabelas'!$AA$472:$AA$578,94)&amp;"")&gt;0),1,0)</f>
        <v/>
      </c>
      <c r="AF103" s="19">
        <f>IF(LEN(INDEX('Tabelas'!$Y$12:$Y$118,94)&amp;"")=0,0,IF(ISNUMBER(MATCH(INDEX('Tabelas'!$Y$12:$Y$118,94)&amp;"",'Dados'!$A$549:$A$554,0)),IF(AND(INDEX('Dados'!$B$549:$B$554,MATCH(INDEX('Tabelas'!$Y$12:$Y$118,94)&amp;"",'Dados'!$A$549:$A$554,0))&lt;=$N$12,INDEX('Dados'!$C$549:$C$554,MATCH(INDEX('Tabelas'!$Y$12:$Y$118,94)&amp;"",'Dados'!$A$549:$A$554,0))&gt;=$N$12),1,0),1))</f>
        <v/>
      </c>
      <c r="AG103" s="19">
        <f>$AG$102+$AF$103</f>
        <v/>
      </c>
      <c r="AH103" s="19">
        <f>'Tabelas'!$AB$571&amp;""</f>
        <v/>
      </c>
      <c r="AI103" s="19">
        <f>'Tabelas'!$X$111&amp;""</f>
        <v/>
      </c>
    </row>
    <row r="104">
      <c r="AE104" s="19">
        <f>$AE$103+IF(AND(LEN($N$10)&gt;0,INDEX('Tabelas'!$Z$472:$Z$578,95)&amp;""=$N$10,LEN(INDEX('Tabelas'!$AA$472:$AA$578,95)&amp;"")&gt;0),1,0)</f>
        <v/>
      </c>
      <c r="AF104" s="19">
        <f>IF(LEN(INDEX('Tabelas'!$Y$12:$Y$118,95)&amp;"")=0,0,IF(ISNUMBER(MATCH(INDEX('Tabelas'!$Y$12:$Y$118,95)&amp;"",'Dados'!$A$549:$A$554,0)),IF(AND(INDEX('Dados'!$B$549:$B$554,MATCH(INDEX('Tabelas'!$Y$12:$Y$118,95)&amp;"",'Dados'!$A$549:$A$554,0))&lt;=$N$12,INDEX('Dados'!$C$549:$C$554,MATCH(INDEX('Tabelas'!$Y$12:$Y$118,95)&amp;"",'Dados'!$A$549:$A$554,0))&gt;=$N$12),1,0),1))</f>
        <v/>
      </c>
      <c r="AG104" s="19">
        <f>$AG$103+$AF$104</f>
        <v/>
      </c>
      <c r="AH104" s="19">
        <f>'Tabelas'!$AB$572&amp;""</f>
        <v/>
      </c>
      <c r="AI104" s="19">
        <f>'Tabelas'!$X$112&amp;""</f>
        <v/>
      </c>
    </row>
    <row r="105">
      <c r="AE105" s="19">
        <f>$AE$104+IF(AND(LEN($N$10)&gt;0,INDEX('Tabelas'!$Z$472:$Z$578,96)&amp;""=$N$10,LEN(INDEX('Tabelas'!$AA$472:$AA$578,96)&amp;"")&gt;0),1,0)</f>
        <v/>
      </c>
      <c r="AF105" s="19">
        <f>IF(LEN(INDEX('Tabelas'!$Y$12:$Y$118,96)&amp;"")=0,0,IF(ISNUMBER(MATCH(INDEX('Tabelas'!$Y$12:$Y$118,96)&amp;"",'Dados'!$A$549:$A$554,0)),IF(AND(INDEX('Dados'!$B$549:$B$554,MATCH(INDEX('Tabelas'!$Y$12:$Y$118,96)&amp;"",'Dados'!$A$549:$A$554,0))&lt;=$N$12,INDEX('Dados'!$C$549:$C$554,MATCH(INDEX('Tabelas'!$Y$12:$Y$118,96)&amp;"",'Dados'!$A$549:$A$554,0))&gt;=$N$12),1,0),1))</f>
        <v/>
      </c>
      <c r="AG105" s="19">
        <f>$AG$104+$AF$105</f>
        <v/>
      </c>
      <c r="AH105" s="19">
        <f>'Tabelas'!$AB$573&amp;""</f>
        <v/>
      </c>
      <c r="AI105" s="19">
        <f>'Tabelas'!$X$113&amp;""</f>
        <v/>
      </c>
    </row>
    <row r="106">
      <c r="AE106" s="19">
        <f>$AE$105+IF(AND(LEN($N$10)&gt;0,INDEX('Tabelas'!$Z$472:$Z$578,97)&amp;""=$N$10,LEN(INDEX('Tabelas'!$AA$472:$AA$578,97)&amp;"")&gt;0),1,0)</f>
        <v/>
      </c>
      <c r="AF106" s="19">
        <f>IF(LEN(INDEX('Tabelas'!$Y$12:$Y$118,97)&amp;"")=0,0,IF(ISNUMBER(MATCH(INDEX('Tabelas'!$Y$12:$Y$118,97)&amp;"",'Dados'!$A$549:$A$554,0)),IF(AND(INDEX('Dados'!$B$549:$B$554,MATCH(INDEX('Tabelas'!$Y$12:$Y$118,97)&amp;"",'Dados'!$A$549:$A$554,0))&lt;=$N$12,INDEX('Dados'!$C$549:$C$554,MATCH(INDEX('Tabelas'!$Y$12:$Y$118,97)&amp;"",'Dados'!$A$549:$A$554,0))&gt;=$N$12),1,0),1))</f>
        <v/>
      </c>
      <c r="AG106" s="19">
        <f>$AG$105+$AF$106</f>
        <v/>
      </c>
      <c r="AH106" s="19">
        <f>'Tabelas'!$AB$574&amp;""</f>
        <v/>
      </c>
      <c r="AI106" s="19">
        <f>'Tabelas'!$X$114&amp;""</f>
        <v/>
      </c>
    </row>
    <row r="107">
      <c r="AE107" s="19">
        <f>$AE$106</f>
        <v/>
      </c>
      <c r="AF107" s="19">
        <f>0</f>
        <v/>
      </c>
      <c r="AG107" s="19">
        <f>$AG$106+$AF$107</f>
        <v/>
      </c>
      <c r="AH107" s="19">
        <f>'Tabelas'!$AB$575&amp;""</f>
        <v/>
      </c>
      <c r="AI107" s="19">
        <f>'Tabelas'!$X$115&amp;""</f>
        <v/>
      </c>
    </row>
    <row r="108">
      <c r="AE108" s="19">
        <f>$AE$107+IF(AND(LEN($N$10)&gt;0,INDEX('Tabelas'!$Z$472:$Z$578,99)&amp;""=$N$10,LEN(INDEX('Tabelas'!$AA$472:$AA$578,99)&amp;"")&gt;0),1,0)</f>
        <v/>
      </c>
      <c r="AF108" s="19">
        <f>IF(LEN(INDEX('Tabelas'!$Y$12:$Y$118,99)&amp;"")=0,0,IF(ISNUMBER(MATCH(INDEX('Tabelas'!$Y$12:$Y$118,99)&amp;"",'Dados'!$A$549:$A$554,0)),IF(AND(INDEX('Dados'!$B$549:$B$554,MATCH(INDEX('Tabelas'!$Y$12:$Y$118,99)&amp;"",'Dados'!$A$549:$A$554,0))&lt;=$N$12,INDEX('Dados'!$C$549:$C$554,MATCH(INDEX('Tabelas'!$Y$12:$Y$118,99)&amp;"",'Dados'!$A$549:$A$554,0))&gt;=$N$12),1,0),1))</f>
        <v/>
      </c>
      <c r="AG108" s="19">
        <f>$AG$107+$AF$108</f>
        <v/>
      </c>
      <c r="AH108" s="19">
        <f>'Tabelas'!$AB$576&amp;""</f>
        <v/>
      </c>
      <c r="AI108" s="19">
        <f>'Tabelas'!$X$116&amp;""</f>
        <v/>
      </c>
    </row>
    <row r="109">
      <c r="AE109" s="19">
        <f>$AE$108+IF(AND(LEN($N$10)&gt;0,INDEX('Tabelas'!$Z$472:$Z$578,100)&amp;""=$N$10,LEN(INDEX('Tabelas'!$AA$472:$AA$578,100)&amp;"")&gt;0),1,0)</f>
        <v/>
      </c>
      <c r="AF109" s="19">
        <f>IF(LEN(INDEX('Tabelas'!$Y$12:$Y$118,100)&amp;"")=0,0,IF(ISNUMBER(MATCH(INDEX('Tabelas'!$Y$12:$Y$118,100)&amp;"",'Dados'!$A$549:$A$554,0)),IF(AND(INDEX('Dados'!$B$549:$B$554,MATCH(INDEX('Tabelas'!$Y$12:$Y$118,100)&amp;"",'Dados'!$A$549:$A$554,0))&lt;=$N$12,INDEX('Dados'!$C$549:$C$554,MATCH(INDEX('Tabelas'!$Y$12:$Y$118,100)&amp;"",'Dados'!$A$549:$A$554,0))&gt;=$N$12),1,0),1))</f>
        <v/>
      </c>
      <c r="AG109" s="19">
        <f>$AG$108+$AF$109</f>
        <v/>
      </c>
      <c r="AH109" s="19">
        <f>'Tabelas'!$AB$577&amp;""</f>
        <v/>
      </c>
      <c r="AI109" s="19">
        <f>'Tabelas'!$X$117&amp;""</f>
        <v/>
      </c>
    </row>
    <row r="110">
      <c r="AE110" s="19">
        <f>$AE$109+IF(AND(LEN($N$10)&gt;0,INDEX('Tabelas'!$Z$472:$Z$578,101)&amp;""=$N$10,LEN(INDEX('Tabelas'!$AA$472:$AA$578,101)&amp;"")&gt;0),1,0)</f>
        <v/>
      </c>
      <c r="AF110" s="19">
        <f>IF(LEN(INDEX('Tabelas'!$Y$12:$Y$118,101)&amp;"")=0,0,IF(ISNUMBER(MATCH(INDEX('Tabelas'!$Y$12:$Y$118,101)&amp;"",'Dados'!$A$549:$A$554,0)),IF(AND(INDEX('Dados'!$B$549:$B$554,MATCH(INDEX('Tabelas'!$Y$12:$Y$118,101)&amp;"",'Dados'!$A$549:$A$554,0))&lt;=$N$12,INDEX('Dados'!$C$549:$C$554,MATCH(INDEX('Tabelas'!$Y$12:$Y$118,101)&amp;"",'Dados'!$A$549:$A$554,0))&gt;=$N$12),1,0),1))</f>
        <v/>
      </c>
      <c r="AG110" s="19">
        <f>$AG$109+$AF$110</f>
        <v/>
      </c>
      <c r="AH110" s="19">
        <f>'Tabelas'!$AB$578&amp;""</f>
        <v/>
      </c>
      <c r="AI110" s="19">
        <f>'Tabelas'!$X$118&amp;""</f>
        <v/>
      </c>
    </row>
    <row r="111">
      <c r="AE111" s="19">
        <f>$AE$110+IF(AND(LEN($N$10)&gt;0,INDEX('Tabelas'!$Z$472:$Z$578,102)&amp;""=$N$10,LEN(INDEX('Tabelas'!$AA$472:$AA$578,102)&amp;"")&gt;0),1,0)</f>
        <v/>
      </c>
      <c r="AF111" s="19">
        <f>IF(LEN(INDEX('Tabelas'!$Y$12:$Y$118,102)&amp;"")=0,0,IF(ISNUMBER(MATCH(INDEX('Tabelas'!$Y$12:$Y$118,102)&amp;"",'Dados'!$A$549:$A$554,0)),IF(AND(INDEX('Dados'!$B$549:$B$554,MATCH(INDEX('Tabelas'!$Y$12:$Y$118,102)&amp;"",'Dados'!$A$549:$A$554,0))&lt;=$N$12,INDEX('Dados'!$C$549:$C$554,MATCH(INDEX('Tabelas'!$Y$12:$Y$118,102)&amp;"",'Dados'!$A$549:$A$554,0))&gt;=$N$12),1,0),1))</f>
        <v/>
      </c>
      <c r="AG111" s="19">
        <f>$AG$110+$AF$111</f>
        <v/>
      </c>
    </row>
    <row r="112">
      <c r="AE112" s="19">
        <f>$AE$111+IF(AND(LEN($N$10)&gt;0,INDEX('Tabelas'!$Z$472:$Z$578,103)&amp;""=$N$10,LEN(INDEX('Tabelas'!$AA$472:$AA$578,103)&amp;"")&gt;0),1,0)</f>
        <v/>
      </c>
      <c r="AF112" s="19">
        <f>IF(LEN(INDEX('Tabelas'!$Y$12:$Y$118,103)&amp;"")=0,0,IF(ISNUMBER(MATCH(INDEX('Tabelas'!$Y$12:$Y$118,103)&amp;"",'Dados'!$A$549:$A$554,0)),IF(AND(INDEX('Dados'!$B$549:$B$554,MATCH(INDEX('Tabelas'!$Y$12:$Y$118,103)&amp;"",'Dados'!$A$549:$A$554,0))&lt;=$N$12,INDEX('Dados'!$C$549:$C$554,MATCH(INDEX('Tabelas'!$Y$12:$Y$118,103)&amp;"",'Dados'!$A$549:$A$554,0))&gt;=$N$12),1,0),1))</f>
        <v/>
      </c>
      <c r="AG112" s="19">
        <f>$AG$111+$AF$112</f>
        <v/>
      </c>
    </row>
    <row r="113">
      <c r="AE113" s="19">
        <f>$AE$112+IF(AND(LEN($N$10)&gt;0,INDEX('Tabelas'!$Z$472:$Z$578,104)&amp;""=$N$10,LEN(INDEX('Tabelas'!$AA$472:$AA$578,104)&amp;"")&gt;0),1,0)</f>
        <v/>
      </c>
      <c r="AF113" s="19">
        <f>IF(LEN(INDEX('Tabelas'!$Y$12:$Y$118,104)&amp;"")=0,0,IF(ISNUMBER(MATCH(INDEX('Tabelas'!$Y$12:$Y$118,104)&amp;"",'Dados'!$A$549:$A$554,0)),IF(AND(INDEX('Dados'!$B$549:$B$554,MATCH(INDEX('Tabelas'!$Y$12:$Y$118,104)&amp;"",'Dados'!$A$549:$A$554,0))&lt;=$N$12,INDEX('Dados'!$C$549:$C$554,MATCH(INDEX('Tabelas'!$Y$12:$Y$118,104)&amp;"",'Dados'!$A$549:$A$554,0))&gt;=$N$12),1,0),1))</f>
        <v/>
      </c>
      <c r="AG113" s="19">
        <f>$AG$112+$AF$113</f>
        <v/>
      </c>
    </row>
    <row r="114">
      <c r="AE114" s="19">
        <f>$AE$113+IF(AND(LEN($N$10)&gt;0,INDEX('Tabelas'!$Z$472:$Z$578,105)&amp;""=$N$10,LEN(INDEX('Tabelas'!$AA$472:$AA$578,105)&amp;"")&gt;0),1,0)</f>
        <v/>
      </c>
      <c r="AF114" s="19">
        <f>IF(LEN(INDEX('Tabelas'!$Y$12:$Y$118,105)&amp;"")=0,0,IF(ISNUMBER(MATCH(INDEX('Tabelas'!$Y$12:$Y$118,105)&amp;"",'Dados'!$A$549:$A$554,0)),IF(AND(INDEX('Dados'!$B$549:$B$554,MATCH(INDEX('Tabelas'!$Y$12:$Y$118,105)&amp;"",'Dados'!$A$549:$A$554,0))&lt;=$N$12,INDEX('Dados'!$C$549:$C$554,MATCH(INDEX('Tabelas'!$Y$12:$Y$118,105)&amp;"",'Dados'!$A$549:$A$554,0))&gt;=$N$12),1,0),1))</f>
        <v/>
      </c>
      <c r="AG114" s="19">
        <f>$AG$113+$AF$114</f>
        <v/>
      </c>
    </row>
    <row r="115">
      <c r="AE115" s="19">
        <f>$AE$114+IF(AND(LEN($N$10)&gt;0,INDEX('Tabelas'!$Z$472:$Z$578,106)&amp;""=$N$10,LEN(INDEX('Tabelas'!$AA$472:$AA$578,106)&amp;"")&gt;0),1,0)</f>
        <v/>
      </c>
      <c r="AF115" s="19">
        <f>IF(LEN(INDEX('Tabelas'!$Y$12:$Y$118,106)&amp;"")=0,0,IF(ISNUMBER(MATCH(INDEX('Tabelas'!$Y$12:$Y$118,106)&amp;"",'Dados'!$A$549:$A$554,0)),IF(AND(INDEX('Dados'!$B$549:$B$554,MATCH(INDEX('Tabelas'!$Y$12:$Y$118,106)&amp;"",'Dados'!$A$549:$A$554,0))&lt;=$N$12,INDEX('Dados'!$C$549:$C$554,MATCH(INDEX('Tabelas'!$Y$12:$Y$118,106)&amp;"",'Dados'!$A$549:$A$554,0))&gt;=$N$12),1,0),1))</f>
        <v/>
      </c>
      <c r="AG115" s="19">
        <f>$AG$114+$AF$115</f>
        <v/>
      </c>
    </row>
    <row r="116">
      <c r="AE116" s="19">
        <f>$AE$115+IF(AND(LEN($N$10)&gt;0,INDEX('Tabelas'!$Z$472:$Z$578,107)&amp;""=$N$10,LEN(INDEX('Tabelas'!$AA$472:$AA$578,107)&amp;"")&gt;0),1,0)</f>
        <v/>
      </c>
      <c r="AF116" s="19">
        <f>IF(LEN(INDEX('Tabelas'!$Y$12:$Y$118,107)&amp;"")=0,0,IF(ISNUMBER(MATCH(INDEX('Tabelas'!$Y$12:$Y$118,107)&amp;"",'Dados'!$A$549:$A$554,0)),IF(AND(INDEX('Dados'!$B$549:$B$554,MATCH(INDEX('Tabelas'!$Y$12:$Y$118,107)&amp;"",'Dados'!$A$549:$A$554,0))&lt;=$N$12,INDEX('Dados'!$C$549:$C$554,MATCH(INDEX('Tabelas'!$Y$12:$Y$118,107)&amp;"",'Dados'!$A$549:$A$554,0))&gt;=$N$12),1,0),1))</f>
        <v/>
      </c>
      <c r="AG116" s="19">
        <f>$AG$115+$AF$116</f>
        <v/>
      </c>
    </row>
  </sheetData>
  <mergeCells count="61">
    <mergeCell ref="K16:L16"/>
    <mergeCell ref="C25:H25"/>
    <mergeCell ref="C26:H26"/>
    <mergeCell ref="A23:J23"/>
    <mergeCell ref="C34:D34"/>
    <mergeCell ref="I6:J6"/>
    <mergeCell ref="I15:J15"/>
    <mergeCell ref="K24:L24"/>
    <mergeCell ref="C33:D33"/>
    <mergeCell ref="K15:L15"/>
    <mergeCell ref="E33:F33"/>
    <mergeCell ref="I11:J11"/>
    <mergeCell ref="B15:H15"/>
    <mergeCell ref="A3:L3"/>
    <mergeCell ref="B20:H20"/>
    <mergeCell ref="K11:L11"/>
    <mergeCell ref="K20:L20"/>
    <mergeCell ref="I16:J16"/>
    <mergeCell ref="C27:H27"/>
    <mergeCell ref="I7:J7"/>
    <mergeCell ref="A5:L5"/>
    <mergeCell ref="A32:L32"/>
    <mergeCell ref="B16:H16"/>
    <mergeCell ref="B6:D6"/>
    <mergeCell ref="I18:J18"/>
    <mergeCell ref="A35:L35"/>
    <mergeCell ref="I21:J21"/>
    <mergeCell ref="E34:F34"/>
    <mergeCell ref="I12:J12"/>
    <mergeCell ref="K12:L12"/>
    <mergeCell ref="B18:H18"/>
    <mergeCell ref="C28:H28"/>
    <mergeCell ref="B21:H21"/>
    <mergeCell ref="B12:H12"/>
    <mergeCell ref="A9:L9"/>
    <mergeCell ref="B11:H11"/>
    <mergeCell ref="I14:J14"/>
    <mergeCell ref="B7:D7"/>
    <mergeCell ref="K14:L14"/>
    <mergeCell ref="I17:J17"/>
    <mergeCell ref="K23:L23"/>
    <mergeCell ref="A30:L30"/>
    <mergeCell ref="B14:H14"/>
    <mergeCell ref="K7:L7"/>
    <mergeCell ref="C24:H24"/>
    <mergeCell ref="F6:H6"/>
    <mergeCell ref="B17:H17"/>
    <mergeCell ref="I20:J20"/>
    <mergeCell ref="B13:H13"/>
    <mergeCell ref="I10:J10"/>
    <mergeCell ref="A1:L1"/>
    <mergeCell ref="K10:L10"/>
    <mergeCell ref="I19:J19"/>
    <mergeCell ref="K19:L19"/>
    <mergeCell ref="C29:H29"/>
    <mergeCell ref="B10:H10"/>
    <mergeCell ref="F7:H7"/>
    <mergeCell ref="K6:L6"/>
    <mergeCell ref="I13:J13"/>
    <mergeCell ref="B19:H19"/>
    <mergeCell ref="K18:L18"/>
  </mergeCells>
  <conditionalFormatting sqref="K7">
    <cfRule type="expression" priority="1" dxfId="0">
      <formula>LEN(K7)&gt;0</formula>
    </cfRule>
  </conditionalFormatting>
  <conditionalFormatting sqref="K11">
    <cfRule type="expression" priority="2" dxfId="0">
      <formula>LEN(K11)&gt;0</formula>
    </cfRule>
  </conditionalFormatting>
  <conditionalFormatting sqref="K12">
    <cfRule type="expression" priority="3" dxfId="0">
      <formula>LEN(K12)&gt;0</formula>
    </cfRule>
  </conditionalFormatting>
  <conditionalFormatting sqref="K14">
    <cfRule type="expression" priority="4" dxfId="0">
      <formula>LEN(K14)&gt;0</formula>
    </cfRule>
  </conditionalFormatting>
  <conditionalFormatting sqref="K15">
    <cfRule type="expression" priority="5" dxfId="0">
      <formula>LEN(K15)&gt;0</formula>
    </cfRule>
  </conditionalFormatting>
  <conditionalFormatting sqref="K16">
    <cfRule type="expression" priority="6" dxfId="0">
      <formula>LEN(K16)&gt;0</formula>
    </cfRule>
  </conditionalFormatting>
  <conditionalFormatting sqref="K18">
    <cfRule type="expression" priority="7" dxfId="0">
      <formula>LEN(K18)&gt;0</formula>
    </cfRule>
  </conditionalFormatting>
  <conditionalFormatting sqref="K19">
    <cfRule type="expression" priority="8" dxfId="0">
      <formula>LEN(K19)&gt;0</formula>
    </cfRule>
  </conditionalFormatting>
  <conditionalFormatting sqref="K20">
    <cfRule type="expression" priority="9" dxfId="0">
      <formula>LEN(K20)&gt;0</formula>
    </cfRule>
  </conditionalFormatting>
  <dataValidations count="4">
    <dataValidation sqref="A7" showDropDown="0" showInputMessage="0" showErrorMessage="1" allowBlank="1" errorTitle="Valor fora da faixa" error="Rolagem nº: use um número inteiro de 1 a 1000000." type="whole" errorStyle="warning" operator="between">
      <formula1>1</formula1>
      <formula2>1000000</formula2>
    </dataValidation>
    <dataValidation sqref="B7" showDropDown="0" showInputMessage="0" showErrorMessage="1" allowBlank="1" errorTitle="Fora da lista" error="Tipo: escolha um valor da lista. A planilha pode não reconhecer outro valor." type="list" errorStyle="warning">
      <formula1>$AH$10:$AH$110</formula1>
    </dataValidation>
    <dataValidation sqref="E7" showDropDown="0" showInputMessage="0" showErrorMessage="1" allowBlank="1" errorTitle="Fora da lista" error="Faixa: escolha um valor da lista. A planilha pode não reconhecer outro valor." type="list" errorStyle="warning">
      <formula1>'Dados'!$AP$6:$AP$10</formula1>
    </dataValidation>
    <dataValidation sqref="F7" showDropDown="0" showInputMessage="0" showErrorMessage="1" allowBlank="1" errorTitle="Fora da lista" error="Facção do conflito: escolha um valor da lista. A planilha pode não reconhecer outro valor." type="list" errorStyle="warning">
      <formula1>$AI$10:$AI$110</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K159"/>
  <sheetViews>
    <sheetView showGridLines="1" workbookViewId="0">
      <selection activeCell="A1" sqref="A1"/>
    </sheetView>
  </sheetViews>
  <sheetFormatPr baseColWidth="8" defaultRowHeight="15"/>
  <cols>
    <col width="20.786" customWidth="1" min="1" max="1"/>
    <col width="13.643" customWidth="1" min="2" max="2"/>
    <col width="13.643"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1.5" customWidth="1" min="11" max="11"/>
    <col width="21.5" customWidth="1" min="12" max="12"/>
    <col hidden="1" width="13" customWidth="1" min="13" max="13"/>
    <col hidden="1" width="13" customWidth="1" min="14" max="14"/>
    <col hidden="1"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hidden="1" width="13" customWidth="1" min="27" max="27"/>
    <col hidden="1" width="13" customWidth="1" min="28" max="28"/>
    <col hidden="1" width="13" customWidth="1" min="29" max="29"/>
    <col width="13" customWidth="1" min="30" max="30"/>
    <col hidden="1" width="13" customWidth="1" min="31" max="31"/>
    <col hidden="1" width="13" customWidth="1" min="32" max="32"/>
    <col hidden="1" width="13" customWidth="1" min="33" max="33"/>
    <col width="13" customWidth="1" min="34" max="34"/>
    <col width="13" customWidth="1" min="35" max="35"/>
    <col hidden="1" width="13" customWidth="1" min="36" max="36"/>
    <col hidden="1" width="13" customWidth="1" min="37" max="37"/>
  </cols>
  <sheetData>
    <row r="1" ht="24" customHeight="1">
      <c r="A1" s="1" t="inlineStr">
        <is>
          <t>Recompensas — Explorando Galáxias v1.1</t>
        </is>
      </c>
    </row>
    <row r="2" ht="37" customHeight="1">
      <c r="A2" s="2"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Entrega de marco (24.5, 25.1, 26.7), achados de encontro, sabor de Cone e de Conjunto e o tesouro do grupo.</t>
        </is>
      </c>
    </row>
    <row r="4"/>
    <row r="5" ht="20" customHeight="1">
      <c r="A5" s="12" t="inlineStr">
        <is>
          <t>Entrega de marco (regra do livro, sem sorteio: 25.1 e 27.8)</t>
        </is>
      </c>
    </row>
    <row r="6">
      <c r="A6" s="7" t="inlineStr">
        <is>
          <t>Campo</t>
        </is>
      </c>
      <c r="B6" s="7" t="inlineStr">
        <is>
          <t>Valor (preencha)</t>
        </is>
      </c>
      <c r="C6" s="20" t="n"/>
      <c r="D6" s="7" t="inlineStr">
        <is>
          <t>O que a planilha usa (automático)</t>
        </is>
      </c>
      <c r="E6" s="20" t="n"/>
      <c r="F6" s="20" t="n"/>
      <c r="G6" s="20" t="n"/>
      <c r="H6" s="20" t="n"/>
      <c r="I6" s="20" t="n"/>
      <c r="J6" s="20" t="n"/>
      <c r="K6" s="7" t="inlineStr">
        <is>
          <t>Aviso</t>
        </is>
      </c>
      <c r="L6" s="20" t="n"/>
    </row>
    <row r="7" ht="26" customHeight="1">
      <c r="A7" s="8" t="inlineStr">
        <is>
          <t>Nível novo do grupo</t>
        </is>
      </c>
      <c r="B7" s="15" t="n"/>
      <c r="C7" s="16" t="n"/>
      <c r="D7" s="4">
        <f>IF(ISNUMBER($AF$7),"Nível "&amp;$N$7&amp;".","Vazio: o nível da aba Campanha ("&amp;$N$7&amp;").")</f>
        <v/>
      </c>
      <c r="K7" s="18">
        <f>IF(AK7&gt;0,"O Google leu como fórmula: digite de novo com ' na frente.",IF(LEN($AF$7)=0,"",IF(NOT(ISNUMBER($AF$7)),"Nível não é número: usando o da aba Campanha",IF(OR($AF$7&lt;1,$AF$7&gt;20,INT($AF$7)&lt;&gt;$AF$7),"Nível fora de 1 a 20: usando o limite",""))))</f>
        <v/>
      </c>
      <c r="N7" s="19">
        <f>IF(ISNUMBER($AF$7),MIN(20,MAX(1,INT($AF$7))),'Campanha'!$B$17)</f>
        <v/>
      </c>
      <c r="AF7" s="19">
        <f>IF(ISERROR($B$7),"",IF(ISBLANK($B$7),"",$B$7))</f>
        <v/>
      </c>
      <c r="AK7" s="19">
        <f>ISERROR($B$7)*1</f>
        <v/>
      </c>
    </row>
    <row r="8" ht="26" customHeight="1">
      <c r="A8" s="21" t="inlineStr">
        <is>
          <t>O que aconteceu</t>
        </is>
      </c>
      <c r="B8" s="28" t="n"/>
      <c r="C8" s="16" t="n"/>
      <c r="D8" s="9">
        <f>IF($AF$8="Fim de arco","Fim de arco: o grupo sobe de nível junto, ao concluir um arco (26.1).",IF($AF$8="Entrou em faixa nova","Faixa nova: Cone e Tier da faixa entram agora (25.1).","Subir de nível acontece fora de combate, num momento de respiro (26.1)."))</f>
        <v/>
      </c>
      <c r="K8" s="26">
        <f>IF(AK8&gt;0,"O Google leu como fórmula: escolha de novo na lista.",IF(AND(LEN($AF$8)&gt;0,COUNTIF('Dados'!$BU$6:$BU$8,$AF$8)=0),"Fora da lista: escolha o que aconteceu",IF(AND($AF$8="Entrou em faixa nova",INDEX('Dados'!$E$497:$E$516,$N$7)="Não"),"O nível "&amp;$N$7&amp;" não é o primeiro de uma faixa (1, 5, 9, 13, 17)","")))</f>
        <v/>
      </c>
      <c r="N8" s="19">
        <f>INDEX('Dados'!$B$497:$B$516,$N$7)</f>
        <v/>
      </c>
      <c r="AF8" s="19">
        <f>IF(ISERROR($B$8),"",IF(ISBLANK($B$8),"",$B$8))</f>
        <v/>
      </c>
      <c r="AK8" s="19">
        <f>ISERROR($B$8)*1</f>
        <v/>
      </c>
    </row>
    <row r="9">
      <c r="N9" s="19">
        <f>INDEX('Dados'!$C$497:$C$516,$N$7)</f>
        <v/>
      </c>
    </row>
    <row r="10" ht="20" customHeight="1">
      <c r="A10" s="12" t="inlineStr">
        <is>
          <t>O que entra neste marco (automático)</t>
        </is>
      </c>
      <c r="N10" s="19">
        <f>INDEX('Dados'!$D$497:$D$516,$N$7)</f>
        <v/>
      </c>
      <c r="O10" s="19">
        <f>IF(LEN(IFERROR(INDEX('Dados'!$B$7:$B$11,MATCH($AF$82,'Dados'!$AP$6:$AP$10,0)),""))&gt;0,IFERROR(INDEX('Dados'!$B$7:$B$11,MATCH($AF$82,'Dados'!$AP$6:$AP$10,0)),""),'Campanha'!$B$19)</f>
        <v/>
      </c>
      <c r="AA10" s="19">
        <f>MOD(MOD(MOD((MOD('Início'!$E$15+104729*$E$82+4467309,2147483646)+1)*16807,2147483647)*16807,2147483647)*16807,2147483647)</f>
        <v/>
      </c>
      <c r="AB10" s="19">
        <f>MOD(MOD(MOD((MOD(MOD(INT($AA$10/65536)*$AA$10,2147483647)*65536+MOD($AA$10,65536)*$AA$10,2147483647))*16807,2147483647)*16807,2147483647)*16807,2147483647)</f>
        <v/>
      </c>
      <c r="AC10" s="19">
        <f>MOD(MOD(MOD((MOD($AB$10+INT($AB$10/65536)*MOD($AB$10,65536),2147483646)+1)*16807,2147483647)*16807,2147483647)*16807,2147483647)</f>
        <v/>
      </c>
    </row>
    <row r="11">
      <c r="A11" s="7" t="inlineStr">
        <is>
          <t>Campo</t>
        </is>
      </c>
      <c r="B11" s="7" t="inlineStr">
        <is>
          <t>Valor</t>
        </is>
      </c>
      <c r="C11" s="20" t="n"/>
      <c r="D11" s="7" t="inlineStr">
        <is>
          <t>Regra e fonte</t>
        </is>
      </c>
      <c r="E11" s="20" t="n"/>
      <c r="F11" s="20" t="n"/>
      <c r="G11" s="20" t="n"/>
      <c r="H11" s="20" t="n"/>
      <c r="I11" s="20" t="n"/>
      <c r="J11" s="20" t="n"/>
      <c r="K11" s="7" t="inlineStr">
        <is>
          <t>Aviso</t>
        </is>
      </c>
      <c r="L11" s="20" t="n"/>
      <c r="N11" s="19">
        <f>INDEX('Dados'!$G$497:$G$516,$N$7)</f>
        <v/>
      </c>
      <c r="O11" s="19">
        <f>MATCH($O$10,'Dados'!$B$7:$B$11,0)</f>
        <v/>
      </c>
      <c r="AA11" s="19">
        <f>MOD(MOD(MOD((MOD('Início'!$E$15+104729*$E$82+5767018,2147483646)+1)*16807,2147483647)*16807,2147483647)*16807,2147483647)</f>
        <v/>
      </c>
      <c r="AB11" s="19">
        <f>MOD(MOD(MOD((MOD(MOD(INT($AA$11/65536)*$AA$11,2147483647)*65536+MOD($AA$11,65536)*$AA$11,2147483647))*16807,2147483647)*16807,2147483647)*16807,2147483647)</f>
        <v/>
      </c>
      <c r="AC11" s="19">
        <f>MOD(MOD(MOD((MOD($AB$11+INT($AB$11/65536)*MOD($AB$11,65536),2147483646)+1)*16807,2147483647)*16807,2147483647)*16807,2147483647)</f>
        <v/>
      </c>
    </row>
    <row r="12">
      <c r="A12" s="8" t="inlineStr">
        <is>
          <t>Nível efetivo</t>
        </is>
      </c>
      <c r="B12" s="17">
        <f>$N$7</f>
        <v/>
      </c>
      <c r="D12" s="4">
        <f>"Vazio = nível da aba Campanha (D9). Sem experiência: a progressão é por marco narrativo (26.1)."</f>
        <v/>
      </c>
      <c r="N12" s="19">
        <f>OR(INDEX('Dados'!$E$497:$E$516,$N$7)="Sim",$AF$8="Entrou em faixa nova")</f>
        <v/>
      </c>
      <c r="O12" s="19">
        <f>IF($AG$82="Passagem",5,IF($AG$82="Pesado",15,10))</f>
        <v/>
      </c>
      <c r="AA12" s="19">
        <f>MOD(MOD(MOD((MOD('Início'!$E$15+104729*$E$82+7066727,2147483646)+1)*16807,2147483647)*16807,2147483647)*16807,2147483647)</f>
        <v/>
      </c>
      <c r="AB12" s="19">
        <f>MOD(MOD(MOD((MOD(MOD(INT($AA$12/65536)*$AA$12,2147483647)*65536+MOD($AA$12,65536)*$AA$12,2147483647))*16807,2147483647)*16807,2147483647)*16807,2147483647)</f>
        <v/>
      </c>
      <c r="AC12" s="19">
        <f>MOD(MOD(MOD((MOD($AB$12+INT($AB$12/65536)*MOD($AB$12,65536),2147483646)+1)*16807,2147483647)*16807,2147483647)*16807,2147483647)</f>
        <v/>
      </c>
    </row>
    <row r="13">
      <c r="A13" s="21" t="inlineStr">
        <is>
          <t>Faixa</t>
        </is>
      </c>
      <c r="B13" s="29">
        <f>$N$8</f>
        <v/>
      </c>
      <c r="D13" s="9">
        <f>"26.3"</f>
        <v/>
      </c>
      <c r="K13" s="38" t="n"/>
      <c r="L13" s="38" t="n"/>
      <c r="O13" s="19">
        <f>INDEX('Dados'!$B$372:$B$376,$O$11)</f>
        <v/>
      </c>
      <c r="AA13" s="19">
        <f>MOD(MOD(MOD((MOD('Início'!$E$15+104729*$E$82+8366436,2147483646)+1)*16807,2147483647)*16807,2147483647)*16807,2147483647)</f>
        <v/>
      </c>
      <c r="AB13" s="19">
        <f>MOD(MOD(MOD((MOD(MOD(INT($AA$13/65536)*$AA$13,2147483647)*65536+MOD($AA$13,65536)*$AA$13,2147483647))*16807,2147483647)*16807,2147483647)*16807,2147483647)</f>
        <v/>
      </c>
      <c r="AC13" s="19">
        <f>MOD(MOD(MOD((MOD($AB$13+INT($AB$13/65536)*MOD($AB$13,65536),2147483646)+1)*16807,2147483647)*16807,2147483647)*16807,2147483647)</f>
        <v/>
      </c>
    </row>
    <row r="14" ht="26" customHeight="1">
      <c r="A14" s="8" t="inlineStr">
        <is>
          <t>Verba de marco (Cr)</t>
        </is>
      </c>
      <c r="B14" s="17">
        <f>INDEX('Dados'!$H$497:$H$516,$N$7)</f>
        <v/>
      </c>
      <c r="D14" s="4">
        <f>"Para o grupo, por nível ganho (24.5). O que ela compra: "&amp;IFERROR(INDEX('Dados'!$C$372:$C$376,MATCH($N$8,'Dados'!$A$372:$A$376,0)),"")&amp;"."</f>
        <v/>
      </c>
      <c r="O14" s="19">
        <f>INT($O$13*$O$12/100)</f>
        <v/>
      </c>
      <c r="AA14" s="19">
        <f>MOD(MOD(MOD((MOD('Início'!$E$15+104729*$E$82+9666145,2147483646)+1)*16807,2147483647)*16807,2147483647)*16807,2147483647)</f>
        <v/>
      </c>
      <c r="AB14" s="19">
        <f>MOD(MOD(MOD((MOD(MOD(INT($AA$14/65536)*$AA$14,2147483647)*65536+MOD($AA$14,65536)*$AA$14,2147483647))*16807,2147483647)*16807,2147483647)*16807,2147483647)</f>
        <v/>
      </c>
      <c r="AC14" s="19">
        <f>MOD(MOD(MOD((MOD($AB$14+INT($AB$14/65536)*MOD($AB$14,65536),2147483646)+1)*16807,2147483647)*16807,2147483647)*16807,2147483647)</f>
        <v/>
      </c>
    </row>
    <row r="15" ht="26" customHeight="1">
      <c r="A15" s="21" t="inlineStr">
        <is>
          <t>Cone de Luz máximo</t>
        </is>
      </c>
      <c r="B15" s="29">
        <f>"Nível "&amp;$N$9</f>
        <v/>
      </c>
      <c r="D15" s="9">
        <f>IF($N$12,"Faixa nova: cada personagem pode trocar o Cone pelo Nível "&amp;$N$9&amp;" (25.1).","Mesmo Cone máximo da faixa (25.1).")</f>
        <v/>
      </c>
      <c r="K15" s="38" t="n"/>
      <c r="L15" s="38" t="n"/>
      <c r="O15" s="19">
        <f>(0+INT($AC$10*((2)-(0)+1)/2147483647))</f>
        <v/>
      </c>
    </row>
    <row r="16" ht="26" customHeight="1">
      <c r="A16" s="8" t="inlineStr">
        <is>
          <t>Bônus Maior do Cone</t>
        </is>
      </c>
      <c r="B16" s="17">
        <f>INDEX('Dados'!$C$468:$C$472,$N$9)</f>
        <v/>
      </c>
      <c r="D16" s="4">
        <f>"Efeito Condicional: "&amp;INDEX('Dados'!$D$468:$D$472,$N$9)&amp;" (25.2)."</f>
        <v/>
      </c>
      <c r="O16" s="19">
        <f>INDEX('Dados'!$B$460:$B$464,$O$11)</f>
        <v/>
      </c>
    </row>
    <row r="17">
      <c r="A17" s="21" t="inlineStr">
        <is>
          <t>Tier de Relíquia</t>
        </is>
      </c>
      <c r="B17" s="29">
        <f>$N$10</f>
        <v/>
      </c>
      <c r="D17" s="9">
        <f>IF(INDEX('Dados'!$F$497:$F$516,$N$7)="Sim","Tier novo: cada personagem recebe o "&amp;$N$10&amp;" nos slots que já possui (25.1).","Mesmo Tier (viradas nos níveis 7, 13 e 18; 25.1 e 25.3).")</f>
        <v/>
      </c>
      <c r="K17" s="38" t="n"/>
      <c r="L17" s="38" t="n"/>
      <c r="O17" s="19">
        <f>IF($O$16&lt;=0,0,INT($AC$11*$O$16/2147483647)+1)</f>
        <v/>
      </c>
    </row>
    <row r="18" ht="26" customHeight="1">
      <c r="A18" s="8" t="inlineStr">
        <is>
          <t>Ressonância</t>
        </is>
      </c>
      <c r="B18" s="17">
        <f>$N$11</f>
        <v/>
      </c>
      <c r="D18" s="4">
        <f>IF($N$11="—","Só nos níveis 5, 10, 15 e 20 (26.7).",INDEX('Dados'!$C$490:$C$493,MATCH($N$11,'Dados'!$A$490:$A$493,0))&amp;". Marco de história, escolhida na hora com o Mestre, e não muda (26.7).")</f>
        <v/>
      </c>
      <c r="O18" s="19">
        <f>IF($O$16&lt;=1,$O$17,MOD($O$17-1+1+INT($AC$12*($O$16-1)/2147483647),$O$16)+1)</f>
        <v/>
      </c>
    </row>
    <row r="19" ht="26" customHeight="1">
      <c r="A19" s="21" t="inlineStr">
        <is>
          <t>Sobreposição</t>
        </is>
      </c>
      <c r="B19" s="29">
        <f>"No máximo 1 por faixa"</f>
        <v/>
      </c>
      <c r="D19" s="9">
        <f>"Decisão sua, como marco narrativo; o teto vem do Nível do Cone: Nível 1 ou 2, 2; Nível 3 ou 4, 1; Nível 5, nenhuma (25.2, 27.8)."</f>
        <v/>
      </c>
      <c r="K19" s="38" t="n"/>
      <c r="L19" s="38" t="n"/>
      <c r="O19" s="19">
        <f>IF($O$11=1,MATCH($O$17,'Dados'!$E$443:$E$456,0),IF($O$11=2,MATCH($O$17,'Dados'!$F$443:$F$456,0),IF($O$11=3,MATCH($O$17,'Dados'!$G$443:$G$456,0),IF($O$11=4,MATCH($O$17,'Dados'!$H$443:$H$456,0),MATCH($O$17,'Dados'!$I$443:$I$456,0)))))</f>
        <v/>
      </c>
    </row>
    <row r="20" ht="26" customHeight="1">
      <c r="A20" s="8" t="inlineStr">
        <is>
          <t>Slot de Relíquia novo</t>
        </is>
      </c>
      <c r="B20" s="17">
        <f>"Quando a história entrega"</f>
        <v/>
      </c>
      <c r="D20" s="4">
        <f>"Decisão sua (25.1, 27.8)."</f>
        <v/>
      </c>
      <c r="O20" s="19">
        <f>IF($O$11=1,MATCH($O$18,'Dados'!$E$443:$E$456,0),IF($O$11=2,MATCH($O$18,'Dados'!$F$443:$F$456,0),IF($O$11=3,MATCH($O$18,'Dados'!$G$443:$G$456,0),IF($O$11=4,MATCH($O$18,'Dados'!$H$443:$H$456,0),MATCH($O$18,'Dados'!$I$443:$I$456,0)))))</f>
        <v/>
      </c>
      <c r="AA20" s="19">
        <f>MOD(MOD(MOD((MOD('Início'!$E$15+104729*$C$102+4546499,2147483646)+1)*16807,2147483647)*16807,2147483647)*16807,2147483647)</f>
        <v/>
      </c>
      <c r="AB20" s="19">
        <f>MOD(MOD(MOD((MOD(MOD(INT($AA$20/65536)*$AA$20,2147483647)*65536+MOD($AA$20,65536)*$AA$20,2147483647))*16807,2147483647)*16807,2147483647)*16807,2147483647)</f>
        <v/>
      </c>
      <c r="AC20" s="19">
        <f>MOD(MOD(MOD((MOD($AB$20+INT($AB$20/65536)*MOD($AB$20,65536),2147483646)+1)*16807,2147483647)*16807,2147483647)*16807,2147483647)</f>
        <v/>
      </c>
    </row>
    <row r="21">
      <c r="A21" s="21" t="inlineStr">
        <is>
          <t>Ritmo de sessões</t>
        </is>
      </c>
      <c r="B21" s="29">
        <f>IF($N$7&lt;=8,"2 a 4 sessões por nível","4 a 6 sessões por nível")</f>
        <v/>
      </c>
      <c r="D21" s="9">
        <f>"Ritmo sugerido pelo livro: 2 a 4 sessões por nível nos níveis 1 a 8; 4 a 6 daí em diante (26.1)."</f>
        <v/>
      </c>
      <c r="K21" s="38" t="n"/>
      <c r="L21" s="38" t="n"/>
      <c r="O21" s="19">
        <f>IF($O$15&gt;=1,INDEX('Dados'!$A$443:$A$456,$O$19),"")</f>
        <v/>
      </c>
      <c r="AA21" s="19">
        <f>MOD(MOD(MOD((MOD('Início'!$E$15+104729*$C$102+5846208,2147483646)+1)*16807,2147483647)*16807,2147483647)*16807,2147483647)</f>
        <v/>
      </c>
      <c r="AB21" s="19">
        <f>MOD(MOD(MOD((MOD(MOD(INT($AA$21/65536)*$AA$21,2147483647)*65536+MOD($AA$21,65536)*$AA$21,2147483647))*16807,2147483647)*16807,2147483647)*16807,2147483647)</f>
        <v/>
      </c>
      <c r="AC21" s="19">
        <f>MOD(MOD(MOD((MOD($AB$21+INT($AB$21/65536)*MOD($AB$21,65536),2147483646)+1)*16807,2147483647)*16807,2147483647)*16807,2147483647)</f>
        <v/>
      </c>
    </row>
    <row r="22">
      <c r="O22" s="19">
        <f>IF($O$15&gt;=2,INDEX('Dados'!$A$443:$A$456,$O$20),"")</f>
        <v/>
      </c>
      <c r="AA22" s="19">
        <f>MOD(MOD(MOD((MOD('Início'!$E$15+104729*$C$102+7145917,2147483646)+1)*16807,2147483647)*16807,2147483647)*16807,2147483647)</f>
        <v/>
      </c>
      <c r="AB22" s="19">
        <f>MOD(MOD(MOD((MOD(MOD(INT($AA$22/65536)*$AA$22,2147483647)*65536+MOD($AA$22,65536)*$AA$22,2147483647))*16807,2147483647)*16807,2147483647)*16807,2147483647)</f>
        <v/>
      </c>
      <c r="AC22" s="19">
        <f>MOD(MOD(MOD((MOD($AB$22+INT($AB$22/65536)*MOD($AB$22,65536),2147483646)+1)*16807,2147483647)*16807,2147483647)*16807,2147483647)</f>
        <v/>
      </c>
    </row>
    <row r="23" ht="20" customHeight="1">
      <c r="A23" s="12" t="inlineStr">
        <is>
          <t>Sobreposições do grupo nesta faixa (25.2; números da aba Grupo, G3)</t>
        </is>
      </c>
      <c r="O23" s="19">
        <f>IF($O$15&gt;=1,INDEX('Dados'!$B$443:$B$456,$O$19),"")</f>
        <v/>
      </c>
      <c r="AA23" s="19">
        <f>MOD(MOD(MOD((MOD('Início'!$E$15+104729*$C$102+8445626,2147483646)+1)*16807,2147483647)*16807,2147483647)*16807,2147483647)</f>
        <v/>
      </c>
      <c r="AB23" s="19">
        <f>MOD(MOD(MOD((MOD(MOD(INT($AA$23/65536)*$AA$23,2147483647)*65536+MOD($AA$23,65536)*$AA$23,2147483647))*16807,2147483647)*16807,2147483647)*16807,2147483647)</f>
        <v/>
      </c>
      <c r="AC23" s="19">
        <f>MOD(MOD(MOD((MOD($AB$23+INT($AB$23/65536)*MOD($AB$23,65536),2147483646)+1)*16807,2147483647)*16807,2147483647)*16807,2147483647)</f>
        <v/>
      </c>
    </row>
    <row r="24" ht="26" customHeight="1">
      <c r="A24" s="7" t="inlineStr">
        <is>
          <t>PJ</t>
        </is>
      </c>
      <c r="B24" s="7" t="inlineStr">
        <is>
          <t>Nível do Cone</t>
        </is>
      </c>
      <c r="C24" s="7" t="inlineStr">
        <is>
          <t>Sobreposições nesta faixa</t>
        </is>
      </c>
      <c r="D24" s="20" t="n"/>
      <c r="E24" s="7" t="inlineStr">
        <is>
          <t>Teto de Sobreposições</t>
        </is>
      </c>
      <c r="F24" s="20" t="n"/>
      <c r="G24" s="7" t="inlineStr">
        <is>
          <t>Situação</t>
        </is>
      </c>
      <c r="H24" s="20" t="n"/>
      <c r="I24" s="20" t="n"/>
      <c r="J24" s="20" t="n"/>
      <c r="K24" s="7" t="inlineStr">
        <is>
          <t>Aviso</t>
        </is>
      </c>
      <c r="L24" s="20" t="n"/>
      <c r="O24" s="19">
        <f>IF($O$15&gt;=2,INDEX('Dados'!$B$443:$B$456,$O$20),"")</f>
        <v/>
      </c>
      <c r="AA24" s="19">
        <f>MOD(MOD(MOD((MOD('Início'!$E$15+104729*$C$102+9745335,2147483646)+1)*16807,2147483647)*16807,2147483647)*16807,2147483647)</f>
        <v/>
      </c>
      <c r="AB24" s="19">
        <f>MOD(MOD(MOD((MOD(MOD(INT($AA$24/65536)*$AA$24,2147483647)*65536+MOD($AA$24,65536)*$AA$24,2147483647))*16807,2147483647)*16807,2147483647)*16807,2147483647)</f>
        <v/>
      </c>
      <c r="AC24" s="19">
        <f>MOD(MOD(MOD((MOD($AB$24+INT($AB$24/65536)*MOD($AB$24,65536),2147483646)+1)*16807,2147483647)*16807,2147483647)*16807,2147483647)</f>
        <v/>
      </c>
    </row>
    <row r="25" ht="26" customHeight="1">
      <c r="A25" s="32">
        <f>IF(LEN('Grupo'!$P$7)&gt;0,'Grupo'!$P$7,"PJ 1")</f>
        <v/>
      </c>
      <c r="B25" s="17">
        <f>IF(ISNUMBER('Grupo'!$Q$25),'Grupo'!$Q$25,"")</f>
        <v/>
      </c>
      <c r="C25" s="17">
        <f>IF(ISNUMBER('Grupo'!$T$25),'Grupo'!$T$25,IF(LEN('Grupo'!$P$7)&gt;0,0,""))</f>
        <v/>
      </c>
      <c r="E25" s="17">
        <f>IF(AND(ISNUMBER('Grupo'!$Q$25),'Grupo'!$Q$25&gt;=1,'Grupo'!$Q$25&lt;=5),INDEX('Dados'!$H$468:$H$472,INT('Grupo'!$Q$25)),"")</f>
        <v/>
      </c>
      <c r="G25" s="4">
        <f>IF(LEN('Grupo'!$P$7)=0,"",IF(NOT(ISNUMBER($E$25)),"Preencha o Nível do Cone (1 a 5) na aba Grupo",IF($E$25=0,"Cone no teto (+3): nenhuma Sobreposição (25.2)",IF(AND(ISNUMBER('Grupo'!$T$25),'Grupo'!$T$25&gt;=1),"Já recebeu a desta faixa (máximo 1 por faixa, 25.2)","Pode receber 1 nesta faixa, se a história entregar (25.2)"))))</f>
        <v/>
      </c>
      <c r="K25" s="18">
        <f>IF(AND(ISNUMBER('Grupo'!$T$25),'Grupo'!$T$25&gt;1),"Mais de 1 Sobreposição nesta faixa (25.2)","")</f>
        <v/>
      </c>
      <c r="O25" s="19">
        <f>IF('Tabelas'!$C$699&lt;=0,"",IFERROR(INDEX('Tabelas'!$Y$702:$Y$808,MATCH(IF('Tabelas'!$C$699&lt;=0,0,INT($AC$13*'Tabelas'!$C$699/2147483647)+1),'Tabelas'!$O$702:$O$808,0))&amp;"",""))</f>
        <v/>
      </c>
      <c r="AA25" s="19">
        <f>MOD(MOD(MOD((MOD('Início'!$E$15+104729*$C$102+11045044,2147483646)+1)*16807,2147483647)*16807,2147483647)*16807,2147483647)</f>
        <v/>
      </c>
      <c r="AB25" s="19">
        <f>MOD(MOD(MOD((MOD(MOD(INT($AA$25/65536)*$AA$25,2147483647)*65536+MOD($AA$25,65536)*$AA$25,2147483647))*16807,2147483647)*16807,2147483647)*16807,2147483647)</f>
        <v/>
      </c>
      <c r="AC25" s="19">
        <f>MOD(MOD(MOD((MOD($AB$25+INT($AB$25/65536)*MOD($AB$25,65536),2147483646)+1)*16807,2147483647)*16807,2147483647)*16807,2147483647)</f>
        <v/>
      </c>
    </row>
    <row r="26" ht="26" customHeight="1">
      <c r="A26" s="33">
        <f>IF(LEN('Grupo'!$P$8)&gt;0,'Grupo'!$P$8,"PJ 2")</f>
        <v/>
      </c>
      <c r="B26" s="29">
        <f>IF(ISNUMBER('Grupo'!$Q$26),'Grupo'!$Q$26,"")</f>
        <v/>
      </c>
      <c r="C26" s="29">
        <f>IF(ISNUMBER('Grupo'!$T$26),'Grupo'!$T$26,IF(LEN('Grupo'!$P$8)&gt;0,0,""))</f>
        <v/>
      </c>
      <c r="E26" s="29">
        <f>IF(AND(ISNUMBER('Grupo'!$Q$26),'Grupo'!$Q$26&gt;=1,'Grupo'!$Q$26&lt;=5),INDEX('Dados'!$H$468:$H$472,INT('Grupo'!$Q$26)),"")</f>
        <v/>
      </c>
      <c r="G26" s="9">
        <f>IF(LEN('Grupo'!$P$8)=0,"",IF(NOT(ISNUMBER($E$26)),"Preencha o Nível do Cone (1 a 5) na aba Grupo",IF($E$26=0,"Cone no teto (+3): nenhuma Sobreposição (25.2)",IF(AND(ISNUMBER('Grupo'!$T$26),'Grupo'!$T$26&gt;=1),"Já recebeu a desta faixa (máximo 1 por faixa, 25.2)","Pode receber 1 nesta faixa, se a história entregar (25.2)"))))</f>
        <v/>
      </c>
      <c r="K26" s="26">
        <f>IF(AND(ISNUMBER('Grupo'!$T$26),'Grupo'!$T$26&gt;1),"Mais de 1 Sobreposição nesta faixa (25.2)","")</f>
        <v/>
      </c>
      <c r="O26" s="19">
        <f>IF('Tabelas'!$B$699&lt;=0,"",IFERROR(INDEX('Tabelas'!$X$702:$X$808,MATCH(IF('Tabelas'!$B$699&lt;=0,0,INT($AC$14*'Tabelas'!$B$699/2147483647)+1),'Tabelas'!$N$702:$N$808,0))&amp;"",""))</f>
        <v/>
      </c>
    </row>
    <row r="27" ht="26" customHeight="1">
      <c r="A27" s="32">
        <f>IF(LEN('Grupo'!$P$9)&gt;0,'Grupo'!$P$9,"PJ 3")</f>
        <v/>
      </c>
      <c r="B27" s="17">
        <f>IF(ISNUMBER('Grupo'!$Q$27),'Grupo'!$Q$27,"")</f>
        <v/>
      </c>
      <c r="C27" s="17">
        <f>IF(ISNUMBER('Grupo'!$T$27),'Grupo'!$T$27,IF(LEN('Grupo'!$P$9)&gt;0,0,""))</f>
        <v/>
      </c>
      <c r="E27" s="17">
        <f>IF(AND(ISNUMBER('Grupo'!$Q$27),'Grupo'!$Q$27&gt;=1,'Grupo'!$Q$27&lt;=5),INDEX('Dados'!$H$468:$H$472,INT('Grupo'!$Q$27)),"")</f>
        <v/>
      </c>
      <c r="G27" s="4">
        <f>IF(LEN('Grupo'!$P$9)=0,"",IF(NOT(ISNUMBER($E$27)),"Preencha o Nível do Cone (1 a 5) na aba Grupo",IF($E$27=0,"Cone no teto (+3): nenhuma Sobreposição (25.2)",IF(AND(ISNUMBER('Grupo'!$T$27),'Grupo'!$T$27&gt;=1),"Já recebeu a desta faixa (máximo 1 por faixa, 25.2)","Pode receber 1 nesta faixa, se a história entregar (25.2)"))))</f>
        <v/>
      </c>
      <c r="K27" s="18">
        <f>IF(AND(ISNUMBER('Grupo'!$T$27),'Grupo'!$T$27&gt;1),"Mais de 1 Sobreposição nesta faixa (25.2)","")</f>
        <v/>
      </c>
    </row>
    <row r="28" ht="26" customHeight="1">
      <c r="A28" s="33">
        <f>IF(LEN('Grupo'!$P$10)&gt;0,'Grupo'!$P$10,"PJ 4")</f>
        <v/>
      </c>
      <c r="B28" s="29">
        <f>IF(ISNUMBER('Grupo'!$Q$28),'Grupo'!$Q$28,"")</f>
        <v/>
      </c>
      <c r="C28" s="29">
        <f>IF(ISNUMBER('Grupo'!$T$28),'Grupo'!$T$28,IF(LEN('Grupo'!$P$10)&gt;0,0,""))</f>
        <v/>
      </c>
      <c r="E28" s="29">
        <f>IF(AND(ISNUMBER('Grupo'!$Q$28),'Grupo'!$Q$28&gt;=1,'Grupo'!$Q$28&lt;=5),INDEX('Dados'!$H$468:$H$472,INT('Grupo'!$Q$28)),"")</f>
        <v/>
      </c>
      <c r="G28" s="9">
        <f>IF(LEN('Grupo'!$P$10)=0,"",IF(NOT(ISNUMBER($E$28)),"Preencha o Nível do Cone (1 a 5) na aba Grupo",IF($E$28=0,"Cone no teto (+3): nenhuma Sobreposição (25.2)",IF(AND(ISNUMBER('Grupo'!$T$28),'Grupo'!$T$28&gt;=1),"Já recebeu a desta faixa (máximo 1 por faixa, 25.2)","Pode receber 1 nesta faixa, se a história entregar (25.2)"))))</f>
        <v/>
      </c>
      <c r="K28" s="26">
        <f>IF(AND(ISNUMBER('Grupo'!$T$28),'Grupo'!$T$28&gt;1),"Mais de 1 Sobreposição nesta faixa (25.2)","")</f>
        <v/>
      </c>
    </row>
    <row r="29" ht="26" customHeight="1">
      <c r="A29" s="32">
        <f>IF(LEN('Grupo'!$P$11)&gt;0,'Grupo'!$P$11,"PJ 5")</f>
        <v/>
      </c>
      <c r="B29" s="17">
        <f>IF(ISNUMBER('Grupo'!$Q$29),'Grupo'!$Q$29,"")</f>
        <v/>
      </c>
      <c r="C29" s="17">
        <f>IF(ISNUMBER('Grupo'!$T$29),'Grupo'!$T$29,IF(LEN('Grupo'!$P$11)&gt;0,0,""))</f>
        <v/>
      </c>
      <c r="E29" s="17">
        <f>IF(AND(ISNUMBER('Grupo'!$Q$29),'Grupo'!$Q$29&gt;=1,'Grupo'!$Q$29&lt;=5),INDEX('Dados'!$H$468:$H$472,INT('Grupo'!$Q$29)),"")</f>
        <v/>
      </c>
      <c r="G29" s="4">
        <f>IF(LEN('Grupo'!$P$11)=0,"",IF(NOT(ISNUMBER($E$29)),"Preencha o Nível do Cone (1 a 5) na aba Grupo",IF($E$29=0,"Cone no teto (+3): nenhuma Sobreposição (25.2)",IF(AND(ISNUMBER('Grupo'!$T$29),'Grupo'!$T$29&gt;=1),"Já recebeu a desta faixa (máximo 1 por faixa, 25.2)","Pode receber 1 nesta faixa, se a história entregar (25.2)"))))</f>
        <v/>
      </c>
      <c r="K29" s="18">
        <f>IF(AND(ISNUMBER('Grupo'!$T$29),'Grupo'!$T$29&gt;1),"Mais de 1 Sobreposição nesta faixa (25.2)","")</f>
        <v/>
      </c>
    </row>
    <row r="30" ht="26" customHeight="1">
      <c r="A30" s="33">
        <f>IF(LEN('Grupo'!$P$12)&gt;0,'Grupo'!$P$12,"PJ 6")</f>
        <v/>
      </c>
      <c r="B30" s="29">
        <f>IF(ISNUMBER('Grupo'!$Q$30),'Grupo'!$Q$30,"")</f>
        <v/>
      </c>
      <c r="C30" s="29">
        <f>IF(ISNUMBER('Grupo'!$T$30),'Grupo'!$T$30,IF(LEN('Grupo'!$P$12)&gt;0,0,""))</f>
        <v/>
      </c>
      <c r="E30" s="29">
        <f>IF(AND(ISNUMBER('Grupo'!$Q$30),'Grupo'!$Q$30&gt;=1,'Grupo'!$Q$30&lt;=5),INDEX('Dados'!$H$468:$H$472,INT('Grupo'!$Q$30)),"")</f>
        <v/>
      </c>
      <c r="G30" s="9">
        <f>IF(LEN('Grupo'!$P$12)=0,"",IF(NOT(ISNUMBER($E$30)),"Preencha o Nível do Cone (1 a 5) na aba Grupo",IF($E$30=0,"Cone no teto (+3): nenhuma Sobreposição (25.2)",IF(AND(ISNUMBER('Grupo'!$T$30),'Grupo'!$T$30&gt;=1),"Já recebeu a desta faixa (máximo 1 por faixa, 25.2)","Pode receber 1 nesta faixa, se a história entregar (25.2)"))))</f>
        <v/>
      </c>
      <c r="K30" s="26">
        <f>IF(AND(ISNUMBER('Grupo'!$T$30),'Grupo'!$T$30&gt;1),"Mais de 1 Sobreposição nesta faixa (25.2)","")</f>
        <v/>
      </c>
      <c r="O30" s="19">
        <f>IF(LEN(IFERROR(INDEX('Dados'!$B$7:$B$11,MATCH($AF$102,'Dados'!$AP$6:$AP$10,0)),""))&gt;0,IFERROR(INDEX('Dados'!$B$7:$B$11,MATCH($AF$102,'Dados'!$AP$6:$AP$10,0)),""),'Campanha'!$B$19)</f>
        <v/>
      </c>
      <c r="AA30" s="19">
        <f>MOD(MOD(MOD((MOD('Início'!$E$15+104729*$B$114+4625689,2147483646)+1)*16807,2147483647)*16807,2147483647)*16807,2147483647)</f>
        <v/>
      </c>
      <c r="AB30" s="19">
        <f>MOD(MOD(MOD((MOD(MOD(INT($AA$30/65536)*$AA$30,2147483647)*65536+MOD($AA$30,65536)*$AA$30,2147483647))*16807,2147483647)*16807,2147483647)*16807,2147483647)</f>
        <v/>
      </c>
      <c r="AC30" s="19">
        <f>MOD(MOD(MOD((MOD($AB$30+INT($AB$30/65536)*MOD($AB$30,65536),2147483646)+1)*16807,2147483647)*16807,2147483647)*16807,2147483647)</f>
        <v/>
      </c>
    </row>
    <row r="31">
      <c r="A31" s="8" t="inlineStr">
        <is>
          <t>Total do grupo</t>
        </is>
      </c>
      <c r="B31" s="17">
        <f>IF(ISNUMBER($C$25),$C$25,0)+IF(ISNUMBER($C$26),$C$26,0)+IF(ISNUMBER($C$27),$C$27,0)+IF(ISNUMBER($C$28),$C$28,0)+IF(ISNUMBER($C$29),$C$29,0)+IF(ISNUMBER($C$30),$C$30,0)</f>
        <v/>
      </c>
      <c r="D31" s="13" t="inlineStr">
        <is>
          <t>Sobreposições já recebidas nesta faixa (Sobreposição não é comprada nem sorteada, 25.2).</t>
        </is>
      </c>
      <c r="O31" s="19">
        <f>MATCH($O$30,'Dados'!$B$7:$B$11,0)</f>
        <v/>
      </c>
      <c r="AA31" s="19">
        <f>MOD(MOD(MOD((MOD('Início'!$E$15+104729*$B$114+5925398,2147483646)+1)*16807,2147483647)*16807,2147483647)*16807,2147483647)</f>
        <v/>
      </c>
      <c r="AB31" s="19">
        <f>MOD(MOD(MOD((MOD(MOD(INT($AA$31/65536)*$AA$31,2147483647)*65536+MOD($AA$31,65536)*$AA$31,2147483647))*16807,2147483647)*16807,2147483647)*16807,2147483647)</f>
        <v/>
      </c>
      <c r="AC31" s="19">
        <f>MOD(MOD(MOD((MOD($AB$31+INT($AB$31/65536)*MOD($AB$31,65536),2147483646)+1)*16807,2147483647)*16807,2147483647)*16807,2147483647)</f>
        <v/>
      </c>
    </row>
    <row r="32">
      <c r="O32" s="19">
        <f>IF('Tabelas'!$D$699&lt;=0,"",IFERROR(INDEX('Tabelas'!$Z$702:$Z$808,MATCH(IF('Tabelas'!$D$699&lt;=0,0,INT($AC$20*'Tabelas'!$D$699/2147483647)+1),'Tabelas'!$P$702:$P$808,0))&amp;"",""))</f>
        <v/>
      </c>
      <c r="AA32" s="19">
        <f>MOD(MOD(MOD((MOD('Início'!$E$15+104729*$B$114+7225107,2147483646)+1)*16807,2147483647)*16807,2147483647)*16807,2147483647)</f>
        <v/>
      </c>
      <c r="AB32" s="19">
        <f>MOD(MOD(MOD((MOD(MOD(INT($AA$32/65536)*$AA$32,2147483647)*65536+MOD($AA$32,65536)*$AA$32,2147483647))*16807,2147483647)*16807,2147483647)*16807,2147483647)</f>
        <v/>
      </c>
      <c r="AC32" s="19">
        <f>MOD(MOD(MOD((MOD($AB$32+INT($AB$32/65536)*MOD($AB$32,65536),2147483646)+1)*16807,2147483647)*16807,2147483647)*16807,2147483647)</f>
        <v/>
      </c>
    </row>
    <row r="33" ht="20" customHeight="1">
      <c r="A33" s="12" t="inlineStr">
        <is>
          <t>O que não dar, por mais tentador que pareça (27.8)</t>
        </is>
      </c>
      <c r="O33" s="19">
        <f>IF('Tabelas'!$E$699&lt;=0,"",IFERROR(INDEX('Tabelas'!$AA$702:$AA$808,MATCH(IF('Tabelas'!$E$699&lt;=0,0,INT($AC$21*'Tabelas'!$E$699/2147483647)+1),'Tabelas'!$Q$702:$Q$808,0))&amp;"",""))</f>
        <v/>
      </c>
      <c r="AA33" s="19">
        <f>MOD(MOD(MOD((MOD('Início'!$E$15+104729*$B$114+8524816,2147483646)+1)*16807,2147483647)*16807,2147483647)*16807,2147483647)</f>
        <v/>
      </c>
      <c r="AB33" s="19">
        <f>MOD(MOD(MOD((MOD(MOD(INT($AA$33/65536)*$AA$33,2147483647)*65536+MOD($AA$33,65536)*$AA$33,2147483647))*16807,2147483647)*16807,2147483647)*16807,2147483647)</f>
        <v/>
      </c>
      <c r="AC33" s="19">
        <f>MOD(MOD(MOD((MOD($AB$33+INT($AB$33/65536)*MOD($AB$33,65536),2147483646)+1)*16807,2147483647)*16807,2147483647)*16807,2147483647)</f>
        <v/>
      </c>
    </row>
    <row r="34">
      <c r="A34" s="13" t="inlineStr">
        <is>
          <t>• Vantagem permanente em qualquer coisa, ou bônus que fique fora dos tetos do capítulo 26.</t>
        </is>
      </c>
      <c r="O34" s="19">
        <f>IF(LEN($O$33)=0,$O$32,$O$32&amp;" "&amp;$O$33)</f>
        <v/>
      </c>
    </row>
    <row r="35">
      <c r="A35" s="13" t="inlineStr">
        <is>
          <t>• PH extra de presente. A economia de PH é a espinha do balanceamento; um item que dá PH é um item que dá 0,25 de Habilidade por Ciclo ao grupo inteiro.</t>
        </is>
      </c>
      <c r="O35" s="19">
        <f>IF('Tabelas'!$F$699&lt;=0,"",IFERROR(INDEX('Tabelas'!$AB$702:$AB$808,MATCH(IF('Tabelas'!$F$699&lt;=0,0,INT($AC$22*'Tabelas'!$F$699/2147483647)+1),'Tabelas'!$R$702:$R$808,0))&amp;"",""))</f>
        <v/>
      </c>
    </row>
    <row r="36">
      <c r="A36" s="13" t="inlineStr">
        <is>
          <t>• Habilidade acima do Nível máximo do nível do personagem, por item ou por recompensa.</t>
        </is>
      </c>
      <c r="O36" s="19">
        <f>INDEX('Dados'!$A$564:$A$573,IF(10&lt;=0,0,INT($AC$23*10/2147483647)+1))</f>
        <v/>
      </c>
    </row>
    <row r="37">
      <c r="A37" s="13" t="inlineStr">
        <is>
          <t>• Item que ignora Tenacidade, teto de RD, teto de dados ou limite de alvos em área. A lista de efeitos proibidos de 27.9 vale para recompensa também.</t>
        </is>
      </c>
      <c r="O37" s="19">
        <f>IF('Tabelas'!$G$699&lt;=0,0,INT($AC$24*'Tabelas'!$G$699/2147483647)+1)</f>
        <v/>
      </c>
    </row>
    <row r="38">
      <c r="A38" s="13" t="inlineStr">
        <is>
          <t>• Dinheiro que resolve a cena. A verba de marco do capítulo 24 existe para responder "quanto custa?", não para comprar poder.</t>
        </is>
      </c>
      <c r="O38" s="19">
        <f>IF('Tabelas'!$G$699&lt;=0,"",IFERROR(INDEX('Tabelas'!$AC$702:$AC$808,MATCH($O$37,'Tabelas'!$S$702:$S$808,0))&amp;"",""))</f>
        <v/>
      </c>
    </row>
    <row r="39" ht="26" customHeight="1">
      <c r="A39" s="11" t="inlineStr">
        <is>
          <t>Não existe compra de Relíquia, não existe sorteio e não existe economia de equipamento (25.1, 27.8). Amarre cada entrega ao Propósito de Vida de alguém: o Cone novo é uma memória que alguém confia a um personagem; o Tier novo é a oficina da nave recalibrando as peças (27.8).</t>
        </is>
      </c>
      <c r="O39" s="19">
        <f>IF('Tabelas'!$G$699&lt;=0,"",IFERROR(INDEX('Tabelas'!$AC$702:$AC$808,MATCH(IF('Tabelas'!$G$699&lt;=1,$O$37,MOD($O$37-1+1+INT($AC$25*('Tabelas'!$G$699-1)/2147483647),'Tabelas'!$G$699)+1),'Tabelas'!$S$702:$S$808,0))&amp;"",""))</f>
        <v/>
      </c>
    </row>
    <row r="40"/>
    <row r="41" ht="20" customHeight="1">
      <c r="A41" s="12" t="inlineStr">
        <is>
          <t>Preços de referência (24.1 a 24.3): os preços não escalam (24.5)</t>
        </is>
      </c>
    </row>
    <row r="42">
      <c r="A42" s="7" t="inlineStr">
        <is>
          <t>Armaduras e armas</t>
        </is>
      </c>
      <c r="B42" s="20" t="n"/>
      <c r="C42" s="7" t="inlineStr">
        <is>
          <t>O que é</t>
        </is>
      </c>
      <c r="D42" s="20" t="n"/>
      <c r="E42" s="20" t="n"/>
      <c r="F42" s="20" t="n"/>
      <c r="G42" s="20" t="n"/>
      <c r="H42" s="20" t="n"/>
      <c r="I42" s="7" t="inlineStr">
        <is>
          <t>Espaço</t>
        </is>
      </c>
      <c r="J42" s="7" t="inlineStr">
        <is>
          <t>Preço (Cr)</t>
        </is>
      </c>
    </row>
    <row r="43">
      <c r="A43" s="32">
        <f>"Armadura "&amp;INDEX('Dados'!$A$428:$A$430,1)</f>
        <v/>
      </c>
      <c r="C43" s="4">
        <f>"Defesa +"&amp;INDEX('Dados'!$B$428:$B$430,1)&amp;IF(INDEX('Dados'!$C$428:$C$430,1)="—","","; "&amp;INDEX('Dados'!$C$428:$C$430,1))</f>
        <v/>
      </c>
      <c r="I43" s="17">
        <f>INDEX('Dados'!$E$428:$E$430,1)</f>
        <v/>
      </c>
      <c r="J43" s="17">
        <f>INDEX('Dados'!$F$428:$F$430,1)</f>
        <v/>
      </c>
    </row>
    <row r="44">
      <c r="A44" s="33">
        <f>"Armadura "&amp;INDEX('Dados'!$A$428:$A$430,2)</f>
        <v/>
      </c>
      <c r="C44" s="9">
        <f>"Defesa +"&amp;INDEX('Dados'!$B$428:$B$430,2)&amp;IF(INDEX('Dados'!$C$428:$C$430,2)="—","","; "&amp;INDEX('Dados'!$C$428:$C$430,2))</f>
        <v/>
      </c>
      <c r="I44" s="29">
        <f>INDEX('Dados'!$E$428:$E$430,2)</f>
        <v/>
      </c>
      <c r="J44" s="29">
        <f>INDEX('Dados'!$F$428:$F$430,2)</f>
        <v/>
      </c>
    </row>
    <row r="45">
      <c r="A45" s="32">
        <f>"Armadura "&amp;INDEX('Dados'!$A$428:$A$430,3)</f>
        <v/>
      </c>
      <c r="C45" s="4">
        <f>"Defesa +"&amp;INDEX('Dados'!$B$428:$B$430,3)&amp;IF(INDEX('Dados'!$C$428:$C$430,3)="—","","; "&amp;INDEX('Dados'!$C$428:$C$430,3))</f>
        <v/>
      </c>
      <c r="I45" s="17">
        <f>INDEX('Dados'!$E$428:$E$430,3)</f>
        <v/>
      </c>
      <c r="J45" s="17">
        <f>INDEX('Dados'!$F$428:$F$430,3)</f>
        <v/>
      </c>
    </row>
    <row r="46">
      <c r="A46" s="33">
        <f>"Arma "&amp;INDEX('Dados'!$A$434:$A$439,1)</f>
        <v/>
      </c>
      <c r="C46" s="9">
        <f>INDEX('Dados'!$B$434:$B$439,1)&amp;", "&amp;INDEX('Dados'!$C$434:$C$439,1)&amp;", "&amp;INDEX('Dados'!$D$434:$D$439,1)</f>
        <v/>
      </c>
      <c r="I46" s="29">
        <f>INDEX('Dados'!$E$434:$E$439,1)</f>
        <v/>
      </c>
      <c r="J46" s="29">
        <f>INDEX('Dados'!$F$434:$F$439,1)</f>
        <v/>
      </c>
    </row>
    <row r="47">
      <c r="A47" s="32">
        <f>"Arma "&amp;INDEX('Dados'!$A$434:$A$439,2)</f>
        <v/>
      </c>
      <c r="C47" s="4">
        <f>INDEX('Dados'!$B$434:$B$439,2)&amp;", "&amp;INDEX('Dados'!$C$434:$C$439,2)&amp;", "&amp;INDEX('Dados'!$D$434:$D$439,2)</f>
        <v/>
      </c>
      <c r="I47" s="17">
        <f>INDEX('Dados'!$E$434:$E$439,2)</f>
        <v/>
      </c>
      <c r="J47" s="17">
        <f>INDEX('Dados'!$F$434:$F$439,2)</f>
        <v/>
      </c>
    </row>
    <row r="48">
      <c r="A48" s="33">
        <f>"Arma "&amp;INDEX('Dados'!$A$434:$A$439,3)</f>
        <v/>
      </c>
      <c r="C48" s="9">
        <f>INDEX('Dados'!$B$434:$B$439,3)&amp;", "&amp;INDEX('Dados'!$C$434:$C$439,3)&amp;", "&amp;INDEX('Dados'!$D$434:$D$439,3)</f>
        <v/>
      </c>
      <c r="I48" s="29">
        <f>INDEX('Dados'!$E$434:$E$439,3)</f>
        <v/>
      </c>
      <c r="J48" s="29">
        <f>INDEX('Dados'!$F$434:$F$439,3)</f>
        <v/>
      </c>
    </row>
    <row r="49">
      <c r="A49" s="32">
        <f>"Arma "&amp;INDEX('Dados'!$A$434:$A$439,4)</f>
        <v/>
      </c>
      <c r="C49" s="4">
        <f>INDEX('Dados'!$B$434:$B$439,4)&amp;", "&amp;INDEX('Dados'!$C$434:$C$439,4)&amp;", "&amp;INDEX('Dados'!$D$434:$D$439,4)</f>
        <v/>
      </c>
      <c r="I49" s="17">
        <f>INDEX('Dados'!$E$434:$E$439,4)</f>
        <v/>
      </c>
      <c r="J49" s="17">
        <f>INDEX('Dados'!$F$434:$F$439,4)</f>
        <v/>
      </c>
    </row>
    <row r="50">
      <c r="A50" s="33">
        <f>"Arma "&amp;INDEX('Dados'!$A$434:$A$439,5)</f>
        <v/>
      </c>
      <c r="C50" s="9">
        <f>INDEX('Dados'!$B$434:$B$439,5)&amp;", "&amp;INDEX('Dados'!$C$434:$C$439,5)&amp;", "&amp;INDEX('Dados'!$D$434:$D$439,5)</f>
        <v/>
      </c>
      <c r="I50" s="29">
        <f>INDEX('Dados'!$E$434:$E$439,5)</f>
        <v/>
      </c>
      <c r="J50" s="29">
        <f>INDEX('Dados'!$F$434:$F$439,5)</f>
        <v/>
      </c>
    </row>
    <row r="51">
      <c r="A51" s="32">
        <f>"Arma "&amp;INDEX('Dados'!$A$434:$A$439,6)</f>
        <v/>
      </c>
      <c r="C51" s="4">
        <f>INDEX('Dados'!$B$434:$B$439,6)&amp;", "&amp;INDEX('Dados'!$C$434:$C$439,6)&amp;", "&amp;INDEX('Dados'!$D$434:$D$439,6)</f>
        <v/>
      </c>
      <c r="I51" s="17">
        <f>INDEX('Dados'!$E$434:$E$439,6)</f>
        <v/>
      </c>
      <c r="J51" s="17">
        <f>INDEX('Dados'!$F$434:$F$439,6)</f>
        <v/>
      </c>
    </row>
    <row r="52"/>
    <row r="53">
      <c r="A53" s="7" t="inlineStr">
        <is>
          <t>Poções de Vida</t>
        </is>
      </c>
      <c r="B53" s="20" t="n"/>
      <c r="C53" s="7" t="inlineStr">
        <is>
          <t>O que é</t>
        </is>
      </c>
      <c r="D53" s="20" t="n"/>
      <c r="E53" s="20" t="n"/>
      <c r="F53" s="20" t="n"/>
      <c r="G53" s="20" t="n"/>
      <c r="H53" s="20" t="n"/>
      <c r="I53" s="7" t="inlineStr">
        <is>
          <t>Espaço</t>
        </is>
      </c>
      <c r="J53" s="7" t="inlineStr">
        <is>
          <t>Preço (Cr)</t>
        </is>
      </c>
    </row>
    <row r="54">
      <c r="A54" s="32">
        <f>"Poção "&amp;INDEX('Dados'!$A$408:$A$410,1)</f>
        <v/>
      </c>
      <c r="C54" s="4">
        <f>"Cura "&amp;INDEX('Dados'!$B$408:$B$410,1)&amp;" (fixa)"</f>
        <v/>
      </c>
      <c r="I54" s="17">
        <f>INDEX('Dados'!$C$408:$C$410,1)</f>
        <v/>
      </c>
      <c r="J54" s="17">
        <f>INDEX('Dados'!$D$408:$D$410,1)</f>
        <v/>
      </c>
    </row>
    <row r="55">
      <c r="A55" s="33">
        <f>"Poção "&amp;INDEX('Dados'!$A$408:$A$410,2)</f>
        <v/>
      </c>
      <c r="C55" s="9">
        <f>"Cura "&amp;INDEX('Dados'!$B$408:$B$410,2)&amp;" (fixa)"</f>
        <v/>
      </c>
      <c r="I55" s="29">
        <f>INDEX('Dados'!$C$408:$C$410,2)</f>
        <v/>
      </c>
      <c r="J55" s="29">
        <f>INDEX('Dados'!$D$408:$D$410,2)</f>
        <v/>
      </c>
    </row>
    <row r="56">
      <c r="A56" s="32">
        <f>"Poção "&amp;INDEX('Dados'!$A$408:$A$410,3)</f>
        <v/>
      </c>
      <c r="C56" s="4">
        <f>"Cura "&amp;INDEX('Dados'!$B$408:$B$410,3)&amp;" (fixa)"</f>
        <v/>
      </c>
      <c r="I56" s="17">
        <f>INDEX('Dados'!$C$408:$C$410,3)</f>
        <v/>
      </c>
      <c r="J56" s="17">
        <f>INDEX('Dados'!$D$408:$D$410,3)</f>
        <v/>
      </c>
    </row>
    <row r="57"/>
    <row r="58">
      <c r="A58" s="7" t="inlineStr">
        <is>
          <t>Itens comuns</t>
        </is>
      </c>
      <c r="B58" s="20" t="n"/>
      <c r="C58" s="7" t="inlineStr">
        <is>
          <t>O que é</t>
        </is>
      </c>
      <c r="D58" s="20" t="n"/>
      <c r="E58" s="20" t="n"/>
      <c r="F58" s="20" t="n"/>
      <c r="G58" s="20" t="n"/>
      <c r="H58" s="20" t="n"/>
      <c r="I58" s="7" t="inlineStr">
        <is>
          <t>Espaço</t>
        </is>
      </c>
      <c r="J58" s="7" t="inlineStr">
        <is>
          <t>Preço (Cr)</t>
        </is>
      </c>
    </row>
    <row r="59">
      <c r="A59" s="32">
        <f>INDEX('Dados'!$A$414:$A$424,1)</f>
        <v/>
      </c>
      <c r="C59" s="4">
        <f>INDEX('Dados'!$D$414:$D$424,1)</f>
        <v/>
      </c>
      <c r="I59" s="17">
        <f>INDEX('Dados'!$B$414:$B$424,1)</f>
        <v/>
      </c>
      <c r="J59" s="17">
        <f>INDEX('Dados'!$C$414:$C$424,1)</f>
        <v/>
      </c>
    </row>
    <row r="60">
      <c r="A60" s="33">
        <f>INDEX('Dados'!$A$414:$A$424,2)</f>
        <v/>
      </c>
      <c r="C60" s="9">
        <f>INDEX('Dados'!$D$414:$D$424,2)</f>
        <v/>
      </c>
      <c r="I60" s="29">
        <f>INDEX('Dados'!$B$414:$B$424,2)</f>
        <v/>
      </c>
      <c r="J60" s="29">
        <f>INDEX('Dados'!$C$414:$C$424,2)</f>
        <v/>
      </c>
    </row>
    <row r="61">
      <c r="A61" s="32">
        <f>INDEX('Dados'!$A$414:$A$424,3)</f>
        <v/>
      </c>
      <c r="C61" s="4">
        <f>INDEX('Dados'!$D$414:$D$424,3)</f>
        <v/>
      </c>
      <c r="I61" s="17">
        <f>INDEX('Dados'!$B$414:$B$424,3)</f>
        <v/>
      </c>
      <c r="J61" s="17">
        <f>INDEX('Dados'!$C$414:$C$424,3)</f>
        <v/>
      </c>
    </row>
    <row r="62">
      <c r="A62" s="33">
        <f>INDEX('Dados'!$A$414:$A$424,4)</f>
        <v/>
      </c>
      <c r="C62" s="9">
        <f>INDEX('Dados'!$D$414:$D$424,4)</f>
        <v/>
      </c>
      <c r="I62" s="29">
        <f>INDEX('Dados'!$B$414:$B$424,4)</f>
        <v/>
      </c>
      <c r="J62" s="29">
        <f>INDEX('Dados'!$C$414:$C$424,4)</f>
        <v/>
      </c>
    </row>
    <row r="63">
      <c r="A63" s="32">
        <f>INDEX('Dados'!$A$414:$A$424,5)</f>
        <v/>
      </c>
      <c r="C63" s="4">
        <f>INDEX('Dados'!$D$414:$D$424,5)</f>
        <v/>
      </c>
      <c r="I63" s="17">
        <f>INDEX('Dados'!$B$414:$B$424,5)</f>
        <v/>
      </c>
      <c r="J63" s="17">
        <f>INDEX('Dados'!$C$414:$C$424,5)</f>
        <v/>
      </c>
    </row>
    <row r="64">
      <c r="A64" s="33">
        <f>INDEX('Dados'!$A$414:$A$424,6)</f>
        <v/>
      </c>
      <c r="C64" s="9">
        <f>INDEX('Dados'!$D$414:$D$424,6)</f>
        <v/>
      </c>
      <c r="I64" s="29">
        <f>INDEX('Dados'!$B$414:$B$424,6)</f>
        <v/>
      </c>
      <c r="J64" s="29">
        <f>INDEX('Dados'!$C$414:$C$424,6)</f>
        <v/>
      </c>
    </row>
    <row r="65">
      <c r="A65" s="32">
        <f>INDEX('Dados'!$A$414:$A$424,7)</f>
        <v/>
      </c>
      <c r="C65" s="4">
        <f>INDEX('Dados'!$D$414:$D$424,7)</f>
        <v/>
      </c>
      <c r="I65" s="17">
        <f>INDEX('Dados'!$B$414:$B$424,7)</f>
        <v/>
      </c>
      <c r="J65" s="17">
        <f>INDEX('Dados'!$C$414:$C$424,7)</f>
        <v/>
      </c>
    </row>
    <row r="66">
      <c r="A66" s="33">
        <f>INDEX('Dados'!$A$414:$A$424,8)</f>
        <v/>
      </c>
      <c r="C66" s="9">
        <f>INDEX('Dados'!$D$414:$D$424,8)</f>
        <v/>
      </c>
      <c r="I66" s="29">
        <f>INDEX('Dados'!$B$414:$B$424,8)</f>
        <v/>
      </c>
      <c r="J66" s="29">
        <f>INDEX('Dados'!$C$414:$C$424,8)</f>
        <v/>
      </c>
    </row>
    <row r="67">
      <c r="A67" s="32">
        <f>INDEX('Dados'!$A$414:$A$424,9)</f>
        <v/>
      </c>
      <c r="C67" s="4">
        <f>INDEX('Dados'!$D$414:$D$424,9)</f>
        <v/>
      </c>
      <c r="I67" s="17">
        <f>INDEX('Dados'!$B$414:$B$424,9)</f>
        <v/>
      </c>
      <c r="J67" s="17">
        <f>INDEX('Dados'!$C$414:$C$424,9)</f>
        <v/>
      </c>
    </row>
    <row r="68">
      <c r="A68" s="33">
        <f>INDEX('Dados'!$A$414:$A$424,10)</f>
        <v/>
      </c>
      <c r="C68" s="9">
        <f>INDEX('Dados'!$D$414:$D$424,10)</f>
        <v/>
      </c>
      <c r="I68" s="29">
        <f>INDEX('Dados'!$B$414:$B$424,10)</f>
        <v/>
      </c>
      <c r="J68" s="29">
        <f>INDEX('Dados'!$C$414:$C$424,10)</f>
        <v/>
      </c>
    </row>
    <row r="69">
      <c r="A69" s="32">
        <f>INDEX('Dados'!$A$414:$A$424,11)</f>
        <v/>
      </c>
      <c r="C69" s="4">
        <f>INDEX('Dados'!$D$414:$D$424,11)</f>
        <v/>
      </c>
      <c r="I69" s="17">
        <f>INDEX('Dados'!$B$414:$B$424,11)</f>
        <v/>
      </c>
      <c r="J69" s="17">
        <f>INDEX('Dados'!$C$414:$C$424,11)</f>
        <v/>
      </c>
    </row>
    <row r="70"/>
    <row r="71"/>
    <row r="72"/>
    <row r="73"/>
    <row r="74"/>
    <row r="75"/>
    <row r="76"/>
    <row r="77"/>
    <row r="78"/>
    <row r="79"/>
    <row r="80" ht="20" customHeight="1">
      <c r="A80" s="12" t="inlineStr">
        <is>
          <t>Achados de encontro (G = 400): faixa vazia = a do grupo; leitura vazia = Típico</t>
        </is>
      </c>
    </row>
    <row r="81">
      <c r="A81" s="7" t="inlineStr">
        <is>
          <t>Rolagem nº</t>
        </is>
      </c>
      <c r="B81" s="7" t="inlineStr">
        <is>
          <t>Faixa</t>
        </is>
      </c>
      <c r="C81" s="7" t="inlineStr">
        <is>
          <t>Leitura do encontro</t>
        </is>
      </c>
      <c r="D81" s="20" t="n"/>
      <c r="E81" s="7" t="inlineStr">
        <is>
          <t>Rolagem efetiva</t>
        </is>
      </c>
      <c r="F81" s="20" t="n"/>
      <c r="G81" s="7" t="inlineStr">
        <is>
          <t>Quando usar</t>
        </is>
      </c>
      <c r="H81" s="20" t="n"/>
      <c r="I81" s="20" t="n"/>
      <c r="J81" s="20" t="n"/>
      <c r="K81" s="7" t="inlineStr">
        <is>
          <t>Aviso</t>
        </is>
      </c>
      <c r="L81" s="20" t="n"/>
    </row>
    <row r="82" ht="26" customHeight="1">
      <c r="A82" s="35" t="n"/>
      <c r="B82" s="36" t="n"/>
      <c r="C82" s="3" t="n"/>
      <c r="D82" s="16" t="n"/>
      <c r="E82" s="17">
        <f>IF(ISNUMBER($AE$82),IF(AND($AE$82&gt;=1,$AE$82&lt;=1000000,INT($AE$82)=$AE$82),$AE$82,1),1)</f>
        <v/>
      </c>
      <c r="G82" s="11" t="inlineStr">
        <is>
          <t>Depois de um encontro, se a cena pedir algo no chão. A leitura é a da aba Encontros (H6).</t>
        </is>
      </c>
      <c r="K82" s="18">
        <f>IF(AK82&gt;0,"O Google leu como fórmula: escolha de novo ou digite com ' na frente.",IF(LEN(IF(LEN($AE$82)=0,"",IF(ISNUMBER($AE$82),IF(AND($AE$82&gt;=1,$AE$82&lt;=1000000,INT($AE$82)=$AE$82),"","Rolagem nº fora de 1 a 1.000.000: usando 1"),"Rolagem nº fora de 1 a 1.000.000: usando 1")))&gt;0,IF(LEN($AE$82)=0,"",IF(ISNUMBER($AE$82),IF(AND($AE$82&gt;=1,$AE$82&lt;=1000000,INT($AE$82)=$AE$82),"","Rolagem nº fora de 1 a 1.000.000: usando 1"),"Rolagem nº fora de 1 a 1.000.000: usando 1")),IF(AND(LEN($AF$82)&gt;0,LEN(IFERROR(INDEX('Dados'!$B$7:$B$11,MATCH($AF$82,'Dados'!$AP$6:$AP$10,0)),""))=0),"Faixa fora da lista: usando a do grupo",IF(AND(LEN($AG$82)&gt;0,COUNTIF('Dados'!$BT$6:$BT$8,$AG$82)=0),"Leitura fora da lista: usando Típico",""))))</f>
        <v/>
      </c>
      <c r="AE82" s="19">
        <f>IF(ISERROR($A$82),"",IF(ISBLANK($A$82),"",$A$82))</f>
        <v/>
      </c>
      <c r="AF82" s="19">
        <f>IF(ISERROR($B$82),"",IF(ISBLANK($B$82),"",$B$82))</f>
        <v/>
      </c>
      <c r="AG82" s="19">
        <f>IF(ISERROR($C$82),"",IF(ISBLANK($C$82),"",$C$82))</f>
        <v/>
      </c>
      <c r="AK82" s="19">
        <f>ISERROR($A$82)*1+ISERROR($B$82)*1+ISERROR($C$82)*1</f>
        <v/>
      </c>
    </row>
    <row r="83"/>
    <row r="84">
      <c r="A84" s="7" t="inlineStr">
        <is>
          <t>Achado</t>
        </is>
      </c>
      <c r="B84" s="7" t="inlineStr">
        <is>
          <t>O quê</t>
        </is>
      </c>
      <c r="C84" s="20" t="n"/>
      <c r="D84" s="20" t="n"/>
      <c r="E84" s="20" t="n"/>
      <c r="F84" s="20" t="n"/>
      <c r="G84" s="7" t="inlineStr">
        <is>
          <t>Quantidade</t>
        </is>
      </c>
      <c r="H84" s="7" t="inlineStr">
        <is>
          <t>Valor (Cr)</t>
        </is>
      </c>
      <c r="I84" s="7" t="inlineStr">
        <is>
          <t>De onde vem</t>
        </is>
      </c>
      <c r="J84" s="20" t="n"/>
      <c r="K84" s="7" t="inlineStr">
        <is>
          <t>Aviso</t>
        </is>
      </c>
      <c r="L84" s="20" t="n"/>
    </row>
    <row r="85" ht="48" customHeight="1">
      <c r="A85" s="8" t="inlineStr">
        <is>
          <t>Créditos</t>
        </is>
      </c>
      <c r="B85" s="4">
        <f>"Créditos achados"</f>
        <v/>
      </c>
      <c r="G85" s="17">
        <f>1</f>
        <v/>
      </c>
      <c r="H85" s="17">
        <f>$O$14</f>
        <v/>
      </c>
      <c r="I85" s="4">
        <f>$O$12&amp;"% da verba de marco da faixa "&amp;$O$10&amp;" (24.5) · Sugestão da planilha — não é regra do livro (H18)"</f>
        <v/>
      </c>
    </row>
    <row r="86" ht="37" customHeight="1">
      <c r="A86" s="21" t="inlineStr">
        <is>
          <t>Consumíveis</t>
        </is>
      </c>
      <c r="B86" s="9">
        <f>"Quantos consumíveis o encontro deixa"</f>
        <v/>
      </c>
      <c r="G86" s="29">
        <f>$O$15</f>
        <v/>
      </c>
      <c r="H86" s="29">
        <f>""</f>
        <v/>
      </c>
      <c r="I86" s="9">
        <f>"0 a 2, uniforme · Sugestão da planilha — não é regra do livro (H9)"</f>
        <v/>
      </c>
      <c r="K86" s="38" t="n"/>
      <c r="L86" s="38" t="n"/>
    </row>
    <row r="87" ht="26" customHeight="1">
      <c r="A87" s="8" t="inlineStr">
        <is>
          <t>Consumível 1</t>
        </is>
      </c>
      <c r="B87" s="4">
        <f>$O$21</f>
        <v/>
      </c>
      <c r="G87" s="17">
        <f>IF(LEN($O$21)&gt;0,1,"")</f>
        <v/>
      </c>
      <c r="H87" s="17">
        <f>$O$23</f>
        <v/>
      </c>
      <c r="I87" s="4">
        <f>IF(LEN($O$21)&gt;0,"24.3 (preço de referência), faixa "&amp;$O$10,"")</f>
        <v/>
      </c>
    </row>
    <row r="88" ht="26" customHeight="1">
      <c r="A88" s="21" t="inlineStr">
        <is>
          <t>Consumível 2</t>
        </is>
      </c>
      <c r="B88" s="9">
        <f>$O$22</f>
        <v/>
      </c>
      <c r="G88" s="29">
        <f>IF(LEN($O$22)&gt;0,1,"")</f>
        <v/>
      </c>
      <c r="H88" s="29">
        <f>$O$24</f>
        <v/>
      </c>
      <c r="I88" s="9">
        <f>IF(LEN($O$22)&gt;0,"24.3 (preço de referência), faixa "&amp;$O$10,"")</f>
        <v/>
      </c>
      <c r="K88" s="38" t="n"/>
      <c r="L88" s="38" t="n"/>
    </row>
    <row r="89">
      <c r="A89" s="8" t="inlineStr">
        <is>
          <t>Bugiganga</t>
        </is>
      </c>
      <c r="B89" s="4">
        <f>$O$25</f>
        <v/>
      </c>
      <c r="G89" s="17">
        <f>IF(LEN($O$25)&gt;0,1,"")</f>
        <v/>
      </c>
      <c r="H89" s="17">
        <f>"—"</f>
        <v/>
      </c>
      <c r="I89" s="4">
        <f>"Tabelas: Bugiganga"</f>
        <v/>
      </c>
      <c r="K89" s="18">
        <f>IF('Tabelas'!$C$699&lt;=0,"Lista 'Bugiganga' está vazia (aba Tabelas)","")</f>
        <v/>
      </c>
    </row>
    <row r="90">
      <c r="A90" s="21" t="inlineStr">
        <is>
          <t>Pista ou informação</t>
        </is>
      </c>
      <c r="B90" s="9">
        <f>$O$26</f>
        <v/>
      </c>
      <c r="G90" s="29">
        <f>""</f>
        <v/>
      </c>
      <c r="H90" s="29">
        <f>"—"</f>
        <v/>
      </c>
      <c r="I90" s="9">
        <f>"Tabelas: Pista"</f>
        <v/>
      </c>
      <c r="K90" s="26">
        <f>IF('Tabelas'!$B$699&lt;=0,"Lista 'Pista' está vazia (aba Tabelas)","")</f>
        <v/>
      </c>
    </row>
    <row r="91">
      <c r="A91" s="43" t="inlineStr">
        <is>
          <t>Créditos são preço de referência, não economia; nada no balanceamento depende deles (24.5). Equipamento de faixa (Cone, Tier) só por marco (25.1).</t>
        </is>
      </c>
    </row>
    <row r="92"/>
    <row r="93" ht="20" customHeight="1">
      <c r="A93" s="12" t="inlineStr">
        <is>
          <t>Linha de saída: copie A:J e cole como valores no Tesouro (Colar especial → Somente valores)</t>
        </is>
      </c>
    </row>
    <row r="94" ht="26" customHeight="1">
      <c r="A94" s="7" t="inlineStr">
        <is>
          <t>Sessão</t>
        </is>
      </c>
      <c r="B94" s="7" t="inlineStr">
        <is>
          <t>Item ou Créditos</t>
        </is>
      </c>
      <c r="C94" s="20" t="n"/>
      <c r="D94" s="20" t="n"/>
      <c r="E94" s="7" t="inlineStr">
        <is>
          <t>Quantidade</t>
        </is>
      </c>
      <c r="F94" s="7" t="inlineStr">
        <is>
          <t>Créditos (+ entra, − sai)</t>
        </is>
      </c>
      <c r="G94" s="7" t="inlineStr">
        <is>
          <t>Com quem</t>
        </is>
      </c>
      <c r="H94" s="20" t="n"/>
      <c r="I94" s="7" t="inlineStr">
        <is>
          <t>Notas</t>
        </is>
      </c>
      <c r="J94" s="20" t="n"/>
      <c r="K94" s="7" t="inlineStr">
        <is>
          <t>Aviso</t>
        </is>
      </c>
      <c r="L94" s="20" t="n"/>
    </row>
    <row r="95" ht="26" customHeight="1">
      <c r="A95" s="44">
        <f>IF(ISNUMBER('Campanha'!$P$10),'Campanha'!$P$10,"")</f>
        <v/>
      </c>
      <c r="B95" s="4">
        <f>"Créditos (achados)"</f>
        <v/>
      </c>
      <c r="E95" s="17">
        <f>1</f>
        <v/>
      </c>
      <c r="F95" s="17">
        <f>$O$14</f>
        <v/>
      </c>
      <c r="G95" s="4">
        <f>"Grupo"</f>
        <v/>
      </c>
      <c r="I95" s="4">
        <f>"Achado de encontro (24.5; H18)"</f>
        <v/>
      </c>
    </row>
    <row r="96" ht="26" customHeight="1">
      <c r="A96" s="45">
        <f>IF(ISNUMBER('Campanha'!$P$10),'Campanha'!$P$10,"")</f>
        <v/>
      </c>
      <c r="B96" s="9">
        <f>$O$21</f>
        <v/>
      </c>
      <c r="E96" s="29">
        <f>IF(LEN($O$21)&gt;0,1,"")</f>
        <v/>
      </c>
      <c r="F96" s="29">
        <f>""</f>
        <v/>
      </c>
      <c r="G96" s="9">
        <f>"Grupo"</f>
        <v/>
      </c>
      <c r="I96" s="9">
        <f>IF(LEN($O$21)&gt;0,"Preço de referência "&amp;$O$23&amp;" Cr (24.3)","")</f>
        <v/>
      </c>
      <c r="K96" s="38" t="n"/>
      <c r="L96" s="38" t="n"/>
    </row>
    <row r="97" ht="26" customHeight="1">
      <c r="A97" s="44">
        <f>IF(ISNUMBER('Campanha'!$P$10),'Campanha'!$P$10,"")</f>
        <v/>
      </c>
      <c r="B97" s="4">
        <f>$O$22</f>
        <v/>
      </c>
      <c r="E97" s="17">
        <f>IF(LEN($O$22)&gt;0,1,"")</f>
        <v/>
      </c>
      <c r="F97" s="17">
        <f>""</f>
        <v/>
      </c>
      <c r="G97" s="4">
        <f>"Grupo"</f>
        <v/>
      </c>
      <c r="I97" s="4">
        <f>IF(LEN($O$22)&gt;0,"Preço de referência "&amp;$O$24&amp;" Cr (24.3)","")</f>
        <v/>
      </c>
    </row>
    <row r="98" ht="26" customHeight="1">
      <c r="A98" s="45">
        <f>IF(ISNUMBER('Campanha'!$P$10),'Campanha'!$P$10,"")</f>
        <v/>
      </c>
      <c r="B98" s="9">
        <f>$O$25</f>
        <v/>
      </c>
      <c r="E98" s="29">
        <f>IF(LEN($O$25)&gt;0,1,"")</f>
        <v/>
      </c>
      <c r="F98" s="29">
        <f>""</f>
        <v/>
      </c>
      <c r="G98" s="9">
        <f>"Grupo"</f>
        <v/>
      </c>
      <c r="I98" s="9">
        <f>"Bugiganga, sem preço"</f>
        <v/>
      </c>
      <c r="K98" s="38" t="n"/>
      <c r="L98" s="38" t="n"/>
    </row>
    <row r="99"/>
    <row r="100" ht="26" customHeight="1">
      <c r="A100" s="12" t="inlineStr">
        <is>
          <t>Sabor de Cone de Luz (G = 410): faixa vazia = a do grupo</t>
        </is>
      </c>
      <c r="K100" s="11" t="inlineStr">
        <is>
          <t>Sugestão da planilha — não é regra do livro (H11)</t>
        </is>
      </c>
    </row>
    <row r="101">
      <c r="A101" s="7" t="inlineStr">
        <is>
          <t>Rolagem nº</t>
        </is>
      </c>
      <c r="B101" s="7" t="inlineStr">
        <is>
          <t>Faixa</t>
        </is>
      </c>
      <c r="C101" s="7" t="inlineStr">
        <is>
          <t>Rolagem efetiva</t>
        </is>
      </c>
      <c r="D101" s="20" t="n"/>
      <c r="E101" s="7" t="inlineStr">
        <is>
          <t>Como usar</t>
        </is>
      </c>
      <c r="F101" s="20" t="n"/>
      <c r="G101" s="20" t="n"/>
      <c r="H101" s="20" t="n"/>
      <c r="I101" s="20" t="n"/>
      <c r="J101" s="20" t="n"/>
      <c r="K101" s="7" t="inlineStr">
        <is>
          <t>Aviso</t>
        </is>
      </c>
      <c r="L101" s="20" t="n"/>
    </row>
    <row r="102" ht="26" customHeight="1">
      <c r="A102" s="35" t="n"/>
      <c r="B102" s="36" t="n"/>
      <c r="C102" s="17">
        <f>IF(ISNUMBER($AE$102),IF(AND($AE$102&gt;=1,$AE$102&lt;=1000000,INT($AE$102)=$AE$102),$AE$102,1),1)</f>
        <v/>
      </c>
      <c r="E102" s="11" t="inlineStr">
        <is>
          <t>Sabor sorteado; o Cone é recompensa de marco escrita com o jogador (25.1, 25.2).</t>
        </is>
      </c>
      <c r="K102" s="18">
        <f>IF(AK102&gt;0,"O Google leu como fórmula: escolha de novo ou digite com ' na frente.",IF(LEN(IF(LEN($AE$102)=0,"",IF(ISNUMBER($AE$102),IF(AND($AE$102&gt;=1,$AE$102&lt;=1000000,INT($AE$102)=$AE$102),"","Rolagem nº fora de 1 a 1.000.000: usando 1"),"Rolagem nº fora de 1 a 1.000.000: usando 1")))&gt;0,IF(LEN($AE$102)=0,"",IF(ISNUMBER($AE$102),IF(AND($AE$102&gt;=1,$AE$102&lt;=1000000,INT($AE$102)=$AE$102),"","Rolagem nº fora de 1 a 1.000.000: usando 1"),"Rolagem nº fora de 1 a 1.000.000: usando 1")),IF(AND(LEN($AF$102)&gt;0,LEN(IFERROR(INDEX('Dados'!$B$7:$B$11,MATCH($AF$102,'Dados'!$AP$6:$AP$10,0)),""))=0),"Faixa fora da lista: usando a do grupo","")))</f>
        <v/>
      </c>
      <c r="AE102" s="19">
        <f>IF(ISERROR($A$102),"",IF(ISBLANK($A$102),"",$A$102))</f>
        <v/>
      </c>
      <c r="AF102" s="19">
        <f>IF(ISERROR($B$102),"",IF(ISBLANK($B$102),"",$B$102))</f>
        <v/>
      </c>
      <c r="AK102" s="19">
        <f>ISERROR($A$102)*1+ISERROR($B$102)*1</f>
        <v/>
      </c>
    </row>
    <row r="103"/>
    <row r="104">
      <c r="A104" s="7" t="inlineStr">
        <is>
          <t>Campo</t>
        </is>
      </c>
      <c r="B104" s="7" t="inlineStr">
        <is>
          <t>Sorteado</t>
        </is>
      </c>
      <c r="C104" s="20" t="n"/>
      <c r="D104" s="20" t="n"/>
      <c r="E104" s="20" t="n"/>
      <c r="F104" s="20" t="n"/>
      <c r="G104" s="20" t="n"/>
      <c r="H104" s="20" t="n"/>
      <c r="I104" s="7" t="inlineStr">
        <is>
          <t>De onde vem</t>
        </is>
      </c>
      <c r="J104" s="20" t="n"/>
      <c r="K104" s="7" t="inlineStr">
        <is>
          <t>Aviso</t>
        </is>
      </c>
      <c r="L104" s="20" t="n"/>
    </row>
    <row r="105" ht="26" customHeight="1">
      <c r="A105" s="8" t="inlineStr">
        <is>
          <t>Nome do Cone</t>
        </is>
      </c>
      <c r="B105" s="4">
        <f>$O$34</f>
        <v/>
      </c>
      <c r="I105" s="4">
        <f>"Tabelas: Nome do Cone (início + fim)"</f>
        <v/>
      </c>
      <c r="K105" s="18">
        <f>IF('Tabelas'!$D$699&lt;=0,"Lista 'Nome do Cone (início)' está vazia (aba Tabelas)","")</f>
        <v/>
      </c>
    </row>
    <row r="106" ht="26" customHeight="1">
      <c r="A106" s="21" t="inlineStr">
        <is>
          <t>Nível do Cone</t>
        </is>
      </c>
      <c r="B106" s="9">
        <f>"Nível "&amp;$O$31</f>
        <v/>
      </c>
      <c r="I106" s="9">
        <f>"Cone de Luz máximo da faixa "&amp;$O$30&amp;" (25.1)"</f>
        <v/>
      </c>
      <c r="K106" s="38" t="n"/>
      <c r="L106" s="38" t="n"/>
    </row>
    <row r="107" ht="26" customHeight="1">
      <c r="A107" s="8" t="inlineStr">
        <is>
          <t>Memória que carrega</t>
        </is>
      </c>
      <c r="B107" s="4">
        <f>$O$35</f>
        <v/>
      </c>
      <c r="I107" s="4">
        <f>"Tabelas: Memória do Cone"</f>
        <v/>
      </c>
      <c r="K107" s="18">
        <f>IF('Tabelas'!$F$699&lt;=0,"Lista 'Memória do Cone' está vazia (aba Tabelas)","")</f>
        <v/>
      </c>
    </row>
    <row r="108" ht="37" customHeight="1">
      <c r="A108" s="21" t="inlineStr">
        <is>
          <t>Bônus Maior</t>
        </is>
      </c>
      <c r="B108" s="9">
        <f>$O$36&amp;": "&amp;INDEX('Dados'!$C$468:$C$472,$O$31)</f>
        <v/>
      </c>
      <c r="I108" s="9">
        <f>"Escolha de 25.2; número pela tabela de 25.2. Permanente e fora do teto (25.2)."</f>
        <v/>
      </c>
      <c r="K108" s="38" t="n"/>
      <c r="L108" s="38" t="n"/>
    </row>
    <row r="109" ht="48" customHeight="1">
      <c r="A109" s="8" t="inlineStr">
        <is>
          <t>Efeito Condicional</t>
        </is>
      </c>
      <c r="B109" s="4">
        <f>IF($O$31&gt;=4,"Dois efeitos: "&amp;$O$38&amp;"; "&amp;$O$39,$O$38)&amp;" — "&amp;INDEX('Dados'!$D$468:$D$472,$O$31)</f>
        <v/>
      </c>
      <c r="I109" s="4">
        <f>"Gatilho: Tabelas (os 6 primeiros são os de 25.2). Temporário, entra no teto (25.2)."</f>
        <v/>
      </c>
      <c r="K109" s="18">
        <f>IF('Tabelas'!$G$699&lt;=0,"Lista 'Gatilho' está vazia (aba Tabelas)","")</f>
        <v/>
      </c>
    </row>
    <row r="110" ht="37" customHeight="1">
      <c r="A110" s="21" t="inlineStr">
        <is>
          <t>Sobreposição</t>
        </is>
      </c>
      <c r="B110" s="9">
        <f>"Até "&amp;INDEX('Dados'!$H$468:$H$472,$O$31)&amp;" neste Nível (parte numérica até +3; PV até +"&amp;INDEX('Dados'!$I$468:$I$472,$O$31)&amp;"); no máximo 1 por faixa"</f>
        <v/>
      </c>
      <c r="I110" s="9">
        <f>"25.2: cada Sobreposição soma +1 e +10 PV ao Bônus Maior."</f>
        <v/>
      </c>
      <c r="K110" s="38" t="n"/>
      <c r="L110" s="38" t="n"/>
    </row>
    <row r="111"/>
    <row r="112" ht="26" customHeight="1">
      <c r="A112" s="12" t="inlineStr">
        <is>
          <t>Sabor de Conjunto de Relíquias (G = 420)</t>
        </is>
      </c>
      <c r="K112" s="11" t="inlineStr">
        <is>
          <t>Sugestão da planilha — não é regra do livro (H11)</t>
        </is>
      </c>
    </row>
    <row r="113">
      <c r="A113" s="7" t="inlineStr">
        <is>
          <t>Rolagem nº</t>
        </is>
      </c>
      <c r="B113" s="7" t="inlineStr">
        <is>
          <t>Rolagem efetiva</t>
        </is>
      </c>
      <c r="C113" s="20" t="n"/>
      <c r="D113" s="7" t="inlineStr">
        <is>
          <t>Como usar</t>
        </is>
      </c>
      <c r="E113" s="20" t="n"/>
      <c r="F113" s="20" t="n"/>
      <c r="G113" s="20" t="n"/>
      <c r="H113" s="20" t="n"/>
      <c r="I113" s="20" t="n"/>
      <c r="J113" s="20" t="n"/>
      <c r="K113" s="7" t="inlineStr">
        <is>
          <t>Aviso</t>
        </is>
      </c>
      <c r="L113" s="20" t="n"/>
    </row>
    <row r="114" ht="26" customHeight="1">
      <c r="A114" s="35" t="n"/>
      <c r="B114" s="17">
        <f>IF(ISNUMBER($AE$114),IF(AND($AE$114&gt;=1,$AE$114&lt;=1000000,INT($AE$114)=$AE$114),$AE$114,1),1)</f>
        <v/>
      </c>
      <c r="D114" s="11" t="inlineStr">
        <is>
          <t>Seis fragmentos de um mesmo lugar, de uma mesma catástrofe, de um mesmo morto ilustre (25.3).</t>
        </is>
      </c>
      <c r="K114" s="18">
        <f>IF(AK114&gt;0,"O Google leu como fórmula: digite de novo com ' na frente.",IF(LEN($AE$114)=0,"",IF(ISNUMBER($AE$114),IF(AND($AE$114&gt;=1,$AE$114&lt;=1000000,INT($AE$114)=$AE$114),"","Rolagem nº fora de 1 a 1.000.000: usando 1"),"Rolagem nº fora de 1 a 1.000.000: usando 1")))</f>
        <v/>
      </c>
      <c r="AE114" s="19">
        <f>IF(ISERROR($A$114),"",IF(ISBLANK($A$114),"",$A$114))</f>
        <v/>
      </c>
      <c r="AK114" s="19">
        <f>ISERROR($A$114)*1</f>
        <v/>
      </c>
    </row>
    <row r="115"/>
    <row r="116">
      <c r="A116" s="7" t="inlineStr">
        <is>
          <t>Campo</t>
        </is>
      </c>
      <c r="B116" s="7" t="inlineStr">
        <is>
          <t>Sorteado</t>
        </is>
      </c>
      <c r="C116" s="20" t="n"/>
      <c r="D116" s="20" t="n"/>
      <c r="E116" s="20" t="n"/>
      <c r="F116" s="20" t="n"/>
      <c r="G116" s="20" t="n"/>
      <c r="H116" s="20" t="n"/>
      <c r="I116" s="7" t="inlineStr">
        <is>
          <t>De onde vem</t>
        </is>
      </c>
      <c r="J116" s="20" t="n"/>
      <c r="K116" s="7" t="inlineStr">
        <is>
          <t>Aviso</t>
        </is>
      </c>
      <c r="L116" s="20" t="n"/>
    </row>
    <row r="117" ht="26" customHeight="1">
      <c r="A117" s="8" t="inlineStr">
        <is>
          <t>Nome do Conjunto</t>
        </is>
      </c>
      <c r="B117" s="4">
        <f>IF('Tabelas'!$H$699&lt;=0,"",IFERROR(INDEX('Tabelas'!$AD$702:$AD$808,MATCH(IF('Tabelas'!$H$699&lt;=0,0,INT($AC$30*'Tabelas'!$H$699/2147483647)+1),'Tabelas'!$T$702:$T$808,0))&amp;"",""))</f>
        <v/>
      </c>
      <c r="I117" s="4">
        <f>"Tabelas: Nome do Conjunto"</f>
        <v/>
      </c>
      <c r="K117" s="18">
        <f>IF('Tabelas'!$H$699&lt;=0,"Lista 'Nome do Conjunto' está vazia (aba Tabelas)","")</f>
        <v/>
      </c>
    </row>
    <row r="118" ht="26" customHeight="1">
      <c r="A118" s="21" t="inlineStr">
        <is>
          <t>Origem</t>
        </is>
      </c>
      <c r="B118" s="9">
        <f>IF('Tabelas'!$I$699&lt;=0,"",IFERROR(INDEX('Tabelas'!$AE$702:$AE$808,MATCH(IF('Tabelas'!$I$699&lt;=0,0,INT($AC$31*'Tabelas'!$I$699/2147483647)+1),'Tabelas'!$U$702:$U$808,0))&amp;"",""))</f>
        <v/>
      </c>
      <c r="I118" s="9">
        <f>"Tabelas: Origem do Conjunto (25.3)"</f>
        <v/>
      </c>
      <c r="K118" s="26">
        <f>IF('Tabelas'!$I$699&lt;=0,"Lista 'Origem do Conjunto' está vazia (aba Tabelas)","")</f>
        <v/>
      </c>
    </row>
    <row r="119" ht="26" customHeight="1">
      <c r="A119" s="8" t="inlineStr">
        <is>
          <t>2 peças</t>
        </is>
      </c>
      <c r="B119" s="4">
        <f>INDEX('Dados'!$A$577:$A$580,IF(4&lt;=0,0,INT($AC$32*4/2147483647)+1))</f>
        <v/>
      </c>
      <c r="I119" s="4">
        <f>"Uma das 4 opções de 25.3 (bônus pequeno e fixo)."</f>
        <v/>
      </c>
    </row>
    <row r="120" ht="37" customHeight="1">
      <c r="A120" s="21" t="inlineStr">
        <is>
          <t>4 peças</t>
        </is>
      </c>
      <c r="B120" s="9">
        <f>IF('Tabelas'!$J$699&lt;=0,"",IFERROR(INDEX('Tabelas'!$AF$702:$AF$808,MATCH(IF('Tabelas'!$J$699&lt;=0,0,INT($AC$33*'Tabelas'!$J$699/2147483647)+1),'Tabelas'!$V$702:$V$808,0))&amp;"",""))</f>
        <v/>
      </c>
      <c r="I120" s="9">
        <f>"Tabelas (as 2 primeiras são as de 25.3): efeito condicional por Ciclo."</f>
        <v/>
      </c>
      <c r="K120" s="26">
        <f>IF('Tabelas'!$J$699&lt;=0,"Lista 'Efeito de 4 peças' está vazia (aba Tabelas)","")</f>
        <v/>
      </c>
    </row>
    <row r="121">
      <c r="A121" s="8" t="inlineStr">
        <is>
          <t>Teto</t>
        </is>
      </c>
      <c r="B121" s="4">
        <f>"Os bônus de Conjunto não somam mais de +3 numa mesma rolagem e entram no teto global (25.3, 26.6)."</f>
        <v/>
      </c>
      <c r="I121" s="4">
        <f>"25.3"</f>
        <v/>
      </c>
    </row>
    <row r="122" ht="26" customHeight="1">
      <c r="A122" s="7" t="inlineStr">
        <is>
          <t>Slot (25.3)</t>
        </is>
      </c>
      <c r="B122" s="7" t="inlineStr">
        <is>
          <t>O que dá</t>
        </is>
      </c>
      <c r="C122" s="20" t="n"/>
      <c r="D122" s="20" t="n"/>
      <c r="E122" s="20" t="n"/>
      <c r="F122" s="7" t="inlineStr">
        <is>
          <t>Tier I (1-6)</t>
        </is>
      </c>
      <c r="G122" s="7" t="inlineStr">
        <is>
          <t>Tier II (7-12)</t>
        </is>
      </c>
      <c r="H122" s="7" t="inlineStr">
        <is>
          <t>Tier III (13-17)</t>
        </is>
      </c>
      <c r="I122" s="7" t="inlineStr">
        <is>
          <t>Tier IV (18-20)</t>
        </is>
      </c>
      <c r="J122" s="7" t="inlineStr">
        <is>
          <t>Grupo agora</t>
        </is>
      </c>
      <c r="K122" s="7" t="inlineStr">
        <is>
          <t>Aviso</t>
        </is>
      </c>
      <c r="L122" s="20" t="n"/>
    </row>
    <row r="123">
      <c r="A123" s="32">
        <f>INDEX('Dados'!$A$476:$A$481,1)</f>
        <v/>
      </c>
      <c r="B123" s="4">
        <f>INDEX('Dados'!$B$476:$B$481,1)</f>
        <v/>
      </c>
      <c r="F123" s="17">
        <f>"+"&amp;INDEX('Dados'!$C$476:$C$481,1)</f>
        <v/>
      </c>
      <c r="G123" s="17">
        <f>"+"&amp;INDEX('Dados'!$D$476:$D$481,1)</f>
        <v/>
      </c>
      <c r="H123" s="17">
        <f>"+"&amp;INDEX('Dados'!$E$476:$E$481,1)</f>
        <v/>
      </c>
      <c r="I123" s="17">
        <f>"+"&amp;INDEX('Dados'!$F$476:$F$481,1)</f>
        <v/>
      </c>
      <c r="J123" s="17">
        <f>"+"&amp;IF(INDEX('Dados'!$D$497:$D$516,'Campanha'!$B$17)="Tier I",INDEX('Dados'!$C$476:$C$481,1),IF(INDEX('Dados'!$D$497:$D$516,'Campanha'!$B$17)="Tier II",INDEX('Dados'!$D$476:$D$481,1),IF(INDEX('Dados'!$D$497:$D$516,'Campanha'!$B$17)="Tier III",INDEX('Dados'!$E$476:$E$481,1),INDEX('Dados'!$F$476:$F$481,1))))</f>
        <v/>
      </c>
    </row>
    <row r="124">
      <c r="A124" s="33">
        <f>INDEX('Dados'!$A$476:$A$481,2)</f>
        <v/>
      </c>
      <c r="B124" s="9">
        <f>INDEX('Dados'!$B$476:$B$481,2)</f>
        <v/>
      </c>
      <c r="F124" s="29">
        <f>"+"&amp;INDEX('Dados'!$C$476:$C$481,2)</f>
        <v/>
      </c>
      <c r="G124" s="29">
        <f>"+"&amp;INDEX('Dados'!$D$476:$D$481,2)</f>
        <v/>
      </c>
      <c r="H124" s="29">
        <f>"+"&amp;INDEX('Dados'!$E$476:$E$481,2)</f>
        <v/>
      </c>
      <c r="I124" s="29">
        <f>"+"&amp;INDEX('Dados'!$F$476:$F$481,2)</f>
        <v/>
      </c>
      <c r="J124" s="29">
        <f>"+"&amp;IF(INDEX('Dados'!$D$497:$D$516,'Campanha'!$B$17)="Tier I",INDEX('Dados'!$C$476:$C$481,2),IF(INDEX('Dados'!$D$497:$D$516,'Campanha'!$B$17)="Tier II",INDEX('Dados'!$D$476:$D$481,2),IF(INDEX('Dados'!$D$497:$D$516,'Campanha'!$B$17)="Tier III",INDEX('Dados'!$E$476:$E$481,2),INDEX('Dados'!$F$476:$F$481,2))))</f>
        <v/>
      </c>
      <c r="K124" s="38" t="n"/>
      <c r="L124" s="38" t="n"/>
    </row>
    <row r="125">
      <c r="A125" s="32">
        <f>INDEX('Dados'!$A$476:$A$481,3)</f>
        <v/>
      </c>
      <c r="B125" s="4">
        <f>INDEX('Dados'!$B$476:$B$481,3)</f>
        <v/>
      </c>
      <c r="F125" s="17">
        <f>"+"&amp;INDEX('Dados'!$C$476:$C$481,3)</f>
        <v/>
      </c>
      <c r="G125" s="17">
        <f>"+"&amp;INDEX('Dados'!$D$476:$D$481,3)</f>
        <v/>
      </c>
      <c r="H125" s="17">
        <f>"+"&amp;INDEX('Dados'!$E$476:$E$481,3)</f>
        <v/>
      </c>
      <c r="I125" s="17">
        <f>"+"&amp;INDEX('Dados'!$F$476:$F$481,3)</f>
        <v/>
      </c>
      <c r="J125" s="17">
        <f>"+"&amp;IF(INDEX('Dados'!$D$497:$D$516,'Campanha'!$B$17)="Tier I",INDEX('Dados'!$C$476:$C$481,3),IF(INDEX('Dados'!$D$497:$D$516,'Campanha'!$B$17)="Tier II",INDEX('Dados'!$D$476:$D$481,3),IF(INDEX('Dados'!$D$497:$D$516,'Campanha'!$B$17)="Tier III",INDEX('Dados'!$E$476:$E$481,3),INDEX('Dados'!$F$476:$F$481,3))))</f>
        <v/>
      </c>
    </row>
    <row r="126">
      <c r="A126" s="33">
        <f>INDEX('Dados'!$A$476:$A$481,4)</f>
        <v/>
      </c>
      <c r="B126" s="9">
        <f>INDEX('Dados'!$B$476:$B$481,4)</f>
        <v/>
      </c>
      <c r="F126" s="29">
        <f>"+"&amp;INDEX('Dados'!$C$476:$C$481,4)</f>
        <v/>
      </c>
      <c r="G126" s="29">
        <f>"+"&amp;INDEX('Dados'!$D$476:$D$481,4)</f>
        <v/>
      </c>
      <c r="H126" s="29">
        <f>"+"&amp;INDEX('Dados'!$E$476:$E$481,4)</f>
        <v/>
      </c>
      <c r="I126" s="29">
        <f>"+"&amp;INDEX('Dados'!$F$476:$F$481,4)</f>
        <v/>
      </c>
      <c r="J126" s="29">
        <f>"+"&amp;IF(INDEX('Dados'!$D$497:$D$516,'Campanha'!$B$17)="Tier I",INDEX('Dados'!$C$476:$C$481,4),IF(INDEX('Dados'!$D$497:$D$516,'Campanha'!$B$17)="Tier II",INDEX('Dados'!$D$476:$D$481,4),IF(INDEX('Dados'!$D$497:$D$516,'Campanha'!$B$17)="Tier III",INDEX('Dados'!$E$476:$E$481,4),INDEX('Dados'!$F$476:$F$481,4))))</f>
        <v/>
      </c>
      <c r="K126" s="38" t="n"/>
      <c r="L126" s="38" t="n"/>
    </row>
    <row r="127">
      <c r="A127" s="32">
        <f>INDEX('Dados'!$A$476:$A$481,5)</f>
        <v/>
      </c>
      <c r="B127" s="4">
        <f>INDEX('Dados'!$B$476:$B$481,5)</f>
        <v/>
      </c>
      <c r="F127" s="17">
        <f>"+"&amp;INDEX('Dados'!$C$476:$C$481,5)</f>
        <v/>
      </c>
      <c r="G127" s="17">
        <f>"+"&amp;INDEX('Dados'!$D$476:$D$481,5)</f>
        <v/>
      </c>
      <c r="H127" s="17">
        <f>"+"&amp;INDEX('Dados'!$E$476:$E$481,5)</f>
        <v/>
      </c>
      <c r="I127" s="17">
        <f>"+"&amp;INDEX('Dados'!$F$476:$F$481,5)</f>
        <v/>
      </c>
      <c r="J127" s="17">
        <f>"+"&amp;IF(INDEX('Dados'!$D$497:$D$516,'Campanha'!$B$17)="Tier I",INDEX('Dados'!$C$476:$C$481,5),IF(INDEX('Dados'!$D$497:$D$516,'Campanha'!$B$17)="Tier II",INDEX('Dados'!$D$476:$D$481,5),IF(INDEX('Dados'!$D$497:$D$516,'Campanha'!$B$17)="Tier III",INDEX('Dados'!$E$476:$E$481,5),INDEX('Dados'!$F$476:$F$481,5))))</f>
        <v/>
      </c>
    </row>
    <row r="128">
      <c r="A128" s="33">
        <f>INDEX('Dados'!$A$476:$A$481,6)</f>
        <v/>
      </c>
      <c r="B128" s="9">
        <f>INDEX('Dados'!$B$476:$B$481,6)</f>
        <v/>
      </c>
      <c r="F128" s="29">
        <f>"+"&amp;INDEX('Dados'!$C$476:$C$481,6)</f>
        <v/>
      </c>
      <c r="G128" s="29">
        <f>"+"&amp;INDEX('Dados'!$D$476:$D$481,6)</f>
        <v/>
      </c>
      <c r="H128" s="29">
        <f>"+"&amp;INDEX('Dados'!$E$476:$E$481,6)</f>
        <v/>
      </c>
      <c r="I128" s="29">
        <f>"+"&amp;INDEX('Dados'!$F$476:$F$481,6)</f>
        <v/>
      </c>
      <c r="J128" s="29">
        <f>"+"&amp;IF(INDEX('Dados'!$D$497:$D$516,'Campanha'!$B$17)="Tier I",INDEX('Dados'!$C$476:$C$481,6),IF(INDEX('Dados'!$D$497:$D$516,'Campanha'!$B$17)="Tier II",INDEX('Dados'!$D$476:$D$481,6),IF(INDEX('Dados'!$D$497:$D$516,'Campanha'!$B$17)="Tier III",INDEX('Dados'!$E$476:$E$481,6),INDEX('Dados'!$F$476:$F$481,6))))</f>
        <v/>
      </c>
      <c r="K128" s="38" t="n"/>
      <c r="L128" s="38" t="n"/>
    </row>
    <row r="129">
      <c r="A129" s="32">
        <f>"Tier do grupo agora: "&amp;INDEX('Dados'!$D$497:$D$516,'Campanha'!$B$17)&amp;" (nível "&amp;'Campanha'!$B$17&amp;"). Bônus de slot são permanentes e ficam fora do teto; Mãos e Esfera Planar nunca somam na mesma rolagem (25.3)."</f>
        <v/>
      </c>
    </row>
    <row r="130"/>
    <row r="131" ht="20" customHeight="1">
      <c r="A131" s="12" t="inlineStr">
        <is>
          <t>Tesouro do grupo (25 linhas; cole aqui a linha de saída dos achados)</t>
        </is>
      </c>
    </row>
    <row r="132" ht="26" customHeight="1">
      <c r="A132" s="7" t="inlineStr">
        <is>
          <t>Sessão</t>
        </is>
      </c>
      <c r="B132" s="7" t="inlineStr">
        <is>
          <t>Item ou Créditos</t>
        </is>
      </c>
      <c r="C132" s="20" t="n"/>
      <c r="D132" s="20" t="n"/>
      <c r="E132" s="7" t="inlineStr">
        <is>
          <t>Quantidade</t>
        </is>
      </c>
      <c r="F132" s="7" t="inlineStr">
        <is>
          <t>Créditos (+ entra, − sai)</t>
        </is>
      </c>
      <c r="G132" s="7" t="inlineStr">
        <is>
          <t>Com quem</t>
        </is>
      </c>
      <c r="H132" s="20" t="n"/>
      <c r="I132" s="7" t="inlineStr">
        <is>
          <t>Notas</t>
        </is>
      </c>
      <c r="J132" s="20" t="n"/>
      <c r="K132" s="7" t="inlineStr">
        <is>
          <t>Aviso</t>
        </is>
      </c>
      <c r="L132" s="20" t="n"/>
    </row>
    <row r="133" ht="93" customHeight="1">
      <c r="A133" s="35" t="n"/>
      <c r="B133" s="3" t="n"/>
      <c r="C133" s="24" t="n"/>
      <c r="D133" s="16" t="n"/>
      <c r="E133" s="15" t="n"/>
      <c r="F133" s="15" t="n"/>
      <c r="G133" s="3" t="n"/>
      <c r="H133" s="16" t="n"/>
      <c r="I133" s="3" t="n"/>
      <c r="J133" s="16" t="n"/>
      <c r="K133" s="18">
        <f>IF(AK133&gt;0,"O Google leu como fórmula: digite de novo com ' na frente.",IF(AND(LEN($AJ$133)&gt;0,NOT(ISNUMBER($AJ$133))),"Créditos não é número: a linha não entra no saldo",""))</f>
        <v/>
      </c>
      <c r="AJ133" s="19">
        <f>IF(ISERROR($F$133),"",IF(ISBLANK($F$133),"",$F$133))</f>
        <v/>
      </c>
      <c r="AK133" s="19">
        <f>ISERROR($A$133)*1+ISERROR($B$133)*1+ISERROR($E$133)*1+ISERROR($F$133)*1+ISERROR($G$133)*1+ISERROR($I$133)*1</f>
        <v/>
      </c>
    </row>
    <row r="134" ht="93" customHeight="1">
      <c r="A134" s="46" t="n"/>
      <c r="B134" s="28" t="n"/>
      <c r="C134" s="24" t="n"/>
      <c r="D134" s="16" t="n"/>
      <c r="E134" s="34" t="n"/>
      <c r="F134" s="34" t="n"/>
      <c r="G134" s="28" t="n"/>
      <c r="H134" s="16" t="n"/>
      <c r="I134" s="28" t="n"/>
      <c r="J134" s="16" t="n"/>
      <c r="K134" s="26">
        <f>IF(AK134&gt;0,"O Google leu como fórmula: digite de novo com ' na frente.",IF(AND(LEN($AJ$134)&gt;0,NOT(ISNUMBER($AJ$134))),"Créditos não é número: a linha não entra no saldo",""))</f>
        <v/>
      </c>
      <c r="AJ134" s="19">
        <f>IF(ISERROR($F$134),"",IF(ISBLANK($F$134),"",$F$134))</f>
        <v/>
      </c>
      <c r="AK134" s="19">
        <f>ISERROR($A$134)*1+ISERROR($B$134)*1+ISERROR($E$134)*1+ISERROR($F$134)*1+ISERROR($G$134)*1+ISERROR($I$134)*1</f>
        <v/>
      </c>
    </row>
    <row r="135" ht="93" customHeight="1">
      <c r="A135" s="35" t="n"/>
      <c r="B135" s="3" t="n"/>
      <c r="C135" s="24" t="n"/>
      <c r="D135" s="16" t="n"/>
      <c r="E135" s="15" t="n"/>
      <c r="F135" s="15" t="n"/>
      <c r="G135" s="3" t="n"/>
      <c r="H135" s="16" t="n"/>
      <c r="I135" s="3" t="n"/>
      <c r="J135" s="16" t="n"/>
      <c r="K135" s="18">
        <f>IF(AK135&gt;0,"O Google leu como fórmula: digite de novo com ' na frente.",IF(AND(LEN($AJ$135)&gt;0,NOT(ISNUMBER($AJ$135))),"Créditos não é número: a linha não entra no saldo",""))</f>
        <v/>
      </c>
      <c r="AJ135" s="19">
        <f>IF(ISERROR($F$135),"",IF(ISBLANK($F$135),"",$F$135))</f>
        <v/>
      </c>
      <c r="AK135" s="19">
        <f>ISERROR($A$135)*1+ISERROR($B$135)*1+ISERROR($E$135)*1+ISERROR($F$135)*1+ISERROR($G$135)*1+ISERROR($I$135)*1</f>
        <v/>
      </c>
    </row>
    <row r="136" ht="93" customHeight="1">
      <c r="A136" s="46" t="n"/>
      <c r="B136" s="28" t="n"/>
      <c r="C136" s="24" t="n"/>
      <c r="D136" s="16" t="n"/>
      <c r="E136" s="34" t="n"/>
      <c r="F136" s="34" t="n"/>
      <c r="G136" s="28" t="n"/>
      <c r="H136" s="16" t="n"/>
      <c r="I136" s="28" t="n"/>
      <c r="J136" s="16" t="n"/>
      <c r="K136" s="26">
        <f>IF(AK136&gt;0,"O Google leu como fórmula: digite de novo com ' na frente.",IF(AND(LEN($AJ$136)&gt;0,NOT(ISNUMBER($AJ$136))),"Créditos não é número: a linha não entra no saldo",""))</f>
        <v/>
      </c>
      <c r="AJ136" s="19">
        <f>IF(ISERROR($F$136),"",IF(ISBLANK($F$136),"",$F$136))</f>
        <v/>
      </c>
      <c r="AK136" s="19">
        <f>ISERROR($A$136)*1+ISERROR($B$136)*1+ISERROR($E$136)*1+ISERROR($F$136)*1+ISERROR($G$136)*1+ISERROR($I$136)*1</f>
        <v/>
      </c>
    </row>
    <row r="137" ht="93" customHeight="1">
      <c r="A137" s="35" t="n"/>
      <c r="B137" s="3" t="n"/>
      <c r="C137" s="24" t="n"/>
      <c r="D137" s="16" t="n"/>
      <c r="E137" s="15" t="n"/>
      <c r="F137" s="15" t="n"/>
      <c r="G137" s="3" t="n"/>
      <c r="H137" s="16" t="n"/>
      <c r="I137" s="3" t="n"/>
      <c r="J137" s="16" t="n"/>
      <c r="K137" s="18">
        <f>IF(AK137&gt;0,"O Google leu como fórmula: digite de novo com ' na frente.",IF(AND(LEN($AJ$137)&gt;0,NOT(ISNUMBER($AJ$137))),"Créditos não é número: a linha não entra no saldo",""))</f>
        <v/>
      </c>
      <c r="AJ137" s="19">
        <f>IF(ISERROR($F$137),"",IF(ISBLANK($F$137),"",$F$137))</f>
        <v/>
      </c>
      <c r="AK137" s="19">
        <f>ISERROR($A$137)*1+ISERROR($B$137)*1+ISERROR($E$137)*1+ISERROR($F$137)*1+ISERROR($G$137)*1+ISERROR($I$137)*1</f>
        <v/>
      </c>
    </row>
    <row r="138" ht="93" customHeight="1">
      <c r="A138" s="46" t="n"/>
      <c r="B138" s="28" t="n"/>
      <c r="C138" s="24" t="n"/>
      <c r="D138" s="16" t="n"/>
      <c r="E138" s="34" t="n"/>
      <c r="F138" s="34" t="n"/>
      <c r="G138" s="28" t="n"/>
      <c r="H138" s="16" t="n"/>
      <c r="I138" s="28" t="n"/>
      <c r="J138" s="16" t="n"/>
      <c r="K138" s="26">
        <f>IF(AK138&gt;0,"O Google leu como fórmula: digite de novo com ' na frente.",IF(AND(LEN($AJ$138)&gt;0,NOT(ISNUMBER($AJ$138))),"Créditos não é número: a linha não entra no saldo",""))</f>
        <v/>
      </c>
      <c r="AJ138" s="19">
        <f>IF(ISERROR($F$138),"",IF(ISBLANK($F$138),"",$F$138))</f>
        <v/>
      </c>
      <c r="AK138" s="19">
        <f>ISERROR($A$138)*1+ISERROR($B$138)*1+ISERROR($E$138)*1+ISERROR($F$138)*1+ISERROR($G$138)*1+ISERROR($I$138)*1</f>
        <v/>
      </c>
    </row>
    <row r="139" ht="93" customHeight="1">
      <c r="A139" s="35" t="n"/>
      <c r="B139" s="3" t="n"/>
      <c r="C139" s="24" t="n"/>
      <c r="D139" s="16" t="n"/>
      <c r="E139" s="15" t="n"/>
      <c r="F139" s="15" t="n"/>
      <c r="G139" s="3" t="n"/>
      <c r="H139" s="16" t="n"/>
      <c r="I139" s="3" t="n"/>
      <c r="J139" s="16" t="n"/>
      <c r="K139" s="18">
        <f>IF(AK139&gt;0,"O Google leu como fórmula: digite de novo com ' na frente.",IF(AND(LEN($AJ$139)&gt;0,NOT(ISNUMBER($AJ$139))),"Créditos não é número: a linha não entra no saldo",""))</f>
        <v/>
      </c>
      <c r="AJ139" s="19">
        <f>IF(ISERROR($F$139),"",IF(ISBLANK($F$139),"",$F$139))</f>
        <v/>
      </c>
      <c r="AK139" s="19">
        <f>ISERROR($A$139)*1+ISERROR($B$139)*1+ISERROR($E$139)*1+ISERROR($F$139)*1+ISERROR($G$139)*1+ISERROR($I$139)*1</f>
        <v/>
      </c>
    </row>
    <row r="140" ht="93" customHeight="1">
      <c r="A140" s="46" t="n"/>
      <c r="B140" s="28" t="n"/>
      <c r="C140" s="24" t="n"/>
      <c r="D140" s="16" t="n"/>
      <c r="E140" s="34" t="n"/>
      <c r="F140" s="34" t="n"/>
      <c r="G140" s="28" t="n"/>
      <c r="H140" s="16" t="n"/>
      <c r="I140" s="28" t="n"/>
      <c r="J140" s="16" t="n"/>
      <c r="K140" s="26">
        <f>IF(AK140&gt;0,"O Google leu como fórmula: digite de novo com ' na frente.",IF(AND(LEN($AJ$140)&gt;0,NOT(ISNUMBER($AJ$140))),"Créditos não é número: a linha não entra no saldo",""))</f>
        <v/>
      </c>
      <c r="AJ140" s="19">
        <f>IF(ISERROR($F$140),"",IF(ISBLANK($F$140),"",$F$140))</f>
        <v/>
      </c>
      <c r="AK140" s="19">
        <f>ISERROR($A$140)*1+ISERROR($B$140)*1+ISERROR($E$140)*1+ISERROR($F$140)*1+ISERROR($G$140)*1+ISERROR($I$140)*1</f>
        <v/>
      </c>
    </row>
    <row r="141" ht="93" customHeight="1">
      <c r="A141" s="35" t="n"/>
      <c r="B141" s="3" t="n"/>
      <c r="C141" s="24" t="n"/>
      <c r="D141" s="16" t="n"/>
      <c r="E141" s="15" t="n"/>
      <c r="F141" s="15" t="n"/>
      <c r="G141" s="3" t="n"/>
      <c r="H141" s="16" t="n"/>
      <c r="I141" s="3" t="n"/>
      <c r="J141" s="16" t="n"/>
      <c r="K141" s="18">
        <f>IF(AK141&gt;0,"O Google leu como fórmula: digite de novo com ' na frente.",IF(AND(LEN($AJ$141)&gt;0,NOT(ISNUMBER($AJ$141))),"Créditos não é número: a linha não entra no saldo",""))</f>
        <v/>
      </c>
      <c r="AJ141" s="19">
        <f>IF(ISERROR($F$141),"",IF(ISBLANK($F$141),"",$F$141))</f>
        <v/>
      </c>
      <c r="AK141" s="19">
        <f>ISERROR($A$141)*1+ISERROR($B$141)*1+ISERROR($E$141)*1+ISERROR($F$141)*1+ISERROR($G$141)*1+ISERROR($I$141)*1</f>
        <v/>
      </c>
    </row>
    <row r="142" ht="93" customHeight="1">
      <c r="A142" s="46" t="n"/>
      <c r="B142" s="28" t="n"/>
      <c r="C142" s="24" t="n"/>
      <c r="D142" s="16" t="n"/>
      <c r="E142" s="34" t="n"/>
      <c r="F142" s="34" t="n"/>
      <c r="G142" s="28" t="n"/>
      <c r="H142" s="16" t="n"/>
      <c r="I142" s="28" t="n"/>
      <c r="J142" s="16" t="n"/>
      <c r="K142" s="26">
        <f>IF(AK142&gt;0,"O Google leu como fórmula: digite de novo com ' na frente.",IF(AND(LEN($AJ$142)&gt;0,NOT(ISNUMBER($AJ$142))),"Créditos não é número: a linha não entra no saldo",""))</f>
        <v/>
      </c>
      <c r="AJ142" s="19">
        <f>IF(ISERROR($F$142),"",IF(ISBLANK($F$142),"",$F$142))</f>
        <v/>
      </c>
      <c r="AK142" s="19">
        <f>ISERROR($A$142)*1+ISERROR($B$142)*1+ISERROR($E$142)*1+ISERROR($F$142)*1+ISERROR($G$142)*1+ISERROR($I$142)*1</f>
        <v/>
      </c>
    </row>
    <row r="143" ht="93" customHeight="1">
      <c r="A143" s="35" t="n"/>
      <c r="B143" s="3" t="n"/>
      <c r="C143" s="24" t="n"/>
      <c r="D143" s="16" t="n"/>
      <c r="E143" s="15" t="n"/>
      <c r="F143" s="15" t="n"/>
      <c r="G143" s="3" t="n"/>
      <c r="H143" s="16" t="n"/>
      <c r="I143" s="3" t="n"/>
      <c r="J143" s="16" t="n"/>
      <c r="K143" s="18">
        <f>IF(AK143&gt;0,"O Google leu como fórmula: digite de novo com ' na frente.",IF(AND(LEN($AJ$143)&gt;0,NOT(ISNUMBER($AJ$143))),"Créditos não é número: a linha não entra no saldo",""))</f>
        <v/>
      </c>
      <c r="AJ143" s="19">
        <f>IF(ISERROR($F$143),"",IF(ISBLANK($F$143),"",$F$143))</f>
        <v/>
      </c>
      <c r="AK143" s="19">
        <f>ISERROR($A$143)*1+ISERROR($B$143)*1+ISERROR($E$143)*1+ISERROR($F$143)*1+ISERROR($G$143)*1+ISERROR($I$143)*1</f>
        <v/>
      </c>
    </row>
    <row r="144" ht="93" customHeight="1">
      <c r="A144" s="46" t="n"/>
      <c r="B144" s="28" t="n"/>
      <c r="C144" s="24" t="n"/>
      <c r="D144" s="16" t="n"/>
      <c r="E144" s="34" t="n"/>
      <c r="F144" s="34" t="n"/>
      <c r="G144" s="28" t="n"/>
      <c r="H144" s="16" t="n"/>
      <c r="I144" s="28" t="n"/>
      <c r="J144" s="16" t="n"/>
      <c r="K144" s="26">
        <f>IF(AK144&gt;0,"O Google leu como fórmula: digite de novo com ' na frente.",IF(AND(LEN($AJ$144)&gt;0,NOT(ISNUMBER($AJ$144))),"Créditos não é número: a linha não entra no saldo",""))</f>
        <v/>
      </c>
      <c r="AJ144" s="19">
        <f>IF(ISERROR($F$144),"",IF(ISBLANK($F$144),"",$F$144))</f>
        <v/>
      </c>
      <c r="AK144" s="19">
        <f>ISERROR($A$144)*1+ISERROR($B$144)*1+ISERROR($E$144)*1+ISERROR($F$144)*1+ISERROR($G$144)*1+ISERROR($I$144)*1</f>
        <v/>
      </c>
    </row>
    <row r="145" ht="93" customHeight="1">
      <c r="A145" s="35" t="n"/>
      <c r="B145" s="3" t="n"/>
      <c r="C145" s="24" t="n"/>
      <c r="D145" s="16" t="n"/>
      <c r="E145" s="15" t="n"/>
      <c r="F145" s="15" t="n"/>
      <c r="G145" s="3" t="n"/>
      <c r="H145" s="16" t="n"/>
      <c r="I145" s="3" t="n"/>
      <c r="J145" s="16" t="n"/>
      <c r="K145" s="18">
        <f>IF(AK145&gt;0,"O Google leu como fórmula: digite de novo com ' na frente.",IF(AND(LEN($AJ$145)&gt;0,NOT(ISNUMBER($AJ$145))),"Créditos não é número: a linha não entra no saldo",""))</f>
        <v/>
      </c>
      <c r="AJ145" s="19">
        <f>IF(ISERROR($F$145),"",IF(ISBLANK($F$145),"",$F$145))</f>
        <v/>
      </c>
      <c r="AK145" s="19">
        <f>ISERROR($A$145)*1+ISERROR($B$145)*1+ISERROR($E$145)*1+ISERROR($F$145)*1+ISERROR($G$145)*1+ISERROR($I$145)*1</f>
        <v/>
      </c>
    </row>
    <row r="146" ht="26" customHeight="1">
      <c r="A146" s="7" t="inlineStr">
        <is>
          <t>Sessão</t>
        </is>
      </c>
      <c r="B146" s="7" t="inlineStr">
        <is>
          <t>Item ou Créditos</t>
        </is>
      </c>
      <c r="C146" s="20" t="n"/>
      <c r="D146" s="20" t="n"/>
      <c r="E146" s="7" t="inlineStr">
        <is>
          <t>Quantidade</t>
        </is>
      </c>
      <c r="F146" s="7" t="inlineStr">
        <is>
          <t>Créditos (+ entra, − sai)</t>
        </is>
      </c>
      <c r="G146" s="7" t="inlineStr">
        <is>
          <t>Com quem</t>
        </is>
      </c>
      <c r="H146" s="20" t="n"/>
      <c r="I146" s="7" t="inlineStr">
        <is>
          <t>Notas</t>
        </is>
      </c>
      <c r="J146" s="20" t="n"/>
      <c r="K146" s="7" t="inlineStr">
        <is>
          <t>Aviso</t>
        </is>
      </c>
      <c r="L146" s="20" t="n"/>
    </row>
    <row r="147" ht="93" customHeight="1">
      <c r="A147" s="35" t="n"/>
      <c r="B147" s="3" t="n"/>
      <c r="C147" s="24" t="n"/>
      <c r="D147" s="16" t="n"/>
      <c r="E147" s="15" t="n"/>
      <c r="F147" s="15" t="n"/>
      <c r="G147" s="3" t="n"/>
      <c r="H147" s="16" t="n"/>
      <c r="I147" s="3" t="n"/>
      <c r="J147" s="16" t="n"/>
      <c r="K147" s="18">
        <f>IF(AK147&gt;0,"O Google leu como fórmula: digite de novo com ' na frente.",IF(AND(LEN($AJ$147)&gt;0,NOT(ISNUMBER($AJ$147))),"Créditos não é número: a linha não entra no saldo",""))</f>
        <v/>
      </c>
      <c r="AJ147" s="19">
        <f>IF(ISERROR($F$147),"",IF(ISBLANK($F$147),"",$F$147))</f>
        <v/>
      </c>
      <c r="AK147" s="19">
        <f>ISERROR($A$147)*1+ISERROR($B$147)*1+ISERROR($E$147)*1+ISERROR($F$147)*1+ISERROR($G$147)*1+ISERROR($I$147)*1</f>
        <v/>
      </c>
    </row>
    <row r="148" ht="105" customHeight="1">
      <c r="A148" s="46" t="n"/>
      <c r="B148" s="28" t="n"/>
      <c r="C148" s="24" t="n"/>
      <c r="D148" s="16" t="n"/>
      <c r="E148" s="34" t="n"/>
      <c r="F148" s="34" t="n"/>
      <c r="G148" s="28" t="n"/>
      <c r="H148" s="16" t="n"/>
      <c r="I148" s="28" t="n"/>
      <c r="J148" s="16" t="n"/>
      <c r="K148" s="26">
        <f>IF(AK148&gt;0,"O Google leu como fórmula: digite de novo com ' na frente.",IF(AND(LEN($AJ$148)&gt;0,NOT(ISNUMBER($AJ$148))),"Créditos não é número: a linha não entra no saldo",""))</f>
        <v/>
      </c>
      <c r="AJ148" s="19">
        <f>IF(ISERROR($F$148),"",IF(ISBLANK($F$148),"",$F$148))</f>
        <v/>
      </c>
      <c r="AK148" s="19">
        <f>ISERROR($A$148)*1+ISERROR($B$148)*1+ISERROR($E$148)*1+ISERROR($F$148)*1+ISERROR($G$148)*1+ISERROR($I$148)*1</f>
        <v/>
      </c>
    </row>
    <row r="149" ht="93" customHeight="1">
      <c r="A149" s="35" t="n"/>
      <c r="B149" s="3" t="n"/>
      <c r="C149" s="24" t="n"/>
      <c r="D149" s="16" t="n"/>
      <c r="E149" s="15" t="n"/>
      <c r="F149" s="15" t="n"/>
      <c r="G149" s="3" t="n"/>
      <c r="H149" s="16" t="n"/>
      <c r="I149" s="3" t="n"/>
      <c r="J149" s="16" t="n"/>
      <c r="K149" s="18">
        <f>IF(AK149&gt;0,"O Google leu como fórmula: digite de novo com ' na frente.",IF(AND(LEN($AJ$149)&gt;0,NOT(ISNUMBER($AJ$149))),"Créditos não é número: a linha não entra no saldo",""))</f>
        <v/>
      </c>
      <c r="AJ149" s="19">
        <f>IF(ISERROR($F$149),"",IF(ISBLANK($F$149),"",$F$149))</f>
        <v/>
      </c>
      <c r="AK149" s="19">
        <f>ISERROR($A$149)*1+ISERROR($B$149)*1+ISERROR($E$149)*1+ISERROR($F$149)*1+ISERROR($G$149)*1+ISERROR($I$149)*1</f>
        <v/>
      </c>
    </row>
    <row r="150" ht="105" customHeight="1">
      <c r="A150" s="46" t="n"/>
      <c r="B150" s="28" t="n"/>
      <c r="C150" s="24" t="n"/>
      <c r="D150" s="16" t="n"/>
      <c r="E150" s="34" t="n"/>
      <c r="F150" s="34" t="n"/>
      <c r="G150" s="28" t="n"/>
      <c r="H150" s="16" t="n"/>
      <c r="I150" s="28" t="n"/>
      <c r="J150" s="16" t="n"/>
      <c r="K150" s="26">
        <f>IF(AK150&gt;0,"O Google leu como fórmula: digite de novo com ' na frente.",IF(AND(LEN($AJ$150)&gt;0,NOT(ISNUMBER($AJ$150))),"Créditos não é número: a linha não entra no saldo",""))</f>
        <v/>
      </c>
      <c r="AJ150" s="19">
        <f>IF(ISERROR($F$150),"",IF(ISBLANK($F$150),"",$F$150))</f>
        <v/>
      </c>
      <c r="AK150" s="19">
        <f>ISERROR($A$150)*1+ISERROR($B$150)*1+ISERROR($E$150)*1+ISERROR($F$150)*1+ISERROR($G$150)*1+ISERROR($I$150)*1</f>
        <v/>
      </c>
    </row>
    <row r="151" ht="105" customHeight="1">
      <c r="A151" s="35" t="n"/>
      <c r="B151" s="3" t="n"/>
      <c r="C151" s="24" t="n"/>
      <c r="D151" s="16" t="n"/>
      <c r="E151" s="15" t="n"/>
      <c r="F151" s="15" t="n"/>
      <c r="G151" s="3" t="n"/>
      <c r="H151" s="16" t="n"/>
      <c r="I151" s="3" t="n"/>
      <c r="J151" s="16" t="n"/>
      <c r="K151" s="18">
        <f>IF(AK151&gt;0,"O Google leu como fórmula: digite de novo com ' na frente.",IF(AND(LEN($AJ$151)&gt;0,NOT(ISNUMBER($AJ$151))),"Créditos não é número: a linha não entra no saldo",""))</f>
        <v/>
      </c>
      <c r="AJ151" s="19">
        <f>IF(ISERROR($F$151),"",IF(ISBLANK($F$151),"",$F$151))</f>
        <v/>
      </c>
      <c r="AK151" s="19">
        <f>ISERROR($A$151)*1+ISERROR($B$151)*1+ISERROR($E$151)*1+ISERROR($F$151)*1+ISERROR($G$151)*1+ISERROR($I$151)*1</f>
        <v/>
      </c>
    </row>
    <row r="152" ht="93" customHeight="1">
      <c r="A152" s="46" t="n"/>
      <c r="B152" s="28" t="n"/>
      <c r="C152" s="24" t="n"/>
      <c r="D152" s="16" t="n"/>
      <c r="E152" s="34" t="n"/>
      <c r="F152" s="34" t="n"/>
      <c r="G152" s="28" t="n"/>
      <c r="H152" s="16" t="n"/>
      <c r="I152" s="28" t="n"/>
      <c r="J152" s="16" t="n"/>
      <c r="K152" s="26">
        <f>IF(AK152&gt;0,"O Google leu como fórmula: digite de novo com ' na frente.",IF(AND(LEN($AJ$152)&gt;0,NOT(ISNUMBER($AJ$152))),"Créditos não é número: a linha não entra no saldo",""))</f>
        <v/>
      </c>
      <c r="AJ152" s="19">
        <f>IF(ISERROR($F$152),"",IF(ISBLANK($F$152),"",$F$152))</f>
        <v/>
      </c>
      <c r="AK152" s="19">
        <f>ISERROR($A$152)*1+ISERROR($B$152)*1+ISERROR($E$152)*1+ISERROR($F$152)*1+ISERROR($G$152)*1+ISERROR($I$152)*1</f>
        <v/>
      </c>
    </row>
    <row r="153" ht="93" customHeight="1">
      <c r="A153" s="35" t="n"/>
      <c r="B153" s="3" t="n"/>
      <c r="C153" s="24" t="n"/>
      <c r="D153" s="16" t="n"/>
      <c r="E153" s="15" t="n"/>
      <c r="F153" s="15" t="n"/>
      <c r="G153" s="3" t="n"/>
      <c r="H153" s="16" t="n"/>
      <c r="I153" s="3" t="n"/>
      <c r="J153" s="16" t="n"/>
      <c r="K153" s="18">
        <f>IF(AK153&gt;0,"O Google leu como fórmula: digite de novo com ' na frente.",IF(AND(LEN($AJ$153)&gt;0,NOT(ISNUMBER($AJ$153))),"Créditos não é número: a linha não entra no saldo",""))</f>
        <v/>
      </c>
      <c r="AJ153" s="19">
        <f>IF(ISERROR($F$153),"",IF(ISBLANK($F$153),"",$F$153))</f>
        <v/>
      </c>
      <c r="AK153" s="19">
        <f>ISERROR($A$153)*1+ISERROR($B$153)*1+ISERROR($E$153)*1+ISERROR($F$153)*1+ISERROR($G$153)*1+ISERROR($I$153)*1</f>
        <v/>
      </c>
    </row>
    <row r="154" ht="93" customHeight="1">
      <c r="A154" s="46" t="n"/>
      <c r="B154" s="28" t="n"/>
      <c r="C154" s="24" t="n"/>
      <c r="D154" s="16" t="n"/>
      <c r="E154" s="34" t="n"/>
      <c r="F154" s="34" t="n"/>
      <c r="G154" s="28" t="n"/>
      <c r="H154" s="16" t="n"/>
      <c r="I154" s="28" t="n"/>
      <c r="J154" s="16" t="n"/>
      <c r="K154" s="26">
        <f>IF(AK154&gt;0,"O Google leu como fórmula: digite de novo com ' na frente.",IF(AND(LEN($AJ$154)&gt;0,NOT(ISNUMBER($AJ$154))),"Créditos não é número: a linha não entra no saldo",""))</f>
        <v/>
      </c>
      <c r="AJ154" s="19">
        <f>IF(ISERROR($F$154),"",IF(ISBLANK($F$154),"",$F$154))</f>
        <v/>
      </c>
      <c r="AK154" s="19">
        <f>ISERROR($A$154)*1+ISERROR($B$154)*1+ISERROR($E$154)*1+ISERROR($F$154)*1+ISERROR($G$154)*1+ISERROR($I$154)*1</f>
        <v/>
      </c>
    </row>
    <row r="155" ht="93" customHeight="1">
      <c r="A155" s="35" t="n"/>
      <c r="B155" s="3" t="n"/>
      <c r="C155" s="24" t="n"/>
      <c r="D155" s="16" t="n"/>
      <c r="E155" s="15" t="n"/>
      <c r="F155" s="15" t="n"/>
      <c r="G155" s="3" t="n"/>
      <c r="H155" s="16" t="n"/>
      <c r="I155" s="3" t="n"/>
      <c r="J155" s="16" t="n"/>
      <c r="K155" s="18">
        <f>IF(AK155&gt;0,"O Google leu como fórmula: digite de novo com ' na frente.",IF(AND(LEN($AJ$155)&gt;0,NOT(ISNUMBER($AJ$155))),"Créditos não é número: a linha não entra no saldo",""))</f>
        <v/>
      </c>
      <c r="AJ155" s="19">
        <f>IF(ISERROR($F$155),"",IF(ISBLANK($F$155),"",$F$155))</f>
        <v/>
      </c>
      <c r="AK155" s="19">
        <f>ISERROR($A$155)*1+ISERROR($B$155)*1+ISERROR($E$155)*1+ISERROR($F$155)*1+ISERROR($G$155)*1+ISERROR($I$155)*1</f>
        <v/>
      </c>
    </row>
    <row r="156" ht="93" customHeight="1">
      <c r="A156" s="46" t="n"/>
      <c r="B156" s="28" t="n"/>
      <c r="C156" s="24" t="n"/>
      <c r="D156" s="16" t="n"/>
      <c r="E156" s="34" t="n"/>
      <c r="F156" s="34" t="n"/>
      <c r="G156" s="28" t="n"/>
      <c r="H156" s="16" t="n"/>
      <c r="I156" s="28" t="n"/>
      <c r="J156" s="16" t="n"/>
      <c r="K156" s="26">
        <f>IF(AK156&gt;0,"O Google leu como fórmula: digite de novo com ' na frente.",IF(AND(LEN($AJ$156)&gt;0,NOT(ISNUMBER($AJ$156))),"Créditos não é número: a linha não entra no saldo",""))</f>
        <v/>
      </c>
      <c r="AJ156" s="19">
        <f>IF(ISERROR($F$156),"",IF(ISBLANK($F$156),"",$F$156))</f>
        <v/>
      </c>
      <c r="AK156" s="19">
        <f>ISERROR($A$156)*1+ISERROR($B$156)*1+ISERROR($E$156)*1+ISERROR($F$156)*1+ISERROR($G$156)*1+ISERROR($I$156)*1</f>
        <v/>
      </c>
    </row>
    <row r="157" ht="93" customHeight="1">
      <c r="A157" s="35" t="n"/>
      <c r="B157" s="3" t="n"/>
      <c r="C157" s="24" t="n"/>
      <c r="D157" s="16" t="n"/>
      <c r="E157" s="15" t="n"/>
      <c r="F157" s="15" t="n"/>
      <c r="G157" s="3" t="n"/>
      <c r="H157" s="16" t="n"/>
      <c r="I157" s="3" t="n"/>
      <c r="J157" s="16" t="n"/>
      <c r="K157" s="18">
        <f>IF(AK157&gt;0,"O Google leu como fórmula: digite de novo com ' na frente.",IF(AND(LEN($AJ$157)&gt;0,NOT(ISNUMBER($AJ$157))),"Créditos não é número: a linha não entra no saldo",""))</f>
        <v/>
      </c>
      <c r="AJ157" s="19">
        <f>IF(ISERROR($F$157),"",IF(ISBLANK($F$157),"",$F$157))</f>
        <v/>
      </c>
      <c r="AK157" s="19">
        <f>ISERROR($A$157)*1+ISERROR($B$157)*1+ISERROR($E$157)*1+ISERROR($F$157)*1+ISERROR($G$157)*1+ISERROR($I$157)*1</f>
        <v/>
      </c>
    </row>
    <row r="158" ht="93" customHeight="1">
      <c r="A158" s="46" t="n"/>
      <c r="B158" s="28" t="n"/>
      <c r="C158" s="24" t="n"/>
      <c r="D158" s="16" t="n"/>
      <c r="E158" s="34" t="n"/>
      <c r="F158" s="34" t="n"/>
      <c r="G158" s="28" t="n"/>
      <c r="H158" s="16" t="n"/>
      <c r="I158" s="28" t="n"/>
      <c r="J158" s="16" t="n"/>
      <c r="K158" s="26">
        <f>IF(AK158&gt;0,"O Google leu como fórmula: digite de novo com ' na frente.",IF(AND(LEN($AJ$158)&gt;0,NOT(ISNUMBER($AJ$158))),"Créditos não é número: a linha não entra no saldo",""))</f>
        <v/>
      </c>
      <c r="AJ158" s="19">
        <f>IF(ISERROR($F$158),"",IF(ISBLANK($F$158),"",$F$158))</f>
        <v/>
      </c>
      <c r="AK158" s="19">
        <f>ISERROR($A$158)*1+ISERROR($B$158)*1+ISERROR($E$158)*1+ISERROR($F$158)*1+ISERROR($G$158)*1+ISERROR($I$158)*1</f>
        <v/>
      </c>
    </row>
    <row r="159">
      <c r="A159" s="8" t="inlineStr">
        <is>
          <t>Saldo de Créditos</t>
        </is>
      </c>
      <c r="B159" s="17">
        <f>IF(ISNUMBER($AJ$133),$AJ$133,0)+IF(ISNUMBER($AJ$134),$AJ$134,0)+IF(ISNUMBER($AJ$135),$AJ$135,0)+IF(ISNUMBER($AJ$136),$AJ$136,0)+IF(ISNUMBER($AJ$137),$AJ$137,0)+IF(ISNUMBER($AJ$138),$AJ$138,0)+IF(ISNUMBER($AJ$139),$AJ$139,0)+IF(ISNUMBER($AJ$140),$AJ$140,0)+IF(ISNUMBER($AJ$141),$AJ$141,0)+IF(ISNUMBER($AJ$142),$AJ$142,0)+IF(ISNUMBER($AJ$143),$AJ$143,0)+IF(ISNUMBER($AJ$144),$AJ$144,0)+IF(ISNUMBER($AJ$145),$AJ$145,0)+IF(ISNUMBER($AJ$147),$AJ$147,0)+IF(ISNUMBER($AJ$148),$AJ$148,0)+IF(ISNUMBER($AJ$149),$AJ$149,0)+IF(ISNUMBER($AJ$150),$AJ$150,0)+IF(ISNUMBER($AJ$151),$AJ$151,0)+IF(ISNUMBER($AJ$152),$AJ$152,0)+IF(ISNUMBER($AJ$153),$AJ$153,0)+IF(ISNUMBER($AJ$154),$AJ$154,0)+IF(ISNUMBER($AJ$155),$AJ$155,0)+IF(ISNUMBER($AJ$156),$AJ$156,0)+IF(ISNUMBER($AJ$157),$AJ$157,0)+IF(ISNUMBER($AJ$158),$AJ$158,0)</f>
        <v/>
      </c>
      <c r="C159" s="13" t="inlineStr">
        <is>
          <t>Soma da coluna Créditos (+ entra, − sai). Itens sem Créditos não mexem no saldo.</t>
        </is>
      </c>
      <c r="K159" s="18">
        <f>IF($B$159&lt;0,"Saldo de Créditos negativo","")</f>
        <v/>
      </c>
    </row>
  </sheetData>
  <mergeCells count="341">
    <mergeCell ref="A64:B64"/>
    <mergeCell ref="A51:B51"/>
    <mergeCell ref="I104:J104"/>
    <mergeCell ref="K104:L104"/>
    <mergeCell ref="B12:C12"/>
    <mergeCell ref="I106:J106"/>
    <mergeCell ref="A129:L129"/>
    <mergeCell ref="K81:L81"/>
    <mergeCell ref="A23:L23"/>
    <mergeCell ref="B14:C14"/>
    <mergeCell ref="G137:H137"/>
    <mergeCell ref="A131:L131"/>
    <mergeCell ref="B13:C13"/>
    <mergeCell ref="B142:D142"/>
    <mergeCell ref="G148:H148"/>
    <mergeCell ref="I155:J155"/>
    <mergeCell ref="G139:H139"/>
    <mergeCell ref="K155:L155"/>
    <mergeCell ref="G82:J82"/>
    <mergeCell ref="B144:D144"/>
    <mergeCell ref="A34:L34"/>
    <mergeCell ref="I157:J157"/>
    <mergeCell ref="K157:L157"/>
    <mergeCell ref="A62:B62"/>
    <mergeCell ref="G143:H143"/>
    <mergeCell ref="K101:L101"/>
    <mergeCell ref="K28:L28"/>
    <mergeCell ref="A36:L36"/>
    <mergeCell ref="C28:D28"/>
    <mergeCell ref="K30:L30"/>
    <mergeCell ref="K152:L152"/>
    <mergeCell ref="C30:D30"/>
    <mergeCell ref="A59:B59"/>
    <mergeCell ref="A80:L80"/>
    <mergeCell ref="D15:J15"/>
    <mergeCell ref="A61:B61"/>
    <mergeCell ref="B137:D137"/>
    <mergeCell ref="B139:D139"/>
    <mergeCell ref="B88:F88"/>
    <mergeCell ref="K105:L105"/>
    <mergeCell ref="K120:L120"/>
    <mergeCell ref="I107:J107"/>
    <mergeCell ref="K107:L107"/>
    <mergeCell ref="B150:D150"/>
    <mergeCell ref="B15:C15"/>
    <mergeCell ref="G138:H138"/>
    <mergeCell ref="I138:J138"/>
    <mergeCell ref="B85:F85"/>
    <mergeCell ref="B152:D152"/>
    <mergeCell ref="G140:H140"/>
    <mergeCell ref="I140:J140"/>
    <mergeCell ref="K25:L25"/>
    <mergeCell ref="C54:H54"/>
    <mergeCell ref="B145:D145"/>
    <mergeCell ref="A49:B49"/>
    <mergeCell ref="G25:J25"/>
    <mergeCell ref="C56:H56"/>
    <mergeCell ref="K29:L29"/>
    <mergeCell ref="C29:D29"/>
    <mergeCell ref="E29:F29"/>
    <mergeCell ref="A65:B65"/>
    <mergeCell ref="A55:B55"/>
    <mergeCell ref="I87:J87"/>
    <mergeCell ref="G133:H133"/>
    <mergeCell ref="D21:J21"/>
    <mergeCell ref="G95:H95"/>
    <mergeCell ref="B138:D138"/>
    <mergeCell ref="G135:H135"/>
    <mergeCell ref="G153:H153"/>
    <mergeCell ref="I153:J153"/>
    <mergeCell ref="B140:D140"/>
    <mergeCell ref="D16:J16"/>
    <mergeCell ref="C65:H65"/>
    <mergeCell ref="D18:J18"/>
    <mergeCell ref="C24:D24"/>
    <mergeCell ref="E24:F24"/>
    <mergeCell ref="C44:H44"/>
    <mergeCell ref="A60:B60"/>
    <mergeCell ref="C26:D26"/>
    <mergeCell ref="E82:F82"/>
    <mergeCell ref="C60:H60"/>
    <mergeCell ref="B86:F86"/>
    <mergeCell ref="G146:H146"/>
    <mergeCell ref="I146:J146"/>
    <mergeCell ref="B95:D95"/>
    <mergeCell ref="A50:B50"/>
    <mergeCell ref="D6:J6"/>
    <mergeCell ref="B97:D97"/>
    <mergeCell ref="B153:D153"/>
    <mergeCell ref="C49:H49"/>
    <mergeCell ref="G28:J28"/>
    <mergeCell ref="C42:H42"/>
    <mergeCell ref="C81:D81"/>
    <mergeCell ref="G30:J30"/>
    <mergeCell ref="B113:C113"/>
    <mergeCell ref="C55:H55"/>
    <mergeCell ref="B148:D148"/>
    <mergeCell ref="G136:H136"/>
    <mergeCell ref="I136:J136"/>
    <mergeCell ref="B31:C31"/>
    <mergeCell ref="D113:J113"/>
    <mergeCell ref="G81:J81"/>
    <mergeCell ref="B143:D143"/>
    <mergeCell ref="D19:J19"/>
    <mergeCell ref="C27:D27"/>
    <mergeCell ref="E27:F27"/>
    <mergeCell ref="C159:J159"/>
    <mergeCell ref="B134:D134"/>
    <mergeCell ref="B96:D96"/>
    <mergeCell ref="B116:H116"/>
    <mergeCell ref="I84:J84"/>
    <mergeCell ref="G149:H149"/>
    <mergeCell ref="B108:H108"/>
    <mergeCell ref="I149:J149"/>
    <mergeCell ref="C63:H63"/>
    <mergeCell ref="B98:D98"/>
    <mergeCell ref="C50:H50"/>
    <mergeCell ref="B118:H118"/>
    <mergeCell ref="I86:J86"/>
    <mergeCell ref="G151:H151"/>
    <mergeCell ref="A45:B45"/>
    <mergeCell ref="K142:L142"/>
    <mergeCell ref="I151:J151"/>
    <mergeCell ref="G29:J29"/>
    <mergeCell ref="A3:L3"/>
    <mergeCell ref="I144:J144"/>
    <mergeCell ref="K144:L144"/>
    <mergeCell ref="A5:L5"/>
    <mergeCell ref="A46:B46"/>
    <mergeCell ref="B121:H121"/>
    <mergeCell ref="G24:J24"/>
    <mergeCell ref="C102:D102"/>
    <mergeCell ref="B7:C7"/>
    <mergeCell ref="G26:J26"/>
    <mergeCell ref="B127:E127"/>
    <mergeCell ref="G155:H155"/>
    <mergeCell ref="A112:J112"/>
    <mergeCell ref="G157:H157"/>
    <mergeCell ref="G132:H132"/>
    <mergeCell ref="B109:H109"/>
    <mergeCell ref="I150:J150"/>
    <mergeCell ref="K150:L150"/>
    <mergeCell ref="G152:H152"/>
    <mergeCell ref="B122:E122"/>
    <mergeCell ref="I152:J152"/>
    <mergeCell ref="C66:H66"/>
    <mergeCell ref="K8:L8"/>
    <mergeCell ref="C53:H53"/>
    <mergeCell ref="K145:L145"/>
    <mergeCell ref="C68:H68"/>
    <mergeCell ref="K147:L147"/>
    <mergeCell ref="I105:J105"/>
    <mergeCell ref="B132:D132"/>
    <mergeCell ref="A100:J100"/>
    <mergeCell ref="I120:J120"/>
    <mergeCell ref="K100:L100"/>
    <mergeCell ref="K94:L94"/>
    <mergeCell ref="K140:L140"/>
    <mergeCell ref="B8:C8"/>
    <mergeCell ref="G27:J27"/>
    <mergeCell ref="K102:L102"/>
    <mergeCell ref="A47:B47"/>
    <mergeCell ref="B117:H117"/>
    <mergeCell ref="B119:H119"/>
    <mergeCell ref="B114:C114"/>
    <mergeCell ref="A44:B44"/>
    <mergeCell ref="B128:E128"/>
    <mergeCell ref="A58:B58"/>
    <mergeCell ref="I95:J95"/>
    <mergeCell ref="K24:L24"/>
    <mergeCell ref="I89:J89"/>
    <mergeCell ref="A37:L37"/>
    <mergeCell ref="K89:L89"/>
    <mergeCell ref="D114:J114"/>
    <mergeCell ref="K113:L113"/>
    <mergeCell ref="G97:H97"/>
    <mergeCell ref="B123:E123"/>
    <mergeCell ref="K26:L26"/>
    <mergeCell ref="K153:L153"/>
    <mergeCell ref="B21:C21"/>
    <mergeCell ref="K90:L90"/>
    <mergeCell ref="B158:D158"/>
    <mergeCell ref="B133:D133"/>
    <mergeCell ref="I121:J121"/>
    <mergeCell ref="A42:B42"/>
    <mergeCell ref="B135:D135"/>
    <mergeCell ref="B84:F84"/>
    <mergeCell ref="D11:J11"/>
    <mergeCell ref="A53:B53"/>
    <mergeCell ref="I110:J110"/>
    <mergeCell ref="K141:L141"/>
    <mergeCell ref="A68:B68"/>
    <mergeCell ref="K116:L116"/>
    <mergeCell ref="K143:L143"/>
    <mergeCell ref="K118:L118"/>
    <mergeCell ref="A48:B48"/>
    <mergeCell ref="B16:C16"/>
    <mergeCell ref="B18:C18"/>
    <mergeCell ref="B146:D146"/>
    <mergeCell ref="B11:C11"/>
    <mergeCell ref="I134:J134"/>
    <mergeCell ref="K134:L134"/>
    <mergeCell ref="I96:J96"/>
    <mergeCell ref="A38:L38"/>
    <mergeCell ref="I98:J98"/>
    <mergeCell ref="K27:L27"/>
    <mergeCell ref="G154:H154"/>
    <mergeCell ref="B141:D141"/>
    <mergeCell ref="B6:C6"/>
    <mergeCell ref="K156:L156"/>
    <mergeCell ref="D17:J17"/>
    <mergeCell ref="E25:F25"/>
    <mergeCell ref="A63:B63"/>
    <mergeCell ref="B136:D136"/>
    <mergeCell ref="D12:J12"/>
    <mergeCell ref="I116:J116"/>
    <mergeCell ref="A69:B69"/>
    <mergeCell ref="D14:J14"/>
    <mergeCell ref="K11:L11"/>
    <mergeCell ref="K109:L109"/>
    <mergeCell ref="B17:C17"/>
    <mergeCell ref="B87:F87"/>
    <mergeCell ref="B154:D154"/>
    <mergeCell ref="B19:C19"/>
    <mergeCell ref="G142:H142"/>
    <mergeCell ref="I142:J142"/>
    <mergeCell ref="B156:D156"/>
    <mergeCell ref="G144:H144"/>
    <mergeCell ref="B155:D155"/>
    <mergeCell ref="B20:C20"/>
    <mergeCell ref="D7:J7"/>
    <mergeCell ref="C45:H45"/>
    <mergeCell ref="E81:F81"/>
    <mergeCell ref="B149:D149"/>
    <mergeCell ref="I137:J137"/>
    <mergeCell ref="K137:L137"/>
    <mergeCell ref="A67:B67"/>
    <mergeCell ref="B151:D151"/>
    <mergeCell ref="C47:H47"/>
    <mergeCell ref="A41:L41"/>
    <mergeCell ref="I139:J139"/>
    <mergeCell ref="K139:L139"/>
    <mergeCell ref="D8:J8"/>
    <mergeCell ref="K114:L114"/>
    <mergeCell ref="C51:H51"/>
    <mergeCell ref="D20:J20"/>
    <mergeCell ref="E28:F28"/>
    <mergeCell ref="A66:B66"/>
    <mergeCell ref="B125:E125"/>
    <mergeCell ref="E30:F30"/>
    <mergeCell ref="I117:J117"/>
    <mergeCell ref="K117:L117"/>
    <mergeCell ref="I132:J132"/>
    <mergeCell ref="K132:L132"/>
    <mergeCell ref="D13:J13"/>
    <mergeCell ref="B89:F89"/>
    <mergeCell ref="A1:L1"/>
    <mergeCell ref="K112:L112"/>
    <mergeCell ref="G150:H150"/>
    <mergeCell ref="B90:F90"/>
    <mergeCell ref="B157:D157"/>
    <mergeCell ref="G145:H145"/>
    <mergeCell ref="B104:H104"/>
    <mergeCell ref="I145:J145"/>
    <mergeCell ref="C59:H59"/>
    <mergeCell ref="C46:H46"/>
    <mergeCell ref="A54:B54"/>
    <mergeCell ref="G147:H147"/>
    <mergeCell ref="K138:L138"/>
    <mergeCell ref="B106:H106"/>
    <mergeCell ref="I147:J147"/>
    <mergeCell ref="C61:H61"/>
    <mergeCell ref="C48:H48"/>
    <mergeCell ref="A56:B56"/>
    <mergeCell ref="A91:L91"/>
    <mergeCell ref="B94:D94"/>
    <mergeCell ref="A93:L93"/>
    <mergeCell ref="G94:H94"/>
    <mergeCell ref="I94:J94"/>
    <mergeCell ref="G158:H158"/>
    <mergeCell ref="I158:J158"/>
    <mergeCell ref="K158:L158"/>
    <mergeCell ref="I133:J133"/>
    <mergeCell ref="I108:J108"/>
    <mergeCell ref="K133:L133"/>
    <mergeCell ref="B147:D147"/>
    <mergeCell ref="C43:H43"/>
    <mergeCell ref="I135:J135"/>
    <mergeCell ref="K135:L135"/>
    <mergeCell ref="K122:L122"/>
    <mergeCell ref="E101:J101"/>
    <mergeCell ref="C67:H67"/>
    <mergeCell ref="B105:H105"/>
    <mergeCell ref="E102:J102"/>
    <mergeCell ref="C69:H69"/>
    <mergeCell ref="E26:F26"/>
    <mergeCell ref="B120:H120"/>
    <mergeCell ref="I88:J88"/>
    <mergeCell ref="B107:H107"/>
    <mergeCell ref="I148:J148"/>
    <mergeCell ref="K148:L148"/>
    <mergeCell ref="C62:H62"/>
    <mergeCell ref="K82:L82"/>
    <mergeCell ref="C82:D82"/>
    <mergeCell ref="K146:L146"/>
    <mergeCell ref="C64:H64"/>
    <mergeCell ref="K6:L6"/>
    <mergeCell ref="G141:H141"/>
    <mergeCell ref="I141:J141"/>
    <mergeCell ref="I97:J97"/>
    <mergeCell ref="K159:L159"/>
    <mergeCell ref="I143:J143"/>
    <mergeCell ref="D31:J31"/>
    <mergeCell ref="K136:L136"/>
    <mergeCell ref="K7:L7"/>
    <mergeCell ref="C58:H58"/>
    <mergeCell ref="A43:B43"/>
    <mergeCell ref="G134:H134"/>
    <mergeCell ref="G96:H96"/>
    <mergeCell ref="C101:D101"/>
    <mergeCell ref="I90:J90"/>
    <mergeCell ref="G98:H98"/>
    <mergeCell ref="B124:E124"/>
    <mergeCell ref="I154:J154"/>
    <mergeCell ref="K154:L154"/>
    <mergeCell ref="B110:H110"/>
    <mergeCell ref="I85:J85"/>
    <mergeCell ref="B126:E126"/>
    <mergeCell ref="A33:L33"/>
    <mergeCell ref="G156:H156"/>
    <mergeCell ref="C25:D25"/>
    <mergeCell ref="I156:J156"/>
    <mergeCell ref="K84:L84"/>
    <mergeCell ref="K149:L149"/>
    <mergeCell ref="A35:L35"/>
    <mergeCell ref="A10:L10"/>
    <mergeCell ref="K151:L151"/>
    <mergeCell ref="I118:J118"/>
    <mergeCell ref="A39:L39"/>
    <mergeCell ref="I109:J109"/>
    <mergeCell ref="I119:J119"/>
  </mergeCells>
  <conditionalFormatting sqref="K7">
    <cfRule type="expression" priority="1" dxfId="0">
      <formula>LEN(K7)&gt;0</formula>
    </cfRule>
  </conditionalFormatting>
  <conditionalFormatting sqref="K8">
    <cfRule type="expression" priority="2" dxfId="0">
      <formula>LEN(K8)&gt;0</formula>
    </cfRule>
  </conditionalFormatting>
  <conditionalFormatting sqref="K25">
    <cfRule type="expression" priority="3" dxfId="0">
      <formula>LEN(K25)&gt;0</formula>
    </cfRule>
  </conditionalFormatting>
  <conditionalFormatting sqref="K26">
    <cfRule type="expression" priority="4" dxfId="0">
      <formula>LEN(K26)&gt;0</formula>
    </cfRule>
  </conditionalFormatting>
  <conditionalFormatting sqref="K27">
    <cfRule type="expression" priority="5" dxfId="0">
      <formula>LEN(K27)&gt;0</formula>
    </cfRule>
  </conditionalFormatting>
  <conditionalFormatting sqref="K28">
    <cfRule type="expression" priority="6" dxfId="0">
      <formula>LEN(K28)&gt;0</formula>
    </cfRule>
  </conditionalFormatting>
  <conditionalFormatting sqref="K29">
    <cfRule type="expression" priority="7" dxfId="0">
      <formula>LEN(K29)&gt;0</formula>
    </cfRule>
  </conditionalFormatting>
  <conditionalFormatting sqref="K30">
    <cfRule type="expression" priority="8" dxfId="0">
      <formula>LEN(K30)&gt;0</formula>
    </cfRule>
  </conditionalFormatting>
  <conditionalFormatting sqref="K82">
    <cfRule type="expression" priority="9" dxfId="0">
      <formula>LEN(K82)&gt;0</formula>
    </cfRule>
  </conditionalFormatting>
  <conditionalFormatting sqref="K89">
    <cfRule type="expression" priority="10" dxfId="0">
      <formula>LEN(K89)&gt;0</formula>
    </cfRule>
  </conditionalFormatting>
  <conditionalFormatting sqref="K90">
    <cfRule type="expression" priority="11" dxfId="0">
      <formula>LEN(K90)&gt;0</formula>
    </cfRule>
  </conditionalFormatting>
  <conditionalFormatting sqref="K102">
    <cfRule type="expression" priority="12" dxfId="0">
      <formula>LEN(K102)&gt;0</formula>
    </cfRule>
  </conditionalFormatting>
  <conditionalFormatting sqref="K105">
    <cfRule type="expression" priority="13" dxfId="0">
      <formula>LEN(K105)&gt;0</formula>
    </cfRule>
  </conditionalFormatting>
  <conditionalFormatting sqref="K107">
    <cfRule type="expression" priority="14" dxfId="0">
      <formula>LEN(K107)&gt;0</formula>
    </cfRule>
  </conditionalFormatting>
  <conditionalFormatting sqref="K109">
    <cfRule type="expression" priority="15" dxfId="0">
      <formula>LEN(K109)&gt;0</formula>
    </cfRule>
  </conditionalFormatting>
  <conditionalFormatting sqref="K114">
    <cfRule type="expression" priority="16" dxfId="0">
      <formula>LEN(K114)&gt;0</formula>
    </cfRule>
  </conditionalFormatting>
  <conditionalFormatting sqref="K117">
    <cfRule type="expression" priority="17" dxfId="0">
      <formula>LEN(K117)&gt;0</formula>
    </cfRule>
  </conditionalFormatting>
  <conditionalFormatting sqref="K118">
    <cfRule type="expression" priority="18" dxfId="0">
      <formula>LEN(K118)&gt;0</formula>
    </cfRule>
  </conditionalFormatting>
  <conditionalFormatting sqref="K120">
    <cfRule type="expression" priority="19" dxfId="0">
      <formula>LEN(K120)&gt;0</formula>
    </cfRule>
  </conditionalFormatting>
  <conditionalFormatting sqref="K133">
    <cfRule type="expression" priority="20" dxfId="0">
      <formula>LEN(K133)&gt;0</formula>
    </cfRule>
  </conditionalFormatting>
  <conditionalFormatting sqref="K134">
    <cfRule type="expression" priority="21" dxfId="0">
      <formula>LEN(K134)&gt;0</formula>
    </cfRule>
  </conditionalFormatting>
  <conditionalFormatting sqref="K135">
    <cfRule type="expression" priority="22" dxfId="0">
      <formula>LEN(K135)&gt;0</formula>
    </cfRule>
  </conditionalFormatting>
  <conditionalFormatting sqref="K136">
    <cfRule type="expression" priority="23" dxfId="0">
      <formula>LEN(K136)&gt;0</formula>
    </cfRule>
  </conditionalFormatting>
  <conditionalFormatting sqref="K137">
    <cfRule type="expression" priority="24" dxfId="0">
      <formula>LEN(K137)&gt;0</formula>
    </cfRule>
  </conditionalFormatting>
  <conditionalFormatting sqref="K138">
    <cfRule type="expression" priority="25" dxfId="0">
      <formula>LEN(K138)&gt;0</formula>
    </cfRule>
  </conditionalFormatting>
  <conditionalFormatting sqref="K139">
    <cfRule type="expression" priority="26" dxfId="0">
      <formula>LEN(K139)&gt;0</formula>
    </cfRule>
  </conditionalFormatting>
  <conditionalFormatting sqref="K140">
    <cfRule type="expression" priority="27" dxfId="0">
      <formula>LEN(K140)&gt;0</formula>
    </cfRule>
  </conditionalFormatting>
  <conditionalFormatting sqref="K141">
    <cfRule type="expression" priority="28" dxfId="0">
      <formula>LEN(K141)&gt;0</formula>
    </cfRule>
  </conditionalFormatting>
  <conditionalFormatting sqref="K142">
    <cfRule type="expression" priority="29" dxfId="0">
      <formula>LEN(K142)&gt;0</formula>
    </cfRule>
  </conditionalFormatting>
  <conditionalFormatting sqref="K143">
    <cfRule type="expression" priority="30" dxfId="0">
      <formula>LEN(K143)&gt;0</formula>
    </cfRule>
  </conditionalFormatting>
  <conditionalFormatting sqref="K144">
    <cfRule type="expression" priority="31" dxfId="0">
      <formula>LEN(K144)&gt;0</formula>
    </cfRule>
  </conditionalFormatting>
  <conditionalFormatting sqref="K145">
    <cfRule type="expression" priority="32" dxfId="0">
      <formula>LEN(K145)&gt;0</formula>
    </cfRule>
  </conditionalFormatting>
  <conditionalFormatting sqref="K147">
    <cfRule type="expression" priority="33" dxfId="0">
      <formula>LEN(K147)&gt;0</formula>
    </cfRule>
  </conditionalFormatting>
  <conditionalFormatting sqref="K148">
    <cfRule type="expression" priority="34" dxfId="0">
      <formula>LEN(K148)&gt;0</formula>
    </cfRule>
  </conditionalFormatting>
  <conditionalFormatting sqref="K149">
    <cfRule type="expression" priority="35" dxfId="0">
      <formula>LEN(K149)&gt;0</formula>
    </cfRule>
  </conditionalFormatting>
  <conditionalFormatting sqref="K150">
    <cfRule type="expression" priority="36" dxfId="0">
      <formula>LEN(K150)&gt;0</formula>
    </cfRule>
  </conditionalFormatting>
  <conditionalFormatting sqref="K151">
    <cfRule type="expression" priority="37" dxfId="0">
      <formula>LEN(K151)&gt;0</formula>
    </cfRule>
  </conditionalFormatting>
  <conditionalFormatting sqref="K152">
    <cfRule type="expression" priority="38" dxfId="0">
      <formula>LEN(K152)&gt;0</formula>
    </cfRule>
  </conditionalFormatting>
  <conditionalFormatting sqref="K153">
    <cfRule type="expression" priority="39" dxfId="0">
      <formula>LEN(K153)&gt;0</formula>
    </cfRule>
  </conditionalFormatting>
  <conditionalFormatting sqref="K154">
    <cfRule type="expression" priority="40" dxfId="0">
      <formula>LEN(K154)&gt;0</formula>
    </cfRule>
  </conditionalFormatting>
  <conditionalFormatting sqref="K155">
    <cfRule type="expression" priority="41" dxfId="0">
      <formula>LEN(K155)&gt;0</formula>
    </cfRule>
  </conditionalFormatting>
  <conditionalFormatting sqref="K156">
    <cfRule type="expression" priority="42" dxfId="0">
      <formula>LEN(K156)&gt;0</formula>
    </cfRule>
  </conditionalFormatting>
  <conditionalFormatting sqref="K157">
    <cfRule type="expression" priority="43" dxfId="0">
      <formula>LEN(K157)&gt;0</formula>
    </cfRule>
  </conditionalFormatting>
  <conditionalFormatting sqref="K158">
    <cfRule type="expression" priority="44" dxfId="0">
      <formula>LEN(K158)&gt;0</formula>
    </cfRule>
  </conditionalFormatting>
  <conditionalFormatting sqref="K159">
    <cfRule type="expression" priority="45" dxfId="0">
      <formula>LEN(K159)&gt;0</formula>
    </cfRule>
  </conditionalFormatting>
  <dataValidations count="158">
    <dataValidation sqref="B7" showDropDown="0" showInputMessage="0" showErrorMessage="1" allowBlank="1" errorTitle="Valor fora da faixa" error="Nível novo: use um número inteiro de 1 a 20." type="whole" errorStyle="warning" operator="between">
      <formula1>1</formula1>
      <formula2>20</formula2>
    </dataValidation>
    <dataValidation sqref="B8" showDropDown="0" showInputMessage="0" showErrorMessage="1" allowBlank="1" errorTitle="Fora da lista" error="O que aconteceu: escolha um valor da lista. A planilha pode não reconhecer outro valor." type="list" errorStyle="warning">
      <formula1>'Dados'!$BU$6:$BU$8</formula1>
    </dataValidation>
    <dataValidation sqref="A82" showDropDown="0" showInputMessage="0" showErrorMessage="1" allowBlank="1" errorTitle="Valor fora da faixa" error="Rolagem nº: use um número inteiro de 1 a 1000000." type="whole" errorStyle="warning" operator="between">
      <formula1>1</formula1>
      <formula2>1000000</formula2>
    </dataValidation>
    <dataValidation sqref="B82" showDropDown="0" showInputMessage="0" showErrorMessage="1" allowBlank="1" errorTitle="Fora da lista" error="Faixa: escolha um valor da lista. A planilha pode não reconhecer outro valor." type="list" errorStyle="warning">
      <formula1>'Dados'!$AP$6:$AP$10</formula1>
    </dataValidation>
    <dataValidation sqref="C82" showDropDown="0" showInputMessage="0" showErrorMessage="1" allowBlank="1" errorTitle="Fora da lista" error="Leitura do encontro: escolha um valor da lista. A planilha pode não reconhecer outro valor." type="list" errorStyle="warning">
      <formula1>'Dados'!$BT$6:$BT$8</formula1>
    </dataValidation>
    <dataValidation sqref="A102" showDropDown="0" showInputMessage="0" showErrorMessage="1" allowBlank="1" errorTitle="Valor fora da faixa" error="Rolagem nº: use um número inteiro de 1 a 1000000." type="whole" errorStyle="warning" operator="between">
      <formula1>1</formula1>
      <formula2>1000000</formula2>
    </dataValidation>
    <dataValidation sqref="B102" showDropDown="0" showInputMessage="0" showErrorMessage="1" allowBlank="1" errorTitle="Fora da lista" error="Faixa: escolha um valor da lista. A planilha pode não reconhecer outro valor." type="list" errorStyle="warning">
      <formula1>'Dados'!$AP$6:$AP$10</formula1>
    </dataValidation>
    <dataValidation sqref="A114" showDropDown="0" showInputMessage="0" showErrorMessage="1" allowBlank="1" errorTitle="Valor fora da faixa" error="Rolagem nº: use um número inteiro de 1 a 1000000." type="whole" errorStyle="warning" operator="between">
      <formula1>1</formula1>
      <formula2>1000000</formula2>
    </dataValidation>
    <dataValidation sqref="A133" showDropDown="0" showInputMessage="0" showErrorMessage="1" allowBlank="1" errorTitle="Valor fora da faixa" error="Sessão: use um número inteiro de 1 a 999." type="whole" errorStyle="warning" operator="between">
      <formula1>1</formula1>
      <formula2>999</formula2>
    </dataValidation>
    <dataValidation sqref="B133" showDropDown="0" showInputMessage="0" showErrorMessage="1" allowBlank="1" errorTitle="Texto longo" error="Item ou Créditos: até 80 caracteres." type="textLength" errorStyle="warning" operator="lessThanOrEqual">
      <formula1>80</formula1>
    </dataValidation>
    <dataValidation sqref="E133" showDropDown="0" showInputMessage="0" showErrorMessage="1" allowBlank="1" errorTitle="Valor fora da faixa" error="Quantidade: use um número inteiro de 0 a 999." type="whole" errorStyle="warning" operator="between">
      <formula1>0</formula1>
      <formula2>999</formula2>
    </dataValidation>
    <dataValidation sqref="F133" showDropDown="0" showInputMessage="0" showErrorMessage="1" allowBlank="1" errorTitle="Valor fora da faixa" error="Créditos: use um número inteiro de -99999 a 99999." type="whole" errorStyle="warning" operator="between">
      <formula1>-99999</formula1>
      <formula2>99999</formula2>
    </dataValidation>
    <dataValidation sqref="G133" showDropDown="0" showInputMessage="0" showErrorMessage="1" allowBlank="1" errorTitle="Texto longo" error="Com quem: até 40 caracteres." type="textLength" errorStyle="warning" operator="lessThanOrEqual">
      <formula1>40</formula1>
    </dataValidation>
    <dataValidation sqref="I133" showDropDown="0" showInputMessage="0" showErrorMessage="1" allowBlank="1" errorTitle="Texto longo" error="Notas: até 200 caracteres." type="textLength" errorStyle="warning" operator="lessThanOrEqual">
      <formula1>200</formula1>
    </dataValidation>
    <dataValidation sqref="A134" showDropDown="0" showInputMessage="0" showErrorMessage="1" allowBlank="1" errorTitle="Valor fora da faixa" error="Sessão: use um número inteiro de 1 a 999." type="whole" errorStyle="warning" operator="between">
      <formula1>1</formula1>
      <formula2>999</formula2>
    </dataValidation>
    <dataValidation sqref="B134" showDropDown="0" showInputMessage="0" showErrorMessage="1" allowBlank="1" errorTitle="Texto longo" error="Item ou Créditos: até 80 caracteres." type="textLength" errorStyle="warning" operator="lessThanOrEqual">
      <formula1>80</formula1>
    </dataValidation>
    <dataValidation sqref="E134" showDropDown="0" showInputMessage="0" showErrorMessage="1" allowBlank="1" errorTitle="Valor fora da faixa" error="Quantidade: use um número inteiro de 0 a 999." type="whole" errorStyle="warning" operator="between">
      <formula1>0</formula1>
      <formula2>999</formula2>
    </dataValidation>
    <dataValidation sqref="F134" showDropDown="0" showInputMessage="0" showErrorMessage="1" allowBlank="1" errorTitle="Valor fora da faixa" error="Créditos: use um número inteiro de -99999 a 99999." type="whole" errorStyle="warning" operator="between">
      <formula1>-99999</formula1>
      <formula2>99999</formula2>
    </dataValidation>
    <dataValidation sqref="G134" showDropDown="0" showInputMessage="0" showErrorMessage="1" allowBlank="1" errorTitle="Texto longo" error="Com quem: até 40 caracteres." type="textLength" errorStyle="warning" operator="lessThanOrEqual">
      <formula1>40</formula1>
    </dataValidation>
    <dataValidation sqref="I134" showDropDown="0" showInputMessage="0" showErrorMessage="1" allowBlank="1" errorTitle="Texto longo" error="Notas: até 200 caracteres." type="textLength" errorStyle="warning" operator="lessThanOrEqual">
      <formula1>200</formula1>
    </dataValidation>
    <dataValidation sqref="A135" showDropDown="0" showInputMessage="0" showErrorMessage="1" allowBlank="1" errorTitle="Valor fora da faixa" error="Sessão: use um número inteiro de 1 a 999." type="whole" errorStyle="warning" operator="between">
      <formula1>1</formula1>
      <formula2>999</formula2>
    </dataValidation>
    <dataValidation sqref="B135" showDropDown="0" showInputMessage="0" showErrorMessage="1" allowBlank="1" errorTitle="Texto longo" error="Item ou Créditos: até 80 caracteres." type="textLength" errorStyle="warning" operator="lessThanOrEqual">
      <formula1>80</formula1>
    </dataValidation>
    <dataValidation sqref="E135" showDropDown="0" showInputMessage="0" showErrorMessage="1" allowBlank="1" errorTitle="Valor fora da faixa" error="Quantidade: use um número inteiro de 0 a 999." type="whole" errorStyle="warning" operator="between">
      <formula1>0</formula1>
      <formula2>999</formula2>
    </dataValidation>
    <dataValidation sqref="F135" showDropDown="0" showInputMessage="0" showErrorMessage="1" allowBlank="1" errorTitle="Valor fora da faixa" error="Créditos: use um número inteiro de -99999 a 99999." type="whole" errorStyle="warning" operator="between">
      <formula1>-99999</formula1>
      <formula2>99999</formula2>
    </dataValidation>
    <dataValidation sqref="G135" showDropDown="0" showInputMessage="0" showErrorMessage="1" allowBlank="1" errorTitle="Texto longo" error="Com quem: até 40 caracteres." type="textLength" errorStyle="warning" operator="lessThanOrEqual">
      <formula1>40</formula1>
    </dataValidation>
    <dataValidation sqref="I135" showDropDown="0" showInputMessage="0" showErrorMessage="1" allowBlank="1" errorTitle="Texto longo" error="Notas: até 200 caracteres." type="textLength" errorStyle="warning" operator="lessThanOrEqual">
      <formula1>200</formula1>
    </dataValidation>
    <dataValidation sqref="A136" showDropDown="0" showInputMessage="0" showErrorMessage="1" allowBlank="1" errorTitle="Valor fora da faixa" error="Sessão: use um número inteiro de 1 a 999." type="whole" errorStyle="warning" operator="between">
      <formula1>1</formula1>
      <formula2>999</formula2>
    </dataValidation>
    <dataValidation sqref="B136" showDropDown="0" showInputMessage="0" showErrorMessage="1" allowBlank="1" errorTitle="Texto longo" error="Item ou Créditos: até 80 caracteres." type="textLength" errorStyle="warning" operator="lessThanOrEqual">
      <formula1>80</formula1>
    </dataValidation>
    <dataValidation sqref="E136" showDropDown="0" showInputMessage="0" showErrorMessage="1" allowBlank="1" errorTitle="Valor fora da faixa" error="Quantidade: use um número inteiro de 0 a 999." type="whole" errorStyle="warning" operator="between">
      <formula1>0</formula1>
      <formula2>999</formula2>
    </dataValidation>
    <dataValidation sqref="F136" showDropDown="0" showInputMessage="0" showErrorMessage="1" allowBlank="1" errorTitle="Valor fora da faixa" error="Créditos: use um número inteiro de -99999 a 99999." type="whole" errorStyle="warning" operator="between">
      <formula1>-99999</formula1>
      <formula2>99999</formula2>
    </dataValidation>
    <dataValidation sqref="G136" showDropDown="0" showInputMessage="0" showErrorMessage="1" allowBlank="1" errorTitle="Texto longo" error="Com quem: até 40 caracteres." type="textLength" errorStyle="warning" operator="lessThanOrEqual">
      <formula1>40</formula1>
    </dataValidation>
    <dataValidation sqref="I136" showDropDown="0" showInputMessage="0" showErrorMessage="1" allowBlank="1" errorTitle="Texto longo" error="Notas: até 200 caracteres." type="textLength" errorStyle="warning" operator="lessThanOrEqual">
      <formula1>200</formula1>
    </dataValidation>
    <dataValidation sqref="A137" showDropDown="0" showInputMessage="0" showErrorMessage="1" allowBlank="1" errorTitle="Valor fora da faixa" error="Sessão: use um número inteiro de 1 a 999." type="whole" errorStyle="warning" operator="between">
      <formula1>1</formula1>
      <formula2>999</formula2>
    </dataValidation>
    <dataValidation sqref="B137" showDropDown="0" showInputMessage="0" showErrorMessage="1" allowBlank="1" errorTitle="Texto longo" error="Item ou Créditos: até 80 caracteres." type="textLength" errorStyle="warning" operator="lessThanOrEqual">
      <formula1>80</formula1>
    </dataValidation>
    <dataValidation sqref="E137" showDropDown="0" showInputMessage="0" showErrorMessage="1" allowBlank="1" errorTitle="Valor fora da faixa" error="Quantidade: use um número inteiro de 0 a 999." type="whole" errorStyle="warning" operator="between">
      <formula1>0</formula1>
      <formula2>999</formula2>
    </dataValidation>
    <dataValidation sqref="F137" showDropDown="0" showInputMessage="0" showErrorMessage="1" allowBlank="1" errorTitle="Valor fora da faixa" error="Créditos: use um número inteiro de -99999 a 99999." type="whole" errorStyle="warning" operator="between">
      <formula1>-99999</formula1>
      <formula2>99999</formula2>
    </dataValidation>
    <dataValidation sqref="G137" showDropDown="0" showInputMessage="0" showErrorMessage="1" allowBlank="1" errorTitle="Texto longo" error="Com quem: até 40 caracteres." type="textLength" errorStyle="warning" operator="lessThanOrEqual">
      <formula1>40</formula1>
    </dataValidation>
    <dataValidation sqref="I137" showDropDown="0" showInputMessage="0" showErrorMessage="1" allowBlank="1" errorTitle="Texto longo" error="Notas: até 200 caracteres." type="textLength" errorStyle="warning" operator="lessThanOrEqual">
      <formula1>200</formula1>
    </dataValidation>
    <dataValidation sqref="A138" showDropDown="0" showInputMessage="0" showErrorMessage="1" allowBlank="1" errorTitle="Valor fora da faixa" error="Sessão: use um número inteiro de 1 a 999." type="whole" errorStyle="warning" operator="between">
      <formula1>1</formula1>
      <formula2>999</formula2>
    </dataValidation>
    <dataValidation sqref="B138" showDropDown="0" showInputMessage="0" showErrorMessage="1" allowBlank="1" errorTitle="Texto longo" error="Item ou Créditos: até 80 caracteres." type="textLength" errorStyle="warning" operator="lessThanOrEqual">
      <formula1>80</formula1>
    </dataValidation>
    <dataValidation sqref="E138" showDropDown="0" showInputMessage="0" showErrorMessage="1" allowBlank="1" errorTitle="Valor fora da faixa" error="Quantidade: use um número inteiro de 0 a 999." type="whole" errorStyle="warning" operator="between">
      <formula1>0</formula1>
      <formula2>999</formula2>
    </dataValidation>
    <dataValidation sqref="F138" showDropDown="0" showInputMessage="0" showErrorMessage="1" allowBlank="1" errorTitle="Valor fora da faixa" error="Créditos: use um número inteiro de -99999 a 99999." type="whole" errorStyle="warning" operator="between">
      <formula1>-99999</formula1>
      <formula2>99999</formula2>
    </dataValidation>
    <dataValidation sqref="G138" showDropDown="0" showInputMessage="0" showErrorMessage="1" allowBlank="1" errorTitle="Texto longo" error="Com quem: até 40 caracteres." type="textLength" errorStyle="warning" operator="lessThanOrEqual">
      <formula1>40</formula1>
    </dataValidation>
    <dataValidation sqref="I138" showDropDown="0" showInputMessage="0" showErrorMessage="1" allowBlank="1" errorTitle="Texto longo" error="Notas: até 200 caracteres." type="textLength" errorStyle="warning" operator="lessThanOrEqual">
      <formula1>200</formula1>
    </dataValidation>
    <dataValidation sqref="A139" showDropDown="0" showInputMessage="0" showErrorMessage="1" allowBlank="1" errorTitle="Valor fora da faixa" error="Sessão: use um número inteiro de 1 a 999." type="whole" errorStyle="warning" operator="between">
      <formula1>1</formula1>
      <formula2>999</formula2>
    </dataValidation>
    <dataValidation sqref="B139" showDropDown="0" showInputMessage="0" showErrorMessage="1" allowBlank="1" errorTitle="Texto longo" error="Item ou Créditos: até 80 caracteres." type="textLength" errorStyle="warning" operator="lessThanOrEqual">
      <formula1>80</formula1>
    </dataValidation>
    <dataValidation sqref="E139" showDropDown="0" showInputMessage="0" showErrorMessage="1" allowBlank="1" errorTitle="Valor fora da faixa" error="Quantidade: use um número inteiro de 0 a 999." type="whole" errorStyle="warning" operator="between">
      <formula1>0</formula1>
      <formula2>999</formula2>
    </dataValidation>
    <dataValidation sqref="F139" showDropDown="0" showInputMessage="0" showErrorMessage="1" allowBlank="1" errorTitle="Valor fora da faixa" error="Créditos: use um número inteiro de -99999 a 99999." type="whole" errorStyle="warning" operator="between">
      <formula1>-99999</formula1>
      <formula2>99999</formula2>
    </dataValidation>
    <dataValidation sqref="G139" showDropDown="0" showInputMessage="0" showErrorMessage="1" allowBlank="1" errorTitle="Texto longo" error="Com quem: até 40 caracteres." type="textLength" errorStyle="warning" operator="lessThanOrEqual">
      <formula1>40</formula1>
    </dataValidation>
    <dataValidation sqref="I139" showDropDown="0" showInputMessage="0" showErrorMessage="1" allowBlank="1" errorTitle="Texto longo" error="Notas: até 200 caracteres." type="textLength" errorStyle="warning" operator="lessThanOrEqual">
      <formula1>200</formula1>
    </dataValidation>
    <dataValidation sqref="A140" showDropDown="0" showInputMessage="0" showErrorMessage="1" allowBlank="1" errorTitle="Valor fora da faixa" error="Sessão: use um número inteiro de 1 a 999." type="whole" errorStyle="warning" operator="between">
      <formula1>1</formula1>
      <formula2>999</formula2>
    </dataValidation>
    <dataValidation sqref="B140" showDropDown="0" showInputMessage="0" showErrorMessage="1" allowBlank="1" errorTitle="Texto longo" error="Item ou Créditos: até 80 caracteres." type="textLength" errorStyle="warning" operator="lessThanOrEqual">
      <formula1>80</formula1>
    </dataValidation>
    <dataValidation sqref="E140" showDropDown="0" showInputMessage="0" showErrorMessage="1" allowBlank="1" errorTitle="Valor fora da faixa" error="Quantidade: use um número inteiro de 0 a 999." type="whole" errorStyle="warning" operator="between">
      <formula1>0</formula1>
      <formula2>999</formula2>
    </dataValidation>
    <dataValidation sqref="F140" showDropDown="0" showInputMessage="0" showErrorMessage="1" allowBlank="1" errorTitle="Valor fora da faixa" error="Créditos: use um número inteiro de -99999 a 99999." type="whole" errorStyle="warning" operator="between">
      <formula1>-99999</formula1>
      <formula2>99999</formula2>
    </dataValidation>
    <dataValidation sqref="G140" showDropDown="0" showInputMessage="0" showErrorMessage="1" allowBlank="1" errorTitle="Texto longo" error="Com quem: até 40 caracteres." type="textLength" errorStyle="warning" operator="lessThanOrEqual">
      <formula1>40</formula1>
    </dataValidation>
    <dataValidation sqref="I140" showDropDown="0" showInputMessage="0" showErrorMessage="1" allowBlank="1" errorTitle="Texto longo" error="Notas: até 200 caracteres." type="textLength" errorStyle="warning" operator="lessThanOrEqual">
      <formula1>200</formula1>
    </dataValidation>
    <dataValidation sqref="A141" showDropDown="0" showInputMessage="0" showErrorMessage="1" allowBlank="1" errorTitle="Valor fora da faixa" error="Sessão: use um número inteiro de 1 a 999." type="whole" errorStyle="warning" operator="between">
      <formula1>1</formula1>
      <formula2>999</formula2>
    </dataValidation>
    <dataValidation sqref="B141" showDropDown="0" showInputMessage="0" showErrorMessage="1" allowBlank="1" errorTitle="Texto longo" error="Item ou Créditos: até 80 caracteres." type="textLength" errorStyle="warning" operator="lessThanOrEqual">
      <formula1>80</formula1>
    </dataValidation>
    <dataValidation sqref="E141" showDropDown="0" showInputMessage="0" showErrorMessage="1" allowBlank="1" errorTitle="Valor fora da faixa" error="Quantidade: use um número inteiro de 0 a 999." type="whole" errorStyle="warning" operator="between">
      <formula1>0</formula1>
      <formula2>999</formula2>
    </dataValidation>
    <dataValidation sqref="F141" showDropDown="0" showInputMessage="0" showErrorMessage="1" allowBlank="1" errorTitle="Valor fora da faixa" error="Créditos: use um número inteiro de -99999 a 99999." type="whole" errorStyle="warning" operator="between">
      <formula1>-99999</formula1>
      <formula2>99999</formula2>
    </dataValidation>
    <dataValidation sqref="G141" showDropDown="0" showInputMessage="0" showErrorMessage="1" allowBlank="1" errorTitle="Texto longo" error="Com quem: até 40 caracteres." type="textLength" errorStyle="warning" operator="lessThanOrEqual">
      <formula1>40</formula1>
    </dataValidation>
    <dataValidation sqref="I141" showDropDown="0" showInputMessage="0" showErrorMessage="1" allowBlank="1" errorTitle="Texto longo" error="Notas: até 200 caracteres." type="textLength" errorStyle="warning" operator="lessThanOrEqual">
      <formula1>200</formula1>
    </dataValidation>
    <dataValidation sqref="A142" showDropDown="0" showInputMessage="0" showErrorMessage="1" allowBlank="1" errorTitle="Valor fora da faixa" error="Sessão: use um número inteiro de 1 a 999." type="whole" errorStyle="warning" operator="between">
      <formula1>1</formula1>
      <formula2>999</formula2>
    </dataValidation>
    <dataValidation sqref="B142" showDropDown="0" showInputMessage="0" showErrorMessage="1" allowBlank="1" errorTitle="Texto longo" error="Item ou Créditos: até 80 caracteres." type="textLength" errorStyle="warning" operator="lessThanOrEqual">
      <formula1>80</formula1>
    </dataValidation>
    <dataValidation sqref="E142" showDropDown="0" showInputMessage="0" showErrorMessage="1" allowBlank="1" errorTitle="Valor fora da faixa" error="Quantidade: use um número inteiro de 0 a 999." type="whole" errorStyle="warning" operator="between">
      <formula1>0</formula1>
      <formula2>999</formula2>
    </dataValidation>
    <dataValidation sqref="F142" showDropDown="0" showInputMessage="0" showErrorMessage="1" allowBlank="1" errorTitle="Valor fora da faixa" error="Créditos: use um número inteiro de -99999 a 99999." type="whole" errorStyle="warning" operator="between">
      <formula1>-99999</formula1>
      <formula2>99999</formula2>
    </dataValidation>
    <dataValidation sqref="G142" showDropDown="0" showInputMessage="0" showErrorMessage="1" allowBlank="1" errorTitle="Texto longo" error="Com quem: até 40 caracteres." type="textLength" errorStyle="warning" operator="lessThanOrEqual">
      <formula1>40</formula1>
    </dataValidation>
    <dataValidation sqref="I142" showDropDown="0" showInputMessage="0" showErrorMessage="1" allowBlank="1" errorTitle="Texto longo" error="Notas: até 200 caracteres." type="textLength" errorStyle="warning" operator="lessThanOrEqual">
      <formula1>200</formula1>
    </dataValidation>
    <dataValidation sqref="A143" showDropDown="0" showInputMessage="0" showErrorMessage="1" allowBlank="1" errorTitle="Valor fora da faixa" error="Sessão: use um número inteiro de 1 a 999." type="whole" errorStyle="warning" operator="between">
      <formula1>1</formula1>
      <formula2>999</formula2>
    </dataValidation>
    <dataValidation sqref="B143" showDropDown="0" showInputMessage="0" showErrorMessage="1" allowBlank="1" errorTitle="Texto longo" error="Item ou Créditos: até 80 caracteres." type="textLength" errorStyle="warning" operator="lessThanOrEqual">
      <formula1>80</formula1>
    </dataValidation>
    <dataValidation sqref="E143" showDropDown="0" showInputMessage="0" showErrorMessage="1" allowBlank="1" errorTitle="Valor fora da faixa" error="Quantidade: use um número inteiro de 0 a 999." type="whole" errorStyle="warning" operator="between">
      <formula1>0</formula1>
      <formula2>999</formula2>
    </dataValidation>
    <dataValidation sqref="F143" showDropDown="0" showInputMessage="0" showErrorMessage="1" allowBlank="1" errorTitle="Valor fora da faixa" error="Créditos: use um número inteiro de -99999 a 99999." type="whole" errorStyle="warning" operator="between">
      <formula1>-99999</formula1>
      <formula2>99999</formula2>
    </dataValidation>
    <dataValidation sqref="G143" showDropDown="0" showInputMessage="0" showErrorMessage="1" allowBlank="1" errorTitle="Texto longo" error="Com quem: até 40 caracteres." type="textLength" errorStyle="warning" operator="lessThanOrEqual">
      <formula1>40</formula1>
    </dataValidation>
    <dataValidation sqref="I143" showDropDown="0" showInputMessage="0" showErrorMessage="1" allowBlank="1" errorTitle="Texto longo" error="Notas: até 200 caracteres." type="textLength" errorStyle="warning" operator="lessThanOrEqual">
      <formula1>200</formula1>
    </dataValidation>
    <dataValidation sqref="A144" showDropDown="0" showInputMessage="0" showErrorMessage="1" allowBlank="1" errorTitle="Valor fora da faixa" error="Sessão: use um número inteiro de 1 a 999." type="whole" errorStyle="warning" operator="between">
      <formula1>1</formula1>
      <formula2>999</formula2>
    </dataValidation>
    <dataValidation sqref="B144" showDropDown="0" showInputMessage="0" showErrorMessage="1" allowBlank="1" errorTitle="Texto longo" error="Item ou Créditos: até 80 caracteres." type="textLength" errorStyle="warning" operator="lessThanOrEqual">
      <formula1>80</formula1>
    </dataValidation>
    <dataValidation sqref="E144" showDropDown="0" showInputMessage="0" showErrorMessage="1" allowBlank="1" errorTitle="Valor fora da faixa" error="Quantidade: use um número inteiro de 0 a 999." type="whole" errorStyle="warning" operator="between">
      <formula1>0</formula1>
      <formula2>999</formula2>
    </dataValidation>
    <dataValidation sqref="F144" showDropDown="0" showInputMessage="0" showErrorMessage="1" allowBlank="1" errorTitle="Valor fora da faixa" error="Créditos: use um número inteiro de -99999 a 99999." type="whole" errorStyle="warning" operator="between">
      <formula1>-99999</formula1>
      <formula2>99999</formula2>
    </dataValidation>
    <dataValidation sqref="G144" showDropDown="0" showInputMessage="0" showErrorMessage="1" allowBlank="1" errorTitle="Texto longo" error="Com quem: até 40 caracteres." type="textLength" errorStyle="warning" operator="lessThanOrEqual">
      <formula1>40</formula1>
    </dataValidation>
    <dataValidation sqref="I144" showDropDown="0" showInputMessage="0" showErrorMessage="1" allowBlank="1" errorTitle="Texto longo" error="Notas: até 200 caracteres." type="textLength" errorStyle="warning" operator="lessThanOrEqual">
      <formula1>200</formula1>
    </dataValidation>
    <dataValidation sqref="A145" showDropDown="0" showInputMessage="0" showErrorMessage="1" allowBlank="1" errorTitle="Valor fora da faixa" error="Sessão: use um número inteiro de 1 a 999." type="whole" errorStyle="warning" operator="between">
      <formula1>1</formula1>
      <formula2>999</formula2>
    </dataValidation>
    <dataValidation sqref="B145" showDropDown="0" showInputMessage="0" showErrorMessage="1" allowBlank="1" errorTitle="Texto longo" error="Item ou Créditos: até 80 caracteres." type="textLength" errorStyle="warning" operator="lessThanOrEqual">
      <formula1>80</formula1>
    </dataValidation>
    <dataValidation sqref="E145" showDropDown="0" showInputMessage="0" showErrorMessage="1" allowBlank="1" errorTitle="Valor fora da faixa" error="Quantidade: use um número inteiro de 0 a 999." type="whole" errorStyle="warning" operator="between">
      <formula1>0</formula1>
      <formula2>999</formula2>
    </dataValidation>
    <dataValidation sqref="F145" showDropDown="0" showInputMessage="0" showErrorMessage="1" allowBlank="1" errorTitle="Valor fora da faixa" error="Créditos: use um número inteiro de -99999 a 99999." type="whole" errorStyle="warning" operator="between">
      <formula1>-99999</formula1>
      <formula2>99999</formula2>
    </dataValidation>
    <dataValidation sqref="G145" showDropDown="0" showInputMessage="0" showErrorMessage="1" allowBlank="1" errorTitle="Texto longo" error="Com quem: até 40 caracteres." type="textLength" errorStyle="warning" operator="lessThanOrEqual">
      <formula1>40</formula1>
    </dataValidation>
    <dataValidation sqref="I145" showDropDown="0" showInputMessage="0" showErrorMessage="1" allowBlank="1" errorTitle="Texto longo" error="Notas: até 200 caracteres." type="textLength" errorStyle="warning" operator="lessThanOrEqual">
      <formula1>200</formula1>
    </dataValidation>
    <dataValidation sqref="A147" showDropDown="0" showInputMessage="0" showErrorMessage="1" allowBlank="1" errorTitle="Valor fora da faixa" error="Sessão: use um número inteiro de 1 a 999." type="whole" errorStyle="warning" operator="between">
      <formula1>1</formula1>
      <formula2>999</formula2>
    </dataValidation>
    <dataValidation sqref="B147" showDropDown="0" showInputMessage="0" showErrorMessage="1" allowBlank="1" errorTitle="Texto longo" error="Item ou Créditos: até 80 caracteres." type="textLength" errorStyle="warning" operator="lessThanOrEqual">
      <formula1>80</formula1>
    </dataValidation>
    <dataValidation sqref="E147" showDropDown="0" showInputMessage="0" showErrorMessage="1" allowBlank="1" errorTitle="Valor fora da faixa" error="Quantidade: use um número inteiro de 0 a 999." type="whole" errorStyle="warning" operator="between">
      <formula1>0</formula1>
      <formula2>999</formula2>
    </dataValidation>
    <dataValidation sqref="F147" showDropDown="0" showInputMessage="0" showErrorMessage="1" allowBlank="1" errorTitle="Valor fora da faixa" error="Créditos: use um número inteiro de -99999 a 99999." type="whole" errorStyle="warning" operator="between">
      <formula1>-99999</formula1>
      <formula2>99999</formula2>
    </dataValidation>
    <dataValidation sqref="G147" showDropDown="0" showInputMessage="0" showErrorMessage="1" allowBlank="1" errorTitle="Texto longo" error="Com quem: até 40 caracteres." type="textLength" errorStyle="warning" operator="lessThanOrEqual">
      <formula1>40</formula1>
    </dataValidation>
    <dataValidation sqref="I147" showDropDown="0" showInputMessage="0" showErrorMessage="1" allowBlank="1" errorTitle="Texto longo" error="Notas: até 200 caracteres." type="textLength" errorStyle="warning" operator="lessThanOrEqual">
      <formula1>200</formula1>
    </dataValidation>
    <dataValidation sqref="A148" showDropDown="0" showInputMessage="0" showErrorMessage="1" allowBlank="1" errorTitle="Valor fora da faixa" error="Sessão: use um número inteiro de 1 a 999." type="whole" errorStyle="warning" operator="between">
      <formula1>1</formula1>
      <formula2>999</formula2>
    </dataValidation>
    <dataValidation sqref="B148" showDropDown="0" showInputMessage="0" showErrorMessage="1" allowBlank="1" errorTitle="Texto longo" error="Item ou Créditos: até 80 caracteres." type="textLength" errorStyle="warning" operator="lessThanOrEqual">
      <formula1>80</formula1>
    </dataValidation>
    <dataValidation sqref="E148" showDropDown="0" showInputMessage="0" showErrorMessage="1" allowBlank="1" errorTitle="Valor fora da faixa" error="Quantidade: use um número inteiro de 0 a 999." type="whole" errorStyle="warning" operator="between">
      <formula1>0</formula1>
      <formula2>999</formula2>
    </dataValidation>
    <dataValidation sqref="F148" showDropDown="0" showInputMessage="0" showErrorMessage="1" allowBlank="1" errorTitle="Valor fora da faixa" error="Créditos: use um número inteiro de -99999 a 99999." type="whole" errorStyle="warning" operator="between">
      <formula1>-99999</formula1>
      <formula2>99999</formula2>
    </dataValidation>
    <dataValidation sqref="G148" showDropDown="0" showInputMessage="0" showErrorMessage="1" allowBlank="1" errorTitle="Texto longo" error="Com quem: até 40 caracteres." type="textLength" errorStyle="warning" operator="lessThanOrEqual">
      <formula1>40</formula1>
    </dataValidation>
    <dataValidation sqref="I148" showDropDown="0" showInputMessage="0" showErrorMessage="1" allowBlank="1" errorTitle="Texto longo" error="Notas: até 200 caracteres." type="textLength" errorStyle="warning" operator="lessThanOrEqual">
      <formula1>200</formula1>
    </dataValidation>
    <dataValidation sqref="A149" showDropDown="0" showInputMessage="0" showErrorMessage="1" allowBlank="1" errorTitle="Valor fora da faixa" error="Sessão: use um número inteiro de 1 a 999." type="whole" errorStyle="warning" operator="between">
      <formula1>1</formula1>
      <formula2>999</formula2>
    </dataValidation>
    <dataValidation sqref="B149" showDropDown="0" showInputMessage="0" showErrorMessage="1" allowBlank="1" errorTitle="Texto longo" error="Item ou Créditos: até 80 caracteres." type="textLength" errorStyle="warning" operator="lessThanOrEqual">
      <formula1>80</formula1>
    </dataValidation>
    <dataValidation sqref="E149" showDropDown="0" showInputMessage="0" showErrorMessage="1" allowBlank="1" errorTitle="Valor fora da faixa" error="Quantidade: use um número inteiro de 0 a 999." type="whole" errorStyle="warning" operator="between">
      <formula1>0</formula1>
      <formula2>999</formula2>
    </dataValidation>
    <dataValidation sqref="F149" showDropDown="0" showInputMessage="0" showErrorMessage="1" allowBlank="1" errorTitle="Valor fora da faixa" error="Créditos: use um número inteiro de -99999 a 99999." type="whole" errorStyle="warning" operator="between">
      <formula1>-99999</formula1>
      <formula2>99999</formula2>
    </dataValidation>
    <dataValidation sqref="G149" showDropDown="0" showInputMessage="0" showErrorMessage="1" allowBlank="1" errorTitle="Texto longo" error="Com quem: até 40 caracteres." type="textLength" errorStyle="warning" operator="lessThanOrEqual">
      <formula1>40</formula1>
    </dataValidation>
    <dataValidation sqref="I149" showDropDown="0" showInputMessage="0" showErrorMessage="1" allowBlank="1" errorTitle="Texto longo" error="Notas: até 200 caracteres." type="textLength" errorStyle="warning" operator="lessThanOrEqual">
      <formula1>200</formula1>
    </dataValidation>
    <dataValidation sqref="A150" showDropDown="0" showInputMessage="0" showErrorMessage="1" allowBlank="1" errorTitle="Valor fora da faixa" error="Sessão: use um número inteiro de 1 a 999." type="whole" errorStyle="warning" operator="between">
      <formula1>1</formula1>
      <formula2>999</formula2>
    </dataValidation>
    <dataValidation sqref="B150" showDropDown="0" showInputMessage="0" showErrorMessage="1" allowBlank="1" errorTitle="Texto longo" error="Item ou Créditos: até 80 caracteres." type="textLength" errorStyle="warning" operator="lessThanOrEqual">
      <formula1>80</formula1>
    </dataValidation>
    <dataValidation sqref="E150" showDropDown="0" showInputMessage="0" showErrorMessage="1" allowBlank="1" errorTitle="Valor fora da faixa" error="Quantidade: use um número inteiro de 0 a 999." type="whole" errorStyle="warning" operator="between">
      <formula1>0</formula1>
      <formula2>999</formula2>
    </dataValidation>
    <dataValidation sqref="F150" showDropDown="0" showInputMessage="0" showErrorMessage="1" allowBlank="1" errorTitle="Valor fora da faixa" error="Créditos: use um número inteiro de -99999 a 99999." type="whole" errorStyle="warning" operator="between">
      <formula1>-99999</formula1>
      <formula2>99999</formula2>
    </dataValidation>
    <dataValidation sqref="G150" showDropDown="0" showInputMessage="0" showErrorMessage="1" allowBlank="1" errorTitle="Texto longo" error="Com quem: até 40 caracteres." type="textLength" errorStyle="warning" operator="lessThanOrEqual">
      <formula1>40</formula1>
    </dataValidation>
    <dataValidation sqref="I150" showDropDown="0" showInputMessage="0" showErrorMessage="1" allowBlank="1" errorTitle="Texto longo" error="Notas: até 200 caracteres." type="textLength" errorStyle="warning" operator="lessThanOrEqual">
      <formula1>200</formula1>
    </dataValidation>
    <dataValidation sqref="A151" showDropDown="0" showInputMessage="0" showErrorMessage="1" allowBlank="1" errorTitle="Valor fora da faixa" error="Sessão: use um número inteiro de 1 a 999." type="whole" errorStyle="warning" operator="between">
      <formula1>1</formula1>
      <formula2>999</formula2>
    </dataValidation>
    <dataValidation sqref="B151" showDropDown="0" showInputMessage="0" showErrorMessage="1" allowBlank="1" errorTitle="Texto longo" error="Item ou Créditos: até 80 caracteres." type="textLength" errorStyle="warning" operator="lessThanOrEqual">
      <formula1>80</formula1>
    </dataValidation>
    <dataValidation sqref="E151" showDropDown="0" showInputMessage="0" showErrorMessage="1" allowBlank="1" errorTitle="Valor fora da faixa" error="Quantidade: use um número inteiro de 0 a 999." type="whole" errorStyle="warning" operator="between">
      <formula1>0</formula1>
      <formula2>999</formula2>
    </dataValidation>
    <dataValidation sqref="F151" showDropDown="0" showInputMessage="0" showErrorMessage="1" allowBlank="1" errorTitle="Valor fora da faixa" error="Créditos: use um número inteiro de -99999 a 99999." type="whole" errorStyle="warning" operator="between">
      <formula1>-99999</formula1>
      <formula2>99999</formula2>
    </dataValidation>
    <dataValidation sqref="G151" showDropDown="0" showInputMessage="0" showErrorMessage="1" allowBlank="1" errorTitle="Texto longo" error="Com quem: até 40 caracteres." type="textLength" errorStyle="warning" operator="lessThanOrEqual">
      <formula1>40</formula1>
    </dataValidation>
    <dataValidation sqref="I151" showDropDown="0" showInputMessage="0" showErrorMessage="1" allowBlank="1" errorTitle="Texto longo" error="Notas: até 200 caracteres." type="textLength" errorStyle="warning" operator="lessThanOrEqual">
      <formula1>200</formula1>
    </dataValidation>
    <dataValidation sqref="A152" showDropDown="0" showInputMessage="0" showErrorMessage="1" allowBlank="1" errorTitle="Valor fora da faixa" error="Sessão: use um número inteiro de 1 a 999." type="whole" errorStyle="warning" operator="between">
      <formula1>1</formula1>
      <formula2>999</formula2>
    </dataValidation>
    <dataValidation sqref="B152" showDropDown="0" showInputMessage="0" showErrorMessage="1" allowBlank="1" errorTitle="Texto longo" error="Item ou Créditos: até 80 caracteres." type="textLength" errorStyle="warning" operator="lessThanOrEqual">
      <formula1>80</formula1>
    </dataValidation>
    <dataValidation sqref="E152" showDropDown="0" showInputMessage="0" showErrorMessage="1" allowBlank="1" errorTitle="Valor fora da faixa" error="Quantidade: use um número inteiro de 0 a 999." type="whole" errorStyle="warning" operator="between">
      <formula1>0</formula1>
      <formula2>999</formula2>
    </dataValidation>
    <dataValidation sqref="F152" showDropDown="0" showInputMessage="0" showErrorMessage="1" allowBlank="1" errorTitle="Valor fora da faixa" error="Créditos: use um número inteiro de -99999 a 99999." type="whole" errorStyle="warning" operator="between">
      <formula1>-99999</formula1>
      <formula2>99999</formula2>
    </dataValidation>
    <dataValidation sqref="G152" showDropDown="0" showInputMessage="0" showErrorMessage="1" allowBlank="1" errorTitle="Texto longo" error="Com quem: até 40 caracteres." type="textLength" errorStyle="warning" operator="lessThanOrEqual">
      <formula1>40</formula1>
    </dataValidation>
    <dataValidation sqref="I152" showDropDown="0" showInputMessage="0" showErrorMessage="1" allowBlank="1" errorTitle="Texto longo" error="Notas: até 200 caracteres." type="textLength" errorStyle="warning" operator="lessThanOrEqual">
      <formula1>200</formula1>
    </dataValidation>
    <dataValidation sqref="A153" showDropDown="0" showInputMessage="0" showErrorMessage="1" allowBlank="1" errorTitle="Valor fora da faixa" error="Sessão: use um número inteiro de 1 a 999." type="whole" errorStyle="warning" operator="between">
      <formula1>1</formula1>
      <formula2>999</formula2>
    </dataValidation>
    <dataValidation sqref="B153" showDropDown="0" showInputMessage="0" showErrorMessage="1" allowBlank="1" errorTitle="Texto longo" error="Item ou Créditos: até 80 caracteres." type="textLength" errorStyle="warning" operator="lessThanOrEqual">
      <formula1>80</formula1>
    </dataValidation>
    <dataValidation sqref="E153" showDropDown="0" showInputMessage="0" showErrorMessage="1" allowBlank="1" errorTitle="Valor fora da faixa" error="Quantidade: use um número inteiro de 0 a 999." type="whole" errorStyle="warning" operator="between">
      <formula1>0</formula1>
      <formula2>999</formula2>
    </dataValidation>
    <dataValidation sqref="F153" showDropDown="0" showInputMessage="0" showErrorMessage="1" allowBlank="1" errorTitle="Valor fora da faixa" error="Créditos: use um número inteiro de -99999 a 99999." type="whole" errorStyle="warning" operator="between">
      <formula1>-99999</formula1>
      <formula2>99999</formula2>
    </dataValidation>
    <dataValidation sqref="G153" showDropDown="0" showInputMessage="0" showErrorMessage="1" allowBlank="1" errorTitle="Texto longo" error="Com quem: até 40 caracteres." type="textLength" errorStyle="warning" operator="lessThanOrEqual">
      <formula1>40</formula1>
    </dataValidation>
    <dataValidation sqref="I153" showDropDown="0" showInputMessage="0" showErrorMessage="1" allowBlank="1" errorTitle="Texto longo" error="Notas: até 200 caracteres." type="textLength" errorStyle="warning" operator="lessThanOrEqual">
      <formula1>200</formula1>
    </dataValidation>
    <dataValidation sqref="A154" showDropDown="0" showInputMessage="0" showErrorMessage="1" allowBlank="1" errorTitle="Valor fora da faixa" error="Sessão: use um número inteiro de 1 a 999." type="whole" errorStyle="warning" operator="between">
      <formula1>1</formula1>
      <formula2>999</formula2>
    </dataValidation>
    <dataValidation sqref="B154" showDropDown="0" showInputMessage="0" showErrorMessage="1" allowBlank="1" errorTitle="Texto longo" error="Item ou Créditos: até 80 caracteres." type="textLength" errorStyle="warning" operator="lessThanOrEqual">
      <formula1>80</formula1>
    </dataValidation>
    <dataValidation sqref="E154" showDropDown="0" showInputMessage="0" showErrorMessage="1" allowBlank="1" errorTitle="Valor fora da faixa" error="Quantidade: use um número inteiro de 0 a 999." type="whole" errorStyle="warning" operator="between">
      <formula1>0</formula1>
      <formula2>999</formula2>
    </dataValidation>
    <dataValidation sqref="F154" showDropDown="0" showInputMessage="0" showErrorMessage="1" allowBlank="1" errorTitle="Valor fora da faixa" error="Créditos: use um número inteiro de -99999 a 99999." type="whole" errorStyle="warning" operator="between">
      <formula1>-99999</formula1>
      <formula2>99999</formula2>
    </dataValidation>
    <dataValidation sqref="G154" showDropDown="0" showInputMessage="0" showErrorMessage="1" allowBlank="1" errorTitle="Texto longo" error="Com quem: até 40 caracteres." type="textLength" errorStyle="warning" operator="lessThanOrEqual">
      <formula1>40</formula1>
    </dataValidation>
    <dataValidation sqref="I154" showDropDown="0" showInputMessage="0" showErrorMessage="1" allowBlank="1" errorTitle="Texto longo" error="Notas: até 200 caracteres." type="textLength" errorStyle="warning" operator="lessThanOrEqual">
      <formula1>200</formula1>
    </dataValidation>
    <dataValidation sqref="A155" showDropDown="0" showInputMessage="0" showErrorMessage="1" allowBlank="1" errorTitle="Valor fora da faixa" error="Sessão: use um número inteiro de 1 a 999." type="whole" errorStyle="warning" operator="between">
      <formula1>1</formula1>
      <formula2>999</formula2>
    </dataValidation>
    <dataValidation sqref="B155" showDropDown="0" showInputMessage="0" showErrorMessage="1" allowBlank="1" errorTitle="Texto longo" error="Item ou Créditos: até 80 caracteres." type="textLength" errorStyle="warning" operator="lessThanOrEqual">
      <formula1>80</formula1>
    </dataValidation>
    <dataValidation sqref="E155" showDropDown="0" showInputMessage="0" showErrorMessage="1" allowBlank="1" errorTitle="Valor fora da faixa" error="Quantidade: use um número inteiro de 0 a 999." type="whole" errorStyle="warning" operator="between">
      <formula1>0</formula1>
      <formula2>999</formula2>
    </dataValidation>
    <dataValidation sqref="F155" showDropDown="0" showInputMessage="0" showErrorMessage="1" allowBlank="1" errorTitle="Valor fora da faixa" error="Créditos: use um número inteiro de -99999 a 99999." type="whole" errorStyle="warning" operator="between">
      <formula1>-99999</formula1>
      <formula2>99999</formula2>
    </dataValidation>
    <dataValidation sqref="G155" showDropDown="0" showInputMessage="0" showErrorMessage="1" allowBlank="1" errorTitle="Texto longo" error="Com quem: até 40 caracteres." type="textLength" errorStyle="warning" operator="lessThanOrEqual">
      <formula1>40</formula1>
    </dataValidation>
    <dataValidation sqref="I155" showDropDown="0" showInputMessage="0" showErrorMessage="1" allowBlank="1" errorTitle="Texto longo" error="Notas: até 200 caracteres." type="textLength" errorStyle="warning" operator="lessThanOrEqual">
      <formula1>200</formula1>
    </dataValidation>
    <dataValidation sqref="A156" showDropDown="0" showInputMessage="0" showErrorMessage="1" allowBlank="1" errorTitle="Valor fora da faixa" error="Sessão: use um número inteiro de 1 a 999." type="whole" errorStyle="warning" operator="between">
      <formula1>1</formula1>
      <formula2>999</formula2>
    </dataValidation>
    <dataValidation sqref="B156" showDropDown="0" showInputMessage="0" showErrorMessage="1" allowBlank="1" errorTitle="Texto longo" error="Item ou Créditos: até 80 caracteres." type="textLength" errorStyle="warning" operator="lessThanOrEqual">
      <formula1>80</formula1>
    </dataValidation>
    <dataValidation sqref="E156" showDropDown="0" showInputMessage="0" showErrorMessage="1" allowBlank="1" errorTitle="Valor fora da faixa" error="Quantidade: use um número inteiro de 0 a 999." type="whole" errorStyle="warning" operator="between">
      <formula1>0</formula1>
      <formula2>999</formula2>
    </dataValidation>
    <dataValidation sqref="F156" showDropDown="0" showInputMessage="0" showErrorMessage="1" allowBlank="1" errorTitle="Valor fora da faixa" error="Créditos: use um número inteiro de -99999 a 99999." type="whole" errorStyle="warning" operator="between">
      <formula1>-99999</formula1>
      <formula2>99999</formula2>
    </dataValidation>
    <dataValidation sqref="G156" showDropDown="0" showInputMessage="0" showErrorMessage="1" allowBlank="1" errorTitle="Texto longo" error="Com quem: até 40 caracteres." type="textLength" errorStyle="warning" operator="lessThanOrEqual">
      <formula1>40</formula1>
    </dataValidation>
    <dataValidation sqref="I156" showDropDown="0" showInputMessage="0" showErrorMessage="1" allowBlank="1" errorTitle="Texto longo" error="Notas: até 200 caracteres." type="textLength" errorStyle="warning" operator="lessThanOrEqual">
      <formula1>200</formula1>
    </dataValidation>
    <dataValidation sqref="A157" showDropDown="0" showInputMessage="0" showErrorMessage="1" allowBlank="1" errorTitle="Valor fora da faixa" error="Sessão: use um número inteiro de 1 a 999." type="whole" errorStyle="warning" operator="between">
      <formula1>1</formula1>
      <formula2>999</formula2>
    </dataValidation>
    <dataValidation sqref="B157" showDropDown="0" showInputMessage="0" showErrorMessage="1" allowBlank="1" errorTitle="Texto longo" error="Item ou Créditos: até 80 caracteres." type="textLength" errorStyle="warning" operator="lessThanOrEqual">
      <formula1>80</formula1>
    </dataValidation>
    <dataValidation sqref="E157" showDropDown="0" showInputMessage="0" showErrorMessage="1" allowBlank="1" errorTitle="Valor fora da faixa" error="Quantidade: use um número inteiro de 0 a 999." type="whole" errorStyle="warning" operator="between">
      <formula1>0</formula1>
      <formula2>999</formula2>
    </dataValidation>
    <dataValidation sqref="F157" showDropDown="0" showInputMessage="0" showErrorMessage="1" allowBlank="1" errorTitle="Valor fora da faixa" error="Créditos: use um número inteiro de -99999 a 99999." type="whole" errorStyle="warning" operator="between">
      <formula1>-99999</formula1>
      <formula2>99999</formula2>
    </dataValidation>
    <dataValidation sqref="G157" showDropDown="0" showInputMessage="0" showErrorMessage="1" allowBlank="1" errorTitle="Texto longo" error="Com quem: até 40 caracteres." type="textLength" errorStyle="warning" operator="lessThanOrEqual">
      <formula1>40</formula1>
    </dataValidation>
    <dataValidation sqref="I157" showDropDown="0" showInputMessage="0" showErrorMessage="1" allowBlank="1" errorTitle="Texto longo" error="Notas: até 200 caracteres." type="textLength" errorStyle="warning" operator="lessThanOrEqual">
      <formula1>200</formula1>
    </dataValidation>
    <dataValidation sqref="A158" showDropDown="0" showInputMessage="0" showErrorMessage="1" allowBlank="1" errorTitle="Valor fora da faixa" error="Sessão: use um número inteiro de 1 a 999." type="whole" errorStyle="warning" operator="between">
      <formula1>1</formula1>
      <formula2>999</formula2>
    </dataValidation>
    <dataValidation sqref="B158" showDropDown="0" showInputMessage="0" showErrorMessage="1" allowBlank="1" errorTitle="Texto longo" error="Item ou Créditos: até 80 caracteres." type="textLength" errorStyle="warning" operator="lessThanOrEqual">
      <formula1>80</formula1>
    </dataValidation>
    <dataValidation sqref="E158" showDropDown="0" showInputMessage="0" showErrorMessage="1" allowBlank="1" errorTitle="Valor fora da faixa" error="Quantidade: use um número inteiro de 0 a 999." type="whole" errorStyle="warning" operator="between">
      <formula1>0</formula1>
      <formula2>999</formula2>
    </dataValidation>
    <dataValidation sqref="F158" showDropDown="0" showInputMessage="0" showErrorMessage="1" allowBlank="1" errorTitle="Valor fora da faixa" error="Créditos: use um número inteiro de -99999 a 99999." type="whole" errorStyle="warning" operator="between">
      <formula1>-99999</formula1>
      <formula2>99999</formula2>
    </dataValidation>
    <dataValidation sqref="G158" showDropDown="0" showInputMessage="0" showErrorMessage="1" allowBlank="1" errorTitle="Texto longo" error="Com quem: até 40 caracteres." type="textLength" errorStyle="warning" operator="lessThanOrEqual">
      <formula1>40</formula1>
    </dataValidation>
    <dataValidation sqref="I158" showDropDown="0" showInputMessage="0" showErrorMessage="1" allowBlank="1" errorTitle="Texto longo" error="Notas: até 200 caracteres." type="textLength" errorStyle="warning" operator="lessThanOrEqual">
      <formula1>200</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5"/>
  <sheetViews>
    <sheetView showGridLines="1" workbookViewId="0">
      <selection activeCell="A1" sqref="A1"/>
    </sheetView>
  </sheetViews>
  <sheetFormatPr baseColWidth="8" defaultRowHeight="15"/>
  <cols>
    <col width="20.786" customWidth="1" min="1" max="1"/>
    <col width="13.643" customWidth="1" min="2" max="2"/>
    <col width="13.643"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1.5" customWidth="1" min="11" max="11"/>
    <col width="21.5" customWidth="1" min="12" max="12"/>
  </cols>
  <sheetData>
    <row r="1" ht="24" customHeight="1">
      <c r="A1" s="1" t="inlineStr">
        <is>
          <t>Mundos — Explorando Galáxias v1.1</t>
        </is>
      </c>
    </row>
    <row r="2" ht="37" customHeight="1">
      <c r="A2" s="2"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Planetas, estações, naves, facções e nomes.</t>
        </is>
      </c>
    </row>
    <row r="4"/>
    <row r="5">
      <c r="A5" s="13" t="inlineStr">
        <is>
          <t>Em construção: esta aba chega numa próxima fase da Planilha do Mestre.</t>
        </is>
      </c>
    </row>
  </sheetData>
  <mergeCells count="3">
    <mergeCell ref="A3:L3"/>
    <mergeCell ref="A1:L1"/>
    <mergeCell ref="A5:L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5"/>
  <sheetViews>
    <sheetView showGridLines="1" workbookViewId="0">
      <selection activeCell="A1" sqref="A1"/>
    </sheetView>
  </sheetViews>
  <sheetFormatPr baseColWidth="8" defaultRowHeight="15"/>
  <cols>
    <col width="20.786" customWidth="1" min="1" max="1"/>
    <col width="13.643" customWidth="1" min="2" max="2"/>
    <col width="13.643"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1.5" customWidth="1" min="11" max="11"/>
    <col width="21.5" customWidth="1" min="12" max="12"/>
  </cols>
  <sheetData>
    <row r="1" ht="24" customHeight="1">
      <c r="A1" s="1" t="inlineStr">
        <is>
          <t>Improviso — Explorando Galáxias v1.1</t>
        </is>
      </c>
    </row>
    <row r="2" ht="37" customHeight="1">
      <c r="A2" s="2"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Rumores, eventos, lojas, oráculo e rolador de dados.</t>
        </is>
      </c>
    </row>
    <row r="4"/>
    <row r="5">
      <c r="A5" s="13" t="inlineStr">
        <is>
          <t>Em construção: esta aba chega numa próxima fase da Planilha do Mestre.</t>
        </is>
      </c>
    </row>
  </sheetData>
  <mergeCells count="3">
    <mergeCell ref="A3:L3"/>
    <mergeCell ref="A1:L1"/>
    <mergeCell ref="A5:L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5"/>
  <sheetViews>
    <sheetView showGridLines="1" workbookViewId="0">
      <selection activeCell="A1" sqref="A1"/>
    </sheetView>
  </sheetViews>
  <sheetFormatPr baseColWidth="8" defaultRowHeight="15"/>
  <cols>
    <col width="20.786" customWidth="1" min="1" max="1"/>
    <col width="13.643" customWidth="1" min="2" max="2"/>
    <col width="13.643"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1.5" customWidth="1" min="11" max="11"/>
    <col width="21.5" customWidth="1" min="12" max="12"/>
  </cols>
  <sheetData>
    <row r="1" ht="24" customHeight="1">
      <c r="A1" s="1" t="inlineStr">
        <is>
          <t>Escudo do Mestre — Explorando Galáxias v1.1</t>
        </is>
      </c>
    </row>
    <row r="2" ht="37" customHeight="1">
      <c r="A2" s="2"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Referência de mesa para imprimir.</t>
        </is>
      </c>
    </row>
    <row r="4"/>
    <row r="5">
      <c r="A5" s="13" t="inlineStr">
        <is>
          <t>Em construção: esta aba chega numa próxima fase da Planilha do Mestre.</t>
        </is>
      </c>
    </row>
  </sheetData>
  <mergeCells count="3">
    <mergeCell ref="A3:L3"/>
    <mergeCell ref="A1:L1"/>
    <mergeCell ref="A5:L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5"/>
  <sheetViews>
    <sheetView showGridLines="1" workbookViewId="0">
      <selection activeCell="A1" sqref="A1"/>
    </sheetView>
  </sheetViews>
  <sheetFormatPr baseColWidth="8" defaultRowHeight="15"/>
  <cols>
    <col width="20.786" customWidth="1" min="1" max="1"/>
    <col width="13.643" customWidth="1" min="2" max="2"/>
    <col width="13.643" customWidth="1" min="3" max="3"/>
    <col width="13.643" customWidth="1" min="4" max="4"/>
    <col width="13.643" customWidth="1" min="5" max="5"/>
    <col width="13.643" customWidth="1" min="6" max="6"/>
    <col width="13.643" customWidth="1" min="7" max="7"/>
    <col width="13.643" customWidth="1" min="8" max="8"/>
    <col width="13.643" customWidth="1" min="9" max="9"/>
    <col width="13.643" customWidth="1" min="10" max="10"/>
    <col width="21.5" customWidth="1" min="11" max="11"/>
    <col width="21.5" customWidth="1" min="12" max="12"/>
  </cols>
  <sheetData>
    <row r="1" ht="24" customHeight="1">
      <c r="A1" s="1" t="inlineStr">
        <is>
          <t>Minhas Tabelas — Explorando Galáxias v1.1</t>
        </is>
      </c>
    </row>
    <row r="2" ht="37" customHeight="1">
      <c r="A2" s="2"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Tabelas do próprio Mestre, com sorteio.</t>
        </is>
      </c>
    </row>
    <row r="4"/>
    <row r="5">
      <c r="A5" s="13" t="inlineStr">
        <is>
          <t>Em construção: esta aba chega numa próxima fase da Planilha do Mestre.</t>
        </is>
      </c>
    </row>
  </sheetData>
  <mergeCells count="3">
    <mergeCell ref="A3:L3"/>
    <mergeCell ref="A1:L1"/>
    <mergeCell ref="A5:L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G808"/>
  <sheetViews>
    <sheetView showGridLines="1" workbookViewId="0">
      <selection activeCell="A1" sqref="A1"/>
    </sheetView>
  </sheetViews>
  <sheetFormatPr baseColWidth="8" defaultRowHeight="15"/>
  <cols>
    <col width="15.071" customWidth="1" min="1" max="1"/>
    <col width="29.357" customWidth="1" min="2" max="2"/>
    <col width="29.357" customWidth="1" min="3" max="3"/>
    <col width="29.357" customWidth="1" min="4" max="4"/>
    <col width="29.357" customWidth="1" min="5" max="5"/>
    <col width="29.357" customWidth="1" min="6" max="6"/>
    <col width="29.357" customWidth="1" min="7" max="7"/>
    <col width="29.357" customWidth="1" min="8" max="8"/>
    <col width="29.357" customWidth="1" min="9" max="9"/>
    <col width="29.357" customWidth="1" min="10" max="10"/>
    <col width="29.357" customWidth="1" min="11" max="11"/>
    <col width="7.929" customWidth="1" min="12" max="12"/>
    <col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s>
  <sheetData>
    <row r="1" ht="24" customHeight="1">
      <c r="A1" s="1" t="inlineStr">
        <is>
          <t>Tabelas — Explorando Galáxias v1.1</t>
        </is>
      </c>
    </row>
    <row r="2">
      <c r="A2" s="2"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Listas dos geradores, editáveis: 100 vagas por lista; apague para trocar, use as vagas vazias para ampliar (não insira linhas).</t>
        </is>
      </c>
    </row>
    <row r="4"/>
    <row r="5" ht="20" customHeight="1">
      <c r="A5" s="12" t="inlineStr">
        <is>
          <t>Listas do livro (editáveis) e ambiente por facção — 100 vagas por lista</t>
        </is>
      </c>
    </row>
    <row r="6">
      <c r="A6" s="11" t="inlineStr">
        <is>
          <t>Apague para trocar, use as vagas vazias para ampliar. Não insira linhas: o contador corrido pularia a linha nova.</t>
        </is>
      </c>
    </row>
    <row r="7">
      <c r="A7" s="7" t="inlineStr">
        <is>
          <t>Lista</t>
        </is>
      </c>
      <c r="B7" s="7" t="inlineStr">
        <is>
          <t>Facções</t>
        </is>
      </c>
      <c r="C7" s="7" t="inlineStr">
        <is>
          <t>Locais</t>
        </is>
      </c>
      <c r="D7" s="7" t="inlineStr">
        <is>
          <t>Ganchos 1-4</t>
        </is>
      </c>
      <c r="E7" s="7" t="inlineStr">
        <is>
          <t>Ganchos 5-8</t>
        </is>
      </c>
      <c r="F7" s="7" t="inlineStr">
        <is>
          <t>Ganchos 9-12</t>
        </is>
      </c>
      <c r="G7" s="7" t="inlineStr">
        <is>
          <t>Ganchos 13-16</t>
        </is>
      </c>
      <c r="H7" s="7" t="inlineStr">
        <is>
          <t>Ganchos 17-20</t>
        </is>
      </c>
      <c r="I7" s="7" t="inlineStr">
        <is>
          <t>Facção ou origem (H8)</t>
        </is>
      </c>
      <c r="J7" s="7" t="inlineStr">
        <is>
          <t>Ambiente (H8)</t>
        </is>
      </c>
    </row>
    <row r="8" ht="26" customHeight="1">
      <c r="A8" s="8" t="inlineStr">
        <is>
          <t>Fonte</t>
        </is>
      </c>
      <c r="B8" s="13" t="inlineStr">
        <is>
          <t>Livro 27.16</t>
        </is>
      </c>
      <c r="C8" s="13" t="inlineStr">
        <is>
          <t>Livro 27.17</t>
        </is>
      </c>
      <c r="D8" s="13" t="inlineStr">
        <is>
          <t>Livro 27.18</t>
        </is>
      </c>
      <c r="E8" s="13" t="inlineStr">
        <is>
          <t>Livro 27.18</t>
        </is>
      </c>
      <c r="F8" s="13" t="inlineStr">
        <is>
          <t>Livro 27.18</t>
        </is>
      </c>
      <c r="G8" s="13" t="inlineStr">
        <is>
          <t>Livro 27.18</t>
        </is>
      </c>
      <c r="H8" s="13" t="inlineStr">
        <is>
          <t>Livro 27.18</t>
        </is>
      </c>
      <c r="I8" s="13" t="inlineStr">
        <is>
          <t>Sugestão da planilha (H8)</t>
        </is>
      </c>
      <c r="J8" s="13" t="inlineStr">
        <is>
          <t>Sugestão da planilha — não é regra do livro (H8)</t>
        </is>
      </c>
    </row>
    <row r="9" ht="26" customHeight="1">
      <c r="A9" s="21" t="inlineStr">
        <is>
          <t>Tamanho da lista</t>
        </is>
      </c>
      <c r="B9" s="29">
        <f>N118</f>
        <v/>
      </c>
      <c r="C9" s="29">
        <f>O118</f>
        <v/>
      </c>
      <c r="D9" s="29">
        <f>P118</f>
        <v/>
      </c>
      <c r="E9" s="29">
        <f>Q118</f>
        <v/>
      </c>
      <c r="F9" s="29">
        <f>R118</f>
        <v/>
      </c>
      <c r="G9" s="29">
        <f>S118</f>
        <v/>
      </c>
      <c r="H9" s="29">
        <f>T118</f>
        <v/>
      </c>
      <c r="I9" s="29">
        <f>U118</f>
        <v/>
      </c>
      <c r="J9" s="38" t="n"/>
    </row>
    <row r="10" ht="26" customHeight="1">
      <c r="A10" s="8" t="inlineStr">
        <is>
          <t>Aviso</t>
        </is>
      </c>
      <c r="B10" s="18">
        <f>IF(N118&gt;=100,"Lista cheia (100): use Minhas Tabelas para uma lista maior","")</f>
        <v/>
      </c>
      <c r="C10" s="18">
        <f>IF(O118&gt;=100,"Lista cheia (100): use Minhas Tabelas para uma lista maior","")</f>
        <v/>
      </c>
      <c r="D10" s="18">
        <f>IF(P118&gt;=100,"Lista cheia (100): use Minhas Tabelas para uma lista maior","")</f>
        <v/>
      </c>
      <c r="E10" s="18">
        <f>IF(Q118&gt;=100,"Lista cheia (100): use Minhas Tabelas para uma lista maior","")</f>
        <v/>
      </c>
      <c r="F10" s="18">
        <f>IF(R118&gt;=100,"Lista cheia (100): use Minhas Tabelas para uma lista maior","")</f>
        <v/>
      </c>
      <c r="G10" s="18">
        <f>IF(S118&gt;=100,"Lista cheia (100): use Minhas Tabelas para uma lista maior","")</f>
        <v/>
      </c>
      <c r="H10" s="18">
        <f>IF(T118&gt;=100,"Lista cheia (100): use Minhas Tabelas para uma lista maior","")</f>
        <v/>
      </c>
      <c r="I10" s="18">
        <f>IF(U118&gt;=100,"Lista cheia (100): use Minhas Tabelas para uma lista maior","")</f>
        <v/>
      </c>
    </row>
    <row r="11" ht="15" customHeight="1">
      <c r="B11" s="7" t="inlineStr">
        <is>
          <t>Facções</t>
        </is>
      </c>
      <c r="C11" s="7" t="inlineStr">
        <is>
          <t>Locais</t>
        </is>
      </c>
      <c r="D11" s="7" t="inlineStr">
        <is>
          <t>Ganchos 1-4</t>
        </is>
      </c>
      <c r="E11" s="7" t="inlineStr">
        <is>
          <t>Ganchos 5-8</t>
        </is>
      </c>
      <c r="F11" s="7" t="inlineStr">
        <is>
          <t>Ganchos 9-12</t>
        </is>
      </c>
      <c r="G11" s="7" t="inlineStr">
        <is>
          <t>Ganchos 13-16</t>
        </is>
      </c>
      <c r="H11" s="7" t="inlineStr">
        <is>
          <t>Ganchos 17-20</t>
        </is>
      </c>
      <c r="I11" s="7" t="inlineStr">
        <is>
          <t>Facção ou origem (H8)</t>
        </is>
      </c>
      <c r="J11" s="7" t="inlineStr">
        <is>
          <t>Ambiente (H8)</t>
        </is>
      </c>
      <c r="N11" s="19">
        <f>0</f>
        <v/>
      </c>
      <c r="O11" s="19">
        <f>0</f>
        <v/>
      </c>
      <c r="P11" s="19">
        <f>0</f>
        <v/>
      </c>
      <c r="Q11" s="19">
        <f>0</f>
        <v/>
      </c>
      <c r="R11" s="19">
        <f>0</f>
        <v/>
      </c>
      <c r="S11" s="19">
        <f>0</f>
        <v/>
      </c>
      <c r="T11" s="19">
        <f>0</f>
        <v/>
      </c>
      <c r="U11" s="19">
        <f>0</f>
        <v/>
      </c>
    </row>
    <row r="12" ht="48" customHeight="1">
      <c r="B12" s="30" t="inlineStr">
        <is>
          <t>Legião da Antimatéria</t>
        </is>
      </c>
      <c r="C12" s="3" t="inlineStr">
        <is>
          <t>Poço Sete</t>
        </is>
      </c>
      <c r="D12" s="3" t="inlineStr">
        <is>
          <t>Um transporte de carga chega sem tripulação e com a escotilha trancada por dentro</t>
        </is>
      </c>
      <c r="E12" s="3" t="inlineStr">
        <is>
          <t>A Corporação emite uma apólice que lista um dos personagens como item segurado</t>
        </is>
      </c>
      <c r="F12" s="3" t="inlineStr">
        <is>
          <t>A Frota de Jade emite ordem de caça contra alguém que o grupo está escondendo</t>
        </is>
      </c>
      <c r="G12" s="3" t="inlineStr">
        <is>
          <t>Um Caçador de Stellaron senta à mesa do grupo e pede licença para falar de negócios</t>
        </is>
      </c>
      <c r="H12" s="3" t="inlineStr">
        <is>
          <t>Hesperin começa a aparecer em sonhos de quem nunca esteve lá</t>
        </is>
      </c>
      <c r="I12" s="3" t="inlineStr">
        <is>
          <t>Fragmentum</t>
        </is>
      </c>
      <c r="J12" s="3" t="inlineStr">
        <is>
          <t>Colônia ou mina abandonada</t>
        </is>
      </c>
      <c r="K12" s="18">
        <f>IF(AG12&gt;0,"O Google leu como fórmula: escolha de novo ou digite com ' na frente.","")</f>
        <v/>
      </c>
      <c r="N12" s="19">
        <f>N11+IF(LEN($X$12)&gt;0,1,0)</f>
        <v/>
      </c>
      <c r="O12" s="19">
        <f>O11+IF(LEN($Y$12)&gt;0,1,0)</f>
        <v/>
      </c>
      <c r="P12" s="19">
        <f>P11+IF(LEN($Z$12)&gt;0,1,0)</f>
        <v/>
      </c>
      <c r="Q12" s="19">
        <f>Q11+IF(LEN($AA$12)&gt;0,1,0)</f>
        <v/>
      </c>
      <c r="R12" s="19">
        <f>R11+IF(LEN($AB$12)&gt;0,1,0)</f>
        <v/>
      </c>
      <c r="S12" s="19">
        <f>S11+IF(LEN($AC$12)&gt;0,1,0)</f>
        <v/>
      </c>
      <c r="T12" s="19">
        <f>T11+IF(LEN($AD$12)&gt;0,1,0)</f>
        <v/>
      </c>
      <c r="U12" s="19">
        <f>U11+IF(LEN($AE$12)&gt;0,1,0)</f>
        <v/>
      </c>
      <c r="X12" s="19">
        <f>IF(ISERROR($B$12),"",IF(ISBLANK($B$12),"",$B$12))</f>
        <v/>
      </c>
      <c r="Y12" s="19">
        <f>IF(ISERROR($C$12),"",IF(ISBLANK($C$12),"",$C$12))</f>
        <v/>
      </c>
      <c r="Z12" s="19">
        <f>IF(ISERROR($D$12),"",IF(ISBLANK($D$12),"",$D$12))</f>
        <v/>
      </c>
      <c r="AA12" s="19">
        <f>IF(ISERROR($E$12),"",IF(ISBLANK($E$12),"",$E$12))</f>
        <v/>
      </c>
      <c r="AB12" s="19">
        <f>IF(ISERROR($F$12),"",IF(ISBLANK($F$12),"",$F$12))</f>
        <v/>
      </c>
      <c r="AC12" s="19">
        <f>IF(ISERROR($G$12),"",IF(ISBLANK($G$12),"",$G$12))</f>
        <v/>
      </c>
      <c r="AD12" s="19">
        <f>IF(ISERROR($H$12),"",IF(ISBLANK($H$12),"",$H$12))</f>
        <v/>
      </c>
      <c r="AE12" s="19">
        <f>IF(ISERROR($I$12),"",IF(ISBLANK($I$12),"",$I$12))</f>
        <v/>
      </c>
      <c r="AF12" s="19">
        <f>IF(ISERROR($J$12),"",IF(ISBLANK($J$12),"",$J$12))</f>
        <v/>
      </c>
      <c r="AG12" s="19">
        <f>ISERROR($B$12)*1+ISERROR($C$12)*1+ISERROR($D$12)*1+ISERROR($E$12)*1+ISERROR($F$12)*1+ISERROR($G$12)*1+ISERROR($H$12)*1+ISERROR($I$12)*1+ISERROR($J$12)*1</f>
        <v/>
      </c>
    </row>
    <row r="13" ht="48" customHeight="1">
      <c r="B13" s="31" t="inlineStr">
        <is>
          <t>Corporação da Paz Interastral</t>
        </is>
      </c>
      <c r="C13" s="28" t="inlineStr">
        <is>
          <t>Vértice-9</t>
        </is>
      </c>
      <c r="D13" s="28" t="inlineStr">
        <is>
          <t>O lacre do Poço Sete abriu, e quem o abriu usava o uniforme do grupo</t>
        </is>
      </c>
      <c r="E13" s="28" t="inlineStr">
        <is>
          <t>Um Devoto do Silêncio pede abrigo e não come, não dorme, não fala</t>
        </is>
      </c>
      <c r="F13" s="28" t="inlineStr">
        <is>
          <t>Um Tolo Mascarado salva o grupo e diz que a plateia vai cobrar depois</t>
        </is>
      </c>
      <c r="G13" s="28" t="inlineStr">
        <is>
          <t>Chega um convite perfumado do Ateliê de Vênia, com o nome de um personagem gravado em prata</t>
        </is>
      </c>
      <c r="H13" s="28" t="inlineStr">
        <is>
          <t>O Expresso Astral chega a uma estação que não consta em rota nenhuma, e a estação sabe o nome do grupo</t>
        </is>
      </c>
      <c r="I13" s="28" t="inlineStr">
        <is>
          <t>Fragmentum</t>
        </is>
      </c>
      <c r="J13" s="28" t="inlineStr">
        <is>
          <t>Ruína</t>
        </is>
      </c>
      <c r="K13" s="18">
        <f>IF(AG13&gt;0,"O Google leu como fórmula: escolha de novo ou digite com ' na frente.","")</f>
        <v/>
      </c>
      <c r="N13" s="19">
        <f>N12+IF(LEN($X$13)&gt;0,1,0)</f>
        <v/>
      </c>
      <c r="O13" s="19">
        <f>O12+IF(LEN($Y$13)&gt;0,1,0)</f>
        <v/>
      </c>
      <c r="P13" s="19">
        <f>P12+IF(LEN($Z$13)&gt;0,1,0)</f>
        <v/>
      </c>
      <c r="Q13" s="19">
        <f>Q12+IF(LEN($AA$13)&gt;0,1,0)</f>
        <v/>
      </c>
      <c r="R13" s="19">
        <f>R12+IF(LEN($AB$13)&gt;0,1,0)</f>
        <v/>
      </c>
      <c r="S13" s="19">
        <f>S12+IF(LEN($AC$13)&gt;0,1,0)</f>
        <v/>
      </c>
      <c r="T13" s="19">
        <f>T12+IF(LEN($AD$13)&gt;0,1,0)</f>
        <v/>
      </c>
      <c r="U13" s="19">
        <f>U12+IF(LEN($AE$13)&gt;0,1,0)</f>
        <v/>
      </c>
      <c r="X13" s="19">
        <f>IF(ISERROR($B$13),"",IF(ISBLANK($B$13),"",$B$13))</f>
        <v/>
      </c>
      <c r="Y13" s="19">
        <f>IF(ISERROR($C$13),"",IF(ISBLANK($C$13),"",$C$13))</f>
        <v/>
      </c>
      <c r="Z13" s="19">
        <f>IF(ISERROR($D$13),"",IF(ISBLANK($D$13),"",$D$13))</f>
        <v/>
      </c>
      <c r="AA13" s="19">
        <f>IF(ISERROR($E$13),"",IF(ISBLANK($E$13),"",$E$13))</f>
        <v/>
      </c>
      <c r="AB13" s="19">
        <f>IF(ISERROR($F$13),"",IF(ISBLANK($F$13),"",$F$13))</f>
        <v/>
      </c>
      <c r="AC13" s="19">
        <f>IF(ISERROR($G$13),"",IF(ISBLANK($G$13),"",$G$13))</f>
        <v/>
      </c>
      <c r="AD13" s="19">
        <f>IF(ISERROR($H$13),"",IF(ISBLANK($H$13),"",$H$13))</f>
        <v/>
      </c>
      <c r="AE13" s="19">
        <f>IF(ISERROR($I$13),"",IF(ISBLANK($I$13),"",$I$13))</f>
        <v/>
      </c>
      <c r="AF13" s="19">
        <f>IF(ISERROR($J$13),"",IF(ISBLANK($J$13),"",$J$13))</f>
        <v/>
      </c>
      <c r="AG13" s="19">
        <f>ISERROR($B$13)*1+ISERROR($C$13)*1+ISERROR($D$13)*1+ISERROR($E$13)*1+ISERROR($F$13)*1+ISERROR($G$13)*1+ISERROR($H$13)*1+ISERROR($I$13)*1+ISERROR($J$13)*1</f>
        <v/>
      </c>
    </row>
    <row r="14" ht="48" customHeight="1">
      <c r="B14" s="30" t="inlineStr">
        <is>
          <t>Aliança Xianzhou</t>
        </is>
      </c>
      <c r="C14" s="3" t="inlineStr">
        <is>
          <t>Ferro-Vazio</t>
        </is>
      </c>
      <c r="D14" s="3" t="inlineStr">
        <is>
          <t>Uma criança da colônia atende por um nome que não é dela e chora quando é corrigida</t>
        </is>
      </c>
      <c r="E14" s="3" t="inlineStr">
        <is>
          <t>Um bairro inteiro assina a mesma procuração no mesmo dia</t>
        </is>
      </c>
      <c r="F14" s="3" t="inlineStr">
        <is>
          <t>Um Centenário foge do arquivo com uma lista de nomes, e um dos nomes é de um personagem</t>
        </is>
      </c>
      <c r="G14" s="3" t="inlineStr">
        <is>
          <t>Um Escultor de Carne devolve, curado, um aliado que o grupo tinha perdido — melhorado</t>
        </is>
      </c>
      <c r="H14" s="3" t="inlineStr">
        <is>
          <t>A Vazia Coroada oferece ao grupo o fim sem dor, com sinceridade total</t>
        </is>
      </c>
      <c r="I14" s="3" t="inlineStr">
        <is>
          <t>Legião da Antimatéria</t>
        </is>
      </c>
      <c r="J14" s="3" t="inlineStr">
        <is>
          <t>Frente de guerra</t>
        </is>
      </c>
      <c r="K14" s="18">
        <f>IF(AG14&gt;0,"O Google leu como fórmula: escolha de novo ou digite com ' na frente.","")</f>
        <v/>
      </c>
      <c r="N14" s="19">
        <f>N13+IF(LEN($X$14)&gt;0,1,0)</f>
        <v/>
      </c>
      <c r="O14" s="19">
        <f>O13+IF(LEN($Y$14)&gt;0,1,0)</f>
        <v/>
      </c>
      <c r="P14" s="19">
        <f>P13+IF(LEN($Z$14)&gt;0,1,0)</f>
        <v/>
      </c>
      <c r="Q14" s="19">
        <f>Q13+IF(LEN($AA$14)&gt;0,1,0)</f>
        <v/>
      </c>
      <c r="R14" s="19">
        <f>R13+IF(LEN($AB$14)&gt;0,1,0)</f>
        <v/>
      </c>
      <c r="S14" s="19">
        <f>S13+IF(LEN($AC$14)&gt;0,1,0)</f>
        <v/>
      </c>
      <c r="T14" s="19">
        <f>T13+IF(LEN($AD$14)&gt;0,1,0)</f>
        <v/>
      </c>
      <c r="U14" s="19">
        <f>U13+IF(LEN($AE$14)&gt;0,1,0)</f>
        <v/>
      </c>
      <c r="X14" s="19">
        <f>IF(ISERROR($B$14),"",IF(ISBLANK($B$14),"",$B$14))</f>
        <v/>
      </c>
      <c r="Y14" s="19">
        <f>IF(ISERROR($C$14),"",IF(ISBLANK($C$14),"",$C$14))</f>
        <v/>
      </c>
      <c r="Z14" s="19">
        <f>IF(ISERROR($D$14),"",IF(ISBLANK($D$14),"",$D$14))</f>
        <v/>
      </c>
      <c r="AA14" s="19">
        <f>IF(ISERROR($E$14),"",IF(ISBLANK($E$14),"",$E$14))</f>
        <v/>
      </c>
      <c r="AB14" s="19">
        <f>IF(ISERROR($F$14),"",IF(ISBLANK($F$14),"",$F$14))</f>
        <v/>
      </c>
      <c r="AC14" s="19">
        <f>IF(ISERROR($G$14),"",IF(ISBLANK($G$14),"",$G$14))</f>
        <v/>
      </c>
      <c r="AD14" s="19">
        <f>IF(ISERROR($H$14),"",IF(ISBLANK($H$14),"",$H$14))</f>
        <v/>
      </c>
      <c r="AE14" s="19">
        <f>IF(ISERROR($I$14),"",IF(ISBLANK($I$14),"",$I$14))</f>
        <v/>
      </c>
      <c r="AF14" s="19">
        <f>IF(ISERROR($J$14),"",IF(ISBLANK($J$14),"",$J$14))</f>
        <v/>
      </c>
      <c r="AG14" s="19">
        <f>ISERROR($B$14)*1+ISERROR($C$14)*1+ISERROR($D$14)*1+ISERROR($E$14)*1+ISERROR($F$14)*1+ISERROR($G$14)*1+ISERROR($H$14)*1+ISERROR($I$14)*1+ISERROR($J$14)*1</f>
        <v/>
      </c>
    </row>
    <row r="15" ht="48" customHeight="1">
      <c r="B15" s="31" t="inlineStr">
        <is>
          <t>Caçadores de Stellaron</t>
        </is>
      </c>
      <c r="C15" s="28" t="inlineStr">
        <is>
          <t>A Frota de Jade</t>
        </is>
      </c>
      <c r="D15" s="28" t="inlineStr">
        <is>
          <t>Um Peão da Antimatéria se rende e entrega o cronograma do próprio pelotão</t>
        </is>
      </c>
      <c r="E15" s="28" t="inlineStr">
        <is>
          <t>O Pretor Vazio-Nove manda um ultimato com prazo de três dias — e cumpre prazo</t>
        </is>
      </c>
      <c r="F15" s="28" t="inlineStr">
        <is>
          <t>Um informante vende a mesma informação ao grupo três vezes, e as três estão certas</t>
        </is>
      </c>
      <c r="G15" s="28" t="inlineStr">
        <is>
          <t>Dois contratos sobre o grupo circulam ao mesmo tempo, e um deles é para protegê-lo</t>
        </is>
      </c>
      <c r="H15" s="28" t="inlineStr">
        <is>
          <t>O Stellaron que o grupo carrega amadurece, e uma das facções deste capítulo oferece ajuda de graça</t>
        </is>
      </c>
      <c r="I15" s="28" t="inlineStr">
        <is>
          <t>Legião da Antimatéria</t>
        </is>
      </c>
      <c r="J15" s="28" t="inlineStr">
        <is>
          <t>Lua-forja</t>
        </is>
      </c>
      <c r="K15" s="18">
        <f>IF(AG15&gt;0,"O Google leu como fórmula: escolha de novo ou digite com ' na frente.","")</f>
        <v/>
      </c>
      <c r="N15" s="19">
        <f>N14+IF(LEN($X$15)&gt;0,1,0)</f>
        <v/>
      </c>
      <c r="O15" s="19">
        <f>O14+IF(LEN($Y$15)&gt;0,1,0)</f>
        <v/>
      </c>
      <c r="P15" s="19">
        <f>P14+IF(LEN($Z$15)&gt;0,1,0)</f>
        <v/>
      </c>
      <c r="Q15" s="19">
        <f>Q14+IF(LEN($AA$15)&gt;0,1,0)</f>
        <v/>
      </c>
      <c r="R15" s="19">
        <f>R14+IF(LEN($AB$15)&gt;0,1,0)</f>
        <v/>
      </c>
      <c r="S15" s="19">
        <f>S14+IF(LEN($AC$15)&gt;0,1,0)</f>
        <v/>
      </c>
      <c r="T15" s="19">
        <f>T14+IF(LEN($AD$15)&gt;0,1,0)</f>
        <v/>
      </c>
      <c r="U15" s="19">
        <f>U14+IF(LEN($AE$15)&gt;0,1,0)</f>
        <v/>
      </c>
      <c r="X15" s="19">
        <f>IF(ISERROR($B$15),"",IF(ISBLANK($B$15),"",$B$15))</f>
        <v/>
      </c>
      <c r="Y15" s="19">
        <f>IF(ISERROR($C$15),"",IF(ISBLANK($C$15),"",$C$15))</f>
        <v/>
      </c>
      <c r="Z15" s="19">
        <f>IF(ISERROR($D$15),"",IF(ISBLANK($D$15),"",$D$15))</f>
        <v/>
      </c>
      <c r="AA15" s="19">
        <f>IF(ISERROR($E$15),"",IF(ISBLANK($E$15),"",$E$15))</f>
        <v/>
      </c>
      <c r="AB15" s="19">
        <f>IF(ISERROR($F$15),"",IF(ISBLANK($F$15),"",$F$15))</f>
        <v/>
      </c>
      <c r="AC15" s="19">
        <f>IF(ISERROR($G$15),"",IF(ISBLANK($G$15),"",$G$15))</f>
        <v/>
      </c>
      <c r="AD15" s="19">
        <f>IF(ISERROR($H$15),"",IF(ISBLANK($H$15),"",$H$15))</f>
        <v/>
      </c>
      <c r="AE15" s="19">
        <f>IF(ISERROR($I$15),"",IF(ISBLANK($I$15),"",$I$15))</f>
        <v/>
      </c>
      <c r="AF15" s="19">
        <f>IF(ISERROR($J$15),"",IF(ISBLANK($J$15),"",$J$15))</f>
        <v/>
      </c>
      <c r="AG15" s="19">
        <f>ISERROR($B$15)*1+ISERROR($C$15)*1+ISERROR($D$15)*1+ISERROR($E$15)*1+ISERROR($F$15)*1+ISERROR($G$15)*1+ISERROR($H$15)*1+ISERROR($I$15)*1+ISERROR($J$15)*1</f>
        <v/>
      </c>
    </row>
    <row r="16" ht="26" customHeight="1">
      <c r="B16" s="30" t="inlineStr">
        <is>
          <t>Tolos Mascarados</t>
        </is>
      </c>
      <c r="C16" s="3" t="inlineStr">
        <is>
          <t>O Ateliê de Vênia</t>
        </is>
      </c>
      <c r="D16" s="3" t="n"/>
      <c r="E16" s="3" t="n"/>
      <c r="F16" s="3" t="n"/>
      <c r="G16" s="3" t="n"/>
      <c r="H16" s="3" t="n"/>
      <c r="I16" s="3" t="inlineStr">
        <is>
          <t>Corporação da Paz Interastral</t>
        </is>
      </c>
      <c r="J16" s="3" t="inlineStr">
        <is>
          <t>Estação</t>
        </is>
      </c>
      <c r="K16" s="18">
        <f>IF(AG16&gt;0,"O Google leu como fórmula: escolha de novo ou digite com ' na frente.","")</f>
        <v/>
      </c>
      <c r="N16" s="19">
        <f>N15+IF(LEN($X$16)&gt;0,1,0)</f>
        <v/>
      </c>
      <c r="O16" s="19">
        <f>O15+IF(LEN($Y$16)&gt;0,1,0)</f>
        <v/>
      </c>
      <c r="P16" s="19">
        <f>P15+IF(LEN($Z$16)&gt;0,1,0)</f>
        <v/>
      </c>
      <c r="Q16" s="19">
        <f>Q15+IF(LEN($AA$16)&gt;0,1,0)</f>
        <v/>
      </c>
      <c r="R16" s="19">
        <f>R15+IF(LEN($AB$16)&gt;0,1,0)</f>
        <v/>
      </c>
      <c r="S16" s="19">
        <f>S15+IF(LEN($AC$16)&gt;0,1,0)</f>
        <v/>
      </c>
      <c r="T16" s="19">
        <f>T15+IF(LEN($AD$16)&gt;0,1,0)</f>
        <v/>
      </c>
      <c r="U16" s="19">
        <f>U15+IF(LEN($AE$16)&gt;0,1,0)</f>
        <v/>
      </c>
      <c r="X16" s="19">
        <f>IF(ISERROR($B$16),"",IF(ISBLANK($B$16),"",$B$16))</f>
        <v/>
      </c>
      <c r="Y16" s="19">
        <f>IF(ISERROR($C$16),"",IF(ISBLANK($C$16),"",$C$16))</f>
        <v/>
      </c>
      <c r="Z16" s="19">
        <f>IF(ISERROR($D$16),"",IF(ISBLANK($D$16),"",$D$16))</f>
        <v/>
      </c>
      <c r="AA16" s="19">
        <f>IF(ISERROR($E$16),"",IF(ISBLANK($E$16),"",$E$16))</f>
        <v/>
      </c>
      <c r="AB16" s="19">
        <f>IF(ISERROR($F$16),"",IF(ISBLANK($F$16),"",$F$16))</f>
        <v/>
      </c>
      <c r="AC16" s="19">
        <f>IF(ISERROR($G$16),"",IF(ISBLANK($G$16),"",$G$16))</f>
        <v/>
      </c>
      <c r="AD16" s="19">
        <f>IF(ISERROR($H$16),"",IF(ISBLANK($H$16),"",$H$16))</f>
        <v/>
      </c>
      <c r="AE16" s="19">
        <f>IF(ISERROR($I$16),"",IF(ISBLANK($I$16),"",$I$16))</f>
        <v/>
      </c>
      <c r="AF16" s="19">
        <f>IF(ISERROR($J$16),"",IF(ISBLANK($J$16),"",$J$16))</f>
        <v/>
      </c>
      <c r="AG16" s="19">
        <f>ISERROR($B$16)*1+ISERROR($C$16)*1+ISERROR($D$16)*1+ISERROR($E$16)*1+ISERROR($F$16)*1+ISERROR($G$16)*1+ISERROR($H$16)*1+ISERROR($I$16)*1+ISERROR($J$16)*1</f>
        <v/>
      </c>
    </row>
    <row r="17" ht="26" customHeight="1">
      <c r="B17" s="31" t="inlineStr">
        <is>
          <t>Cavaleiros da Beleza</t>
        </is>
      </c>
      <c r="C17" s="28" t="inlineStr">
        <is>
          <t>Hesperin</t>
        </is>
      </c>
      <c r="D17" s="28" t="n"/>
      <c r="E17" s="28" t="n"/>
      <c r="F17" s="28" t="n"/>
      <c r="G17" s="28" t="n"/>
      <c r="H17" s="28" t="n"/>
      <c r="I17" s="28" t="inlineStr">
        <is>
          <t>Corporação da Paz Interastral</t>
        </is>
      </c>
      <c r="J17" s="28" t="inlineStr">
        <is>
          <t>Cidade corporativa</t>
        </is>
      </c>
      <c r="K17" s="18">
        <f>IF(AG17&gt;0,"O Google leu como fórmula: escolha de novo ou digite com ' na frente.","")</f>
        <v/>
      </c>
      <c r="N17" s="19">
        <f>N16+IF(LEN($X$17)&gt;0,1,0)</f>
        <v/>
      </c>
      <c r="O17" s="19">
        <f>O16+IF(LEN($Y$17)&gt;0,1,0)</f>
        <v/>
      </c>
      <c r="P17" s="19">
        <f>P16+IF(LEN($Z$17)&gt;0,1,0)</f>
        <v/>
      </c>
      <c r="Q17" s="19">
        <f>Q16+IF(LEN($AA$17)&gt;0,1,0)</f>
        <v/>
      </c>
      <c r="R17" s="19">
        <f>R16+IF(LEN($AB$17)&gt;0,1,0)</f>
        <v/>
      </c>
      <c r="S17" s="19">
        <f>S16+IF(LEN($AC$17)&gt;0,1,0)</f>
        <v/>
      </c>
      <c r="T17" s="19">
        <f>T16+IF(LEN($AD$17)&gt;0,1,0)</f>
        <v/>
      </c>
      <c r="U17" s="19">
        <f>U16+IF(LEN($AE$17)&gt;0,1,0)</f>
        <v/>
      </c>
      <c r="X17" s="19">
        <f>IF(ISERROR($B$17),"",IF(ISBLANK($B$17),"",$B$17))</f>
        <v/>
      </c>
      <c r="Y17" s="19">
        <f>IF(ISERROR($C$17),"",IF(ISBLANK($C$17),"",$C$17))</f>
        <v/>
      </c>
      <c r="Z17" s="19">
        <f>IF(ISERROR($D$17),"",IF(ISBLANK($D$17),"",$D$17))</f>
        <v/>
      </c>
      <c r="AA17" s="19">
        <f>IF(ISERROR($E$17),"",IF(ISBLANK($E$17),"",$E$17))</f>
        <v/>
      </c>
      <c r="AB17" s="19">
        <f>IF(ISERROR($F$17),"",IF(ISBLANK($F$17),"",$F$17))</f>
        <v/>
      </c>
      <c r="AC17" s="19">
        <f>IF(ISERROR($G$17),"",IF(ISBLANK($G$17),"",$G$17))</f>
        <v/>
      </c>
      <c r="AD17" s="19">
        <f>IF(ISERROR($H$17),"",IF(ISBLANK($H$17),"",$H$17))</f>
        <v/>
      </c>
      <c r="AE17" s="19">
        <f>IF(ISERROR($I$17),"",IF(ISBLANK($I$17),"",$I$17))</f>
        <v/>
      </c>
      <c r="AF17" s="19">
        <f>IF(ISERROR($J$17),"",IF(ISBLANK($J$17),"",$J$17))</f>
        <v/>
      </c>
      <c r="AG17" s="19">
        <f>ISERROR($B$17)*1+ISERROR($C$17)*1+ISERROR($D$17)*1+ISERROR($E$17)*1+ISERROR($F$17)*1+ISERROR($G$17)*1+ISERROR($H$17)*1+ISERROR($I$17)*1+ISERROR($J$17)*1</f>
        <v/>
      </c>
    </row>
    <row r="18" ht="26" customHeight="1">
      <c r="B18" s="30" t="inlineStr">
        <is>
          <t>Culto da Inexistência</t>
        </is>
      </c>
      <c r="C18" s="3" t="n"/>
      <c r="D18" s="3" t="n"/>
      <c r="E18" s="3" t="n"/>
      <c r="F18" s="3" t="n"/>
      <c r="G18" s="3" t="n"/>
      <c r="H18" s="3" t="n"/>
      <c r="I18" s="3" t="inlineStr">
        <is>
          <t>Aliança Xianzhou</t>
        </is>
      </c>
      <c r="J18" s="3" t="inlineStr">
        <is>
          <t>Nave-cidade</t>
        </is>
      </c>
      <c r="K18" s="18">
        <f>IF(AG18&gt;0,"O Google leu como fórmula: escolha de novo ou digite com ' na frente.","")</f>
        <v/>
      </c>
      <c r="N18" s="19">
        <f>N17+IF(LEN($X$18)&gt;0,1,0)</f>
        <v/>
      </c>
      <c r="O18" s="19">
        <f>O17+IF(LEN($Y$18)&gt;0,1,0)</f>
        <v/>
      </c>
      <c r="P18" s="19">
        <f>P17+IF(LEN($Z$18)&gt;0,1,0)</f>
        <v/>
      </c>
      <c r="Q18" s="19">
        <f>Q17+IF(LEN($AA$18)&gt;0,1,0)</f>
        <v/>
      </c>
      <c r="R18" s="19">
        <f>R17+IF(LEN($AB$18)&gt;0,1,0)</f>
        <v/>
      </c>
      <c r="S18" s="19">
        <f>S17+IF(LEN($AC$18)&gt;0,1,0)</f>
        <v/>
      </c>
      <c r="T18" s="19">
        <f>T17+IF(LEN($AD$18)&gt;0,1,0)</f>
        <v/>
      </c>
      <c r="U18" s="19">
        <f>U17+IF(LEN($AE$18)&gt;0,1,0)</f>
        <v/>
      </c>
      <c r="X18" s="19">
        <f>IF(ISERROR($B$18),"",IF(ISBLANK($B$18),"",$B$18))</f>
        <v/>
      </c>
      <c r="Y18" s="19">
        <f>IF(ISERROR($C$18),"",IF(ISBLANK($C$18),"",$C$18))</f>
        <v/>
      </c>
      <c r="Z18" s="19">
        <f>IF(ISERROR($D$18),"",IF(ISBLANK($D$18),"",$D$18))</f>
        <v/>
      </c>
      <c r="AA18" s="19">
        <f>IF(ISERROR($E$18),"",IF(ISBLANK($E$18),"",$E$18))</f>
        <v/>
      </c>
      <c r="AB18" s="19">
        <f>IF(ISERROR($F$18),"",IF(ISBLANK($F$18),"",$F$18))</f>
        <v/>
      </c>
      <c r="AC18" s="19">
        <f>IF(ISERROR($G$18),"",IF(ISBLANK($G$18),"",$G$18))</f>
        <v/>
      </c>
      <c r="AD18" s="19">
        <f>IF(ISERROR($H$18),"",IF(ISBLANK($H$18),"",$H$18))</f>
        <v/>
      </c>
      <c r="AE18" s="19">
        <f>IF(ISERROR($I$18),"",IF(ISBLANK($I$18),"",$I$18))</f>
        <v/>
      </c>
      <c r="AF18" s="19">
        <f>IF(ISERROR($J$18),"",IF(ISBLANK($J$18),"",$J$18))</f>
        <v/>
      </c>
      <c r="AG18" s="19">
        <f>ISERROR($B$18)*1+ISERROR($C$18)*1+ISERROR($D$18)*1+ISERROR($E$18)*1+ISERROR($F$18)*1+ISERROR($G$18)*1+ISERROR($H$18)*1+ISERROR($I$18)*1+ISERROR($J$18)*1</f>
        <v/>
      </c>
    </row>
    <row r="19" ht="26" customHeight="1">
      <c r="B19" s="31" t="inlineStr">
        <is>
          <t>Autômatos</t>
        </is>
      </c>
      <c r="C19" s="28" t="n"/>
      <c r="D19" s="28" t="n"/>
      <c r="E19" s="28" t="n"/>
      <c r="F19" s="28" t="n"/>
      <c r="G19" s="28" t="n"/>
      <c r="H19" s="28" t="n"/>
      <c r="I19" s="28" t="inlineStr">
        <is>
          <t>Xianzhou</t>
        </is>
      </c>
      <c r="J19" s="28" t="inlineStr">
        <is>
          <t>Nave-cidade</t>
        </is>
      </c>
      <c r="K19" s="18">
        <f>IF(AG19&gt;0,"O Google leu como fórmula: escolha de novo ou digite com ' na frente.","")</f>
        <v/>
      </c>
      <c r="N19" s="19">
        <f>N18+IF(LEN($X$19)&gt;0,1,0)</f>
        <v/>
      </c>
      <c r="O19" s="19">
        <f>O18+IF(LEN($Y$19)&gt;0,1,0)</f>
        <v/>
      </c>
      <c r="P19" s="19">
        <f>P18+IF(LEN($Z$19)&gt;0,1,0)</f>
        <v/>
      </c>
      <c r="Q19" s="19">
        <f>Q18+IF(LEN($AA$19)&gt;0,1,0)</f>
        <v/>
      </c>
      <c r="R19" s="19">
        <f>R18+IF(LEN($AB$19)&gt;0,1,0)</f>
        <v/>
      </c>
      <c r="S19" s="19">
        <f>S18+IF(LEN($AC$19)&gt;0,1,0)</f>
        <v/>
      </c>
      <c r="T19" s="19">
        <f>T18+IF(LEN($AD$19)&gt;0,1,0)</f>
        <v/>
      </c>
      <c r="U19" s="19">
        <f>U18+IF(LEN($AE$19)&gt;0,1,0)</f>
        <v/>
      </c>
      <c r="X19" s="19">
        <f>IF(ISERROR($B$19),"",IF(ISBLANK($B$19),"",$B$19))</f>
        <v/>
      </c>
      <c r="Y19" s="19">
        <f>IF(ISERROR($C$19),"",IF(ISBLANK($C$19),"",$C$19))</f>
        <v/>
      </c>
      <c r="Z19" s="19">
        <f>IF(ISERROR($D$19),"",IF(ISBLANK($D$19),"",$D$19))</f>
        <v/>
      </c>
      <c r="AA19" s="19">
        <f>IF(ISERROR($E$19),"",IF(ISBLANK($E$19),"",$E$19))</f>
        <v/>
      </c>
      <c r="AB19" s="19">
        <f>IF(ISERROR($F$19),"",IF(ISBLANK($F$19),"",$F$19))</f>
        <v/>
      </c>
      <c r="AC19" s="19">
        <f>IF(ISERROR($G$19),"",IF(ISBLANK($G$19),"",$G$19))</f>
        <v/>
      </c>
      <c r="AD19" s="19">
        <f>IF(ISERROR($H$19),"",IF(ISBLANK($H$19),"",$H$19))</f>
        <v/>
      </c>
      <c r="AE19" s="19">
        <f>IF(ISERROR($I$19),"",IF(ISBLANK($I$19),"",$I$19))</f>
        <v/>
      </c>
      <c r="AF19" s="19">
        <f>IF(ISERROR($J$19),"",IF(ISBLANK($J$19),"",$J$19))</f>
        <v/>
      </c>
      <c r="AG19" s="19">
        <f>ISERROR($B$19)*1+ISERROR($C$19)*1+ISERROR($D$19)*1+ISERROR($E$19)*1+ISERROR($F$19)*1+ISERROR($G$19)*1+ISERROR($H$19)*1+ISERROR($I$19)*1+ISERROR($J$19)*1</f>
        <v/>
      </c>
    </row>
    <row r="20" ht="26" customHeight="1">
      <c r="B20" s="30" t="n"/>
      <c r="C20" s="3" t="n"/>
      <c r="D20" s="3" t="n"/>
      <c r="E20" s="3" t="n"/>
      <c r="F20" s="3" t="n"/>
      <c r="G20" s="3" t="n"/>
      <c r="H20" s="3" t="n"/>
      <c r="I20" s="3" t="inlineStr">
        <is>
          <t>Tolos Mascarados</t>
        </is>
      </c>
      <c r="J20" s="3" t="inlineStr">
        <is>
          <t>Teatro, festa ou multidão</t>
        </is>
      </c>
      <c r="K20" s="18">
        <f>IF(AG20&gt;0,"O Google leu como fórmula: escolha de novo ou digite com ' na frente.","")</f>
        <v/>
      </c>
      <c r="N20" s="19">
        <f>N19+IF(LEN($X$20)&gt;0,1,0)</f>
        <v/>
      </c>
      <c r="O20" s="19">
        <f>O19+IF(LEN($Y$20)&gt;0,1,0)</f>
        <v/>
      </c>
      <c r="P20" s="19">
        <f>P19+IF(LEN($Z$20)&gt;0,1,0)</f>
        <v/>
      </c>
      <c r="Q20" s="19">
        <f>Q19+IF(LEN($AA$20)&gt;0,1,0)</f>
        <v/>
      </c>
      <c r="R20" s="19">
        <f>R19+IF(LEN($AB$20)&gt;0,1,0)</f>
        <v/>
      </c>
      <c r="S20" s="19">
        <f>S19+IF(LEN($AC$20)&gt;0,1,0)</f>
        <v/>
      </c>
      <c r="T20" s="19">
        <f>T19+IF(LEN($AD$20)&gt;0,1,0)</f>
        <v/>
      </c>
      <c r="U20" s="19">
        <f>U19+IF(LEN($AE$20)&gt;0,1,0)</f>
        <v/>
      </c>
      <c r="X20" s="19">
        <f>IF(ISERROR($B$20),"",IF(ISBLANK($B$20),"",$B$20))</f>
        <v/>
      </c>
      <c r="Y20" s="19">
        <f>IF(ISERROR($C$20),"",IF(ISBLANK($C$20),"",$C$20))</f>
        <v/>
      </c>
      <c r="Z20" s="19">
        <f>IF(ISERROR($D$20),"",IF(ISBLANK($D$20),"",$D$20))</f>
        <v/>
      </c>
      <c r="AA20" s="19">
        <f>IF(ISERROR($E$20),"",IF(ISBLANK($E$20),"",$E$20))</f>
        <v/>
      </c>
      <c r="AB20" s="19">
        <f>IF(ISERROR($F$20),"",IF(ISBLANK($F$20),"",$F$20))</f>
        <v/>
      </c>
      <c r="AC20" s="19">
        <f>IF(ISERROR($G$20),"",IF(ISBLANK($G$20),"",$G$20))</f>
        <v/>
      </c>
      <c r="AD20" s="19">
        <f>IF(ISERROR($H$20),"",IF(ISBLANK($H$20),"",$H$20))</f>
        <v/>
      </c>
      <c r="AE20" s="19">
        <f>IF(ISERROR($I$20),"",IF(ISBLANK($I$20),"",$I$20))</f>
        <v/>
      </c>
      <c r="AF20" s="19">
        <f>IF(ISERROR($J$20),"",IF(ISBLANK($J$20),"",$J$20))</f>
        <v/>
      </c>
      <c r="AG20" s="19">
        <f>ISERROR($B$20)*1+ISERROR($C$20)*1+ISERROR($D$20)*1+ISERROR($E$20)*1+ISERROR($F$20)*1+ISERROR($G$20)*1+ISERROR($H$20)*1+ISERROR($I$20)*1+ISERROR($J$20)*1</f>
        <v/>
      </c>
    </row>
    <row r="21" ht="26" customHeight="1">
      <c r="B21" s="31" t="n"/>
      <c r="C21" s="28" t="n"/>
      <c r="D21" s="28" t="n"/>
      <c r="E21" s="28" t="n"/>
      <c r="F21" s="28" t="n"/>
      <c r="G21" s="28" t="n"/>
      <c r="H21" s="28" t="n"/>
      <c r="I21" s="28" t="inlineStr">
        <is>
          <t>Cavaleiros da Beleza</t>
        </is>
      </c>
      <c r="J21" s="28" t="inlineStr">
        <is>
          <t>Clínica ou ateliê</t>
        </is>
      </c>
      <c r="K21" s="18">
        <f>IF(AG21&gt;0,"O Google leu como fórmula: escolha de novo ou digite com ' na frente.","")</f>
        <v/>
      </c>
      <c r="N21" s="19">
        <f>N20+IF(LEN($X$21)&gt;0,1,0)</f>
        <v/>
      </c>
      <c r="O21" s="19">
        <f>O20+IF(LEN($Y$21)&gt;0,1,0)</f>
        <v/>
      </c>
      <c r="P21" s="19">
        <f>P20+IF(LEN($Z$21)&gt;0,1,0)</f>
        <v/>
      </c>
      <c r="Q21" s="19">
        <f>Q20+IF(LEN($AA$21)&gt;0,1,0)</f>
        <v/>
      </c>
      <c r="R21" s="19">
        <f>R20+IF(LEN($AB$21)&gt;0,1,0)</f>
        <v/>
      </c>
      <c r="S21" s="19">
        <f>S20+IF(LEN($AC$21)&gt;0,1,0)</f>
        <v/>
      </c>
      <c r="T21" s="19">
        <f>T20+IF(LEN($AD$21)&gt;0,1,0)</f>
        <v/>
      </c>
      <c r="U21" s="19">
        <f>U20+IF(LEN($AE$21)&gt;0,1,0)</f>
        <v/>
      </c>
      <c r="X21" s="19">
        <f>IF(ISERROR($B$21),"",IF(ISBLANK($B$21),"",$B$21))</f>
        <v/>
      </c>
      <c r="Y21" s="19">
        <f>IF(ISERROR($C$21),"",IF(ISBLANK($C$21),"",$C$21))</f>
        <v/>
      </c>
      <c r="Z21" s="19">
        <f>IF(ISERROR($D$21),"",IF(ISBLANK($D$21),"",$D$21))</f>
        <v/>
      </c>
      <c r="AA21" s="19">
        <f>IF(ISERROR($E$21),"",IF(ISBLANK($E$21),"",$E$21))</f>
        <v/>
      </c>
      <c r="AB21" s="19">
        <f>IF(ISERROR($F$21),"",IF(ISBLANK($F$21),"",$F$21))</f>
        <v/>
      </c>
      <c r="AC21" s="19">
        <f>IF(ISERROR($G$21),"",IF(ISBLANK($G$21),"",$G$21))</f>
        <v/>
      </c>
      <c r="AD21" s="19">
        <f>IF(ISERROR($H$21),"",IF(ISBLANK($H$21),"",$H$21))</f>
        <v/>
      </c>
      <c r="AE21" s="19">
        <f>IF(ISERROR($I$21),"",IF(ISBLANK($I$21),"",$I$21))</f>
        <v/>
      </c>
      <c r="AF21" s="19">
        <f>IF(ISERROR($J$21),"",IF(ISBLANK($J$21),"",$J$21))</f>
        <v/>
      </c>
      <c r="AG21" s="19">
        <f>ISERROR($B$21)*1+ISERROR($C$21)*1+ISERROR($D$21)*1+ISERROR($E$21)*1+ISERROR($F$21)*1+ISERROR($G$21)*1+ISERROR($H$21)*1+ISERROR($I$21)*1+ISERROR($J$21)*1</f>
        <v/>
      </c>
    </row>
    <row r="22" ht="26" customHeight="1">
      <c r="B22" s="30" t="n"/>
      <c r="C22" s="3" t="n"/>
      <c r="D22" s="3" t="n"/>
      <c r="E22" s="3" t="n"/>
      <c r="F22" s="3" t="n"/>
      <c r="G22" s="3" t="n"/>
      <c r="H22" s="3" t="n"/>
      <c r="I22" s="3" t="inlineStr">
        <is>
          <t>Caçadores de Stellaron</t>
        </is>
      </c>
      <c r="J22" s="3" t="inlineStr">
        <is>
          <t>Qualquer lugar onde o grupo esteja</t>
        </is>
      </c>
      <c r="K22" s="18">
        <f>IF(AG22&gt;0,"O Google leu como fórmula: escolha de novo ou digite com ' na frente.","")</f>
        <v/>
      </c>
      <c r="N22" s="19">
        <f>N21+IF(LEN($X$22)&gt;0,1,0)</f>
        <v/>
      </c>
      <c r="O22" s="19">
        <f>O21+IF(LEN($Y$22)&gt;0,1,0)</f>
        <v/>
      </c>
      <c r="P22" s="19">
        <f>P21+IF(LEN($Z$22)&gt;0,1,0)</f>
        <v/>
      </c>
      <c r="Q22" s="19">
        <f>Q21+IF(LEN($AA$22)&gt;0,1,0)</f>
        <v/>
      </c>
      <c r="R22" s="19">
        <f>R21+IF(LEN($AB$22)&gt;0,1,0)</f>
        <v/>
      </c>
      <c r="S22" s="19">
        <f>S21+IF(LEN($AC$22)&gt;0,1,0)</f>
        <v/>
      </c>
      <c r="T22" s="19">
        <f>T21+IF(LEN($AD$22)&gt;0,1,0)</f>
        <v/>
      </c>
      <c r="U22" s="19">
        <f>U21+IF(LEN($AE$22)&gt;0,1,0)</f>
        <v/>
      </c>
      <c r="X22" s="19">
        <f>IF(ISERROR($B$22),"",IF(ISBLANK($B$22),"",$B$22))</f>
        <v/>
      </c>
      <c r="Y22" s="19">
        <f>IF(ISERROR($C$22),"",IF(ISBLANK($C$22),"",$C$22))</f>
        <v/>
      </c>
      <c r="Z22" s="19">
        <f>IF(ISERROR($D$22),"",IF(ISBLANK($D$22),"",$D$22))</f>
        <v/>
      </c>
      <c r="AA22" s="19">
        <f>IF(ISERROR($E$22),"",IF(ISBLANK($E$22),"",$E$22))</f>
        <v/>
      </c>
      <c r="AB22" s="19">
        <f>IF(ISERROR($F$22),"",IF(ISBLANK($F$22),"",$F$22))</f>
        <v/>
      </c>
      <c r="AC22" s="19">
        <f>IF(ISERROR($G$22),"",IF(ISBLANK($G$22),"",$G$22))</f>
        <v/>
      </c>
      <c r="AD22" s="19">
        <f>IF(ISERROR($H$22),"",IF(ISBLANK($H$22),"",$H$22))</f>
        <v/>
      </c>
      <c r="AE22" s="19">
        <f>IF(ISERROR($I$22),"",IF(ISBLANK($I$22),"",$I$22))</f>
        <v/>
      </c>
      <c r="AF22" s="19">
        <f>IF(ISERROR($J$22),"",IF(ISBLANK($J$22),"",$J$22))</f>
        <v/>
      </c>
      <c r="AG22" s="19">
        <f>ISERROR($B$22)*1+ISERROR($C$22)*1+ISERROR($D$22)*1+ISERROR($E$22)*1+ISERROR($F$22)*1+ISERROR($G$22)*1+ISERROR($H$22)*1+ISERROR($I$22)*1+ISERROR($J$22)*1</f>
        <v/>
      </c>
    </row>
    <row r="23" ht="26" customHeight="1">
      <c r="B23" s="31" t="n"/>
      <c r="C23" s="28" t="n"/>
      <c r="D23" s="28" t="n"/>
      <c r="E23" s="28" t="n"/>
      <c r="F23" s="28" t="n"/>
      <c r="G23" s="28" t="n"/>
      <c r="H23" s="28" t="n"/>
      <c r="I23" s="28" t="inlineStr">
        <is>
          <t>Culto da Inexistência</t>
        </is>
      </c>
      <c r="J23" s="28" t="inlineStr">
        <is>
          <t>Lugar esvaziado</t>
        </is>
      </c>
      <c r="K23" s="18">
        <f>IF(AG23&gt;0,"O Google leu como fórmula: escolha de novo ou digite com ' na frente.","")</f>
        <v/>
      </c>
      <c r="N23" s="19">
        <f>N22+IF(LEN($X$23)&gt;0,1,0)</f>
        <v/>
      </c>
      <c r="O23" s="19">
        <f>O22+IF(LEN($Y$23)&gt;0,1,0)</f>
        <v/>
      </c>
      <c r="P23" s="19">
        <f>P22+IF(LEN($Z$23)&gt;0,1,0)</f>
        <v/>
      </c>
      <c r="Q23" s="19">
        <f>Q22+IF(LEN($AA$23)&gt;0,1,0)</f>
        <v/>
      </c>
      <c r="R23" s="19">
        <f>R22+IF(LEN($AB$23)&gt;0,1,0)</f>
        <v/>
      </c>
      <c r="S23" s="19">
        <f>S22+IF(LEN($AC$23)&gt;0,1,0)</f>
        <v/>
      </c>
      <c r="T23" s="19">
        <f>T22+IF(LEN($AD$23)&gt;0,1,0)</f>
        <v/>
      </c>
      <c r="U23" s="19">
        <f>U22+IF(LEN($AE$23)&gt;0,1,0)</f>
        <v/>
      </c>
      <c r="X23" s="19">
        <f>IF(ISERROR($B$23),"",IF(ISBLANK($B$23),"",$B$23))</f>
        <v/>
      </c>
      <c r="Y23" s="19">
        <f>IF(ISERROR($C$23),"",IF(ISBLANK($C$23),"",$C$23))</f>
        <v/>
      </c>
      <c r="Z23" s="19">
        <f>IF(ISERROR($D$23),"",IF(ISBLANK($D$23),"",$D$23))</f>
        <v/>
      </c>
      <c r="AA23" s="19">
        <f>IF(ISERROR($E$23),"",IF(ISBLANK($E$23),"",$E$23))</f>
        <v/>
      </c>
      <c r="AB23" s="19">
        <f>IF(ISERROR($F$23),"",IF(ISBLANK($F$23),"",$F$23))</f>
        <v/>
      </c>
      <c r="AC23" s="19">
        <f>IF(ISERROR($G$23),"",IF(ISBLANK($G$23),"",$G$23))</f>
        <v/>
      </c>
      <c r="AD23" s="19">
        <f>IF(ISERROR($H$23),"",IF(ISBLANK($H$23),"",$H$23))</f>
        <v/>
      </c>
      <c r="AE23" s="19">
        <f>IF(ISERROR($I$23),"",IF(ISBLANK($I$23),"",$I$23))</f>
        <v/>
      </c>
      <c r="AF23" s="19">
        <f>IF(ISERROR($J$23),"",IF(ISBLANK($J$23),"",$J$23))</f>
        <v/>
      </c>
      <c r="AG23" s="19">
        <f>ISERROR($B$23)*1+ISERROR($C$23)*1+ISERROR($D$23)*1+ISERROR($E$23)*1+ISERROR($F$23)*1+ISERROR($G$23)*1+ISERROR($H$23)*1+ISERROR($I$23)*1+ISERROR($J$23)*1</f>
        <v/>
      </c>
    </row>
    <row r="24" ht="26" customHeight="1">
      <c r="B24" s="30" t="n"/>
      <c r="C24" s="3" t="n"/>
      <c r="D24" s="3" t="n"/>
      <c r="E24" s="3" t="n"/>
      <c r="F24" s="3" t="n"/>
      <c r="G24" s="3" t="n"/>
      <c r="H24" s="3" t="n"/>
      <c r="I24" s="3" t="inlineStr">
        <is>
          <t>Autômato</t>
        </is>
      </c>
      <c r="J24" s="3" t="inlineStr">
        <is>
          <t>Instalação antiga</t>
        </is>
      </c>
      <c r="K24" s="18">
        <f>IF(AG24&gt;0,"O Google leu como fórmula: escolha de novo ou digite com ' na frente.","")</f>
        <v/>
      </c>
      <c r="N24" s="19">
        <f>N23+IF(LEN($X$24)&gt;0,1,0)</f>
        <v/>
      </c>
      <c r="O24" s="19">
        <f>O23+IF(LEN($Y$24)&gt;0,1,0)</f>
        <v/>
      </c>
      <c r="P24" s="19">
        <f>P23+IF(LEN($Z$24)&gt;0,1,0)</f>
        <v/>
      </c>
      <c r="Q24" s="19">
        <f>Q23+IF(LEN($AA$24)&gt;0,1,0)</f>
        <v/>
      </c>
      <c r="R24" s="19">
        <f>R23+IF(LEN($AB$24)&gt;0,1,0)</f>
        <v/>
      </c>
      <c r="S24" s="19">
        <f>S23+IF(LEN($AC$24)&gt;0,1,0)</f>
        <v/>
      </c>
      <c r="T24" s="19">
        <f>T23+IF(LEN($AD$24)&gt;0,1,0)</f>
        <v/>
      </c>
      <c r="U24" s="19">
        <f>U23+IF(LEN($AE$24)&gt;0,1,0)</f>
        <v/>
      </c>
      <c r="X24" s="19">
        <f>IF(ISERROR($B$24),"",IF(ISBLANK($B$24),"",$B$24))</f>
        <v/>
      </c>
      <c r="Y24" s="19">
        <f>IF(ISERROR($C$24),"",IF(ISBLANK($C$24),"",$C$24))</f>
        <v/>
      </c>
      <c r="Z24" s="19">
        <f>IF(ISERROR($D$24),"",IF(ISBLANK($D$24),"",$D$24))</f>
        <v/>
      </c>
      <c r="AA24" s="19">
        <f>IF(ISERROR($E$24),"",IF(ISBLANK($E$24),"",$E$24))</f>
        <v/>
      </c>
      <c r="AB24" s="19">
        <f>IF(ISERROR($F$24),"",IF(ISBLANK($F$24),"",$F$24))</f>
        <v/>
      </c>
      <c r="AC24" s="19">
        <f>IF(ISERROR($G$24),"",IF(ISBLANK($G$24),"",$G$24))</f>
        <v/>
      </c>
      <c r="AD24" s="19">
        <f>IF(ISERROR($H$24),"",IF(ISBLANK($H$24),"",$H$24))</f>
        <v/>
      </c>
      <c r="AE24" s="19">
        <f>IF(ISERROR($I$24),"",IF(ISBLANK($I$24),"",$I$24))</f>
        <v/>
      </c>
      <c r="AF24" s="19">
        <f>IF(ISERROR($J$24),"",IF(ISBLANK($J$24),"",$J$24))</f>
        <v/>
      </c>
      <c r="AG24" s="19">
        <f>ISERROR($B$24)*1+ISERROR($C$24)*1+ISERROR($D$24)*1+ISERROR($E$24)*1+ISERROR($F$24)*1+ISERROR($G$24)*1+ISERROR($H$24)*1+ISERROR($I$24)*1+ISERROR($J$24)*1</f>
        <v/>
      </c>
    </row>
    <row r="25" ht="15" customHeight="1">
      <c r="B25" s="7" t="inlineStr">
        <is>
          <t>Facções</t>
        </is>
      </c>
      <c r="C25" s="7" t="inlineStr">
        <is>
          <t>Locais</t>
        </is>
      </c>
      <c r="D25" s="7" t="inlineStr">
        <is>
          <t>Ganchos 1-4</t>
        </is>
      </c>
      <c r="E25" s="7" t="inlineStr">
        <is>
          <t>Ganchos 5-8</t>
        </is>
      </c>
      <c r="F25" s="7" t="inlineStr">
        <is>
          <t>Ganchos 9-12</t>
        </is>
      </c>
      <c r="G25" s="7" t="inlineStr">
        <is>
          <t>Ganchos 13-16</t>
        </is>
      </c>
      <c r="H25" s="7" t="inlineStr">
        <is>
          <t>Ganchos 17-20</t>
        </is>
      </c>
      <c r="I25" s="7" t="inlineStr">
        <is>
          <t>Facção ou origem (H8)</t>
        </is>
      </c>
      <c r="J25" s="7" t="inlineStr">
        <is>
          <t>Ambiente (H8)</t>
        </is>
      </c>
      <c r="N25" s="19">
        <f>N24</f>
        <v/>
      </c>
      <c r="O25" s="19">
        <f>O24</f>
        <v/>
      </c>
      <c r="P25" s="19">
        <f>P24</f>
        <v/>
      </c>
      <c r="Q25" s="19">
        <f>Q24</f>
        <v/>
      </c>
      <c r="R25" s="19">
        <f>R24</f>
        <v/>
      </c>
      <c r="S25" s="19">
        <f>S24</f>
        <v/>
      </c>
      <c r="T25" s="19">
        <f>T24</f>
        <v/>
      </c>
      <c r="U25" s="19">
        <f>U24</f>
        <v/>
      </c>
      <c r="X25" s="19">
        <f>IF(ISERROR($B$25),"",IF(ISBLANK($B$25),"",$B$25))</f>
        <v/>
      </c>
      <c r="Y25" s="19">
        <f>IF(ISERROR($C$25),"",IF(ISBLANK($C$25),"",$C$25))</f>
        <v/>
      </c>
      <c r="Z25" s="19">
        <f>IF(ISERROR($D$25),"",IF(ISBLANK($D$25),"",$D$25))</f>
        <v/>
      </c>
      <c r="AA25" s="19">
        <f>IF(ISERROR($E$25),"",IF(ISBLANK($E$25),"",$E$25))</f>
        <v/>
      </c>
      <c r="AB25" s="19">
        <f>IF(ISERROR($F$25),"",IF(ISBLANK($F$25),"",$F$25))</f>
        <v/>
      </c>
      <c r="AC25" s="19">
        <f>IF(ISERROR($G$25),"",IF(ISBLANK($G$25),"",$G$25))</f>
        <v/>
      </c>
      <c r="AD25" s="19">
        <f>IF(ISERROR($H$25),"",IF(ISBLANK($H$25),"",$H$25))</f>
        <v/>
      </c>
      <c r="AE25" s="19">
        <f>IF(ISERROR($I$25),"",IF(ISBLANK($I$25),"",$I$25))</f>
        <v/>
      </c>
      <c r="AF25" s="19">
        <f>IF(ISERROR($J$25),"",IF(ISBLANK($J$25),"",$J$25))</f>
        <v/>
      </c>
    </row>
    <row r="26" ht="26" customHeight="1">
      <c r="B26" s="30" t="n"/>
      <c r="C26" s="3" t="n"/>
      <c r="D26" s="3" t="n"/>
      <c r="E26" s="3" t="n"/>
      <c r="F26" s="3" t="n"/>
      <c r="G26" s="3" t="n"/>
      <c r="H26" s="3" t="n"/>
      <c r="I26" s="3" t="inlineStr">
        <is>
          <t>Autômato de guerra</t>
        </is>
      </c>
      <c r="J26" s="3" t="inlineStr">
        <is>
          <t>Instalação antiga</t>
        </is>
      </c>
      <c r="K26" s="18">
        <f>IF(AG26&gt;0,"O Google leu como fórmula: escolha de novo ou digite com ' na frente.","")</f>
        <v/>
      </c>
      <c r="N26" s="19">
        <f>N25+IF(LEN($X$26)&gt;0,1,0)</f>
        <v/>
      </c>
      <c r="O26" s="19">
        <f>O25+IF(LEN($Y$26)&gt;0,1,0)</f>
        <v/>
      </c>
      <c r="P26" s="19">
        <f>P25+IF(LEN($Z$26)&gt;0,1,0)</f>
        <v/>
      </c>
      <c r="Q26" s="19">
        <f>Q25+IF(LEN($AA$26)&gt;0,1,0)</f>
        <v/>
      </c>
      <c r="R26" s="19">
        <f>R25+IF(LEN($AB$26)&gt;0,1,0)</f>
        <v/>
      </c>
      <c r="S26" s="19">
        <f>S25+IF(LEN($AC$26)&gt;0,1,0)</f>
        <v/>
      </c>
      <c r="T26" s="19">
        <f>T25+IF(LEN($AD$26)&gt;0,1,0)</f>
        <v/>
      </c>
      <c r="U26" s="19">
        <f>U25+IF(LEN($AE$26)&gt;0,1,0)</f>
        <v/>
      </c>
      <c r="X26" s="19">
        <f>IF(ISERROR($B$26),"",IF(ISBLANK($B$26),"",$B$26))</f>
        <v/>
      </c>
      <c r="Y26" s="19">
        <f>IF(ISERROR($C$26),"",IF(ISBLANK($C$26),"",$C$26))</f>
        <v/>
      </c>
      <c r="Z26" s="19">
        <f>IF(ISERROR($D$26),"",IF(ISBLANK($D$26),"",$D$26))</f>
        <v/>
      </c>
      <c r="AA26" s="19">
        <f>IF(ISERROR($E$26),"",IF(ISBLANK($E$26),"",$E$26))</f>
        <v/>
      </c>
      <c r="AB26" s="19">
        <f>IF(ISERROR($F$26),"",IF(ISBLANK($F$26),"",$F$26))</f>
        <v/>
      </c>
      <c r="AC26" s="19">
        <f>IF(ISERROR($G$26),"",IF(ISBLANK($G$26),"",$G$26))</f>
        <v/>
      </c>
      <c r="AD26" s="19">
        <f>IF(ISERROR($H$26),"",IF(ISBLANK($H$26),"",$H$26))</f>
        <v/>
      </c>
      <c r="AE26" s="19">
        <f>IF(ISERROR($I$26),"",IF(ISBLANK($I$26),"",$I$26))</f>
        <v/>
      </c>
      <c r="AF26" s="19">
        <f>IF(ISERROR($J$26),"",IF(ISBLANK($J$26),"",$J$26))</f>
        <v/>
      </c>
      <c r="AG26" s="19">
        <f>ISERROR($B$26)*1+ISERROR($C$26)*1+ISERROR($D$26)*1+ISERROR($E$26)*1+ISERROR($F$26)*1+ISERROR($G$26)*1+ISERROR($H$26)*1+ISERROR($I$26)*1+ISERROR($J$26)*1</f>
        <v/>
      </c>
    </row>
    <row r="27" ht="26" customHeight="1">
      <c r="B27" s="31" t="n"/>
      <c r="C27" s="28" t="n"/>
      <c r="D27" s="28" t="n"/>
      <c r="E27" s="28" t="n"/>
      <c r="F27" s="28" t="n"/>
      <c r="G27" s="28" t="n"/>
      <c r="H27" s="28" t="n"/>
      <c r="I27" s="28" t="inlineStr">
        <is>
          <t>Stellaron</t>
        </is>
      </c>
      <c r="J27" s="28" t="inlineStr">
        <is>
          <t>Mundo com Stellaron</t>
        </is>
      </c>
      <c r="K27" s="18">
        <f>IF(AG27&gt;0,"O Google leu como fórmula: escolha de novo ou digite com ' na frente.","")</f>
        <v/>
      </c>
      <c r="N27" s="19">
        <f>N26+IF(LEN($X$27)&gt;0,1,0)</f>
        <v/>
      </c>
      <c r="O27" s="19">
        <f>O26+IF(LEN($Y$27)&gt;0,1,0)</f>
        <v/>
      </c>
      <c r="P27" s="19">
        <f>P26+IF(LEN($Z$27)&gt;0,1,0)</f>
        <v/>
      </c>
      <c r="Q27" s="19">
        <f>Q26+IF(LEN($AA$27)&gt;0,1,0)</f>
        <v/>
      </c>
      <c r="R27" s="19">
        <f>R26+IF(LEN($AB$27)&gt;0,1,0)</f>
        <v/>
      </c>
      <c r="S27" s="19">
        <f>S26+IF(LEN($AC$27)&gt;0,1,0)</f>
        <v/>
      </c>
      <c r="T27" s="19">
        <f>T26+IF(LEN($AD$27)&gt;0,1,0)</f>
        <v/>
      </c>
      <c r="U27" s="19">
        <f>U26+IF(LEN($AE$27)&gt;0,1,0)</f>
        <v/>
      </c>
      <c r="X27" s="19">
        <f>IF(ISERROR($B$27),"",IF(ISBLANK($B$27),"",$B$27))</f>
        <v/>
      </c>
      <c r="Y27" s="19">
        <f>IF(ISERROR($C$27),"",IF(ISBLANK($C$27),"",$C$27))</f>
        <v/>
      </c>
      <c r="Z27" s="19">
        <f>IF(ISERROR($D$27),"",IF(ISBLANK($D$27),"",$D$27))</f>
        <v/>
      </c>
      <c r="AA27" s="19">
        <f>IF(ISERROR($E$27),"",IF(ISBLANK($E$27),"",$E$27))</f>
        <v/>
      </c>
      <c r="AB27" s="19">
        <f>IF(ISERROR($F$27),"",IF(ISBLANK($F$27),"",$F$27))</f>
        <v/>
      </c>
      <c r="AC27" s="19">
        <f>IF(ISERROR($G$27),"",IF(ISBLANK($G$27),"",$G$27))</f>
        <v/>
      </c>
      <c r="AD27" s="19">
        <f>IF(ISERROR($H$27),"",IF(ISBLANK($H$27),"",$H$27))</f>
        <v/>
      </c>
      <c r="AE27" s="19">
        <f>IF(ISERROR($I$27),"",IF(ISBLANK($I$27),"",$I$27))</f>
        <v/>
      </c>
      <c r="AF27" s="19">
        <f>IF(ISERROR($J$27),"",IF(ISBLANK($J$27),"",$J$27))</f>
        <v/>
      </c>
      <c r="AG27" s="19">
        <f>ISERROR($B$27)*1+ISERROR($C$27)*1+ISERROR($D$27)*1+ISERROR($E$27)*1+ISERROR($F$27)*1+ISERROR($G$27)*1+ISERROR($H$27)*1+ISERROR($I$27)*1+ISERROR($J$27)*1</f>
        <v/>
      </c>
    </row>
    <row r="28" ht="26" customHeight="1">
      <c r="B28" s="30" t="n"/>
      <c r="C28" s="3" t="n"/>
      <c r="D28" s="3" t="n"/>
      <c r="E28" s="3" t="n"/>
      <c r="F28" s="3" t="n"/>
      <c r="G28" s="3" t="n"/>
      <c r="H28" s="3" t="n"/>
      <c r="I28" s="3" t="inlineStr">
        <is>
          <t>Emanadora da Inexistência</t>
        </is>
      </c>
      <c r="J28" s="3" t="inlineStr">
        <is>
          <t>Mundo com Stellaron</t>
        </is>
      </c>
      <c r="K28" s="18">
        <f>IF(AG28&gt;0,"O Google leu como fórmula: escolha de novo ou digite com ' na frente.","")</f>
        <v/>
      </c>
      <c r="N28" s="19">
        <f>N27+IF(LEN($X$28)&gt;0,1,0)</f>
        <v/>
      </c>
      <c r="O28" s="19">
        <f>O27+IF(LEN($Y$28)&gt;0,1,0)</f>
        <v/>
      </c>
      <c r="P28" s="19">
        <f>P27+IF(LEN($Z$28)&gt;0,1,0)</f>
        <v/>
      </c>
      <c r="Q28" s="19">
        <f>Q27+IF(LEN($AA$28)&gt;0,1,0)</f>
        <v/>
      </c>
      <c r="R28" s="19">
        <f>R27+IF(LEN($AB$28)&gt;0,1,0)</f>
        <v/>
      </c>
      <c r="S28" s="19">
        <f>S27+IF(LEN($AC$28)&gt;0,1,0)</f>
        <v/>
      </c>
      <c r="T28" s="19">
        <f>T27+IF(LEN($AD$28)&gt;0,1,0)</f>
        <v/>
      </c>
      <c r="U28" s="19">
        <f>U27+IF(LEN($AE$28)&gt;0,1,0)</f>
        <v/>
      </c>
      <c r="X28" s="19">
        <f>IF(ISERROR($B$28),"",IF(ISBLANK($B$28),"",$B$28))</f>
        <v/>
      </c>
      <c r="Y28" s="19">
        <f>IF(ISERROR($C$28),"",IF(ISBLANK($C$28),"",$C$28))</f>
        <v/>
      </c>
      <c r="Z28" s="19">
        <f>IF(ISERROR($D$28),"",IF(ISBLANK($D$28),"",$D$28))</f>
        <v/>
      </c>
      <c r="AA28" s="19">
        <f>IF(ISERROR($E$28),"",IF(ISBLANK($E$28),"",$E$28))</f>
        <v/>
      </c>
      <c r="AB28" s="19">
        <f>IF(ISERROR($F$28),"",IF(ISBLANK($F$28),"",$F$28))</f>
        <v/>
      </c>
      <c r="AC28" s="19">
        <f>IF(ISERROR($G$28),"",IF(ISBLANK($G$28),"",$G$28))</f>
        <v/>
      </c>
      <c r="AD28" s="19">
        <f>IF(ISERROR($H$28),"",IF(ISBLANK($H$28),"",$H$28))</f>
        <v/>
      </c>
      <c r="AE28" s="19">
        <f>IF(ISERROR($I$28),"",IF(ISBLANK($I$28),"",$I$28))</f>
        <v/>
      </c>
      <c r="AF28" s="19">
        <f>IF(ISERROR($J$28),"",IF(ISBLANK($J$28),"",$J$28))</f>
        <v/>
      </c>
      <c r="AG28" s="19">
        <f>ISERROR($B$28)*1+ISERROR($C$28)*1+ISERROR($D$28)*1+ISERROR($E$28)*1+ISERROR($F$28)*1+ISERROR($G$28)*1+ISERROR($H$28)*1+ISERROR($I$28)*1+ISERROR($J$28)*1</f>
        <v/>
      </c>
    </row>
    <row r="29" ht="26" customHeight="1">
      <c r="B29" s="31" t="n"/>
      <c r="C29" s="28" t="n"/>
      <c r="D29" s="28" t="n"/>
      <c r="E29" s="28" t="n"/>
      <c r="F29" s="28" t="n"/>
      <c r="G29" s="28" t="n"/>
      <c r="H29" s="28" t="n"/>
      <c r="I29" s="28" t="inlineStr">
        <is>
          <t>Emanador</t>
        </is>
      </c>
      <c r="J29" s="28" t="inlineStr">
        <is>
          <t>Mundo com Stellaron</t>
        </is>
      </c>
      <c r="K29" s="18">
        <f>IF(AG29&gt;0,"O Google leu como fórmula: escolha de novo ou digite com ' na frente.","")</f>
        <v/>
      </c>
      <c r="N29" s="19">
        <f>N28+IF(LEN($X$29)&gt;0,1,0)</f>
        <v/>
      </c>
      <c r="O29" s="19">
        <f>O28+IF(LEN($Y$29)&gt;0,1,0)</f>
        <v/>
      </c>
      <c r="P29" s="19">
        <f>P28+IF(LEN($Z$29)&gt;0,1,0)</f>
        <v/>
      </c>
      <c r="Q29" s="19">
        <f>Q28+IF(LEN($AA$29)&gt;0,1,0)</f>
        <v/>
      </c>
      <c r="R29" s="19">
        <f>R28+IF(LEN($AB$29)&gt;0,1,0)</f>
        <v/>
      </c>
      <c r="S29" s="19">
        <f>S28+IF(LEN($AC$29)&gt;0,1,0)</f>
        <v/>
      </c>
      <c r="T29" s="19">
        <f>T28+IF(LEN($AD$29)&gt;0,1,0)</f>
        <v/>
      </c>
      <c r="U29" s="19">
        <f>U28+IF(LEN($AE$29)&gt;0,1,0)</f>
        <v/>
      </c>
      <c r="X29" s="19">
        <f>IF(ISERROR($B$29),"",IF(ISBLANK($B$29),"",$B$29))</f>
        <v/>
      </c>
      <c r="Y29" s="19">
        <f>IF(ISERROR($C$29),"",IF(ISBLANK($C$29),"",$C$29))</f>
        <v/>
      </c>
      <c r="Z29" s="19">
        <f>IF(ISERROR($D$29),"",IF(ISBLANK($D$29),"",$D$29))</f>
        <v/>
      </c>
      <c r="AA29" s="19">
        <f>IF(ISERROR($E$29),"",IF(ISBLANK($E$29),"",$E$29))</f>
        <v/>
      </c>
      <c r="AB29" s="19">
        <f>IF(ISERROR($F$29),"",IF(ISBLANK($F$29),"",$F$29))</f>
        <v/>
      </c>
      <c r="AC29" s="19">
        <f>IF(ISERROR($G$29),"",IF(ISBLANK($G$29),"",$G$29))</f>
        <v/>
      </c>
      <c r="AD29" s="19">
        <f>IF(ISERROR($H$29),"",IF(ISBLANK($H$29),"",$H$29))</f>
        <v/>
      </c>
      <c r="AE29" s="19">
        <f>IF(ISERROR($I$29),"",IF(ISBLANK($I$29),"",$I$29))</f>
        <v/>
      </c>
      <c r="AF29" s="19">
        <f>IF(ISERROR($J$29),"",IF(ISBLANK($J$29),"",$J$29))</f>
        <v/>
      </c>
      <c r="AG29" s="19">
        <f>ISERROR($B$29)*1+ISERROR($C$29)*1+ISERROR($D$29)*1+ISERROR($E$29)*1+ISERROR($F$29)*1+ISERROR($G$29)*1+ISERROR($H$29)*1+ISERROR($I$29)*1+ISERROR($J$29)*1</f>
        <v/>
      </c>
    </row>
    <row r="30" ht="26" customHeight="1">
      <c r="B30" s="30" t="n"/>
      <c r="C30" s="3" t="n"/>
      <c r="D30" s="3" t="n"/>
      <c r="E30" s="3" t="n"/>
      <c r="F30" s="3" t="n"/>
      <c r="G30" s="3" t="n"/>
      <c r="H30" s="3" t="n"/>
      <c r="I30" s="3" t="n"/>
      <c r="J30" s="3" t="n"/>
      <c r="K30" s="18">
        <f>IF(AG30&gt;0,"O Google leu como fórmula: escolha de novo ou digite com ' na frente.","")</f>
        <v/>
      </c>
      <c r="N30" s="19">
        <f>N29+IF(LEN($X$30)&gt;0,1,0)</f>
        <v/>
      </c>
      <c r="O30" s="19">
        <f>O29+IF(LEN($Y$30)&gt;0,1,0)</f>
        <v/>
      </c>
      <c r="P30" s="19">
        <f>P29+IF(LEN($Z$30)&gt;0,1,0)</f>
        <v/>
      </c>
      <c r="Q30" s="19">
        <f>Q29+IF(LEN($AA$30)&gt;0,1,0)</f>
        <v/>
      </c>
      <c r="R30" s="19">
        <f>R29+IF(LEN($AB$30)&gt;0,1,0)</f>
        <v/>
      </c>
      <c r="S30" s="19">
        <f>S29+IF(LEN($AC$30)&gt;0,1,0)</f>
        <v/>
      </c>
      <c r="T30" s="19">
        <f>T29+IF(LEN($AD$30)&gt;0,1,0)</f>
        <v/>
      </c>
      <c r="U30" s="19">
        <f>U29+IF(LEN($AE$30)&gt;0,1,0)</f>
        <v/>
      </c>
      <c r="X30" s="19">
        <f>IF(ISERROR($B$30),"",IF(ISBLANK($B$30),"",$B$30))</f>
        <v/>
      </c>
      <c r="Y30" s="19">
        <f>IF(ISERROR($C$30),"",IF(ISBLANK($C$30),"",$C$30))</f>
        <v/>
      </c>
      <c r="Z30" s="19">
        <f>IF(ISERROR($D$30),"",IF(ISBLANK($D$30),"",$D$30))</f>
        <v/>
      </c>
      <c r="AA30" s="19">
        <f>IF(ISERROR($E$30),"",IF(ISBLANK($E$30),"",$E$30))</f>
        <v/>
      </c>
      <c r="AB30" s="19">
        <f>IF(ISERROR($F$30),"",IF(ISBLANK($F$30),"",$F$30))</f>
        <v/>
      </c>
      <c r="AC30" s="19">
        <f>IF(ISERROR($G$30),"",IF(ISBLANK($G$30),"",$G$30))</f>
        <v/>
      </c>
      <c r="AD30" s="19">
        <f>IF(ISERROR($H$30),"",IF(ISBLANK($H$30),"",$H$30))</f>
        <v/>
      </c>
      <c r="AE30" s="19">
        <f>IF(ISERROR($I$30),"",IF(ISBLANK($I$30),"",$I$30))</f>
        <v/>
      </c>
      <c r="AF30" s="19">
        <f>IF(ISERROR($J$30),"",IF(ISBLANK($J$30),"",$J$30))</f>
        <v/>
      </c>
      <c r="AG30" s="19">
        <f>ISERROR($B$30)*1+ISERROR($C$30)*1+ISERROR($D$30)*1+ISERROR($E$30)*1+ISERROR($F$30)*1+ISERROR($G$30)*1+ISERROR($H$30)*1+ISERROR($I$30)*1+ISERROR($J$30)*1</f>
        <v/>
      </c>
    </row>
    <row r="31" ht="26" customHeight="1">
      <c r="B31" s="31" t="n"/>
      <c r="C31" s="28" t="n"/>
      <c r="D31" s="28" t="n"/>
      <c r="E31" s="28" t="n"/>
      <c r="F31" s="28" t="n"/>
      <c r="G31" s="28" t="n"/>
      <c r="H31" s="28" t="n"/>
      <c r="I31" s="28" t="n"/>
      <c r="J31" s="28" t="n"/>
      <c r="K31" s="18">
        <f>IF(AG31&gt;0,"O Google leu como fórmula: escolha de novo ou digite com ' na frente.","")</f>
        <v/>
      </c>
      <c r="N31" s="19">
        <f>N30+IF(LEN($X$31)&gt;0,1,0)</f>
        <v/>
      </c>
      <c r="O31" s="19">
        <f>O30+IF(LEN($Y$31)&gt;0,1,0)</f>
        <v/>
      </c>
      <c r="P31" s="19">
        <f>P30+IF(LEN($Z$31)&gt;0,1,0)</f>
        <v/>
      </c>
      <c r="Q31" s="19">
        <f>Q30+IF(LEN($AA$31)&gt;0,1,0)</f>
        <v/>
      </c>
      <c r="R31" s="19">
        <f>R30+IF(LEN($AB$31)&gt;0,1,0)</f>
        <v/>
      </c>
      <c r="S31" s="19">
        <f>S30+IF(LEN($AC$31)&gt;0,1,0)</f>
        <v/>
      </c>
      <c r="T31" s="19">
        <f>T30+IF(LEN($AD$31)&gt;0,1,0)</f>
        <v/>
      </c>
      <c r="U31" s="19">
        <f>U30+IF(LEN($AE$31)&gt;0,1,0)</f>
        <v/>
      </c>
      <c r="X31" s="19">
        <f>IF(ISERROR($B$31),"",IF(ISBLANK($B$31),"",$B$31))</f>
        <v/>
      </c>
      <c r="Y31" s="19">
        <f>IF(ISERROR($C$31),"",IF(ISBLANK($C$31),"",$C$31))</f>
        <v/>
      </c>
      <c r="Z31" s="19">
        <f>IF(ISERROR($D$31),"",IF(ISBLANK($D$31),"",$D$31))</f>
        <v/>
      </c>
      <c r="AA31" s="19">
        <f>IF(ISERROR($E$31),"",IF(ISBLANK($E$31),"",$E$31))</f>
        <v/>
      </c>
      <c r="AB31" s="19">
        <f>IF(ISERROR($F$31),"",IF(ISBLANK($F$31),"",$F$31))</f>
        <v/>
      </c>
      <c r="AC31" s="19">
        <f>IF(ISERROR($G$31),"",IF(ISBLANK($G$31),"",$G$31))</f>
        <v/>
      </c>
      <c r="AD31" s="19">
        <f>IF(ISERROR($H$31),"",IF(ISBLANK($H$31),"",$H$31))</f>
        <v/>
      </c>
      <c r="AE31" s="19">
        <f>IF(ISERROR($I$31),"",IF(ISBLANK($I$31),"",$I$31))</f>
        <v/>
      </c>
      <c r="AF31" s="19">
        <f>IF(ISERROR($J$31),"",IF(ISBLANK($J$31),"",$J$31))</f>
        <v/>
      </c>
      <c r="AG31" s="19">
        <f>ISERROR($B$31)*1+ISERROR($C$31)*1+ISERROR($D$31)*1+ISERROR($E$31)*1+ISERROR($F$31)*1+ISERROR($G$31)*1+ISERROR($H$31)*1+ISERROR($I$31)*1+ISERROR($J$31)*1</f>
        <v/>
      </c>
    </row>
    <row r="32" ht="26" customHeight="1">
      <c r="B32" s="30" t="n"/>
      <c r="C32" s="3" t="n"/>
      <c r="D32" s="3" t="n"/>
      <c r="E32" s="3" t="n"/>
      <c r="F32" s="3" t="n"/>
      <c r="G32" s="3" t="n"/>
      <c r="H32" s="3" t="n"/>
      <c r="I32" s="3" t="n"/>
      <c r="J32" s="3" t="n"/>
      <c r="K32" s="18">
        <f>IF(AG32&gt;0,"O Google leu como fórmula: escolha de novo ou digite com ' na frente.","")</f>
        <v/>
      </c>
      <c r="N32" s="19">
        <f>N31+IF(LEN($X$32)&gt;0,1,0)</f>
        <v/>
      </c>
      <c r="O32" s="19">
        <f>O31+IF(LEN($Y$32)&gt;0,1,0)</f>
        <v/>
      </c>
      <c r="P32" s="19">
        <f>P31+IF(LEN($Z$32)&gt;0,1,0)</f>
        <v/>
      </c>
      <c r="Q32" s="19">
        <f>Q31+IF(LEN($AA$32)&gt;0,1,0)</f>
        <v/>
      </c>
      <c r="R32" s="19">
        <f>R31+IF(LEN($AB$32)&gt;0,1,0)</f>
        <v/>
      </c>
      <c r="S32" s="19">
        <f>S31+IF(LEN($AC$32)&gt;0,1,0)</f>
        <v/>
      </c>
      <c r="T32" s="19">
        <f>T31+IF(LEN($AD$32)&gt;0,1,0)</f>
        <v/>
      </c>
      <c r="U32" s="19">
        <f>U31+IF(LEN($AE$32)&gt;0,1,0)</f>
        <v/>
      </c>
      <c r="X32" s="19">
        <f>IF(ISERROR($B$32),"",IF(ISBLANK($B$32),"",$B$32))</f>
        <v/>
      </c>
      <c r="Y32" s="19">
        <f>IF(ISERROR($C$32),"",IF(ISBLANK($C$32),"",$C$32))</f>
        <v/>
      </c>
      <c r="Z32" s="19">
        <f>IF(ISERROR($D$32),"",IF(ISBLANK($D$32),"",$D$32))</f>
        <v/>
      </c>
      <c r="AA32" s="19">
        <f>IF(ISERROR($E$32),"",IF(ISBLANK($E$32),"",$E$32))</f>
        <v/>
      </c>
      <c r="AB32" s="19">
        <f>IF(ISERROR($F$32),"",IF(ISBLANK($F$32),"",$F$32))</f>
        <v/>
      </c>
      <c r="AC32" s="19">
        <f>IF(ISERROR($G$32),"",IF(ISBLANK($G$32),"",$G$32))</f>
        <v/>
      </c>
      <c r="AD32" s="19">
        <f>IF(ISERROR($H$32),"",IF(ISBLANK($H$32),"",$H$32))</f>
        <v/>
      </c>
      <c r="AE32" s="19">
        <f>IF(ISERROR($I$32),"",IF(ISBLANK($I$32),"",$I$32))</f>
        <v/>
      </c>
      <c r="AF32" s="19">
        <f>IF(ISERROR($J$32),"",IF(ISBLANK($J$32),"",$J$32))</f>
        <v/>
      </c>
      <c r="AG32" s="19">
        <f>ISERROR($B$32)*1+ISERROR($C$32)*1+ISERROR($D$32)*1+ISERROR($E$32)*1+ISERROR($F$32)*1+ISERROR($G$32)*1+ISERROR($H$32)*1+ISERROR($I$32)*1+ISERROR($J$32)*1</f>
        <v/>
      </c>
    </row>
    <row r="33" ht="26" customHeight="1">
      <c r="B33" s="31" t="n"/>
      <c r="C33" s="28" t="n"/>
      <c r="D33" s="28" t="n"/>
      <c r="E33" s="28" t="n"/>
      <c r="F33" s="28" t="n"/>
      <c r="G33" s="28" t="n"/>
      <c r="H33" s="28" t="n"/>
      <c r="I33" s="28" t="n"/>
      <c r="J33" s="28" t="n"/>
      <c r="K33" s="18">
        <f>IF(AG33&gt;0,"O Google leu como fórmula: escolha de novo ou digite com ' na frente.","")</f>
        <v/>
      </c>
      <c r="N33" s="19">
        <f>N32+IF(LEN($X$33)&gt;0,1,0)</f>
        <v/>
      </c>
      <c r="O33" s="19">
        <f>O32+IF(LEN($Y$33)&gt;0,1,0)</f>
        <v/>
      </c>
      <c r="P33" s="19">
        <f>P32+IF(LEN($Z$33)&gt;0,1,0)</f>
        <v/>
      </c>
      <c r="Q33" s="19">
        <f>Q32+IF(LEN($AA$33)&gt;0,1,0)</f>
        <v/>
      </c>
      <c r="R33" s="19">
        <f>R32+IF(LEN($AB$33)&gt;0,1,0)</f>
        <v/>
      </c>
      <c r="S33" s="19">
        <f>S32+IF(LEN($AC$33)&gt;0,1,0)</f>
        <v/>
      </c>
      <c r="T33" s="19">
        <f>T32+IF(LEN($AD$33)&gt;0,1,0)</f>
        <v/>
      </c>
      <c r="U33" s="19">
        <f>U32+IF(LEN($AE$33)&gt;0,1,0)</f>
        <v/>
      </c>
      <c r="X33" s="19">
        <f>IF(ISERROR($B$33),"",IF(ISBLANK($B$33),"",$B$33))</f>
        <v/>
      </c>
      <c r="Y33" s="19">
        <f>IF(ISERROR($C$33),"",IF(ISBLANK($C$33),"",$C$33))</f>
        <v/>
      </c>
      <c r="Z33" s="19">
        <f>IF(ISERROR($D$33),"",IF(ISBLANK($D$33),"",$D$33))</f>
        <v/>
      </c>
      <c r="AA33" s="19">
        <f>IF(ISERROR($E$33),"",IF(ISBLANK($E$33),"",$E$33))</f>
        <v/>
      </c>
      <c r="AB33" s="19">
        <f>IF(ISERROR($F$33),"",IF(ISBLANK($F$33),"",$F$33))</f>
        <v/>
      </c>
      <c r="AC33" s="19">
        <f>IF(ISERROR($G$33),"",IF(ISBLANK($G$33),"",$G$33))</f>
        <v/>
      </c>
      <c r="AD33" s="19">
        <f>IF(ISERROR($H$33),"",IF(ISBLANK($H$33),"",$H$33))</f>
        <v/>
      </c>
      <c r="AE33" s="19">
        <f>IF(ISERROR($I$33),"",IF(ISBLANK($I$33),"",$I$33))</f>
        <v/>
      </c>
      <c r="AF33" s="19">
        <f>IF(ISERROR($J$33),"",IF(ISBLANK($J$33),"",$J$33))</f>
        <v/>
      </c>
      <c r="AG33" s="19">
        <f>ISERROR($B$33)*1+ISERROR($C$33)*1+ISERROR($D$33)*1+ISERROR($E$33)*1+ISERROR($F$33)*1+ISERROR($G$33)*1+ISERROR($H$33)*1+ISERROR($I$33)*1+ISERROR($J$33)*1</f>
        <v/>
      </c>
    </row>
    <row r="34" ht="26" customHeight="1">
      <c r="B34" s="30" t="n"/>
      <c r="C34" s="3" t="n"/>
      <c r="D34" s="3" t="n"/>
      <c r="E34" s="3" t="n"/>
      <c r="F34" s="3" t="n"/>
      <c r="G34" s="3" t="n"/>
      <c r="H34" s="3" t="n"/>
      <c r="I34" s="3" t="n"/>
      <c r="J34" s="3" t="n"/>
      <c r="K34" s="18">
        <f>IF(AG34&gt;0,"O Google leu como fórmula: escolha de novo ou digite com ' na frente.","")</f>
        <v/>
      </c>
      <c r="N34" s="19">
        <f>N33+IF(LEN($X$34)&gt;0,1,0)</f>
        <v/>
      </c>
      <c r="O34" s="19">
        <f>O33+IF(LEN($Y$34)&gt;0,1,0)</f>
        <v/>
      </c>
      <c r="P34" s="19">
        <f>P33+IF(LEN($Z$34)&gt;0,1,0)</f>
        <v/>
      </c>
      <c r="Q34" s="19">
        <f>Q33+IF(LEN($AA$34)&gt;0,1,0)</f>
        <v/>
      </c>
      <c r="R34" s="19">
        <f>R33+IF(LEN($AB$34)&gt;0,1,0)</f>
        <v/>
      </c>
      <c r="S34" s="19">
        <f>S33+IF(LEN($AC$34)&gt;0,1,0)</f>
        <v/>
      </c>
      <c r="T34" s="19">
        <f>T33+IF(LEN($AD$34)&gt;0,1,0)</f>
        <v/>
      </c>
      <c r="U34" s="19">
        <f>U33+IF(LEN($AE$34)&gt;0,1,0)</f>
        <v/>
      </c>
      <c r="X34" s="19">
        <f>IF(ISERROR($B$34),"",IF(ISBLANK($B$34),"",$B$34))</f>
        <v/>
      </c>
      <c r="Y34" s="19">
        <f>IF(ISERROR($C$34),"",IF(ISBLANK($C$34),"",$C$34))</f>
        <v/>
      </c>
      <c r="Z34" s="19">
        <f>IF(ISERROR($D$34),"",IF(ISBLANK($D$34),"",$D$34))</f>
        <v/>
      </c>
      <c r="AA34" s="19">
        <f>IF(ISERROR($E$34),"",IF(ISBLANK($E$34),"",$E$34))</f>
        <v/>
      </c>
      <c r="AB34" s="19">
        <f>IF(ISERROR($F$34),"",IF(ISBLANK($F$34),"",$F$34))</f>
        <v/>
      </c>
      <c r="AC34" s="19">
        <f>IF(ISERROR($G$34),"",IF(ISBLANK($G$34),"",$G$34))</f>
        <v/>
      </c>
      <c r="AD34" s="19">
        <f>IF(ISERROR($H$34),"",IF(ISBLANK($H$34),"",$H$34))</f>
        <v/>
      </c>
      <c r="AE34" s="19">
        <f>IF(ISERROR($I$34),"",IF(ISBLANK($I$34),"",$I$34))</f>
        <v/>
      </c>
      <c r="AF34" s="19">
        <f>IF(ISERROR($J$34),"",IF(ISBLANK($J$34),"",$J$34))</f>
        <v/>
      </c>
      <c r="AG34" s="19">
        <f>ISERROR($B$34)*1+ISERROR($C$34)*1+ISERROR($D$34)*1+ISERROR($E$34)*1+ISERROR($F$34)*1+ISERROR($G$34)*1+ISERROR($H$34)*1+ISERROR($I$34)*1+ISERROR($J$34)*1</f>
        <v/>
      </c>
    </row>
    <row r="35" ht="26" customHeight="1">
      <c r="B35" s="31" t="n"/>
      <c r="C35" s="28" t="n"/>
      <c r="D35" s="28" t="n"/>
      <c r="E35" s="28" t="n"/>
      <c r="F35" s="28" t="n"/>
      <c r="G35" s="28" t="n"/>
      <c r="H35" s="28" t="n"/>
      <c r="I35" s="28" t="n"/>
      <c r="J35" s="28" t="n"/>
      <c r="K35" s="18">
        <f>IF(AG35&gt;0,"O Google leu como fórmula: escolha de novo ou digite com ' na frente.","")</f>
        <v/>
      </c>
      <c r="N35" s="19">
        <f>N34+IF(LEN($X$35)&gt;0,1,0)</f>
        <v/>
      </c>
      <c r="O35" s="19">
        <f>O34+IF(LEN($Y$35)&gt;0,1,0)</f>
        <v/>
      </c>
      <c r="P35" s="19">
        <f>P34+IF(LEN($Z$35)&gt;0,1,0)</f>
        <v/>
      </c>
      <c r="Q35" s="19">
        <f>Q34+IF(LEN($AA$35)&gt;0,1,0)</f>
        <v/>
      </c>
      <c r="R35" s="19">
        <f>R34+IF(LEN($AB$35)&gt;0,1,0)</f>
        <v/>
      </c>
      <c r="S35" s="19">
        <f>S34+IF(LEN($AC$35)&gt;0,1,0)</f>
        <v/>
      </c>
      <c r="T35" s="19">
        <f>T34+IF(LEN($AD$35)&gt;0,1,0)</f>
        <v/>
      </c>
      <c r="U35" s="19">
        <f>U34+IF(LEN($AE$35)&gt;0,1,0)</f>
        <v/>
      </c>
      <c r="X35" s="19">
        <f>IF(ISERROR($B$35),"",IF(ISBLANK($B$35),"",$B$35))</f>
        <v/>
      </c>
      <c r="Y35" s="19">
        <f>IF(ISERROR($C$35),"",IF(ISBLANK($C$35),"",$C$35))</f>
        <v/>
      </c>
      <c r="Z35" s="19">
        <f>IF(ISERROR($D$35),"",IF(ISBLANK($D$35),"",$D$35))</f>
        <v/>
      </c>
      <c r="AA35" s="19">
        <f>IF(ISERROR($E$35),"",IF(ISBLANK($E$35),"",$E$35))</f>
        <v/>
      </c>
      <c r="AB35" s="19">
        <f>IF(ISERROR($F$35),"",IF(ISBLANK($F$35),"",$F$35))</f>
        <v/>
      </c>
      <c r="AC35" s="19">
        <f>IF(ISERROR($G$35),"",IF(ISBLANK($G$35),"",$G$35))</f>
        <v/>
      </c>
      <c r="AD35" s="19">
        <f>IF(ISERROR($H$35),"",IF(ISBLANK($H$35),"",$H$35))</f>
        <v/>
      </c>
      <c r="AE35" s="19">
        <f>IF(ISERROR($I$35),"",IF(ISBLANK($I$35),"",$I$35))</f>
        <v/>
      </c>
      <c r="AF35" s="19">
        <f>IF(ISERROR($J$35),"",IF(ISBLANK($J$35),"",$J$35))</f>
        <v/>
      </c>
      <c r="AG35" s="19">
        <f>ISERROR($B$35)*1+ISERROR($C$35)*1+ISERROR($D$35)*1+ISERROR($E$35)*1+ISERROR($F$35)*1+ISERROR($G$35)*1+ISERROR($H$35)*1+ISERROR($I$35)*1+ISERROR($J$35)*1</f>
        <v/>
      </c>
    </row>
    <row r="36" ht="26" customHeight="1">
      <c r="B36" s="30" t="n"/>
      <c r="C36" s="3" t="n"/>
      <c r="D36" s="3" t="n"/>
      <c r="E36" s="3" t="n"/>
      <c r="F36" s="3" t="n"/>
      <c r="G36" s="3" t="n"/>
      <c r="H36" s="3" t="n"/>
      <c r="I36" s="3" t="n"/>
      <c r="J36" s="3" t="n"/>
      <c r="K36" s="18">
        <f>IF(AG36&gt;0,"O Google leu como fórmula: escolha de novo ou digite com ' na frente.","")</f>
        <v/>
      </c>
      <c r="N36" s="19">
        <f>N35+IF(LEN($X$36)&gt;0,1,0)</f>
        <v/>
      </c>
      <c r="O36" s="19">
        <f>O35+IF(LEN($Y$36)&gt;0,1,0)</f>
        <v/>
      </c>
      <c r="P36" s="19">
        <f>P35+IF(LEN($Z$36)&gt;0,1,0)</f>
        <v/>
      </c>
      <c r="Q36" s="19">
        <f>Q35+IF(LEN($AA$36)&gt;0,1,0)</f>
        <v/>
      </c>
      <c r="R36" s="19">
        <f>R35+IF(LEN($AB$36)&gt;0,1,0)</f>
        <v/>
      </c>
      <c r="S36" s="19">
        <f>S35+IF(LEN($AC$36)&gt;0,1,0)</f>
        <v/>
      </c>
      <c r="T36" s="19">
        <f>T35+IF(LEN($AD$36)&gt;0,1,0)</f>
        <v/>
      </c>
      <c r="U36" s="19">
        <f>U35+IF(LEN($AE$36)&gt;0,1,0)</f>
        <v/>
      </c>
      <c r="X36" s="19">
        <f>IF(ISERROR($B$36),"",IF(ISBLANK($B$36),"",$B$36))</f>
        <v/>
      </c>
      <c r="Y36" s="19">
        <f>IF(ISERROR($C$36),"",IF(ISBLANK($C$36),"",$C$36))</f>
        <v/>
      </c>
      <c r="Z36" s="19">
        <f>IF(ISERROR($D$36),"",IF(ISBLANK($D$36),"",$D$36))</f>
        <v/>
      </c>
      <c r="AA36" s="19">
        <f>IF(ISERROR($E$36),"",IF(ISBLANK($E$36),"",$E$36))</f>
        <v/>
      </c>
      <c r="AB36" s="19">
        <f>IF(ISERROR($F$36),"",IF(ISBLANK($F$36),"",$F$36))</f>
        <v/>
      </c>
      <c r="AC36" s="19">
        <f>IF(ISERROR($G$36),"",IF(ISBLANK($G$36),"",$G$36))</f>
        <v/>
      </c>
      <c r="AD36" s="19">
        <f>IF(ISERROR($H$36),"",IF(ISBLANK($H$36),"",$H$36))</f>
        <v/>
      </c>
      <c r="AE36" s="19">
        <f>IF(ISERROR($I$36),"",IF(ISBLANK($I$36),"",$I$36))</f>
        <v/>
      </c>
      <c r="AF36" s="19">
        <f>IF(ISERROR($J$36),"",IF(ISBLANK($J$36),"",$J$36))</f>
        <v/>
      </c>
      <c r="AG36" s="19">
        <f>ISERROR($B$36)*1+ISERROR($C$36)*1+ISERROR($D$36)*1+ISERROR($E$36)*1+ISERROR($F$36)*1+ISERROR($G$36)*1+ISERROR($H$36)*1+ISERROR($I$36)*1+ISERROR($J$36)*1</f>
        <v/>
      </c>
    </row>
    <row r="37" ht="26" customHeight="1">
      <c r="B37" s="31" t="n"/>
      <c r="C37" s="28" t="n"/>
      <c r="D37" s="28" t="n"/>
      <c r="E37" s="28" t="n"/>
      <c r="F37" s="28" t="n"/>
      <c r="G37" s="28" t="n"/>
      <c r="H37" s="28" t="n"/>
      <c r="I37" s="28" t="n"/>
      <c r="J37" s="28" t="n"/>
      <c r="K37" s="18">
        <f>IF(AG37&gt;0,"O Google leu como fórmula: escolha de novo ou digite com ' na frente.","")</f>
        <v/>
      </c>
      <c r="N37" s="19">
        <f>N36+IF(LEN($X$37)&gt;0,1,0)</f>
        <v/>
      </c>
      <c r="O37" s="19">
        <f>O36+IF(LEN($Y$37)&gt;0,1,0)</f>
        <v/>
      </c>
      <c r="P37" s="19">
        <f>P36+IF(LEN($Z$37)&gt;0,1,0)</f>
        <v/>
      </c>
      <c r="Q37" s="19">
        <f>Q36+IF(LEN($AA$37)&gt;0,1,0)</f>
        <v/>
      </c>
      <c r="R37" s="19">
        <f>R36+IF(LEN($AB$37)&gt;0,1,0)</f>
        <v/>
      </c>
      <c r="S37" s="19">
        <f>S36+IF(LEN($AC$37)&gt;0,1,0)</f>
        <v/>
      </c>
      <c r="T37" s="19">
        <f>T36+IF(LEN($AD$37)&gt;0,1,0)</f>
        <v/>
      </c>
      <c r="U37" s="19">
        <f>U36+IF(LEN($AE$37)&gt;0,1,0)</f>
        <v/>
      </c>
      <c r="X37" s="19">
        <f>IF(ISERROR($B$37),"",IF(ISBLANK($B$37),"",$B$37))</f>
        <v/>
      </c>
      <c r="Y37" s="19">
        <f>IF(ISERROR($C$37),"",IF(ISBLANK($C$37),"",$C$37))</f>
        <v/>
      </c>
      <c r="Z37" s="19">
        <f>IF(ISERROR($D$37),"",IF(ISBLANK($D$37),"",$D$37))</f>
        <v/>
      </c>
      <c r="AA37" s="19">
        <f>IF(ISERROR($E$37),"",IF(ISBLANK($E$37),"",$E$37))</f>
        <v/>
      </c>
      <c r="AB37" s="19">
        <f>IF(ISERROR($F$37),"",IF(ISBLANK($F$37),"",$F$37))</f>
        <v/>
      </c>
      <c r="AC37" s="19">
        <f>IF(ISERROR($G$37),"",IF(ISBLANK($G$37),"",$G$37))</f>
        <v/>
      </c>
      <c r="AD37" s="19">
        <f>IF(ISERROR($H$37),"",IF(ISBLANK($H$37),"",$H$37))</f>
        <v/>
      </c>
      <c r="AE37" s="19">
        <f>IF(ISERROR($I$37),"",IF(ISBLANK($I$37),"",$I$37))</f>
        <v/>
      </c>
      <c r="AF37" s="19">
        <f>IF(ISERROR($J$37),"",IF(ISBLANK($J$37),"",$J$37))</f>
        <v/>
      </c>
      <c r="AG37" s="19">
        <f>ISERROR($B$37)*1+ISERROR($C$37)*1+ISERROR($D$37)*1+ISERROR($E$37)*1+ISERROR($F$37)*1+ISERROR($G$37)*1+ISERROR($H$37)*1+ISERROR($I$37)*1+ISERROR($J$37)*1</f>
        <v/>
      </c>
    </row>
    <row r="38" ht="26" customHeight="1">
      <c r="B38" s="30" t="n"/>
      <c r="C38" s="3" t="n"/>
      <c r="D38" s="3" t="n"/>
      <c r="E38" s="3" t="n"/>
      <c r="F38" s="3" t="n"/>
      <c r="G38" s="3" t="n"/>
      <c r="H38" s="3" t="n"/>
      <c r="I38" s="3" t="n"/>
      <c r="J38" s="3" t="n"/>
      <c r="K38" s="18">
        <f>IF(AG38&gt;0,"O Google leu como fórmula: escolha de novo ou digite com ' na frente.","")</f>
        <v/>
      </c>
      <c r="N38" s="19">
        <f>N37+IF(LEN($X$38)&gt;0,1,0)</f>
        <v/>
      </c>
      <c r="O38" s="19">
        <f>O37+IF(LEN($Y$38)&gt;0,1,0)</f>
        <v/>
      </c>
      <c r="P38" s="19">
        <f>P37+IF(LEN($Z$38)&gt;0,1,0)</f>
        <v/>
      </c>
      <c r="Q38" s="19">
        <f>Q37+IF(LEN($AA$38)&gt;0,1,0)</f>
        <v/>
      </c>
      <c r="R38" s="19">
        <f>R37+IF(LEN($AB$38)&gt;0,1,0)</f>
        <v/>
      </c>
      <c r="S38" s="19">
        <f>S37+IF(LEN($AC$38)&gt;0,1,0)</f>
        <v/>
      </c>
      <c r="T38" s="19">
        <f>T37+IF(LEN($AD$38)&gt;0,1,0)</f>
        <v/>
      </c>
      <c r="U38" s="19">
        <f>U37+IF(LEN($AE$38)&gt;0,1,0)</f>
        <v/>
      </c>
      <c r="X38" s="19">
        <f>IF(ISERROR($B$38),"",IF(ISBLANK($B$38),"",$B$38))</f>
        <v/>
      </c>
      <c r="Y38" s="19">
        <f>IF(ISERROR($C$38),"",IF(ISBLANK($C$38),"",$C$38))</f>
        <v/>
      </c>
      <c r="Z38" s="19">
        <f>IF(ISERROR($D$38),"",IF(ISBLANK($D$38),"",$D$38))</f>
        <v/>
      </c>
      <c r="AA38" s="19">
        <f>IF(ISERROR($E$38),"",IF(ISBLANK($E$38),"",$E$38))</f>
        <v/>
      </c>
      <c r="AB38" s="19">
        <f>IF(ISERROR($F$38),"",IF(ISBLANK($F$38),"",$F$38))</f>
        <v/>
      </c>
      <c r="AC38" s="19">
        <f>IF(ISERROR($G$38),"",IF(ISBLANK($G$38),"",$G$38))</f>
        <v/>
      </c>
      <c r="AD38" s="19">
        <f>IF(ISERROR($H$38),"",IF(ISBLANK($H$38),"",$H$38))</f>
        <v/>
      </c>
      <c r="AE38" s="19">
        <f>IF(ISERROR($I$38),"",IF(ISBLANK($I$38),"",$I$38))</f>
        <v/>
      </c>
      <c r="AF38" s="19">
        <f>IF(ISERROR($J$38),"",IF(ISBLANK($J$38),"",$J$38))</f>
        <v/>
      </c>
      <c r="AG38" s="19">
        <f>ISERROR($B$38)*1+ISERROR($C$38)*1+ISERROR($D$38)*1+ISERROR($E$38)*1+ISERROR($F$38)*1+ISERROR($G$38)*1+ISERROR($H$38)*1+ISERROR($I$38)*1+ISERROR($J$38)*1</f>
        <v/>
      </c>
    </row>
    <row r="39" ht="15" customHeight="1">
      <c r="B39" s="7" t="inlineStr">
        <is>
          <t>Facções</t>
        </is>
      </c>
      <c r="C39" s="7" t="inlineStr">
        <is>
          <t>Locais</t>
        </is>
      </c>
      <c r="D39" s="7" t="inlineStr">
        <is>
          <t>Ganchos 1-4</t>
        </is>
      </c>
      <c r="E39" s="7" t="inlineStr">
        <is>
          <t>Ganchos 5-8</t>
        </is>
      </c>
      <c r="F39" s="7" t="inlineStr">
        <is>
          <t>Ganchos 9-12</t>
        </is>
      </c>
      <c r="G39" s="7" t="inlineStr">
        <is>
          <t>Ganchos 13-16</t>
        </is>
      </c>
      <c r="H39" s="7" t="inlineStr">
        <is>
          <t>Ganchos 17-20</t>
        </is>
      </c>
      <c r="I39" s="7" t="inlineStr">
        <is>
          <t>Facção ou origem (H8)</t>
        </is>
      </c>
      <c r="J39" s="7" t="inlineStr">
        <is>
          <t>Ambiente (H8)</t>
        </is>
      </c>
      <c r="N39" s="19">
        <f>N38</f>
        <v/>
      </c>
      <c r="O39" s="19">
        <f>O38</f>
        <v/>
      </c>
      <c r="P39" s="19">
        <f>P38</f>
        <v/>
      </c>
      <c r="Q39" s="19">
        <f>Q38</f>
        <v/>
      </c>
      <c r="R39" s="19">
        <f>R38</f>
        <v/>
      </c>
      <c r="S39" s="19">
        <f>S38</f>
        <v/>
      </c>
      <c r="T39" s="19">
        <f>T38</f>
        <v/>
      </c>
      <c r="U39" s="19">
        <f>U38</f>
        <v/>
      </c>
      <c r="X39" s="19">
        <f>IF(ISERROR($B$39),"",IF(ISBLANK($B$39),"",$B$39))</f>
        <v/>
      </c>
      <c r="Y39" s="19">
        <f>IF(ISERROR($C$39),"",IF(ISBLANK($C$39),"",$C$39))</f>
        <v/>
      </c>
      <c r="Z39" s="19">
        <f>IF(ISERROR($D$39),"",IF(ISBLANK($D$39),"",$D$39))</f>
        <v/>
      </c>
      <c r="AA39" s="19">
        <f>IF(ISERROR($E$39),"",IF(ISBLANK($E$39),"",$E$39))</f>
        <v/>
      </c>
      <c r="AB39" s="19">
        <f>IF(ISERROR($F$39),"",IF(ISBLANK($F$39),"",$F$39))</f>
        <v/>
      </c>
      <c r="AC39" s="19">
        <f>IF(ISERROR($G$39),"",IF(ISBLANK($G$39),"",$G$39))</f>
        <v/>
      </c>
      <c r="AD39" s="19">
        <f>IF(ISERROR($H$39),"",IF(ISBLANK($H$39),"",$H$39))</f>
        <v/>
      </c>
      <c r="AE39" s="19">
        <f>IF(ISERROR($I$39),"",IF(ISBLANK($I$39),"",$I$39))</f>
        <v/>
      </c>
      <c r="AF39" s="19">
        <f>IF(ISERROR($J$39),"",IF(ISBLANK($J$39),"",$J$39))</f>
        <v/>
      </c>
    </row>
    <row r="40" ht="26" customHeight="1">
      <c r="B40" s="30" t="n"/>
      <c r="C40" s="3" t="n"/>
      <c r="D40" s="3" t="n"/>
      <c r="E40" s="3" t="n"/>
      <c r="F40" s="3" t="n"/>
      <c r="G40" s="3" t="n"/>
      <c r="H40" s="3" t="n"/>
      <c r="I40" s="3" t="n"/>
      <c r="J40" s="3" t="n"/>
      <c r="K40" s="18">
        <f>IF(AG40&gt;0,"O Google leu como fórmula: escolha de novo ou digite com ' na frente.","")</f>
        <v/>
      </c>
      <c r="N40" s="19">
        <f>N39+IF(LEN($X$40)&gt;0,1,0)</f>
        <v/>
      </c>
      <c r="O40" s="19">
        <f>O39+IF(LEN($Y$40)&gt;0,1,0)</f>
        <v/>
      </c>
      <c r="P40" s="19">
        <f>P39+IF(LEN($Z$40)&gt;0,1,0)</f>
        <v/>
      </c>
      <c r="Q40" s="19">
        <f>Q39+IF(LEN($AA$40)&gt;0,1,0)</f>
        <v/>
      </c>
      <c r="R40" s="19">
        <f>R39+IF(LEN($AB$40)&gt;0,1,0)</f>
        <v/>
      </c>
      <c r="S40" s="19">
        <f>S39+IF(LEN($AC$40)&gt;0,1,0)</f>
        <v/>
      </c>
      <c r="T40" s="19">
        <f>T39+IF(LEN($AD$40)&gt;0,1,0)</f>
        <v/>
      </c>
      <c r="U40" s="19">
        <f>U39+IF(LEN($AE$40)&gt;0,1,0)</f>
        <v/>
      </c>
      <c r="X40" s="19">
        <f>IF(ISERROR($B$40),"",IF(ISBLANK($B$40),"",$B$40))</f>
        <v/>
      </c>
      <c r="Y40" s="19">
        <f>IF(ISERROR($C$40),"",IF(ISBLANK($C$40),"",$C$40))</f>
        <v/>
      </c>
      <c r="Z40" s="19">
        <f>IF(ISERROR($D$40),"",IF(ISBLANK($D$40),"",$D$40))</f>
        <v/>
      </c>
      <c r="AA40" s="19">
        <f>IF(ISERROR($E$40),"",IF(ISBLANK($E$40),"",$E$40))</f>
        <v/>
      </c>
      <c r="AB40" s="19">
        <f>IF(ISERROR($F$40),"",IF(ISBLANK($F$40),"",$F$40))</f>
        <v/>
      </c>
      <c r="AC40" s="19">
        <f>IF(ISERROR($G$40),"",IF(ISBLANK($G$40),"",$G$40))</f>
        <v/>
      </c>
      <c r="AD40" s="19">
        <f>IF(ISERROR($H$40),"",IF(ISBLANK($H$40),"",$H$40))</f>
        <v/>
      </c>
      <c r="AE40" s="19">
        <f>IF(ISERROR($I$40),"",IF(ISBLANK($I$40),"",$I$40))</f>
        <v/>
      </c>
      <c r="AF40" s="19">
        <f>IF(ISERROR($J$40),"",IF(ISBLANK($J$40),"",$J$40))</f>
        <v/>
      </c>
      <c r="AG40" s="19">
        <f>ISERROR($B$40)*1+ISERROR($C$40)*1+ISERROR($D$40)*1+ISERROR($E$40)*1+ISERROR($F$40)*1+ISERROR($G$40)*1+ISERROR($H$40)*1+ISERROR($I$40)*1+ISERROR($J$40)*1</f>
        <v/>
      </c>
    </row>
    <row r="41" ht="26" customHeight="1">
      <c r="B41" s="31" t="n"/>
      <c r="C41" s="28" t="n"/>
      <c r="D41" s="28" t="n"/>
      <c r="E41" s="28" t="n"/>
      <c r="F41" s="28" t="n"/>
      <c r="G41" s="28" t="n"/>
      <c r="H41" s="28" t="n"/>
      <c r="I41" s="28" t="n"/>
      <c r="J41" s="28" t="n"/>
      <c r="K41" s="18">
        <f>IF(AG41&gt;0,"O Google leu como fórmula: escolha de novo ou digite com ' na frente.","")</f>
        <v/>
      </c>
      <c r="N41" s="19">
        <f>N40+IF(LEN($X$41)&gt;0,1,0)</f>
        <v/>
      </c>
      <c r="O41" s="19">
        <f>O40+IF(LEN($Y$41)&gt;0,1,0)</f>
        <v/>
      </c>
      <c r="P41" s="19">
        <f>P40+IF(LEN($Z$41)&gt;0,1,0)</f>
        <v/>
      </c>
      <c r="Q41" s="19">
        <f>Q40+IF(LEN($AA$41)&gt;0,1,0)</f>
        <v/>
      </c>
      <c r="R41" s="19">
        <f>R40+IF(LEN($AB$41)&gt;0,1,0)</f>
        <v/>
      </c>
      <c r="S41" s="19">
        <f>S40+IF(LEN($AC$41)&gt;0,1,0)</f>
        <v/>
      </c>
      <c r="T41" s="19">
        <f>T40+IF(LEN($AD$41)&gt;0,1,0)</f>
        <v/>
      </c>
      <c r="U41" s="19">
        <f>U40+IF(LEN($AE$41)&gt;0,1,0)</f>
        <v/>
      </c>
      <c r="X41" s="19">
        <f>IF(ISERROR($B$41),"",IF(ISBLANK($B$41),"",$B$41))</f>
        <v/>
      </c>
      <c r="Y41" s="19">
        <f>IF(ISERROR($C$41),"",IF(ISBLANK($C$41),"",$C$41))</f>
        <v/>
      </c>
      <c r="Z41" s="19">
        <f>IF(ISERROR($D$41),"",IF(ISBLANK($D$41),"",$D$41))</f>
        <v/>
      </c>
      <c r="AA41" s="19">
        <f>IF(ISERROR($E$41),"",IF(ISBLANK($E$41),"",$E$41))</f>
        <v/>
      </c>
      <c r="AB41" s="19">
        <f>IF(ISERROR($F$41),"",IF(ISBLANK($F$41),"",$F$41))</f>
        <v/>
      </c>
      <c r="AC41" s="19">
        <f>IF(ISERROR($G$41),"",IF(ISBLANK($G$41),"",$G$41))</f>
        <v/>
      </c>
      <c r="AD41" s="19">
        <f>IF(ISERROR($H$41),"",IF(ISBLANK($H$41),"",$H$41))</f>
        <v/>
      </c>
      <c r="AE41" s="19">
        <f>IF(ISERROR($I$41),"",IF(ISBLANK($I$41),"",$I$41))</f>
        <v/>
      </c>
      <c r="AF41" s="19">
        <f>IF(ISERROR($J$41),"",IF(ISBLANK($J$41),"",$J$41))</f>
        <v/>
      </c>
      <c r="AG41" s="19">
        <f>ISERROR($B$41)*1+ISERROR($C$41)*1+ISERROR($D$41)*1+ISERROR($E$41)*1+ISERROR($F$41)*1+ISERROR($G$41)*1+ISERROR($H$41)*1+ISERROR($I$41)*1+ISERROR($J$41)*1</f>
        <v/>
      </c>
    </row>
    <row r="42" ht="26" customHeight="1">
      <c r="B42" s="30" t="n"/>
      <c r="C42" s="3" t="n"/>
      <c r="D42" s="3" t="n"/>
      <c r="E42" s="3" t="n"/>
      <c r="F42" s="3" t="n"/>
      <c r="G42" s="3" t="n"/>
      <c r="H42" s="3" t="n"/>
      <c r="I42" s="3" t="n"/>
      <c r="J42" s="3" t="n"/>
      <c r="K42" s="18">
        <f>IF(AG42&gt;0,"O Google leu como fórmula: escolha de novo ou digite com ' na frente.","")</f>
        <v/>
      </c>
      <c r="N42" s="19">
        <f>N41+IF(LEN($X$42)&gt;0,1,0)</f>
        <v/>
      </c>
      <c r="O42" s="19">
        <f>O41+IF(LEN($Y$42)&gt;0,1,0)</f>
        <v/>
      </c>
      <c r="P42" s="19">
        <f>P41+IF(LEN($Z$42)&gt;0,1,0)</f>
        <v/>
      </c>
      <c r="Q42" s="19">
        <f>Q41+IF(LEN($AA$42)&gt;0,1,0)</f>
        <v/>
      </c>
      <c r="R42" s="19">
        <f>R41+IF(LEN($AB$42)&gt;0,1,0)</f>
        <v/>
      </c>
      <c r="S42" s="19">
        <f>S41+IF(LEN($AC$42)&gt;0,1,0)</f>
        <v/>
      </c>
      <c r="T42" s="19">
        <f>T41+IF(LEN($AD$42)&gt;0,1,0)</f>
        <v/>
      </c>
      <c r="U42" s="19">
        <f>U41+IF(LEN($AE$42)&gt;0,1,0)</f>
        <v/>
      </c>
      <c r="X42" s="19">
        <f>IF(ISERROR($B$42),"",IF(ISBLANK($B$42),"",$B$42))</f>
        <v/>
      </c>
      <c r="Y42" s="19">
        <f>IF(ISERROR($C$42),"",IF(ISBLANK($C$42),"",$C$42))</f>
        <v/>
      </c>
      <c r="Z42" s="19">
        <f>IF(ISERROR($D$42),"",IF(ISBLANK($D$42),"",$D$42))</f>
        <v/>
      </c>
      <c r="AA42" s="19">
        <f>IF(ISERROR($E$42),"",IF(ISBLANK($E$42),"",$E$42))</f>
        <v/>
      </c>
      <c r="AB42" s="19">
        <f>IF(ISERROR($F$42),"",IF(ISBLANK($F$42),"",$F$42))</f>
        <v/>
      </c>
      <c r="AC42" s="19">
        <f>IF(ISERROR($G$42),"",IF(ISBLANK($G$42),"",$G$42))</f>
        <v/>
      </c>
      <c r="AD42" s="19">
        <f>IF(ISERROR($H$42),"",IF(ISBLANK($H$42),"",$H$42))</f>
        <v/>
      </c>
      <c r="AE42" s="19">
        <f>IF(ISERROR($I$42),"",IF(ISBLANK($I$42),"",$I$42))</f>
        <v/>
      </c>
      <c r="AF42" s="19">
        <f>IF(ISERROR($J$42),"",IF(ISBLANK($J$42),"",$J$42))</f>
        <v/>
      </c>
      <c r="AG42" s="19">
        <f>ISERROR($B$42)*1+ISERROR($C$42)*1+ISERROR($D$42)*1+ISERROR($E$42)*1+ISERROR($F$42)*1+ISERROR($G$42)*1+ISERROR($H$42)*1+ISERROR($I$42)*1+ISERROR($J$42)*1</f>
        <v/>
      </c>
    </row>
    <row r="43" ht="26" customHeight="1">
      <c r="B43" s="31" t="n"/>
      <c r="C43" s="28" t="n"/>
      <c r="D43" s="28" t="n"/>
      <c r="E43" s="28" t="n"/>
      <c r="F43" s="28" t="n"/>
      <c r="G43" s="28" t="n"/>
      <c r="H43" s="28" t="n"/>
      <c r="I43" s="28" t="n"/>
      <c r="J43" s="28" t="n"/>
      <c r="K43" s="18">
        <f>IF(AG43&gt;0,"O Google leu como fórmula: escolha de novo ou digite com ' na frente.","")</f>
        <v/>
      </c>
      <c r="N43" s="19">
        <f>N42+IF(LEN($X$43)&gt;0,1,0)</f>
        <v/>
      </c>
      <c r="O43" s="19">
        <f>O42+IF(LEN($Y$43)&gt;0,1,0)</f>
        <v/>
      </c>
      <c r="P43" s="19">
        <f>P42+IF(LEN($Z$43)&gt;0,1,0)</f>
        <v/>
      </c>
      <c r="Q43" s="19">
        <f>Q42+IF(LEN($AA$43)&gt;0,1,0)</f>
        <v/>
      </c>
      <c r="R43" s="19">
        <f>R42+IF(LEN($AB$43)&gt;0,1,0)</f>
        <v/>
      </c>
      <c r="S43" s="19">
        <f>S42+IF(LEN($AC$43)&gt;0,1,0)</f>
        <v/>
      </c>
      <c r="T43" s="19">
        <f>T42+IF(LEN($AD$43)&gt;0,1,0)</f>
        <v/>
      </c>
      <c r="U43" s="19">
        <f>U42+IF(LEN($AE$43)&gt;0,1,0)</f>
        <v/>
      </c>
      <c r="X43" s="19">
        <f>IF(ISERROR($B$43),"",IF(ISBLANK($B$43),"",$B$43))</f>
        <v/>
      </c>
      <c r="Y43" s="19">
        <f>IF(ISERROR($C$43),"",IF(ISBLANK($C$43),"",$C$43))</f>
        <v/>
      </c>
      <c r="Z43" s="19">
        <f>IF(ISERROR($D$43),"",IF(ISBLANK($D$43),"",$D$43))</f>
        <v/>
      </c>
      <c r="AA43" s="19">
        <f>IF(ISERROR($E$43),"",IF(ISBLANK($E$43),"",$E$43))</f>
        <v/>
      </c>
      <c r="AB43" s="19">
        <f>IF(ISERROR($F$43),"",IF(ISBLANK($F$43),"",$F$43))</f>
        <v/>
      </c>
      <c r="AC43" s="19">
        <f>IF(ISERROR($G$43),"",IF(ISBLANK($G$43),"",$G$43))</f>
        <v/>
      </c>
      <c r="AD43" s="19">
        <f>IF(ISERROR($H$43),"",IF(ISBLANK($H$43),"",$H$43))</f>
        <v/>
      </c>
      <c r="AE43" s="19">
        <f>IF(ISERROR($I$43),"",IF(ISBLANK($I$43),"",$I$43))</f>
        <v/>
      </c>
      <c r="AF43" s="19">
        <f>IF(ISERROR($J$43),"",IF(ISBLANK($J$43),"",$J$43))</f>
        <v/>
      </c>
      <c r="AG43" s="19">
        <f>ISERROR($B$43)*1+ISERROR($C$43)*1+ISERROR($D$43)*1+ISERROR($E$43)*1+ISERROR($F$43)*1+ISERROR($G$43)*1+ISERROR($H$43)*1+ISERROR($I$43)*1+ISERROR($J$43)*1</f>
        <v/>
      </c>
    </row>
    <row r="44" ht="26" customHeight="1">
      <c r="B44" s="30" t="n"/>
      <c r="C44" s="3" t="n"/>
      <c r="D44" s="3" t="n"/>
      <c r="E44" s="3" t="n"/>
      <c r="F44" s="3" t="n"/>
      <c r="G44" s="3" t="n"/>
      <c r="H44" s="3" t="n"/>
      <c r="I44" s="3" t="n"/>
      <c r="J44" s="3" t="n"/>
      <c r="K44" s="18">
        <f>IF(AG44&gt;0,"O Google leu como fórmula: escolha de novo ou digite com ' na frente.","")</f>
        <v/>
      </c>
      <c r="N44" s="19">
        <f>N43+IF(LEN($X$44)&gt;0,1,0)</f>
        <v/>
      </c>
      <c r="O44" s="19">
        <f>O43+IF(LEN($Y$44)&gt;0,1,0)</f>
        <v/>
      </c>
      <c r="P44" s="19">
        <f>P43+IF(LEN($Z$44)&gt;0,1,0)</f>
        <v/>
      </c>
      <c r="Q44" s="19">
        <f>Q43+IF(LEN($AA$44)&gt;0,1,0)</f>
        <v/>
      </c>
      <c r="R44" s="19">
        <f>R43+IF(LEN($AB$44)&gt;0,1,0)</f>
        <v/>
      </c>
      <c r="S44" s="19">
        <f>S43+IF(LEN($AC$44)&gt;0,1,0)</f>
        <v/>
      </c>
      <c r="T44" s="19">
        <f>T43+IF(LEN($AD$44)&gt;0,1,0)</f>
        <v/>
      </c>
      <c r="U44" s="19">
        <f>U43+IF(LEN($AE$44)&gt;0,1,0)</f>
        <v/>
      </c>
      <c r="X44" s="19">
        <f>IF(ISERROR($B$44),"",IF(ISBLANK($B$44),"",$B$44))</f>
        <v/>
      </c>
      <c r="Y44" s="19">
        <f>IF(ISERROR($C$44),"",IF(ISBLANK($C$44),"",$C$44))</f>
        <v/>
      </c>
      <c r="Z44" s="19">
        <f>IF(ISERROR($D$44),"",IF(ISBLANK($D$44),"",$D$44))</f>
        <v/>
      </c>
      <c r="AA44" s="19">
        <f>IF(ISERROR($E$44),"",IF(ISBLANK($E$44),"",$E$44))</f>
        <v/>
      </c>
      <c r="AB44" s="19">
        <f>IF(ISERROR($F$44),"",IF(ISBLANK($F$44),"",$F$44))</f>
        <v/>
      </c>
      <c r="AC44" s="19">
        <f>IF(ISERROR($G$44),"",IF(ISBLANK($G$44),"",$G$44))</f>
        <v/>
      </c>
      <c r="AD44" s="19">
        <f>IF(ISERROR($H$44),"",IF(ISBLANK($H$44),"",$H$44))</f>
        <v/>
      </c>
      <c r="AE44" s="19">
        <f>IF(ISERROR($I$44),"",IF(ISBLANK($I$44),"",$I$44))</f>
        <v/>
      </c>
      <c r="AF44" s="19">
        <f>IF(ISERROR($J$44),"",IF(ISBLANK($J$44),"",$J$44))</f>
        <v/>
      </c>
      <c r="AG44" s="19">
        <f>ISERROR($B$44)*1+ISERROR($C$44)*1+ISERROR($D$44)*1+ISERROR($E$44)*1+ISERROR($F$44)*1+ISERROR($G$44)*1+ISERROR($H$44)*1+ISERROR($I$44)*1+ISERROR($J$44)*1</f>
        <v/>
      </c>
    </row>
    <row r="45" ht="26" customHeight="1">
      <c r="B45" s="31" t="n"/>
      <c r="C45" s="28" t="n"/>
      <c r="D45" s="28" t="n"/>
      <c r="E45" s="28" t="n"/>
      <c r="F45" s="28" t="n"/>
      <c r="G45" s="28" t="n"/>
      <c r="H45" s="28" t="n"/>
      <c r="I45" s="28" t="n"/>
      <c r="J45" s="28" t="n"/>
      <c r="K45" s="18">
        <f>IF(AG45&gt;0,"O Google leu como fórmula: escolha de novo ou digite com ' na frente.","")</f>
        <v/>
      </c>
      <c r="N45" s="19">
        <f>N44+IF(LEN($X$45)&gt;0,1,0)</f>
        <v/>
      </c>
      <c r="O45" s="19">
        <f>O44+IF(LEN($Y$45)&gt;0,1,0)</f>
        <v/>
      </c>
      <c r="P45" s="19">
        <f>P44+IF(LEN($Z$45)&gt;0,1,0)</f>
        <v/>
      </c>
      <c r="Q45" s="19">
        <f>Q44+IF(LEN($AA$45)&gt;0,1,0)</f>
        <v/>
      </c>
      <c r="R45" s="19">
        <f>R44+IF(LEN($AB$45)&gt;0,1,0)</f>
        <v/>
      </c>
      <c r="S45" s="19">
        <f>S44+IF(LEN($AC$45)&gt;0,1,0)</f>
        <v/>
      </c>
      <c r="T45" s="19">
        <f>T44+IF(LEN($AD$45)&gt;0,1,0)</f>
        <v/>
      </c>
      <c r="U45" s="19">
        <f>U44+IF(LEN($AE$45)&gt;0,1,0)</f>
        <v/>
      </c>
      <c r="X45" s="19">
        <f>IF(ISERROR($B$45),"",IF(ISBLANK($B$45),"",$B$45))</f>
        <v/>
      </c>
      <c r="Y45" s="19">
        <f>IF(ISERROR($C$45),"",IF(ISBLANK($C$45),"",$C$45))</f>
        <v/>
      </c>
      <c r="Z45" s="19">
        <f>IF(ISERROR($D$45),"",IF(ISBLANK($D$45),"",$D$45))</f>
        <v/>
      </c>
      <c r="AA45" s="19">
        <f>IF(ISERROR($E$45),"",IF(ISBLANK($E$45),"",$E$45))</f>
        <v/>
      </c>
      <c r="AB45" s="19">
        <f>IF(ISERROR($F$45),"",IF(ISBLANK($F$45),"",$F$45))</f>
        <v/>
      </c>
      <c r="AC45" s="19">
        <f>IF(ISERROR($G$45),"",IF(ISBLANK($G$45),"",$G$45))</f>
        <v/>
      </c>
      <c r="AD45" s="19">
        <f>IF(ISERROR($H$45),"",IF(ISBLANK($H$45),"",$H$45))</f>
        <v/>
      </c>
      <c r="AE45" s="19">
        <f>IF(ISERROR($I$45),"",IF(ISBLANK($I$45),"",$I$45))</f>
        <v/>
      </c>
      <c r="AF45" s="19">
        <f>IF(ISERROR($J$45),"",IF(ISBLANK($J$45),"",$J$45))</f>
        <v/>
      </c>
      <c r="AG45" s="19">
        <f>ISERROR($B$45)*1+ISERROR($C$45)*1+ISERROR($D$45)*1+ISERROR($E$45)*1+ISERROR($F$45)*1+ISERROR($G$45)*1+ISERROR($H$45)*1+ISERROR($I$45)*1+ISERROR($J$45)*1</f>
        <v/>
      </c>
    </row>
    <row r="46" ht="26" customHeight="1">
      <c r="B46" s="30" t="n"/>
      <c r="C46" s="3" t="n"/>
      <c r="D46" s="3" t="n"/>
      <c r="E46" s="3" t="n"/>
      <c r="F46" s="3" t="n"/>
      <c r="G46" s="3" t="n"/>
      <c r="H46" s="3" t="n"/>
      <c r="I46" s="3" t="n"/>
      <c r="J46" s="3" t="n"/>
      <c r="K46" s="18">
        <f>IF(AG46&gt;0,"O Google leu como fórmula: escolha de novo ou digite com ' na frente.","")</f>
        <v/>
      </c>
      <c r="N46" s="19">
        <f>N45+IF(LEN($X$46)&gt;0,1,0)</f>
        <v/>
      </c>
      <c r="O46" s="19">
        <f>O45+IF(LEN($Y$46)&gt;0,1,0)</f>
        <v/>
      </c>
      <c r="P46" s="19">
        <f>P45+IF(LEN($Z$46)&gt;0,1,0)</f>
        <v/>
      </c>
      <c r="Q46" s="19">
        <f>Q45+IF(LEN($AA$46)&gt;0,1,0)</f>
        <v/>
      </c>
      <c r="R46" s="19">
        <f>R45+IF(LEN($AB$46)&gt;0,1,0)</f>
        <v/>
      </c>
      <c r="S46" s="19">
        <f>S45+IF(LEN($AC$46)&gt;0,1,0)</f>
        <v/>
      </c>
      <c r="T46" s="19">
        <f>T45+IF(LEN($AD$46)&gt;0,1,0)</f>
        <v/>
      </c>
      <c r="U46" s="19">
        <f>U45+IF(LEN($AE$46)&gt;0,1,0)</f>
        <v/>
      </c>
      <c r="X46" s="19">
        <f>IF(ISERROR($B$46),"",IF(ISBLANK($B$46),"",$B$46))</f>
        <v/>
      </c>
      <c r="Y46" s="19">
        <f>IF(ISERROR($C$46),"",IF(ISBLANK($C$46),"",$C$46))</f>
        <v/>
      </c>
      <c r="Z46" s="19">
        <f>IF(ISERROR($D$46),"",IF(ISBLANK($D$46),"",$D$46))</f>
        <v/>
      </c>
      <c r="AA46" s="19">
        <f>IF(ISERROR($E$46),"",IF(ISBLANK($E$46),"",$E$46))</f>
        <v/>
      </c>
      <c r="AB46" s="19">
        <f>IF(ISERROR($F$46),"",IF(ISBLANK($F$46),"",$F$46))</f>
        <v/>
      </c>
      <c r="AC46" s="19">
        <f>IF(ISERROR($G$46),"",IF(ISBLANK($G$46),"",$G$46))</f>
        <v/>
      </c>
      <c r="AD46" s="19">
        <f>IF(ISERROR($H$46),"",IF(ISBLANK($H$46),"",$H$46))</f>
        <v/>
      </c>
      <c r="AE46" s="19">
        <f>IF(ISERROR($I$46),"",IF(ISBLANK($I$46),"",$I$46))</f>
        <v/>
      </c>
      <c r="AF46" s="19">
        <f>IF(ISERROR($J$46),"",IF(ISBLANK($J$46),"",$J$46))</f>
        <v/>
      </c>
      <c r="AG46" s="19">
        <f>ISERROR($B$46)*1+ISERROR($C$46)*1+ISERROR($D$46)*1+ISERROR($E$46)*1+ISERROR($F$46)*1+ISERROR($G$46)*1+ISERROR($H$46)*1+ISERROR($I$46)*1+ISERROR($J$46)*1</f>
        <v/>
      </c>
    </row>
    <row r="47" ht="26" customHeight="1">
      <c r="B47" s="31" t="n"/>
      <c r="C47" s="28" t="n"/>
      <c r="D47" s="28" t="n"/>
      <c r="E47" s="28" t="n"/>
      <c r="F47" s="28" t="n"/>
      <c r="G47" s="28" t="n"/>
      <c r="H47" s="28" t="n"/>
      <c r="I47" s="28" t="n"/>
      <c r="J47" s="28" t="n"/>
      <c r="K47" s="18">
        <f>IF(AG47&gt;0,"O Google leu como fórmula: escolha de novo ou digite com ' na frente.","")</f>
        <v/>
      </c>
      <c r="N47" s="19">
        <f>N46+IF(LEN($X$47)&gt;0,1,0)</f>
        <v/>
      </c>
      <c r="O47" s="19">
        <f>O46+IF(LEN($Y$47)&gt;0,1,0)</f>
        <v/>
      </c>
      <c r="P47" s="19">
        <f>P46+IF(LEN($Z$47)&gt;0,1,0)</f>
        <v/>
      </c>
      <c r="Q47" s="19">
        <f>Q46+IF(LEN($AA$47)&gt;0,1,0)</f>
        <v/>
      </c>
      <c r="R47" s="19">
        <f>R46+IF(LEN($AB$47)&gt;0,1,0)</f>
        <v/>
      </c>
      <c r="S47" s="19">
        <f>S46+IF(LEN($AC$47)&gt;0,1,0)</f>
        <v/>
      </c>
      <c r="T47" s="19">
        <f>T46+IF(LEN($AD$47)&gt;0,1,0)</f>
        <v/>
      </c>
      <c r="U47" s="19">
        <f>U46+IF(LEN($AE$47)&gt;0,1,0)</f>
        <v/>
      </c>
      <c r="X47" s="19">
        <f>IF(ISERROR($B$47),"",IF(ISBLANK($B$47),"",$B$47))</f>
        <v/>
      </c>
      <c r="Y47" s="19">
        <f>IF(ISERROR($C$47),"",IF(ISBLANK($C$47),"",$C$47))</f>
        <v/>
      </c>
      <c r="Z47" s="19">
        <f>IF(ISERROR($D$47),"",IF(ISBLANK($D$47),"",$D$47))</f>
        <v/>
      </c>
      <c r="AA47" s="19">
        <f>IF(ISERROR($E$47),"",IF(ISBLANK($E$47),"",$E$47))</f>
        <v/>
      </c>
      <c r="AB47" s="19">
        <f>IF(ISERROR($F$47),"",IF(ISBLANK($F$47),"",$F$47))</f>
        <v/>
      </c>
      <c r="AC47" s="19">
        <f>IF(ISERROR($G$47),"",IF(ISBLANK($G$47),"",$G$47))</f>
        <v/>
      </c>
      <c r="AD47" s="19">
        <f>IF(ISERROR($H$47),"",IF(ISBLANK($H$47),"",$H$47))</f>
        <v/>
      </c>
      <c r="AE47" s="19">
        <f>IF(ISERROR($I$47),"",IF(ISBLANK($I$47),"",$I$47))</f>
        <v/>
      </c>
      <c r="AF47" s="19">
        <f>IF(ISERROR($J$47),"",IF(ISBLANK($J$47),"",$J$47))</f>
        <v/>
      </c>
      <c r="AG47" s="19">
        <f>ISERROR($B$47)*1+ISERROR($C$47)*1+ISERROR($D$47)*1+ISERROR($E$47)*1+ISERROR($F$47)*1+ISERROR($G$47)*1+ISERROR($H$47)*1+ISERROR($I$47)*1+ISERROR($J$47)*1</f>
        <v/>
      </c>
    </row>
    <row r="48" ht="26" customHeight="1">
      <c r="B48" s="30" t="n"/>
      <c r="C48" s="3" t="n"/>
      <c r="D48" s="3" t="n"/>
      <c r="E48" s="3" t="n"/>
      <c r="F48" s="3" t="n"/>
      <c r="G48" s="3" t="n"/>
      <c r="H48" s="3" t="n"/>
      <c r="I48" s="3" t="n"/>
      <c r="J48" s="3" t="n"/>
      <c r="K48" s="18">
        <f>IF(AG48&gt;0,"O Google leu como fórmula: escolha de novo ou digite com ' na frente.","")</f>
        <v/>
      </c>
      <c r="N48" s="19">
        <f>N47+IF(LEN($X$48)&gt;0,1,0)</f>
        <v/>
      </c>
      <c r="O48" s="19">
        <f>O47+IF(LEN($Y$48)&gt;0,1,0)</f>
        <v/>
      </c>
      <c r="P48" s="19">
        <f>P47+IF(LEN($Z$48)&gt;0,1,0)</f>
        <v/>
      </c>
      <c r="Q48" s="19">
        <f>Q47+IF(LEN($AA$48)&gt;0,1,0)</f>
        <v/>
      </c>
      <c r="R48" s="19">
        <f>R47+IF(LEN($AB$48)&gt;0,1,0)</f>
        <v/>
      </c>
      <c r="S48" s="19">
        <f>S47+IF(LEN($AC$48)&gt;0,1,0)</f>
        <v/>
      </c>
      <c r="T48" s="19">
        <f>T47+IF(LEN($AD$48)&gt;0,1,0)</f>
        <v/>
      </c>
      <c r="U48" s="19">
        <f>U47+IF(LEN($AE$48)&gt;0,1,0)</f>
        <v/>
      </c>
      <c r="X48" s="19">
        <f>IF(ISERROR($B$48),"",IF(ISBLANK($B$48),"",$B$48))</f>
        <v/>
      </c>
      <c r="Y48" s="19">
        <f>IF(ISERROR($C$48),"",IF(ISBLANK($C$48),"",$C$48))</f>
        <v/>
      </c>
      <c r="Z48" s="19">
        <f>IF(ISERROR($D$48),"",IF(ISBLANK($D$48),"",$D$48))</f>
        <v/>
      </c>
      <c r="AA48" s="19">
        <f>IF(ISERROR($E$48),"",IF(ISBLANK($E$48),"",$E$48))</f>
        <v/>
      </c>
      <c r="AB48" s="19">
        <f>IF(ISERROR($F$48),"",IF(ISBLANK($F$48),"",$F$48))</f>
        <v/>
      </c>
      <c r="AC48" s="19">
        <f>IF(ISERROR($G$48),"",IF(ISBLANK($G$48),"",$G$48))</f>
        <v/>
      </c>
      <c r="AD48" s="19">
        <f>IF(ISERROR($H$48),"",IF(ISBLANK($H$48),"",$H$48))</f>
        <v/>
      </c>
      <c r="AE48" s="19">
        <f>IF(ISERROR($I$48),"",IF(ISBLANK($I$48),"",$I$48))</f>
        <v/>
      </c>
      <c r="AF48" s="19">
        <f>IF(ISERROR($J$48),"",IF(ISBLANK($J$48),"",$J$48))</f>
        <v/>
      </c>
      <c r="AG48" s="19">
        <f>ISERROR($B$48)*1+ISERROR($C$48)*1+ISERROR($D$48)*1+ISERROR($E$48)*1+ISERROR($F$48)*1+ISERROR($G$48)*1+ISERROR($H$48)*1+ISERROR($I$48)*1+ISERROR($J$48)*1</f>
        <v/>
      </c>
    </row>
    <row r="49" ht="26" customHeight="1">
      <c r="B49" s="31" t="n"/>
      <c r="C49" s="28" t="n"/>
      <c r="D49" s="28" t="n"/>
      <c r="E49" s="28" t="n"/>
      <c r="F49" s="28" t="n"/>
      <c r="G49" s="28" t="n"/>
      <c r="H49" s="28" t="n"/>
      <c r="I49" s="28" t="n"/>
      <c r="J49" s="28" t="n"/>
      <c r="K49" s="18">
        <f>IF(AG49&gt;0,"O Google leu como fórmula: escolha de novo ou digite com ' na frente.","")</f>
        <v/>
      </c>
      <c r="N49" s="19">
        <f>N48+IF(LEN($X$49)&gt;0,1,0)</f>
        <v/>
      </c>
      <c r="O49" s="19">
        <f>O48+IF(LEN($Y$49)&gt;0,1,0)</f>
        <v/>
      </c>
      <c r="P49" s="19">
        <f>P48+IF(LEN($Z$49)&gt;0,1,0)</f>
        <v/>
      </c>
      <c r="Q49" s="19">
        <f>Q48+IF(LEN($AA$49)&gt;0,1,0)</f>
        <v/>
      </c>
      <c r="R49" s="19">
        <f>R48+IF(LEN($AB$49)&gt;0,1,0)</f>
        <v/>
      </c>
      <c r="S49" s="19">
        <f>S48+IF(LEN($AC$49)&gt;0,1,0)</f>
        <v/>
      </c>
      <c r="T49" s="19">
        <f>T48+IF(LEN($AD$49)&gt;0,1,0)</f>
        <v/>
      </c>
      <c r="U49" s="19">
        <f>U48+IF(LEN($AE$49)&gt;0,1,0)</f>
        <v/>
      </c>
      <c r="X49" s="19">
        <f>IF(ISERROR($B$49),"",IF(ISBLANK($B$49),"",$B$49))</f>
        <v/>
      </c>
      <c r="Y49" s="19">
        <f>IF(ISERROR($C$49),"",IF(ISBLANK($C$49),"",$C$49))</f>
        <v/>
      </c>
      <c r="Z49" s="19">
        <f>IF(ISERROR($D$49),"",IF(ISBLANK($D$49),"",$D$49))</f>
        <v/>
      </c>
      <c r="AA49" s="19">
        <f>IF(ISERROR($E$49),"",IF(ISBLANK($E$49),"",$E$49))</f>
        <v/>
      </c>
      <c r="AB49" s="19">
        <f>IF(ISERROR($F$49),"",IF(ISBLANK($F$49),"",$F$49))</f>
        <v/>
      </c>
      <c r="AC49" s="19">
        <f>IF(ISERROR($G$49),"",IF(ISBLANK($G$49),"",$G$49))</f>
        <v/>
      </c>
      <c r="AD49" s="19">
        <f>IF(ISERROR($H$49),"",IF(ISBLANK($H$49),"",$H$49))</f>
        <v/>
      </c>
      <c r="AE49" s="19">
        <f>IF(ISERROR($I$49),"",IF(ISBLANK($I$49),"",$I$49))</f>
        <v/>
      </c>
      <c r="AF49" s="19">
        <f>IF(ISERROR($J$49),"",IF(ISBLANK($J$49),"",$J$49))</f>
        <v/>
      </c>
      <c r="AG49" s="19">
        <f>ISERROR($B$49)*1+ISERROR($C$49)*1+ISERROR($D$49)*1+ISERROR($E$49)*1+ISERROR($F$49)*1+ISERROR($G$49)*1+ISERROR($H$49)*1+ISERROR($I$49)*1+ISERROR($J$49)*1</f>
        <v/>
      </c>
    </row>
    <row r="50" ht="26" customHeight="1">
      <c r="B50" s="30" t="n"/>
      <c r="C50" s="3" t="n"/>
      <c r="D50" s="3" t="n"/>
      <c r="E50" s="3" t="n"/>
      <c r="F50" s="3" t="n"/>
      <c r="G50" s="3" t="n"/>
      <c r="H50" s="3" t="n"/>
      <c r="I50" s="3" t="n"/>
      <c r="J50" s="3" t="n"/>
      <c r="K50" s="18">
        <f>IF(AG50&gt;0,"O Google leu como fórmula: escolha de novo ou digite com ' na frente.","")</f>
        <v/>
      </c>
      <c r="N50" s="19">
        <f>N49+IF(LEN($X$50)&gt;0,1,0)</f>
        <v/>
      </c>
      <c r="O50" s="19">
        <f>O49+IF(LEN($Y$50)&gt;0,1,0)</f>
        <v/>
      </c>
      <c r="P50" s="19">
        <f>P49+IF(LEN($Z$50)&gt;0,1,0)</f>
        <v/>
      </c>
      <c r="Q50" s="19">
        <f>Q49+IF(LEN($AA$50)&gt;0,1,0)</f>
        <v/>
      </c>
      <c r="R50" s="19">
        <f>R49+IF(LEN($AB$50)&gt;0,1,0)</f>
        <v/>
      </c>
      <c r="S50" s="19">
        <f>S49+IF(LEN($AC$50)&gt;0,1,0)</f>
        <v/>
      </c>
      <c r="T50" s="19">
        <f>T49+IF(LEN($AD$50)&gt;0,1,0)</f>
        <v/>
      </c>
      <c r="U50" s="19">
        <f>U49+IF(LEN($AE$50)&gt;0,1,0)</f>
        <v/>
      </c>
      <c r="X50" s="19">
        <f>IF(ISERROR($B$50),"",IF(ISBLANK($B$50),"",$B$50))</f>
        <v/>
      </c>
      <c r="Y50" s="19">
        <f>IF(ISERROR($C$50),"",IF(ISBLANK($C$50),"",$C$50))</f>
        <v/>
      </c>
      <c r="Z50" s="19">
        <f>IF(ISERROR($D$50),"",IF(ISBLANK($D$50),"",$D$50))</f>
        <v/>
      </c>
      <c r="AA50" s="19">
        <f>IF(ISERROR($E$50),"",IF(ISBLANK($E$50),"",$E$50))</f>
        <v/>
      </c>
      <c r="AB50" s="19">
        <f>IF(ISERROR($F$50),"",IF(ISBLANK($F$50),"",$F$50))</f>
        <v/>
      </c>
      <c r="AC50" s="19">
        <f>IF(ISERROR($G$50),"",IF(ISBLANK($G$50),"",$G$50))</f>
        <v/>
      </c>
      <c r="AD50" s="19">
        <f>IF(ISERROR($H$50),"",IF(ISBLANK($H$50),"",$H$50))</f>
        <v/>
      </c>
      <c r="AE50" s="19">
        <f>IF(ISERROR($I$50),"",IF(ISBLANK($I$50),"",$I$50))</f>
        <v/>
      </c>
      <c r="AF50" s="19">
        <f>IF(ISERROR($J$50),"",IF(ISBLANK($J$50),"",$J$50))</f>
        <v/>
      </c>
      <c r="AG50" s="19">
        <f>ISERROR($B$50)*1+ISERROR($C$50)*1+ISERROR($D$50)*1+ISERROR($E$50)*1+ISERROR($F$50)*1+ISERROR($G$50)*1+ISERROR($H$50)*1+ISERROR($I$50)*1+ISERROR($J$50)*1</f>
        <v/>
      </c>
    </row>
    <row r="51" ht="26" customHeight="1">
      <c r="B51" s="31" t="n"/>
      <c r="C51" s="28" t="n"/>
      <c r="D51" s="28" t="n"/>
      <c r="E51" s="28" t="n"/>
      <c r="F51" s="28" t="n"/>
      <c r="G51" s="28" t="n"/>
      <c r="H51" s="28" t="n"/>
      <c r="I51" s="28" t="n"/>
      <c r="J51" s="28" t="n"/>
      <c r="K51" s="18">
        <f>IF(AG51&gt;0,"O Google leu como fórmula: escolha de novo ou digite com ' na frente.","")</f>
        <v/>
      </c>
      <c r="N51" s="19">
        <f>N50+IF(LEN($X$51)&gt;0,1,0)</f>
        <v/>
      </c>
      <c r="O51" s="19">
        <f>O50+IF(LEN($Y$51)&gt;0,1,0)</f>
        <v/>
      </c>
      <c r="P51" s="19">
        <f>P50+IF(LEN($Z$51)&gt;0,1,0)</f>
        <v/>
      </c>
      <c r="Q51" s="19">
        <f>Q50+IF(LEN($AA$51)&gt;0,1,0)</f>
        <v/>
      </c>
      <c r="R51" s="19">
        <f>R50+IF(LEN($AB$51)&gt;0,1,0)</f>
        <v/>
      </c>
      <c r="S51" s="19">
        <f>S50+IF(LEN($AC$51)&gt;0,1,0)</f>
        <v/>
      </c>
      <c r="T51" s="19">
        <f>T50+IF(LEN($AD$51)&gt;0,1,0)</f>
        <v/>
      </c>
      <c r="U51" s="19">
        <f>U50+IF(LEN($AE$51)&gt;0,1,0)</f>
        <v/>
      </c>
      <c r="X51" s="19">
        <f>IF(ISERROR($B$51),"",IF(ISBLANK($B$51),"",$B$51))</f>
        <v/>
      </c>
      <c r="Y51" s="19">
        <f>IF(ISERROR($C$51),"",IF(ISBLANK($C$51),"",$C$51))</f>
        <v/>
      </c>
      <c r="Z51" s="19">
        <f>IF(ISERROR($D$51),"",IF(ISBLANK($D$51),"",$D$51))</f>
        <v/>
      </c>
      <c r="AA51" s="19">
        <f>IF(ISERROR($E$51),"",IF(ISBLANK($E$51),"",$E$51))</f>
        <v/>
      </c>
      <c r="AB51" s="19">
        <f>IF(ISERROR($F$51),"",IF(ISBLANK($F$51),"",$F$51))</f>
        <v/>
      </c>
      <c r="AC51" s="19">
        <f>IF(ISERROR($G$51),"",IF(ISBLANK($G$51),"",$G$51))</f>
        <v/>
      </c>
      <c r="AD51" s="19">
        <f>IF(ISERROR($H$51),"",IF(ISBLANK($H$51),"",$H$51))</f>
        <v/>
      </c>
      <c r="AE51" s="19">
        <f>IF(ISERROR($I$51),"",IF(ISBLANK($I$51),"",$I$51))</f>
        <v/>
      </c>
      <c r="AF51" s="19">
        <f>IF(ISERROR($J$51),"",IF(ISBLANK($J$51),"",$J$51))</f>
        <v/>
      </c>
      <c r="AG51" s="19">
        <f>ISERROR($B$51)*1+ISERROR($C$51)*1+ISERROR($D$51)*1+ISERROR($E$51)*1+ISERROR($F$51)*1+ISERROR($G$51)*1+ISERROR($H$51)*1+ISERROR($I$51)*1+ISERROR($J$51)*1</f>
        <v/>
      </c>
    </row>
    <row r="52" ht="26" customHeight="1">
      <c r="B52" s="30" t="n"/>
      <c r="C52" s="3" t="n"/>
      <c r="D52" s="3" t="n"/>
      <c r="E52" s="3" t="n"/>
      <c r="F52" s="3" t="n"/>
      <c r="G52" s="3" t="n"/>
      <c r="H52" s="3" t="n"/>
      <c r="I52" s="3" t="n"/>
      <c r="J52" s="3" t="n"/>
      <c r="K52" s="18">
        <f>IF(AG52&gt;0,"O Google leu como fórmula: escolha de novo ou digite com ' na frente.","")</f>
        <v/>
      </c>
      <c r="N52" s="19">
        <f>N51+IF(LEN($X$52)&gt;0,1,0)</f>
        <v/>
      </c>
      <c r="O52" s="19">
        <f>O51+IF(LEN($Y$52)&gt;0,1,0)</f>
        <v/>
      </c>
      <c r="P52" s="19">
        <f>P51+IF(LEN($Z$52)&gt;0,1,0)</f>
        <v/>
      </c>
      <c r="Q52" s="19">
        <f>Q51+IF(LEN($AA$52)&gt;0,1,0)</f>
        <v/>
      </c>
      <c r="R52" s="19">
        <f>R51+IF(LEN($AB$52)&gt;0,1,0)</f>
        <v/>
      </c>
      <c r="S52" s="19">
        <f>S51+IF(LEN($AC$52)&gt;0,1,0)</f>
        <v/>
      </c>
      <c r="T52" s="19">
        <f>T51+IF(LEN($AD$52)&gt;0,1,0)</f>
        <v/>
      </c>
      <c r="U52" s="19">
        <f>U51+IF(LEN($AE$52)&gt;0,1,0)</f>
        <v/>
      </c>
      <c r="X52" s="19">
        <f>IF(ISERROR($B$52),"",IF(ISBLANK($B$52),"",$B$52))</f>
        <v/>
      </c>
      <c r="Y52" s="19">
        <f>IF(ISERROR($C$52),"",IF(ISBLANK($C$52),"",$C$52))</f>
        <v/>
      </c>
      <c r="Z52" s="19">
        <f>IF(ISERROR($D$52),"",IF(ISBLANK($D$52),"",$D$52))</f>
        <v/>
      </c>
      <c r="AA52" s="19">
        <f>IF(ISERROR($E$52),"",IF(ISBLANK($E$52),"",$E$52))</f>
        <v/>
      </c>
      <c r="AB52" s="19">
        <f>IF(ISERROR($F$52),"",IF(ISBLANK($F$52),"",$F$52))</f>
        <v/>
      </c>
      <c r="AC52" s="19">
        <f>IF(ISERROR($G$52),"",IF(ISBLANK($G$52),"",$G$52))</f>
        <v/>
      </c>
      <c r="AD52" s="19">
        <f>IF(ISERROR($H$52),"",IF(ISBLANK($H$52),"",$H$52))</f>
        <v/>
      </c>
      <c r="AE52" s="19">
        <f>IF(ISERROR($I$52),"",IF(ISBLANK($I$52),"",$I$52))</f>
        <v/>
      </c>
      <c r="AF52" s="19">
        <f>IF(ISERROR($J$52),"",IF(ISBLANK($J$52),"",$J$52))</f>
        <v/>
      </c>
      <c r="AG52" s="19">
        <f>ISERROR($B$52)*1+ISERROR($C$52)*1+ISERROR($D$52)*1+ISERROR($E$52)*1+ISERROR($F$52)*1+ISERROR($G$52)*1+ISERROR($H$52)*1+ISERROR($I$52)*1+ISERROR($J$52)*1</f>
        <v/>
      </c>
    </row>
    <row r="53" ht="15" customHeight="1">
      <c r="B53" s="7" t="inlineStr">
        <is>
          <t>Facções</t>
        </is>
      </c>
      <c r="C53" s="7" t="inlineStr">
        <is>
          <t>Locais</t>
        </is>
      </c>
      <c r="D53" s="7" t="inlineStr">
        <is>
          <t>Ganchos 1-4</t>
        </is>
      </c>
      <c r="E53" s="7" t="inlineStr">
        <is>
          <t>Ganchos 5-8</t>
        </is>
      </c>
      <c r="F53" s="7" t="inlineStr">
        <is>
          <t>Ganchos 9-12</t>
        </is>
      </c>
      <c r="G53" s="7" t="inlineStr">
        <is>
          <t>Ganchos 13-16</t>
        </is>
      </c>
      <c r="H53" s="7" t="inlineStr">
        <is>
          <t>Ganchos 17-20</t>
        </is>
      </c>
      <c r="I53" s="7" t="inlineStr">
        <is>
          <t>Facção ou origem (H8)</t>
        </is>
      </c>
      <c r="J53" s="7" t="inlineStr">
        <is>
          <t>Ambiente (H8)</t>
        </is>
      </c>
      <c r="N53" s="19">
        <f>N52</f>
        <v/>
      </c>
      <c r="O53" s="19">
        <f>O52</f>
        <v/>
      </c>
      <c r="P53" s="19">
        <f>P52</f>
        <v/>
      </c>
      <c r="Q53" s="19">
        <f>Q52</f>
        <v/>
      </c>
      <c r="R53" s="19">
        <f>R52</f>
        <v/>
      </c>
      <c r="S53" s="19">
        <f>S52</f>
        <v/>
      </c>
      <c r="T53" s="19">
        <f>T52</f>
        <v/>
      </c>
      <c r="U53" s="19">
        <f>U52</f>
        <v/>
      </c>
      <c r="X53" s="19">
        <f>IF(ISERROR($B$53),"",IF(ISBLANK($B$53),"",$B$53))</f>
        <v/>
      </c>
      <c r="Y53" s="19">
        <f>IF(ISERROR($C$53),"",IF(ISBLANK($C$53),"",$C$53))</f>
        <v/>
      </c>
      <c r="Z53" s="19">
        <f>IF(ISERROR($D$53),"",IF(ISBLANK($D$53),"",$D$53))</f>
        <v/>
      </c>
      <c r="AA53" s="19">
        <f>IF(ISERROR($E$53),"",IF(ISBLANK($E$53),"",$E$53))</f>
        <v/>
      </c>
      <c r="AB53" s="19">
        <f>IF(ISERROR($F$53),"",IF(ISBLANK($F$53),"",$F$53))</f>
        <v/>
      </c>
      <c r="AC53" s="19">
        <f>IF(ISERROR($G$53),"",IF(ISBLANK($G$53),"",$G$53))</f>
        <v/>
      </c>
      <c r="AD53" s="19">
        <f>IF(ISERROR($H$53),"",IF(ISBLANK($H$53),"",$H$53))</f>
        <v/>
      </c>
      <c r="AE53" s="19">
        <f>IF(ISERROR($I$53),"",IF(ISBLANK($I$53),"",$I$53))</f>
        <v/>
      </c>
      <c r="AF53" s="19">
        <f>IF(ISERROR($J$53),"",IF(ISBLANK($J$53),"",$J$53))</f>
        <v/>
      </c>
    </row>
    <row r="54" ht="26" customHeight="1">
      <c r="B54" s="30" t="n"/>
      <c r="C54" s="3" t="n"/>
      <c r="D54" s="3" t="n"/>
      <c r="E54" s="3" t="n"/>
      <c r="F54" s="3" t="n"/>
      <c r="G54" s="3" t="n"/>
      <c r="H54" s="3" t="n"/>
      <c r="I54" s="3" t="n"/>
      <c r="J54" s="3" t="n"/>
      <c r="K54" s="18">
        <f>IF(AG54&gt;0,"O Google leu como fórmula: escolha de novo ou digite com ' na frente.","")</f>
        <v/>
      </c>
      <c r="N54" s="19">
        <f>N53+IF(LEN($X$54)&gt;0,1,0)</f>
        <v/>
      </c>
      <c r="O54" s="19">
        <f>O53+IF(LEN($Y$54)&gt;0,1,0)</f>
        <v/>
      </c>
      <c r="P54" s="19">
        <f>P53+IF(LEN($Z$54)&gt;0,1,0)</f>
        <v/>
      </c>
      <c r="Q54" s="19">
        <f>Q53+IF(LEN($AA$54)&gt;0,1,0)</f>
        <v/>
      </c>
      <c r="R54" s="19">
        <f>R53+IF(LEN($AB$54)&gt;0,1,0)</f>
        <v/>
      </c>
      <c r="S54" s="19">
        <f>S53+IF(LEN($AC$54)&gt;0,1,0)</f>
        <v/>
      </c>
      <c r="T54" s="19">
        <f>T53+IF(LEN($AD$54)&gt;0,1,0)</f>
        <v/>
      </c>
      <c r="U54" s="19">
        <f>U53+IF(LEN($AE$54)&gt;0,1,0)</f>
        <v/>
      </c>
      <c r="X54" s="19">
        <f>IF(ISERROR($B$54),"",IF(ISBLANK($B$54),"",$B$54))</f>
        <v/>
      </c>
      <c r="Y54" s="19">
        <f>IF(ISERROR($C$54),"",IF(ISBLANK($C$54),"",$C$54))</f>
        <v/>
      </c>
      <c r="Z54" s="19">
        <f>IF(ISERROR($D$54),"",IF(ISBLANK($D$54),"",$D$54))</f>
        <v/>
      </c>
      <c r="AA54" s="19">
        <f>IF(ISERROR($E$54),"",IF(ISBLANK($E$54),"",$E$54))</f>
        <v/>
      </c>
      <c r="AB54" s="19">
        <f>IF(ISERROR($F$54),"",IF(ISBLANK($F$54),"",$F$54))</f>
        <v/>
      </c>
      <c r="AC54" s="19">
        <f>IF(ISERROR($G$54),"",IF(ISBLANK($G$54),"",$G$54))</f>
        <v/>
      </c>
      <c r="AD54" s="19">
        <f>IF(ISERROR($H$54),"",IF(ISBLANK($H$54),"",$H$54))</f>
        <v/>
      </c>
      <c r="AE54" s="19">
        <f>IF(ISERROR($I$54),"",IF(ISBLANK($I$54),"",$I$54))</f>
        <v/>
      </c>
      <c r="AF54" s="19">
        <f>IF(ISERROR($J$54),"",IF(ISBLANK($J$54),"",$J$54))</f>
        <v/>
      </c>
      <c r="AG54" s="19">
        <f>ISERROR($B$54)*1+ISERROR($C$54)*1+ISERROR($D$54)*1+ISERROR($E$54)*1+ISERROR($F$54)*1+ISERROR($G$54)*1+ISERROR($H$54)*1+ISERROR($I$54)*1+ISERROR($J$54)*1</f>
        <v/>
      </c>
    </row>
    <row r="55" ht="26" customHeight="1">
      <c r="B55" s="31" t="n"/>
      <c r="C55" s="28" t="n"/>
      <c r="D55" s="28" t="n"/>
      <c r="E55" s="28" t="n"/>
      <c r="F55" s="28" t="n"/>
      <c r="G55" s="28" t="n"/>
      <c r="H55" s="28" t="n"/>
      <c r="I55" s="28" t="n"/>
      <c r="J55" s="28" t="n"/>
      <c r="K55" s="18">
        <f>IF(AG55&gt;0,"O Google leu como fórmula: escolha de novo ou digite com ' na frente.","")</f>
        <v/>
      </c>
      <c r="N55" s="19">
        <f>N54+IF(LEN($X$55)&gt;0,1,0)</f>
        <v/>
      </c>
      <c r="O55" s="19">
        <f>O54+IF(LEN($Y$55)&gt;0,1,0)</f>
        <v/>
      </c>
      <c r="P55" s="19">
        <f>P54+IF(LEN($Z$55)&gt;0,1,0)</f>
        <v/>
      </c>
      <c r="Q55" s="19">
        <f>Q54+IF(LEN($AA$55)&gt;0,1,0)</f>
        <v/>
      </c>
      <c r="R55" s="19">
        <f>R54+IF(LEN($AB$55)&gt;0,1,0)</f>
        <v/>
      </c>
      <c r="S55" s="19">
        <f>S54+IF(LEN($AC$55)&gt;0,1,0)</f>
        <v/>
      </c>
      <c r="T55" s="19">
        <f>T54+IF(LEN($AD$55)&gt;0,1,0)</f>
        <v/>
      </c>
      <c r="U55" s="19">
        <f>U54+IF(LEN($AE$55)&gt;0,1,0)</f>
        <v/>
      </c>
      <c r="X55" s="19">
        <f>IF(ISERROR($B$55),"",IF(ISBLANK($B$55),"",$B$55))</f>
        <v/>
      </c>
      <c r="Y55" s="19">
        <f>IF(ISERROR($C$55),"",IF(ISBLANK($C$55),"",$C$55))</f>
        <v/>
      </c>
      <c r="Z55" s="19">
        <f>IF(ISERROR($D$55),"",IF(ISBLANK($D$55),"",$D$55))</f>
        <v/>
      </c>
      <c r="AA55" s="19">
        <f>IF(ISERROR($E$55),"",IF(ISBLANK($E$55),"",$E$55))</f>
        <v/>
      </c>
      <c r="AB55" s="19">
        <f>IF(ISERROR($F$55),"",IF(ISBLANK($F$55),"",$F$55))</f>
        <v/>
      </c>
      <c r="AC55" s="19">
        <f>IF(ISERROR($G$55),"",IF(ISBLANK($G$55),"",$G$55))</f>
        <v/>
      </c>
      <c r="AD55" s="19">
        <f>IF(ISERROR($H$55),"",IF(ISBLANK($H$55),"",$H$55))</f>
        <v/>
      </c>
      <c r="AE55" s="19">
        <f>IF(ISERROR($I$55),"",IF(ISBLANK($I$55),"",$I$55))</f>
        <v/>
      </c>
      <c r="AF55" s="19">
        <f>IF(ISERROR($J$55),"",IF(ISBLANK($J$55),"",$J$55))</f>
        <v/>
      </c>
      <c r="AG55" s="19">
        <f>ISERROR($B$55)*1+ISERROR($C$55)*1+ISERROR($D$55)*1+ISERROR($E$55)*1+ISERROR($F$55)*1+ISERROR($G$55)*1+ISERROR($H$55)*1+ISERROR($I$55)*1+ISERROR($J$55)*1</f>
        <v/>
      </c>
    </row>
    <row r="56" ht="26" customHeight="1">
      <c r="B56" s="30" t="n"/>
      <c r="C56" s="3" t="n"/>
      <c r="D56" s="3" t="n"/>
      <c r="E56" s="3" t="n"/>
      <c r="F56" s="3" t="n"/>
      <c r="G56" s="3" t="n"/>
      <c r="H56" s="3" t="n"/>
      <c r="I56" s="3" t="n"/>
      <c r="J56" s="3" t="n"/>
      <c r="K56" s="18">
        <f>IF(AG56&gt;0,"O Google leu como fórmula: escolha de novo ou digite com ' na frente.","")</f>
        <v/>
      </c>
      <c r="N56" s="19">
        <f>N55+IF(LEN($X$56)&gt;0,1,0)</f>
        <v/>
      </c>
      <c r="O56" s="19">
        <f>O55+IF(LEN($Y$56)&gt;0,1,0)</f>
        <v/>
      </c>
      <c r="P56" s="19">
        <f>P55+IF(LEN($Z$56)&gt;0,1,0)</f>
        <v/>
      </c>
      <c r="Q56" s="19">
        <f>Q55+IF(LEN($AA$56)&gt;0,1,0)</f>
        <v/>
      </c>
      <c r="R56" s="19">
        <f>R55+IF(LEN($AB$56)&gt;0,1,0)</f>
        <v/>
      </c>
      <c r="S56" s="19">
        <f>S55+IF(LEN($AC$56)&gt;0,1,0)</f>
        <v/>
      </c>
      <c r="T56" s="19">
        <f>T55+IF(LEN($AD$56)&gt;0,1,0)</f>
        <v/>
      </c>
      <c r="U56" s="19">
        <f>U55+IF(LEN($AE$56)&gt;0,1,0)</f>
        <v/>
      </c>
      <c r="X56" s="19">
        <f>IF(ISERROR($B$56),"",IF(ISBLANK($B$56),"",$B$56))</f>
        <v/>
      </c>
      <c r="Y56" s="19">
        <f>IF(ISERROR($C$56),"",IF(ISBLANK($C$56),"",$C$56))</f>
        <v/>
      </c>
      <c r="Z56" s="19">
        <f>IF(ISERROR($D$56),"",IF(ISBLANK($D$56),"",$D$56))</f>
        <v/>
      </c>
      <c r="AA56" s="19">
        <f>IF(ISERROR($E$56),"",IF(ISBLANK($E$56),"",$E$56))</f>
        <v/>
      </c>
      <c r="AB56" s="19">
        <f>IF(ISERROR($F$56),"",IF(ISBLANK($F$56),"",$F$56))</f>
        <v/>
      </c>
      <c r="AC56" s="19">
        <f>IF(ISERROR($G$56),"",IF(ISBLANK($G$56),"",$G$56))</f>
        <v/>
      </c>
      <c r="AD56" s="19">
        <f>IF(ISERROR($H$56),"",IF(ISBLANK($H$56),"",$H$56))</f>
        <v/>
      </c>
      <c r="AE56" s="19">
        <f>IF(ISERROR($I$56),"",IF(ISBLANK($I$56),"",$I$56))</f>
        <v/>
      </c>
      <c r="AF56" s="19">
        <f>IF(ISERROR($J$56),"",IF(ISBLANK($J$56),"",$J$56))</f>
        <v/>
      </c>
      <c r="AG56" s="19">
        <f>ISERROR($B$56)*1+ISERROR($C$56)*1+ISERROR($D$56)*1+ISERROR($E$56)*1+ISERROR($F$56)*1+ISERROR($G$56)*1+ISERROR($H$56)*1+ISERROR($I$56)*1+ISERROR($J$56)*1</f>
        <v/>
      </c>
    </row>
    <row r="57" ht="26" customHeight="1">
      <c r="B57" s="31" t="n"/>
      <c r="C57" s="28" t="n"/>
      <c r="D57" s="28" t="n"/>
      <c r="E57" s="28" t="n"/>
      <c r="F57" s="28" t="n"/>
      <c r="G57" s="28" t="n"/>
      <c r="H57" s="28" t="n"/>
      <c r="I57" s="28" t="n"/>
      <c r="J57" s="28" t="n"/>
      <c r="K57" s="18">
        <f>IF(AG57&gt;0,"O Google leu como fórmula: escolha de novo ou digite com ' na frente.","")</f>
        <v/>
      </c>
      <c r="N57" s="19">
        <f>N56+IF(LEN($X$57)&gt;0,1,0)</f>
        <v/>
      </c>
      <c r="O57" s="19">
        <f>O56+IF(LEN($Y$57)&gt;0,1,0)</f>
        <v/>
      </c>
      <c r="P57" s="19">
        <f>P56+IF(LEN($Z$57)&gt;0,1,0)</f>
        <v/>
      </c>
      <c r="Q57" s="19">
        <f>Q56+IF(LEN($AA$57)&gt;0,1,0)</f>
        <v/>
      </c>
      <c r="R57" s="19">
        <f>R56+IF(LEN($AB$57)&gt;0,1,0)</f>
        <v/>
      </c>
      <c r="S57" s="19">
        <f>S56+IF(LEN($AC$57)&gt;0,1,0)</f>
        <v/>
      </c>
      <c r="T57" s="19">
        <f>T56+IF(LEN($AD$57)&gt;0,1,0)</f>
        <v/>
      </c>
      <c r="U57" s="19">
        <f>U56+IF(LEN($AE$57)&gt;0,1,0)</f>
        <v/>
      </c>
      <c r="X57" s="19">
        <f>IF(ISERROR($B$57),"",IF(ISBLANK($B$57),"",$B$57))</f>
        <v/>
      </c>
      <c r="Y57" s="19">
        <f>IF(ISERROR($C$57),"",IF(ISBLANK($C$57),"",$C$57))</f>
        <v/>
      </c>
      <c r="Z57" s="19">
        <f>IF(ISERROR($D$57),"",IF(ISBLANK($D$57),"",$D$57))</f>
        <v/>
      </c>
      <c r="AA57" s="19">
        <f>IF(ISERROR($E$57),"",IF(ISBLANK($E$57),"",$E$57))</f>
        <v/>
      </c>
      <c r="AB57" s="19">
        <f>IF(ISERROR($F$57),"",IF(ISBLANK($F$57),"",$F$57))</f>
        <v/>
      </c>
      <c r="AC57" s="19">
        <f>IF(ISERROR($G$57),"",IF(ISBLANK($G$57),"",$G$57))</f>
        <v/>
      </c>
      <c r="AD57" s="19">
        <f>IF(ISERROR($H$57),"",IF(ISBLANK($H$57),"",$H$57))</f>
        <v/>
      </c>
      <c r="AE57" s="19">
        <f>IF(ISERROR($I$57),"",IF(ISBLANK($I$57),"",$I$57))</f>
        <v/>
      </c>
      <c r="AF57" s="19">
        <f>IF(ISERROR($J$57),"",IF(ISBLANK($J$57),"",$J$57))</f>
        <v/>
      </c>
      <c r="AG57" s="19">
        <f>ISERROR($B$57)*1+ISERROR($C$57)*1+ISERROR($D$57)*1+ISERROR($E$57)*1+ISERROR($F$57)*1+ISERROR($G$57)*1+ISERROR($H$57)*1+ISERROR($I$57)*1+ISERROR($J$57)*1</f>
        <v/>
      </c>
    </row>
    <row r="58" ht="26" customHeight="1">
      <c r="B58" s="30" t="n"/>
      <c r="C58" s="3" t="n"/>
      <c r="D58" s="3" t="n"/>
      <c r="E58" s="3" t="n"/>
      <c r="F58" s="3" t="n"/>
      <c r="G58" s="3" t="n"/>
      <c r="H58" s="3" t="n"/>
      <c r="I58" s="3" t="n"/>
      <c r="J58" s="3" t="n"/>
      <c r="K58" s="18">
        <f>IF(AG58&gt;0,"O Google leu como fórmula: escolha de novo ou digite com ' na frente.","")</f>
        <v/>
      </c>
      <c r="N58" s="19">
        <f>N57+IF(LEN($X$58)&gt;0,1,0)</f>
        <v/>
      </c>
      <c r="O58" s="19">
        <f>O57+IF(LEN($Y$58)&gt;0,1,0)</f>
        <v/>
      </c>
      <c r="P58" s="19">
        <f>P57+IF(LEN($Z$58)&gt;0,1,0)</f>
        <v/>
      </c>
      <c r="Q58" s="19">
        <f>Q57+IF(LEN($AA$58)&gt;0,1,0)</f>
        <v/>
      </c>
      <c r="R58" s="19">
        <f>R57+IF(LEN($AB$58)&gt;0,1,0)</f>
        <v/>
      </c>
      <c r="S58" s="19">
        <f>S57+IF(LEN($AC$58)&gt;0,1,0)</f>
        <v/>
      </c>
      <c r="T58" s="19">
        <f>T57+IF(LEN($AD$58)&gt;0,1,0)</f>
        <v/>
      </c>
      <c r="U58" s="19">
        <f>U57+IF(LEN($AE$58)&gt;0,1,0)</f>
        <v/>
      </c>
      <c r="X58" s="19">
        <f>IF(ISERROR($B$58),"",IF(ISBLANK($B$58),"",$B$58))</f>
        <v/>
      </c>
      <c r="Y58" s="19">
        <f>IF(ISERROR($C$58),"",IF(ISBLANK($C$58),"",$C$58))</f>
        <v/>
      </c>
      <c r="Z58" s="19">
        <f>IF(ISERROR($D$58),"",IF(ISBLANK($D$58),"",$D$58))</f>
        <v/>
      </c>
      <c r="AA58" s="19">
        <f>IF(ISERROR($E$58),"",IF(ISBLANK($E$58),"",$E$58))</f>
        <v/>
      </c>
      <c r="AB58" s="19">
        <f>IF(ISERROR($F$58),"",IF(ISBLANK($F$58),"",$F$58))</f>
        <v/>
      </c>
      <c r="AC58" s="19">
        <f>IF(ISERROR($G$58),"",IF(ISBLANK($G$58),"",$G$58))</f>
        <v/>
      </c>
      <c r="AD58" s="19">
        <f>IF(ISERROR($H$58),"",IF(ISBLANK($H$58),"",$H$58))</f>
        <v/>
      </c>
      <c r="AE58" s="19">
        <f>IF(ISERROR($I$58),"",IF(ISBLANK($I$58),"",$I$58))</f>
        <v/>
      </c>
      <c r="AF58" s="19">
        <f>IF(ISERROR($J$58),"",IF(ISBLANK($J$58),"",$J$58))</f>
        <v/>
      </c>
      <c r="AG58" s="19">
        <f>ISERROR($B$58)*1+ISERROR($C$58)*1+ISERROR($D$58)*1+ISERROR($E$58)*1+ISERROR($F$58)*1+ISERROR($G$58)*1+ISERROR($H$58)*1+ISERROR($I$58)*1+ISERROR($J$58)*1</f>
        <v/>
      </c>
    </row>
    <row r="59" ht="26" customHeight="1">
      <c r="B59" s="31" t="n"/>
      <c r="C59" s="28" t="n"/>
      <c r="D59" s="28" t="n"/>
      <c r="E59" s="28" t="n"/>
      <c r="F59" s="28" t="n"/>
      <c r="G59" s="28" t="n"/>
      <c r="H59" s="28" t="n"/>
      <c r="I59" s="28" t="n"/>
      <c r="J59" s="28" t="n"/>
      <c r="K59" s="18">
        <f>IF(AG59&gt;0,"O Google leu como fórmula: escolha de novo ou digite com ' na frente.","")</f>
        <v/>
      </c>
      <c r="N59" s="19">
        <f>N58+IF(LEN($X$59)&gt;0,1,0)</f>
        <v/>
      </c>
      <c r="O59" s="19">
        <f>O58+IF(LEN($Y$59)&gt;0,1,0)</f>
        <v/>
      </c>
      <c r="P59" s="19">
        <f>P58+IF(LEN($Z$59)&gt;0,1,0)</f>
        <v/>
      </c>
      <c r="Q59" s="19">
        <f>Q58+IF(LEN($AA$59)&gt;0,1,0)</f>
        <v/>
      </c>
      <c r="R59" s="19">
        <f>R58+IF(LEN($AB$59)&gt;0,1,0)</f>
        <v/>
      </c>
      <c r="S59" s="19">
        <f>S58+IF(LEN($AC$59)&gt;0,1,0)</f>
        <v/>
      </c>
      <c r="T59" s="19">
        <f>T58+IF(LEN($AD$59)&gt;0,1,0)</f>
        <v/>
      </c>
      <c r="U59" s="19">
        <f>U58+IF(LEN($AE$59)&gt;0,1,0)</f>
        <v/>
      </c>
      <c r="X59" s="19">
        <f>IF(ISERROR($B$59),"",IF(ISBLANK($B$59),"",$B$59))</f>
        <v/>
      </c>
      <c r="Y59" s="19">
        <f>IF(ISERROR($C$59),"",IF(ISBLANK($C$59),"",$C$59))</f>
        <v/>
      </c>
      <c r="Z59" s="19">
        <f>IF(ISERROR($D$59),"",IF(ISBLANK($D$59),"",$D$59))</f>
        <v/>
      </c>
      <c r="AA59" s="19">
        <f>IF(ISERROR($E$59),"",IF(ISBLANK($E$59),"",$E$59))</f>
        <v/>
      </c>
      <c r="AB59" s="19">
        <f>IF(ISERROR($F$59),"",IF(ISBLANK($F$59),"",$F$59))</f>
        <v/>
      </c>
      <c r="AC59" s="19">
        <f>IF(ISERROR($G$59),"",IF(ISBLANK($G$59),"",$G$59))</f>
        <v/>
      </c>
      <c r="AD59" s="19">
        <f>IF(ISERROR($H$59),"",IF(ISBLANK($H$59),"",$H$59))</f>
        <v/>
      </c>
      <c r="AE59" s="19">
        <f>IF(ISERROR($I$59),"",IF(ISBLANK($I$59),"",$I$59))</f>
        <v/>
      </c>
      <c r="AF59" s="19">
        <f>IF(ISERROR($J$59),"",IF(ISBLANK($J$59),"",$J$59))</f>
        <v/>
      </c>
      <c r="AG59" s="19">
        <f>ISERROR($B$59)*1+ISERROR($C$59)*1+ISERROR($D$59)*1+ISERROR($E$59)*1+ISERROR($F$59)*1+ISERROR($G$59)*1+ISERROR($H$59)*1+ISERROR($I$59)*1+ISERROR($J$59)*1</f>
        <v/>
      </c>
    </row>
    <row r="60" ht="26" customHeight="1">
      <c r="B60" s="30" t="n"/>
      <c r="C60" s="3" t="n"/>
      <c r="D60" s="3" t="n"/>
      <c r="E60" s="3" t="n"/>
      <c r="F60" s="3" t="n"/>
      <c r="G60" s="3" t="n"/>
      <c r="H60" s="3" t="n"/>
      <c r="I60" s="3" t="n"/>
      <c r="J60" s="3" t="n"/>
      <c r="K60" s="18">
        <f>IF(AG60&gt;0,"O Google leu como fórmula: escolha de novo ou digite com ' na frente.","")</f>
        <v/>
      </c>
      <c r="N60" s="19">
        <f>N59+IF(LEN($X$60)&gt;0,1,0)</f>
        <v/>
      </c>
      <c r="O60" s="19">
        <f>O59+IF(LEN($Y$60)&gt;0,1,0)</f>
        <v/>
      </c>
      <c r="P60" s="19">
        <f>P59+IF(LEN($Z$60)&gt;0,1,0)</f>
        <v/>
      </c>
      <c r="Q60" s="19">
        <f>Q59+IF(LEN($AA$60)&gt;0,1,0)</f>
        <v/>
      </c>
      <c r="R60" s="19">
        <f>R59+IF(LEN($AB$60)&gt;0,1,0)</f>
        <v/>
      </c>
      <c r="S60" s="19">
        <f>S59+IF(LEN($AC$60)&gt;0,1,0)</f>
        <v/>
      </c>
      <c r="T60" s="19">
        <f>T59+IF(LEN($AD$60)&gt;0,1,0)</f>
        <v/>
      </c>
      <c r="U60" s="19">
        <f>U59+IF(LEN($AE$60)&gt;0,1,0)</f>
        <v/>
      </c>
      <c r="X60" s="19">
        <f>IF(ISERROR($B$60),"",IF(ISBLANK($B$60),"",$B$60))</f>
        <v/>
      </c>
      <c r="Y60" s="19">
        <f>IF(ISERROR($C$60),"",IF(ISBLANK($C$60),"",$C$60))</f>
        <v/>
      </c>
      <c r="Z60" s="19">
        <f>IF(ISERROR($D$60),"",IF(ISBLANK($D$60),"",$D$60))</f>
        <v/>
      </c>
      <c r="AA60" s="19">
        <f>IF(ISERROR($E$60),"",IF(ISBLANK($E$60),"",$E$60))</f>
        <v/>
      </c>
      <c r="AB60" s="19">
        <f>IF(ISERROR($F$60),"",IF(ISBLANK($F$60),"",$F$60))</f>
        <v/>
      </c>
      <c r="AC60" s="19">
        <f>IF(ISERROR($G$60),"",IF(ISBLANK($G$60),"",$G$60))</f>
        <v/>
      </c>
      <c r="AD60" s="19">
        <f>IF(ISERROR($H$60),"",IF(ISBLANK($H$60),"",$H$60))</f>
        <v/>
      </c>
      <c r="AE60" s="19">
        <f>IF(ISERROR($I$60),"",IF(ISBLANK($I$60),"",$I$60))</f>
        <v/>
      </c>
      <c r="AF60" s="19">
        <f>IF(ISERROR($J$60),"",IF(ISBLANK($J$60),"",$J$60))</f>
        <v/>
      </c>
      <c r="AG60" s="19">
        <f>ISERROR($B$60)*1+ISERROR($C$60)*1+ISERROR($D$60)*1+ISERROR($E$60)*1+ISERROR($F$60)*1+ISERROR($G$60)*1+ISERROR($H$60)*1+ISERROR($I$60)*1+ISERROR($J$60)*1</f>
        <v/>
      </c>
    </row>
    <row r="61" ht="26" customHeight="1">
      <c r="B61" s="31" t="n"/>
      <c r="C61" s="28" t="n"/>
      <c r="D61" s="28" t="n"/>
      <c r="E61" s="28" t="n"/>
      <c r="F61" s="28" t="n"/>
      <c r="G61" s="28" t="n"/>
      <c r="H61" s="28" t="n"/>
      <c r="I61" s="28" t="n"/>
      <c r="J61" s="28" t="n"/>
      <c r="K61" s="18">
        <f>IF(AG61&gt;0,"O Google leu como fórmula: escolha de novo ou digite com ' na frente.","")</f>
        <v/>
      </c>
      <c r="N61" s="19">
        <f>N60+IF(LEN($X$61)&gt;0,1,0)</f>
        <v/>
      </c>
      <c r="O61" s="19">
        <f>O60+IF(LEN($Y$61)&gt;0,1,0)</f>
        <v/>
      </c>
      <c r="P61" s="19">
        <f>P60+IF(LEN($Z$61)&gt;0,1,0)</f>
        <v/>
      </c>
      <c r="Q61" s="19">
        <f>Q60+IF(LEN($AA$61)&gt;0,1,0)</f>
        <v/>
      </c>
      <c r="R61" s="19">
        <f>R60+IF(LEN($AB$61)&gt;0,1,0)</f>
        <v/>
      </c>
      <c r="S61" s="19">
        <f>S60+IF(LEN($AC$61)&gt;0,1,0)</f>
        <v/>
      </c>
      <c r="T61" s="19">
        <f>T60+IF(LEN($AD$61)&gt;0,1,0)</f>
        <v/>
      </c>
      <c r="U61" s="19">
        <f>U60+IF(LEN($AE$61)&gt;0,1,0)</f>
        <v/>
      </c>
      <c r="X61" s="19">
        <f>IF(ISERROR($B$61),"",IF(ISBLANK($B$61),"",$B$61))</f>
        <v/>
      </c>
      <c r="Y61" s="19">
        <f>IF(ISERROR($C$61),"",IF(ISBLANK($C$61),"",$C$61))</f>
        <v/>
      </c>
      <c r="Z61" s="19">
        <f>IF(ISERROR($D$61),"",IF(ISBLANK($D$61),"",$D$61))</f>
        <v/>
      </c>
      <c r="AA61" s="19">
        <f>IF(ISERROR($E$61),"",IF(ISBLANK($E$61),"",$E$61))</f>
        <v/>
      </c>
      <c r="AB61" s="19">
        <f>IF(ISERROR($F$61),"",IF(ISBLANK($F$61),"",$F$61))</f>
        <v/>
      </c>
      <c r="AC61" s="19">
        <f>IF(ISERROR($G$61),"",IF(ISBLANK($G$61),"",$G$61))</f>
        <v/>
      </c>
      <c r="AD61" s="19">
        <f>IF(ISERROR($H$61),"",IF(ISBLANK($H$61),"",$H$61))</f>
        <v/>
      </c>
      <c r="AE61" s="19">
        <f>IF(ISERROR($I$61),"",IF(ISBLANK($I$61),"",$I$61))</f>
        <v/>
      </c>
      <c r="AF61" s="19">
        <f>IF(ISERROR($J$61),"",IF(ISBLANK($J$61),"",$J$61))</f>
        <v/>
      </c>
      <c r="AG61" s="19">
        <f>ISERROR($B$61)*1+ISERROR($C$61)*1+ISERROR($D$61)*1+ISERROR($E$61)*1+ISERROR($F$61)*1+ISERROR($G$61)*1+ISERROR($H$61)*1+ISERROR($I$61)*1+ISERROR($J$61)*1</f>
        <v/>
      </c>
    </row>
    <row r="62" ht="26" customHeight="1">
      <c r="B62" s="30" t="n"/>
      <c r="C62" s="3" t="n"/>
      <c r="D62" s="3" t="n"/>
      <c r="E62" s="3" t="n"/>
      <c r="F62" s="3" t="n"/>
      <c r="G62" s="3" t="n"/>
      <c r="H62" s="3" t="n"/>
      <c r="I62" s="3" t="n"/>
      <c r="J62" s="3" t="n"/>
      <c r="K62" s="18">
        <f>IF(AG62&gt;0,"O Google leu como fórmula: escolha de novo ou digite com ' na frente.","")</f>
        <v/>
      </c>
      <c r="N62" s="19">
        <f>N61+IF(LEN($X$62)&gt;0,1,0)</f>
        <v/>
      </c>
      <c r="O62" s="19">
        <f>O61+IF(LEN($Y$62)&gt;0,1,0)</f>
        <v/>
      </c>
      <c r="P62" s="19">
        <f>P61+IF(LEN($Z$62)&gt;0,1,0)</f>
        <v/>
      </c>
      <c r="Q62" s="19">
        <f>Q61+IF(LEN($AA$62)&gt;0,1,0)</f>
        <v/>
      </c>
      <c r="R62" s="19">
        <f>R61+IF(LEN($AB$62)&gt;0,1,0)</f>
        <v/>
      </c>
      <c r="S62" s="19">
        <f>S61+IF(LEN($AC$62)&gt;0,1,0)</f>
        <v/>
      </c>
      <c r="T62" s="19">
        <f>T61+IF(LEN($AD$62)&gt;0,1,0)</f>
        <v/>
      </c>
      <c r="U62" s="19">
        <f>U61+IF(LEN($AE$62)&gt;0,1,0)</f>
        <v/>
      </c>
      <c r="X62" s="19">
        <f>IF(ISERROR($B$62),"",IF(ISBLANK($B$62),"",$B$62))</f>
        <v/>
      </c>
      <c r="Y62" s="19">
        <f>IF(ISERROR($C$62),"",IF(ISBLANK($C$62),"",$C$62))</f>
        <v/>
      </c>
      <c r="Z62" s="19">
        <f>IF(ISERROR($D$62),"",IF(ISBLANK($D$62),"",$D$62))</f>
        <v/>
      </c>
      <c r="AA62" s="19">
        <f>IF(ISERROR($E$62),"",IF(ISBLANK($E$62),"",$E$62))</f>
        <v/>
      </c>
      <c r="AB62" s="19">
        <f>IF(ISERROR($F$62),"",IF(ISBLANK($F$62),"",$F$62))</f>
        <v/>
      </c>
      <c r="AC62" s="19">
        <f>IF(ISERROR($G$62),"",IF(ISBLANK($G$62),"",$G$62))</f>
        <v/>
      </c>
      <c r="AD62" s="19">
        <f>IF(ISERROR($H$62),"",IF(ISBLANK($H$62),"",$H$62))</f>
        <v/>
      </c>
      <c r="AE62" s="19">
        <f>IF(ISERROR($I$62),"",IF(ISBLANK($I$62),"",$I$62))</f>
        <v/>
      </c>
      <c r="AF62" s="19">
        <f>IF(ISERROR($J$62),"",IF(ISBLANK($J$62),"",$J$62))</f>
        <v/>
      </c>
      <c r="AG62" s="19">
        <f>ISERROR($B$62)*1+ISERROR($C$62)*1+ISERROR($D$62)*1+ISERROR($E$62)*1+ISERROR($F$62)*1+ISERROR($G$62)*1+ISERROR($H$62)*1+ISERROR($I$62)*1+ISERROR($J$62)*1</f>
        <v/>
      </c>
    </row>
    <row r="63" ht="26" customHeight="1">
      <c r="B63" s="31" t="n"/>
      <c r="C63" s="28" t="n"/>
      <c r="D63" s="28" t="n"/>
      <c r="E63" s="28" t="n"/>
      <c r="F63" s="28" t="n"/>
      <c r="G63" s="28" t="n"/>
      <c r="H63" s="28" t="n"/>
      <c r="I63" s="28" t="n"/>
      <c r="J63" s="28" t="n"/>
      <c r="K63" s="18">
        <f>IF(AG63&gt;0,"O Google leu como fórmula: escolha de novo ou digite com ' na frente.","")</f>
        <v/>
      </c>
      <c r="N63" s="19">
        <f>N62+IF(LEN($X$63)&gt;0,1,0)</f>
        <v/>
      </c>
      <c r="O63" s="19">
        <f>O62+IF(LEN($Y$63)&gt;0,1,0)</f>
        <v/>
      </c>
      <c r="P63" s="19">
        <f>P62+IF(LEN($Z$63)&gt;0,1,0)</f>
        <v/>
      </c>
      <c r="Q63" s="19">
        <f>Q62+IF(LEN($AA$63)&gt;0,1,0)</f>
        <v/>
      </c>
      <c r="R63" s="19">
        <f>R62+IF(LEN($AB$63)&gt;0,1,0)</f>
        <v/>
      </c>
      <c r="S63" s="19">
        <f>S62+IF(LEN($AC$63)&gt;0,1,0)</f>
        <v/>
      </c>
      <c r="T63" s="19">
        <f>T62+IF(LEN($AD$63)&gt;0,1,0)</f>
        <v/>
      </c>
      <c r="U63" s="19">
        <f>U62+IF(LEN($AE$63)&gt;0,1,0)</f>
        <v/>
      </c>
      <c r="X63" s="19">
        <f>IF(ISERROR($B$63),"",IF(ISBLANK($B$63),"",$B$63))</f>
        <v/>
      </c>
      <c r="Y63" s="19">
        <f>IF(ISERROR($C$63),"",IF(ISBLANK($C$63),"",$C$63))</f>
        <v/>
      </c>
      <c r="Z63" s="19">
        <f>IF(ISERROR($D$63),"",IF(ISBLANK($D$63),"",$D$63))</f>
        <v/>
      </c>
      <c r="AA63" s="19">
        <f>IF(ISERROR($E$63),"",IF(ISBLANK($E$63),"",$E$63))</f>
        <v/>
      </c>
      <c r="AB63" s="19">
        <f>IF(ISERROR($F$63),"",IF(ISBLANK($F$63),"",$F$63))</f>
        <v/>
      </c>
      <c r="AC63" s="19">
        <f>IF(ISERROR($G$63),"",IF(ISBLANK($G$63),"",$G$63))</f>
        <v/>
      </c>
      <c r="AD63" s="19">
        <f>IF(ISERROR($H$63),"",IF(ISBLANK($H$63),"",$H$63))</f>
        <v/>
      </c>
      <c r="AE63" s="19">
        <f>IF(ISERROR($I$63),"",IF(ISBLANK($I$63),"",$I$63))</f>
        <v/>
      </c>
      <c r="AF63" s="19">
        <f>IF(ISERROR($J$63),"",IF(ISBLANK($J$63),"",$J$63))</f>
        <v/>
      </c>
      <c r="AG63" s="19">
        <f>ISERROR($B$63)*1+ISERROR($C$63)*1+ISERROR($D$63)*1+ISERROR($E$63)*1+ISERROR($F$63)*1+ISERROR($G$63)*1+ISERROR($H$63)*1+ISERROR($I$63)*1+ISERROR($J$63)*1</f>
        <v/>
      </c>
    </row>
    <row r="64" ht="26" customHeight="1">
      <c r="B64" s="30" t="n"/>
      <c r="C64" s="3" t="n"/>
      <c r="D64" s="3" t="n"/>
      <c r="E64" s="3" t="n"/>
      <c r="F64" s="3" t="n"/>
      <c r="G64" s="3" t="n"/>
      <c r="H64" s="3" t="n"/>
      <c r="I64" s="3" t="n"/>
      <c r="J64" s="3" t="n"/>
      <c r="K64" s="18">
        <f>IF(AG64&gt;0,"O Google leu como fórmula: escolha de novo ou digite com ' na frente.","")</f>
        <v/>
      </c>
      <c r="N64" s="19">
        <f>N63+IF(LEN($X$64)&gt;0,1,0)</f>
        <v/>
      </c>
      <c r="O64" s="19">
        <f>O63+IF(LEN($Y$64)&gt;0,1,0)</f>
        <v/>
      </c>
      <c r="P64" s="19">
        <f>P63+IF(LEN($Z$64)&gt;0,1,0)</f>
        <v/>
      </c>
      <c r="Q64" s="19">
        <f>Q63+IF(LEN($AA$64)&gt;0,1,0)</f>
        <v/>
      </c>
      <c r="R64" s="19">
        <f>R63+IF(LEN($AB$64)&gt;0,1,0)</f>
        <v/>
      </c>
      <c r="S64" s="19">
        <f>S63+IF(LEN($AC$64)&gt;0,1,0)</f>
        <v/>
      </c>
      <c r="T64" s="19">
        <f>T63+IF(LEN($AD$64)&gt;0,1,0)</f>
        <v/>
      </c>
      <c r="U64" s="19">
        <f>U63+IF(LEN($AE$64)&gt;0,1,0)</f>
        <v/>
      </c>
      <c r="X64" s="19">
        <f>IF(ISERROR($B$64),"",IF(ISBLANK($B$64),"",$B$64))</f>
        <v/>
      </c>
      <c r="Y64" s="19">
        <f>IF(ISERROR($C$64),"",IF(ISBLANK($C$64),"",$C$64))</f>
        <v/>
      </c>
      <c r="Z64" s="19">
        <f>IF(ISERROR($D$64),"",IF(ISBLANK($D$64),"",$D$64))</f>
        <v/>
      </c>
      <c r="AA64" s="19">
        <f>IF(ISERROR($E$64),"",IF(ISBLANK($E$64),"",$E$64))</f>
        <v/>
      </c>
      <c r="AB64" s="19">
        <f>IF(ISERROR($F$64),"",IF(ISBLANK($F$64),"",$F$64))</f>
        <v/>
      </c>
      <c r="AC64" s="19">
        <f>IF(ISERROR($G$64),"",IF(ISBLANK($G$64),"",$G$64))</f>
        <v/>
      </c>
      <c r="AD64" s="19">
        <f>IF(ISERROR($H$64),"",IF(ISBLANK($H$64),"",$H$64))</f>
        <v/>
      </c>
      <c r="AE64" s="19">
        <f>IF(ISERROR($I$64),"",IF(ISBLANK($I$64),"",$I$64))</f>
        <v/>
      </c>
      <c r="AF64" s="19">
        <f>IF(ISERROR($J$64),"",IF(ISBLANK($J$64),"",$J$64))</f>
        <v/>
      </c>
      <c r="AG64" s="19">
        <f>ISERROR($B$64)*1+ISERROR($C$64)*1+ISERROR($D$64)*1+ISERROR($E$64)*1+ISERROR($F$64)*1+ISERROR($G$64)*1+ISERROR($H$64)*1+ISERROR($I$64)*1+ISERROR($J$64)*1</f>
        <v/>
      </c>
    </row>
    <row r="65" ht="26" customHeight="1">
      <c r="B65" s="31" t="n"/>
      <c r="C65" s="28" t="n"/>
      <c r="D65" s="28" t="n"/>
      <c r="E65" s="28" t="n"/>
      <c r="F65" s="28" t="n"/>
      <c r="G65" s="28" t="n"/>
      <c r="H65" s="28" t="n"/>
      <c r="I65" s="28" t="n"/>
      <c r="J65" s="28" t="n"/>
      <c r="K65" s="18">
        <f>IF(AG65&gt;0,"O Google leu como fórmula: escolha de novo ou digite com ' na frente.","")</f>
        <v/>
      </c>
      <c r="N65" s="19">
        <f>N64+IF(LEN($X$65)&gt;0,1,0)</f>
        <v/>
      </c>
      <c r="O65" s="19">
        <f>O64+IF(LEN($Y$65)&gt;0,1,0)</f>
        <v/>
      </c>
      <c r="P65" s="19">
        <f>P64+IF(LEN($Z$65)&gt;0,1,0)</f>
        <v/>
      </c>
      <c r="Q65" s="19">
        <f>Q64+IF(LEN($AA$65)&gt;0,1,0)</f>
        <v/>
      </c>
      <c r="R65" s="19">
        <f>R64+IF(LEN($AB$65)&gt;0,1,0)</f>
        <v/>
      </c>
      <c r="S65" s="19">
        <f>S64+IF(LEN($AC$65)&gt;0,1,0)</f>
        <v/>
      </c>
      <c r="T65" s="19">
        <f>T64+IF(LEN($AD$65)&gt;0,1,0)</f>
        <v/>
      </c>
      <c r="U65" s="19">
        <f>U64+IF(LEN($AE$65)&gt;0,1,0)</f>
        <v/>
      </c>
      <c r="X65" s="19">
        <f>IF(ISERROR($B$65),"",IF(ISBLANK($B$65),"",$B$65))</f>
        <v/>
      </c>
      <c r="Y65" s="19">
        <f>IF(ISERROR($C$65),"",IF(ISBLANK($C$65),"",$C$65))</f>
        <v/>
      </c>
      <c r="Z65" s="19">
        <f>IF(ISERROR($D$65),"",IF(ISBLANK($D$65),"",$D$65))</f>
        <v/>
      </c>
      <c r="AA65" s="19">
        <f>IF(ISERROR($E$65),"",IF(ISBLANK($E$65),"",$E$65))</f>
        <v/>
      </c>
      <c r="AB65" s="19">
        <f>IF(ISERROR($F$65),"",IF(ISBLANK($F$65),"",$F$65))</f>
        <v/>
      </c>
      <c r="AC65" s="19">
        <f>IF(ISERROR($G$65),"",IF(ISBLANK($G$65),"",$G$65))</f>
        <v/>
      </c>
      <c r="AD65" s="19">
        <f>IF(ISERROR($H$65),"",IF(ISBLANK($H$65),"",$H$65))</f>
        <v/>
      </c>
      <c r="AE65" s="19">
        <f>IF(ISERROR($I$65),"",IF(ISBLANK($I$65),"",$I$65))</f>
        <v/>
      </c>
      <c r="AF65" s="19">
        <f>IF(ISERROR($J$65),"",IF(ISBLANK($J$65),"",$J$65))</f>
        <v/>
      </c>
      <c r="AG65" s="19">
        <f>ISERROR($B$65)*1+ISERROR($C$65)*1+ISERROR($D$65)*1+ISERROR($E$65)*1+ISERROR($F$65)*1+ISERROR($G$65)*1+ISERROR($H$65)*1+ISERROR($I$65)*1+ISERROR($J$65)*1</f>
        <v/>
      </c>
    </row>
    <row r="66" ht="26" customHeight="1">
      <c r="B66" s="30" t="n"/>
      <c r="C66" s="3" t="n"/>
      <c r="D66" s="3" t="n"/>
      <c r="E66" s="3" t="n"/>
      <c r="F66" s="3" t="n"/>
      <c r="G66" s="3" t="n"/>
      <c r="H66" s="3" t="n"/>
      <c r="I66" s="3" t="n"/>
      <c r="J66" s="3" t="n"/>
      <c r="K66" s="18">
        <f>IF(AG66&gt;0,"O Google leu como fórmula: escolha de novo ou digite com ' na frente.","")</f>
        <v/>
      </c>
      <c r="N66" s="19">
        <f>N65+IF(LEN($X$66)&gt;0,1,0)</f>
        <v/>
      </c>
      <c r="O66" s="19">
        <f>O65+IF(LEN($Y$66)&gt;0,1,0)</f>
        <v/>
      </c>
      <c r="P66" s="19">
        <f>P65+IF(LEN($Z$66)&gt;0,1,0)</f>
        <v/>
      </c>
      <c r="Q66" s="19">
        <f>Q65+IF(LEN($AA$66)&gt;0,1,0)</f>
        <v/>
      </c>
      <c r="R66" s="19">
        <f>R65+IF(LEN($AB$66)&gt;0,1,0)</f>
        <v/>
      </c>
      <c r="S66" s="19">
        <f>S65+IF(LEN($AC$66)&gt;0,1,0)</f>
        <v/>
      </c>
      <c r="T66" s="19">
        <f>T65+IF(LEN($AD$66)&gt;0,1,0)</f>
        <v/>
      </c>
      <c r="U66" s="19">
        <f>U65+IF(LEN($AE$66)&gt;0,1,0)</f>
        <v/>
      </c>
      <c r="X66" s="19">
        <f>IF(ISERROR($B$66),"",IF(ISBLANK($B$66),"",$B$66))</f>
        <v/>
      </c>
      <c r="Y66" s="19">
        <f>IF(ISERROR($C$66),"",IF(ISBLANK($C$66),"",$C$66))</f>
        <v/>
      </c>
      <c r="Z66" s="19">
        <f>IF(ISERROR($D$66),"",IF(ISBLANK($D$66),"",$D$66))</f>
        <v/>
      </c>
      <c r="AA66" s="19">
        <f>IF(ISERROR($E$66),"",IF(ISBLANK($E$66),"",$E$66))</f>
        <v/>
      </c>
      <c r="AB66" s="19">
        <f>IF(ISERROR($F$66),"",IF(ISBLANK($F$66),"",$F$66))</f>
        <v/>
      </c>
      <c r="AC66" s="19">
        <f>IF(ISERROR($G$66),"",IF(ISBLANK($G$66),"",$G$66))</f>
        <v/>
      </c>
      <c r="AD66" s="19">
        <f>IF(ISERROR($H$66),"",IF(ISBLANK($H$66),"",$H$66))</f>
        <v/>
      </c>
      <c r="AE66" s="19">
        <f>IF(ISERROR($I$66),"",IF(ISBLANK($I$66),"",$I$66))</f>
        <v/>
      </c>
      <c r="AF66" s="19">
        <f>IF(ISERROR($J$66),"",IF(ISBLANK($J$66),"",$J$66))</f>
        <v/>
      </c>
      <c r="AG66" s="19">
        <f>ISERROR($B$66)*1+ISERROR($C$66)*1+ISERROR($D$66)*1+ISERROR($E$66)*1+ISERROR($F$66)*1+ISERROR($G$66)*1+ISERROR($H$66)*1+ISERROR($I$66)*1+ISERROR($J$66)*1</f>
        <v/>
      </c>
    </row>
    <row r="67" ht="15" customHeight="1">
      <c r="B67" s="7" t="inlineStr">
        <is>
          <t>Facções</t>
        </is>
      </c>
      <c r="C67" s="7" t="inlineStr">
        <is>
          <t>Locais</t>
        </is>
      </c>
      <c r="D67" s="7" t="inlineStr">
        <is>
          <t>Ganchos 1-4</t>
        </is>
      </c>
      <c r="E67" s="7" t="inlineStr">
        <is>
          <t>Ganchos 5-8</t>
        </is>
      </c>
      <c r="F67" s="7" t="inlineStr">
        <is>
          <t>Ganchos 9-12</t>
        </is>
      </c>
      <c r="G67" s="7" t="inlineStr">
        <is>
          <t>Ganchos 13-16</t>
        </is>
      </c>
      <c r="H67" s="7" t="inlineStr">
        <is>
          <t>Ganchos 17-20</t>
        </is>
      </c>
      <c r="I67" s="7" t="inlineStr">
        <is>
          <t>Facção ou origem (H8)</t>
        </is>
      </c>
      <c r="J67" s="7" t="inlineStr">
        <is>
          <t>Ambiente (H8)</t>
        </is>
      </c>
      <c r="N67" s="19">
        <f>N66</f>
        <v/>
      </c>
      <c r="O67" s="19">
        <f>O66</f>
        <v/>
      </c>
      <c r="P67" s="19">
        <f>P66</f>
        <v/>
      </c>
      <c r="Q67" s="19">
        <f>Q66</f>
        <v/>
      </c>
      <c r="R67" s="19">
        <f>R66</f>
        <v/>
      </c>
      <c r="S67" s="19">
        <f>S66</f>
        <v/>
      </c>
      <c r="T67" s="19">
        <f>T66</f>
        <v/>
      </c>
      <c r="U67" s="19">
        <f>U66</f>
        <v/>
      </c>
      <c r="X67" s="19">
        <f>IF(ISERROR($B$67),"",IF(ISBLANK($B$67),"",$B$67))</f>
        <v/>
      </c>
      <c r="Y67" s="19">
        <f>IF(ISERROR($C$67),"",IF(ISBLANK($C$67),"",$C$67))</f>
        <v/>
      </c>
      <c r="Z67" s="19">
        <f>IF(ISERROR($D$67),"",IF(ISBLANK($D$67),"",$D$67))</f>
        <v/>
      </c>
      <c r="AA67" s="19">
        <f>IF(ISERROR($E$67),"",IF(ISBLANK($E$67),"",$E$67))</f>
        <v/>
      </c>
      <c r="AB67" s="19">
        <f>IF(ISERROR($F$67),"",IF(ISBLANK($F$67),"",$F$67))</f>
        <v/>
      </c>
      <c r="AC67" s="19">
        <f>IF(ISERROR($G$67),"",IF(ISBLANK($G$67),"",$G$67))</f>
        <v/>
      </c>
      <c r="AD67" s="19">
        <f>IF(ISERROR($H$67),"",IF(ISBLANK($H$67),"",$H$67))</f>
        <v/>
      </c>
      <c r="AE67" s="19">
        <f>IF(ISERROR($I$67),"",IF(ISBLANK($I$67),"",$I$67))</f>
        <v/>
      </c>
      <c r="AF67" s="19">
        <f>IF(ISERROR($J$67),"",IF(ISBLANK($J$67),"",$J$67))</f>
        <v/>
      </c>
    </row>
    <row r="68" ht="26" customHeight="1">
      <c r="B68" s="30" t="n"/>
      <c r="C68" s="3" t="n"/>
      <c r="D68" s="3" t="n"/>
      <c r="E68" s="3" t="n"/>
      <c r="F68" s="3" t="n"/>
      <c r="G68" s="3" t="n"/>
      <c r="H68" s="3" t="n"/>
      <c r="I68" s="3" t="n"/>
      <c r="J68" s="3" t="n"/>
      <c r="K68" s="18">
        <f>IF(AG68&gt;0,"O Google leu como fórmula: escolha de novo ou digite com ' na frente.","")</f>
        <v/>
      </c>
      <c r="N68" s="19">
        <f>N67+IF(LEN($X$68)&gt;0,1,0)</f>
        <v/>
      </c>
      <c r="O68" s="19">
        <f>O67+IF(LEN($Y$68)&gt;0,1,0)</f>
        <v/>
      </c>
      <c r="P68" s="19">
        <f>P67+IF(LEN($Z$68)&gt;0,1,0)</f>
        <v/>
      </c>
      <c r="Q68" s="19">
        <f>Q67+IF(LEN($AA$68)&gt;0,1,0)</f>
        <v/>
      </c>
      <c r="R68" s="19">
        <f>R67+IF(LEN($AB$68)&gt;0,1,0)</f>
        <v/>
      </c>
      <c r="S68" s="19">
        <f>S67+IF(LEN($AC$68)&gt;0,1,0)</f>
        <v/>
      </c>
      <c r="T68" s="19">
        <f>T67+IF(LEN($AD$68)&gt;0,1,0)</f>
        <v/>
      </c>
      <c r="U68" s="19">
        <f>U67+IF(LEN($AE$68)&gt;0,1,0)</f>
        <v/>
      </c>
      <c r="X68" s="19">
        <f>IF(ISERROR($B$68),"",IF(ISBLANK($B$68),"",$B$68))</f>
        <v/>
      </c>
      <c r="Y68" s="19">
        <f>IF(ISERROR($C$68),"",IF(ISBLANK($C$68),"",$C$68))</f>
        <v/>
      </c>
      <c r="Z68" s="19">
        <f>IF(ISERROR($D$68),"",IF(ISBLANK($D$68),"",$D$68))</f>
        <v/>
      </c>
      <c r="AA68" s="19">
        <f>IF(ISERROR($E$68),"",IF(ISBLANK($E$68),"",$E$68))</f>
        <v/>
      </c>
      <c r="AB68" s="19">
        <f>IF(ISERROR($F$68),"",IF(ISBLANK($F$68),"",$F$68))</f>
        <v/>
      </c>
      <c r="AC68" s="19">
        <f>IF(ISERROR($G$68),"",IF(ISBLANK($G$68),"",$G$68))</f>
        <v/>
      </c>
      <c r="AD68" s="19">
        <f>IF(ISERROR($H$68),"",IF(ISBLANK($H$68),"",$H$68))</f>
        <v/>
      </c>
      <c r="AE68" s="19">
        <f>IF(ISERROR($I$68),"",IF(ISBLANK($I$68),"",$I$68))</f>
        <v/>
      </c>
      <c r="AF68" s="19">
        <f>IF(ISERROR($J$68),"",IF(ISBLANK($J$68),"",$J$68))</f>
        <v/>
      </c>
      <c r="AG68" s="19">
        <f>ISERROR($B$68)*1+ISERROR($C$68)*1+ISERROR($D$68)*1+ISERROR($E$68)*1+ISERROR($F$68)*1+ISERROR($G$68)*1+ISERROR($H$68)*1+ISERROR($I$68)*1+ISERROR($J$68)*1</f>
        <v/>
      </c>
    </row>
    <row r="69" ht="26" customHeight="1">
      <c r="B69" s="31" t="n"/>
      <c r="C69" s="28" t="n"/>
      <c r="D69" s="28" t="n"/>
      <c r="E69" s="28" t="n"/>
      <c r="F69" s="28" t="n"/>
      <c r="G69" s="28" t="n"/>
      <c r="H69" s="28" t="n"/>
      <c r="I69" s="28" t="n"/>
      <c r="J69" s="28" t="n"/>
      <c r="K69" s="18">
        <f>IF(AG69&gt;0,"O Google leu como fórmula: escolha de novo ou digite com ' na frente.","")</f>
        <v/>
      </c>
      <c r="N69" s="19">
        <f>N68+IF(LEN($X$69)&gt;0,1,0)</f>
        <v/>
      </c>
      <c r="O69" s="19">
        <f>O68+IF(LEN($Y$69)&gt;0,1,0)</f>
        <v/>
      </c>
      <c r="P69" s="19">
        <f>P68+IF(LEN($Z$69)&gt;0,1,0)</f>
        <v/>
      </c>
      <c r="Q69" s="19">
        <f>Q68+IF(LEN($AA$69)&gt;0,1,0)</f>
        <v/>
      </c>
      <c r="R69" s="19">
        <f>R68+IF(LEN($AB$69)&gt;0,1,0)</f>
        <v/>
      </c>
      <c r="S69" s="19">
        <f>S68+IF(LEN($AC$69)&gt;0,1,0)</f>
        <v/>
      </c>
      <c r="T69" s="19">
        <f>T68+IF(LEN($AD$69)&gt;0,1,0)</f>
        <v/>
      </c>
      <c r="U69" s="19">
        <f>U68+IF(LEN($AE$69)&gt;0,1,0)</f>
        <v/>
      </c>
      <c r="X69" s="19">
        <f>IF(ISERROR($B$69),"",IF(ISBLANK($B$69),"",$B$69))</f>
        <v/>
      </c>
      <c r="Y69" s="19">
        <f>IF(ISERROR($C$69),"",IF(ISBLANK($C$69),"",$C$69))</f>
        <v/>
      </c>
      <c r="Z69" s="19">
        <f>IF(ISERROR($D$69),"",IF(ISBLANK($D$69),"",$D$69))</f>
        <v/>
      </c>
      <c r="AA69" s="19">
        <f>IF(ISERROR($E$69),"",IF(ISBLANK($E$69),"",$E$69))</f>
        <v/>
      </c>
      <c r="AB69" s="19">
        <f>IF(ISERROR($F$69),"",IF(ISBLANK($F$69),"",$F$69))</f>
        <v/>
      </c>
      <c r="AC69" s="19">
        <f>IF(ISERROR($G$69),"",IF(ISBLANK($G$69),"",$G$69))</f>
        <v/>
      </c>
      <c r="AD69" s="19">
        <f>IF(ISERROR($H$69),"",IF(ISBLANK($H$69),"",$H$69))</f>
        <v/>
      </c>
      <c r="AE69" s="19">
        <f>IF(ISERROR($I$69),"",IF(ISBLANK($I$69),"",$I$69))</f>
        <v/>
      </c>
      <c r="AF69" s="19">
        <f>IF(ISERROR($J$69),"",IF(ISBLANK($J$69),"",$J$69))</f>
        <v/>
      </c>
      <c r="AG69" s="19">
        <f>ISERROR($B$69)*1+ISERROR($C$69)*1+ISERROR($D$69)*1+ISERROR($E$69)*1+ISERROR($F$69)*1+ISERROR($G$69)*1+ISERROR($H$69)*1+ISERROR($I$69)*1+ISERROR($J$69)*1</f>
        <v/>
      </c>
    </row>
    <row r="70" ht="26" customHeight="1">
      <c r="B70" s="30" t="n"/>
      <c r="C70" s="3" t="n"/>
      <c r="D70" s="3" t="n"/>
      <c r="E70" s="3" t="n"/>
      <c r="F70" s="3" t="n"/>
      <c r="G70" s="3" t="n"/>
      <c r="H70" s="3" t="n"/>
      <c r="I70" s="3" t="n"/>
      <c r="J70" s="3" t="n"/>
      <c r="K70" s="18">
        <f>IF(AG70&gt;0,"O Google leu como fórmula: escolha de novo ou digite com ' na frente.","")</f>
        <v/>
      </c>
      <c r="N70" s="19">
        <f>N69+IF(LEN($X$70)&gt;0,1,0)</f>
        <v/>
      </c>
      <c r="O70" s="19">
        <f>O69+IF(LEN($Y$70)&gt;0,1,0)</f>
        <v/>
      </c>
      <c r="P70" s="19">
        <f>P69+IF(LEN($Z$70)&gt;0,1,0)</f>
        <v/>
      </c>
      <c r="Q70" s="19">
        <f>Q69+IF(LEN($AA$70)&gt;0,1,0)</f>
        <v/>
      </c>
      <c r="R70" s="19">
        <f>R69+IF(LEN($AB$70)&gt;0,1,0)</f>
        <v/>
      </c>
      <c r="S70" s="19">
        <f>S69+IF(LEN($AC$70)&gt;0,1,0)</f>
        <v/>
      </c>
      <c r="T70" s="19">
        <f>T69+IF(LEN($AD$70)&gt;0,1,0)</f>
        <v/>
      </c>
      <c r="U70" s="19">
        <f>U69+IF(LEN($AE$70)&gt;0,1,0)</f>
        <v/>
      </c>
      <c r="X70" s="19">
        <f>IF(ISERROR($B$70),"",IF(ISBLANK($B$70),"",$B$70))</f>
        <v/>
      </c>
      <c r="Y70" s="19">
        <f>IF(ISERROR($C$70),"",IF(ISBLANK($C$70),"",$C$70))</f>
        <v/>
      </c>
      <c r="Z70" s="19">
        <f>IF(ISERROR($D$70),"",IF(ISBLANK($D$70),"",$D$70))</f>
        <v/>
      </c>
      <c r="AA70" s="19">
        <f>IF(ISERROR($E$70),"",IF(ISBLANK($E$70),"",$E$70))</f>
        <v/>
      </c>
      <c r="AB70" s="19">
        <f>IF(ISERROR($F$70),"",IF(ISBLANK($F$70),"",$F$70))</f>
        <v/>
      </c>
      <c r="AC70" s="19">
        <f>IF(ISERROR($G$70),"",IF(ISBLANK($G$70),"",$G$70))</f>
        <v/>
      </c>
      <c r="AD70" s="19">
        <f>IF(ISERROR($H$70),"",IF(ISBLANK($H$70),"",$H$70))</f>
        <v/>
      </c>
      <c r="AE70" s="19">
        <f>IF(ISERROR($I$70),"",IF(ISBLANK($I$70),"",$I$70))</f>
        <v/>
      </c>
      <c r="AF70" s="19">
        <f>IF(ISERROR($J$70),"",IF(ISBLANK($J$70),"",$J$70))</f>
        <v/>
      </c>
      <c r="AG70" s="19">
        <f>ISERROR($B$70)*1+ISERROR($C$70)*1+ISERROR($D$70)*1+ISERROR($E$70)*1+ISERROR($F$70)*1+ISERROR($G$70)*1+ISERROR($H$70)*1+ISERROR($I$70)*1+ISERROR($J$70)*1</f>
        <v/>
      </c>
    </row>
    <row r="71" ht="26" customHeight="1">
      <c r="B71" s="31" t="n"/>
      <c r="C71" s="28" t="n"/>
      <c r="D71" s="28" t="n"/>
      <c r="E71" s="28" t="n"/>
      <c r="F71" s="28" t="n"/>
      <c r="G71" s="28" t="n"/>
      <c r="H71" s="28" t="n"/>
      <c r="I71" s="28" t="n"/>
      <c r="J71" s="28" t="n"/>
      <c r="K71" s="18">
        <f>IF(AG71&gt;0,"O Google leu como fórmula: escolha de novo ou digite com ' na frente.","")</f>
        <v/>
      </c>
      <c r="N71" s="19">
        <f>N70+IF(LEN($X$71)&gt;0,1,0)</f>
        <v/>
      </c>
      <c r="O71" s="19">
        <f>O70+IF(LEN($Y$71)&gt;0,1,0)</f>
        <v/>
      </c>
      <c r="P71" s="19">
        <f>P70+IF(LEN($Z$71)&gt;0,1,0)</f>
        <v/>
      </c>
      <c r="Q71" s="19">
        <f>Q70+IF(LEN($AA$71)&gt;0,1,0)</f>
        <v/>
      </c>
      <c r="R71" s="19">
        <f>R70+IF(LEN($AB$71)&gt;0,1,0)</f>
        <v/>
      </c>
      <c r="S71" s="19">
        <f>S70+IF(LEN($AC$71)&gt;0,1,0)</f>
        <v/>
      </c>
      <c r="T71" s="19">
        <f>T70+IF(LEN($AD$71)&gt;0,1,0)</f>
        <v/>
      </c>
      <c r="U71" s="19">
        <f>U70+IF(LEN($AE$71)&gt;0,1,0)</f>
        <v/>
      </c>
      <c r="X71" s="19">
        <f>IF(ISERROR($B$71),"",IF(ISBLANK($B$71),"",$B$71))</f>
        <v/>
      </c>
      <c r="Y71" s="19">
        <f>IF(ISERROR($C$71),"",IF(ISBLANK($C$71),"",$C$71))</f>
        <v/>
      </c>
      <c r="Z71" s="19">
        <f>IF(ISERROR($D$71),"",IF(ISBLANK($D$71),"",$D$71))</f>
        <v/>
      </c>
      <c r="AA71" s="19">
        <f>IF(ISERROR($E$71),"",IF(ISBLANK($E$71),"",$E$71))</f>
        <v/>
      </c>
      <c r="AB71" s="19">
        <f>IF(ISERROR($F$71),"",IF(ISBLANK($F$71),"",$F$71))</f>
        <v/>
      </c>
      <c r="AC71" s="19">
        <f>IF(ISERROR($G$71),"",IF(ISBLANK($G$71),"",$G$71))</f>
        <v/>
      </c>
      <c r="AD71" s="19">
        <f>IF(ISERROR($H$71),"",IF(ISBLANK($H$71),"",$H$71))</f>
        <v/>
      </c>
      <c r="AE71" s="19">
        <f>IF(ISERROR($I$71),"",IF(ISBLANK($I$71),"",$I$71))</f>
        <v/>
      </c>
      <c r="AF71" s="19">
        <f>IF(ISERROR($J$71),"",IF(ISBLANK($J$71),"",$J$71))</f>
        <v/>
      </c>
      <c r="AG71" s="19">
        <f>ISERROR($B$71)*1+ISERROR($C$71)*1+ISERROR($D$71)*1+ISERROR($E$71)*1+ISERROR($F$71)*1+ISERROR($G$71)*1+ISERROR($H$71)*1+ISERROR($I$71)*1+ISERROR($J$71)*1</f>
        <v/>
      </c>
    </row>
    <row r="72" ht="26" customHeight="1">
      <c r="B72" s="30" t="n"/>
      <c r="C72" s="3" t="n"/>
      <c r="D72" s="3" t="n"/>
      <c r="E72" s="3" t="n"/>
      <c r="F72" s="3" t="n"/>
      <c r="G72" s="3" t="n"/>
      <c r="H72" s="3" t="n"/>
      <c r="I72" s="3" t="n"/>
      <c r="J72" s="3" t="n"/>
      <c r="K72" s="18">
        <f>IF(AG72&gt;0,"O Google leu como fórmula: escolha de novo ou digite com ' na frente.","")</f>
        <v/>
      </c>
      <c r="N72" s="19">
        <f>N71+IF(LEN($X$72)&gt;0,1,0)</f>
        <v/>
      </c>
      <c r="O72" s="19">
        <f>O71+IF(LEN($Y$72)&gt;0,1,0)</f>
        <v/>
      </c>
      <c r="P72" s="19">
        <f>P71+IF(LEN($Z$72)&gt;0,1,0)</f>
        <v/>
      </c>
      <c r="Q72" s="19">
        <f>Q71+IF(LEN($AA$72)&gt;0,1,0)</f>
        <v/>
      </c>
      <c r="R72" s="19">
        <f>R71+IF(LEN($AB$72)&gt;0,1,0)</f>
        <v/>
      </c>
      <c r="S72" s="19">
        <f>S71+IF(LEN($AC$72)&gt;0,1,0)</f>
        <v/>
      </c>
      <c r="T72" s="19">
        <f>T71+IF(LEN($AD$72)&gt;0,1,0)</f>
        <v/>
      </c>
      <c r="U72" s="19">
        <f>U71+IF(LEN($AE$72)&gt;0,1,0)</f>
        <v/>
      </c>
      <c r="X72" s="19">
        <f>IF(ISERROR($B$72),"",IF(ISBLANK($B$72),"",$B$72))</f>
        <v/>
      </c>
      <c r="Y72" s="19">
        <f>IF(ISERROR($C$72),"",IF(ISBLANK($C$72),"",$C$72))</f>
        <v/>
      </c>
      <c r="Z72" s="19">
        <f>IF(ISERROR($D$72),"",IF(ISBLANK($D$72),"",$D$72))</f>
        <v/>
      </c>
      <c r="AA72" s="19">
        <f>IF(ISERROR($E$72),"",IF(ISBLANK($E$72),"",$E$72))</f>
        <v/>
      </c>
      <c r="AB72" s="19">
        <f>IF(ISERROR($F$72),"",IF(ISBLANK($F$72),"",$F$72))</f>
        <v/>
      </c>
      <c r="AC72" s="19">
        <f>IF(ISERROR($G$72),"",IF(ISBLANK($G$72),"",$G$72))</f>
        <v/>
      </c>
      <c r="AD72" s="19">
        <f>IF(ISERROR($H$72),"",IF(ISBLANK($H$72),"",$H$72))</f>
        <v/>
      </c>
      <c r="AE72" s="19">
        <f>IF(ISERROR($I$72),"",IF(ISBLANK($I$72),"",$I$72))</f>
        <v/>
      </c>
      <c r="AF72" s="19">
        <f>IF(ISERROR($J$72),"",IF(ISBLANK($J$72),"",$J$72))</f>
        <v/>
      </c>
      <c r="AG72" s="19">
        <f>ISERROR($B$72)*1+ISERROR($C$72)*1+ISERROR($D$72)*1+ISERROR($E$72)*1+ISERROR($F$72)*1+ISERROR($G$72)*1+ISERROR($H$72)*1+ISERROR($I$72)*1+ISERROR($J$72)*1</f>
        <v/>
      </c>
    </row>
    <row r="73" ht="26" customHeight="1">
      <c r="B73" s="31" t="n"/>
      <c r="C73" s="28" t="n"/>
      <c r="D73" s="28" t="n"/>
      <c r="E73" s="28" t="n"/>
      <c r="F73" s="28" t="n"/>
      <c r="G73" s="28" t="n"/>
      <c r="H73" s="28" t="n"/>
      <c r="I73" s="28" t="n"/>
      <c r="J73" s="28" t="n"/>
      <c r="K73" s="18">
        <f>IF(AG73&gt;0,"O Google leu como fórmula: escolha de novo ou digite com ' na frente.","")</f>
        <v/>
      </c>
      <c r="N73" s="19">
        <f>N72+IF(LEN($X$73)&gt;0,1,0)</f>
        <v/>
      </c>
      <c r="O73" s="19">
        <f>O72+IF(LEN($Y$73)&gt;0,1,0)</f>
        <v/>
      </c>
      <c r="P73" s="19">
        <f>P72+IF(LEN($Z$73)&gt;0,1,0)</f>
        <v/>
      </c>
      <c r="Q73" s="19">
        <f>Q72+IF(LEN($AA$73)&gt;0,1,0)</f>
        <v/>
      </c>
      <c r="R73" s="19">
        <f>R72+IF(LEN($AB$73)&gt;0,1,0)</f>
        <v/>
      </c>
      <c r="S73" s="19">
        <f>S72+IF(LEN($AC$73)&gt;0,1,0)</f>
        <v/>
      </c>
      <c r="T73" s="19">
        <f>T72+IF(LEN($AD$73)&gt;0,1,0)</f>
        <v/>
      </c>
      <c r="U73" s="19">
        <f>U72+IF(LEN($AE$73)&gt;0,1,0)</f>
        <v/>
      </c>
      <c r="X73" s="19">
        <f>IF(ISERROR($B$73),"",IF(ISBLANK($B$73),"",$B$73))</f>
        <v/>
      </c>
      <c r="Y73" s="19">
        <f>IF(ISERROR($C$73),"",IF(ISBLANK($C$73),"",$C$73))</f>
        <v/>
      </c>
      <c r="Z73" s="19">
        <f>IF(ISERROR($D$73),"",IF(ISBLANK($D$73),"",$D$73))</f>
        <v/>
      </c>
      <c r="AA73" s="19">
        <f>IF(ISERROR($E$73),"",IF(ISBLANK($E$73),"",$E$73))</f>
        <v/>
      </c>
      <c r="AB73" s="19">
        <f>IF(ISERROR($F$73),"",IF(ISBLANK($F$73),"",$F$73))</f>
        <v/>
      </c>
      <c r="AC73" s="19">
        <f>IF(ISERROR($G$73),"",IF(ISBLANK($G$73),"",$G$73))</f>
        <v/>
      </c>
      <c r="AD73" s="19">
        <f>IF(ISERROR($H$73),"",IF(ISBLANK($H$73),"",$H$73))</f>
        <v/>
      </c>
      <c r="AE73" s="19">
        <f>IF(ISERROR($I$73),"",IF(ISBLANK($I$73),"",$I$73))</f>
        <v/>
      </c>
      <c r="AF73" s="19">
        <f>IF(ISERROR($J$73),"",IF(ISBLANK($J$73),"",$J$73))</f>
        <v/>
      </c>
      <c r="AG73" s="19">
        <f>ISERROR($B$73)*1+ISERROR($C$73)*1+ISERROR($D$73)*1+ISERROR($E$73)*1+ISERROR($F$73)*1+ISERROR($G$73)*1+ISERROR($H$73)*1+ISERROR($I$73)*1+ISERROR($J$73)*1</f>
        <v/>
      </c>
    </row>
    <row r="74" ht="26" customHeight="1">
      <c r="B74" s="30" t="n"/>
      <c r="C74" s="3" t="n"/>
      <c r="D74" s="3" t="n"/>
      <c r="E74" s="3" t="n"/>
      <c r="F74" s="3" t="n"/>
      <c r="G74" s="3" t="n"/>
      <c r="H74" s="3" t="n"/>
      <c r="I74" s="3" t="n"/>
      <c r="J74" s="3" t="n"/>
      <c r="K74" s="18">
        <f>IF(AG74&gt;0,"O Google leu como fórmula: escolha de novo ou digite com ' na frente.","")</f>
        <v/>
      </c>
      <c r="N74" s="19">
        <f>N73+IF(LEN($X$74)&gt;0,1,0)</f>
        <v/>
      </c>
      <c r="O74" s="19">
        <f>O73+IF(LEN($Y$74)&gt;0,1,0)</f>
        <v/>
      </c>
      <c r="P74" s="19">
        <f>P73+IF(LEN($Z$74)&gt;0,1,0)</f>
        <v/>
      </c>
      <c r="Q74" s="19">
        <f>Q73+IF(LEN($AA$74)&gt;0,1,0)</f>
        <v/>
      </c>
      <c r="R74" s="19">
        <f>R73+IF(LEN($AB$74)&gt;0,1,0)</f>
        <v/>
      </c>
      <c r="S74" s="19">
        <f>S73+IF(LEN($AC$74)&gt;0,1,0)</f>
        <v/>
      </c>
      <c r="T74" s="19">
        <f>T73+IF(LEN($AD$74)&gt;0,1,0)</f>
        <v/>
      </c>
      <c r="U74" s="19">
        <f>U73+IF(LEN($AE$74)&gt;0,1,0)</f>
        <v/>
      </c>
      <c r="X74" s="19">
        <f>IF(ISERROR($B$74),"",IF(ISBLANK($B$74),"",$B$74))</f>
        <v/>
      </c>
      <c r="Y74" s="19">
        <f>IF(ISERROR($C$74),"",IF(ISBLANK($C$74),"",$C$74))</f>
        <v/>
      </c>
      <c r="Z74" s="19">
        <f>IF(ISERROR($D$74),"",IF(ISBLANK($D$74),"",$D$74))</f>
        <v/>
      </c>
      <c r="AA74" s="19">
        <f>IF(ISERROR($E$74),"",IF(ISBLANK($E$74),"",$E$74))</f>
        <v/>
      </c>
      <c r="AB74" s="19">
        <f>IF(ISERROR($F$74),"",IF(ISBLANK($F$74),"",$F$74))</f>
        <v/>
      </c>
      <c r="AC74" s="19">
        <f>IF(ISERROR($G$74),"",IF(ISBLANK($G$74),"",$G$74))</f>
        <v/>
      </c>
      <c r="AD74" s="19">
        <f>IF(ISERROR($H$74),"",IF(ISBLANK($H$74),"",$H$74))</f>
        <v/>
      </c>
      <c r="AE74" s="19">
        <f>IF(ISERROR($I$74),"",IF(ISBLANK($I$74),"",$I$74))</f>
        <v/>
      </c>
      <c r="AF74" s="19">
        <f>IF(ISERROR($J$74),"",IF(ISBLANK($J$74),"",$J$74))</f>
        <v/>
      </c>
      <c r="AG74" s="19">
        <f>ISERROR($B$74)*1+ISERROR($C$74)*1+ISERROR($D$74)*1+ISERROR($E$74)*1+ISERROR($F$74)*1+ISERROR($G$74)*1+ISERROR($H$74)*1+ISERROR($I$74)*1+ISERROR($J$74)*1</f>
        <v/>
      </c>
    </row>
    <row r="75" ht="26" customHeight="1">
      <c r="B75" s="31" t="n"/>
      <c r="C75" s="28" t="n"/>
      <c r="D75" s="28" t="n"/>
      <c r="E75" s="28" t="n"/>
      <c r="F75" s="28" t="n"/>
      <c r="G75" s="28" t="n"/>
      <c r="H75" s="28" t="n"/>
      <c r="I75" s="28" t="n"/>
      <c r="J75" s="28" t="n"/>
      <c r="K75" s="18">
        <f>IF(AG75&gt;0,"O Google leu como fórmula: escolha de novo ou digite com ' na frente.","")</f>
        <v/>
      </c>
      <c r="N75" s="19">
        <f>N74+IF(LEN($X$75)&gt;0,1,0)</f>
        <v/>
      </c>
      <c r="O75" s="19">
        <f>O74+IF(LEN($Y$75)&gt;0,1,0)</f>
        <v/>
      </c>
      <c r="P75" s="19">
        <f>P74+IF(LEN($Z$75)&gt;0,1,0)</f>
        <v/>
      </c>
      <c r="Q75" s="19">
        <f>Q74+IF(LEN($AA$75)&gt;0,1,0)</f>
        <v/>
      </c>
      <c r="R75" s="19">
        <f>R74+IF(LEN($AB$75)&gt;0,1,0)</f>
        <v/>
      </c>
      <c r="S75" s="19">
        <f>S74+IF(LEN($AC$75)&gt;0,1,0)</f>
        <v/>
      </c>
      <c r="T75" s="19">
        <f>T74+IF(LEN($AD$75)&gt;0,1,0)</f>
        <v/>
      </c>
      <c r="U75" s="19">
        <f>U74+IF(LEN($AE$75)&gt;0,1,0)</f>
        <v/>
      </c>
      <c r="X75" s="19">
        <f>IF(ISERROR($B$75),"",IF(ISBLANK($B$75),"",$B$75))</f>
        <v/>
      </c>
      <c r="Y75" s="19">
        <f>IF(ISERROR($C$75),"",IF(ISBLANK($C$75),"",$C$75))</f>
        <v/>
      </c>
      <c r="Z75" s="19">
        <f>IF(ISERROR($D$75),"",IF(ISBLANK($D$75),"",$D$75))</f>
        <v/>
      </c>
      <c r="AA75" s="19">
        <f>IF(ISERROR($E$75),"",IF(ISBLANK($E$75),"",$E$75))</f>
        <v/>
      </c>
      <c r="AB75" s="19">
        <f>IF(ISERROR($F$75),"",IF(ISBLANK($F$75),"",$F$75))</f>
        <v/>
      </c>
      <c r="AC75" s="19">
        <f>IF(ISERROR($G$75),"",IF(ISBLANK($G$75),"",$G$75))</f>
        <v/>
      </c>
      <c r="AD75" s="19">
        <f>IF(ISERROR($H$75),"",IF(ISBLANK($H$75),"",$H$75))</f>
        <v/>
      </c>
      <c r="AE75" s="19">
        <f>IF(ISERROR($I$75),"",IF(ISBLANK($I$75),"",$I$75))</f>
        <v/>
      </c>
      <c r="AF75" s="19">
        <f>IF(ISERROR($J$75),"",IF(ISBLANK($J$75),"",$J$75))</f>
        <v/>
      </c>
      <c r="AG75" s="19">
        <f>ISERROR($B$75)*1+ISERROR($C$75)*1+ISERROR($D$75)*1+ISERROR($E$75)*1+ISERROR($F$75)*1+ISERROR($G$75)*1+ISERROR($H$75)*1+ISERROR($I$75)*1+ISERROR($J$75)*1</f>
        <v/>
      </c>
    </row>
    <row r="76" ht="26" customHeight="1">
      <c r="B76" s="30" t="n"/>
      <c r="C76" s="3" t="n"/>
      <c r="D76" s="3" t="n"/>
      <c r="E76" s="3" t="n"/>
      <c r="F76" s="3" t="n"/>
      <c r="G76" s="3" t="n"/>
      <c r="H76" s="3" t="n"/>
      <c r="I76" s="3" t="n"/>
      <c r="J76" s="3" t="n"/>
      <c r="K76" s="18">
        <f>IF(AG76&gt;0,"O Google leu como fórmula: escolha de novo ou digite com ' na frente.","")</f>
        <v/>
      </c>
      <c r="N76" s="19">
        <f>N75+IF(LEN($X$76)&gt;0,1,0)</f>
        <v/>
      </c>
      <c r="O76" s="19">
        <f>O75+IF(LEN($Y$76)&gt;0,1,0)</f>
        <v/>
      </c>
      <c r="P76" s="19">
        <f>P75+IF(LEN($Z$76)&gt;0,1,0)</f>
        <v/>
      </c>
      <c r="Q76" s="19">
        <f>Q75+IF(LEN($AA$76)&gt;0,1,0)</f>
        <v/>
      </c>
      <c r="R76" s="19">
        <f>R75+IF(LEN($AB$76)&gt;0,1,0)</f>
        <v/>
      </c>
      <c r="S76" s="19">
        <f>S75+IF(LEN($AC$76)&gt;0,1,0)</f>
        <v/>
      </c>
      <c r="T76" s="19">
        <f>T75+IF(LEN($AD$76)&gt;0,1,0)</f>
        <v/>
      </c>
      <c r="U76" s="19">
        <f>U75+IF(LEN($AE$76)&gt;0,1,0)</f>
        <v/>
      </c>
      <c r="X76" s="19">
        <f>IF(ISERROR($B$76),"",IF(ISBLANK($B$76),"",$B$76))</f>
        <v/>
      </c>
      <c r="Y76" s="19">
        <f>IF(ISERROR($C$76),"",IF(ISBLANK($C$76),"",$C$76))</f>
        <v/>
      </c>
      <c r="Z76" s="19">
        <f>IF(ISERROR($D$76),"",IF(ISBLANK($D$76),"",$D$76))</f>
        <v/>
      </c>
      <c r="AA76" s="19">
        <f>IF(ISERROR($E$76),"",IF(ISBLANK($E$76),"",$E$76))</f>
        <v/>
      </c>
      <c r="AB76" s="19">
        <f>IF(ISERROR($F$76),"",IF(ISBLANK($F$76),"",$F$76))</f>
        <v/>
      </c>
      <c r="AC76" s="19">
        <f>IF(ISERROR($G$76),"",IF(ISBLANK($G$76),"",$G$76))</f>
        <v/>
      </c>
      <c r="AD76" s="19">
        <f>IF(ISERROR($H$76),"",IF(ISBLANK($H$76),"",$H$76))</f>
        <v/>
      </c>
      <c r="AE76" s="19">
        <f>IF(ISERROR($I$76),"",IF(ISBLANK($I$76),"",$I$76))</f>
        <v/>
      </c>
      <c r="AF76" s="19">
        <f>IF(ISERROR($J$76),"",IF(ISBLANK($J$76),"",$J$76))</f>
        <v/>
      </c>
      <c r="AG76" s="19">
        <f>ISERROR($B$76)*1+ISERROR($C$76)*1+ISERROR($D$76)*1+ISERROR($E$76)*1+ISERROR($F$76)*1+ISERROR($G$76)*1+ISERROR($H$76)*1+ISERROR($I$76)*1+ISERROR($J$76)*1</f>
        <v/>
      </c>
    </row>
    <row r="77" ht="26" customHeight="1">
      <c r="B77" s="31" t="n"/>
      <c r="C77" s="28" t="n"/>
      <c r="D77" s="28" t="n"/>
      <c r="E77" s="28" t="n"/>
      <c r="F77" s="28" t="n"/>
      <c r="G77" s="28" t="n"/>
      <c r="H77" s="28" t="n"/>
      <c r="I77" s="28" t="n"/>
      <c r="J77" s="28" t="n"/>
      <c r="K77" s="18">
        <f>IF(AG77&gt;0,"O Google leu como fórmula: escolha de novo ou digite com ' na frente.","")</f>
        <v/>
      </c>
      <c r="N77" s="19">
        <f>N76+IF(LEN($X$77)&gt;0,1,0)</f>
        <v/>
      </c>
      <c r="O77" s="19">
        <f>O76+IF(LEN($Y$77)&gt;0,1,0)</f>
        <v/>
      </c>
      <c r="P77" s="19">
        <f>P76+IF(LEN($Z$77)&gt;0,1,0)</f>
        <v/>
      </c>
      <c r="Q77" s="19">
        <f>Q76+IF(LEN($AA$77)&gt;0,1,0)</f>
        <v/>
      </c>
      <c r="R77" s="19">
        <f>R76+IF(LEN($AB$77)&gt;0,1,0)</f>
        <v/>
      </c>
      <c r="S77" s="19">
        <f>S76+IF(LEN($AC$77)&gt;0,1,0)</f>
        <v/>
      </c>
      <c r="T77" s="19">
        <f>T76+IF(LEN($AD$77)&gt;0,1,0)</f>
        <v/>
      </c>
      <c r="U77" s="19">
        <f>U76+IF(LEN($AE$77)&gt;0,1,0)</f>
        <v/>
      </c>
      <c r="X77" s="19">
        <f>IF(ISERROR($B$77),"",IF(ISBLANK($B$77),"",$B$77))</f>
        <v/>
      </c>
      <c r="Y77" s="19">
        <f>IF(ISERROR($C$77),"",IF(ISBLANK($C$77),"",$C$77))</f>
        <v/>
      </c>
      <c r="Z77" s="19">
        <f>IF(ISERROR($D$77),"",IF(ISBLANK($D$77),"",$D$77))</f>
        <v/>
      </c>
      <c r="AA77" s="19">
        <f>IF(ISERROR($E$77),"",IF(ISBLANK($E$77),"",$E$77))</f>
        <v/>
      </c>
      <c r="AB77" s="19">
        <f>IF(ISERROR($F$77),"",IF(ISBLANK($F$77),"",$F$77))</f>
        <v/>
      </c>
      <c r="AC77" s="19">
        <f>IF(ISERROR($G$77),"",IF(ISBLANK($G$77),"",$G$77))</f>
        <v/>
      </c>
      <c r="AD77" s="19">
        <f>IF(ISERROR($H$77),"",IF(ISBLANK($H$77),"",$H$77))</f>
        <v/>
      </c>
      <c r="AE77" s="19">
        <f>IF(ISERROR($I$77),"",IF(ISBLANK($I$77),"",$I$77))</f>
        <v/>
      </c>
      <c r="AF77" s="19">
        <f>IF(ISERROR($J$77),"",IF(ISBLANK($J$77),"",$J$77))</f>
        <v/>
      </c>
      <c r="AG77" s="19">
        <f>ISERROR($B$77)*1+ISERROR($C$77)*1+ISERROR($D$77)*1+ISERROR($E$77)*1+ISERROR($F$77)*1+ISERROR($G$77)*1+ISERROR($H$77)*1+ISERROR($I$77)*1+ISERROR($J$77)*1</f>
        <v/>
      </c>
    </row>
    <row r="78" ht="26" customHeight="1">
      <c r="B78" s="30" t="n"/>
      <c r="C78" s="3" t="n"/>
      <c r="D78" s="3" t="n"/>
      <c r="E78" s="3" t="n"/>
      <c r="F78" s="3" t="n"/>
      <c r="G78" s="3" t="n"/>
      <c r="H78" s="3" t="n"/>
      <c r="I78" s="3" t="n"/>
      <c r="J78" s="3" t="n"/>
      <c r="K78" s="18">
        <f>IF(AG78&gt;0,"O Google leu como fórmula: escolha de novo ou digite com ' na frente.","")</f>
        <v/>
      </c>
      <c r="N78" s="19">
        <f>N77+IF(LEN($X$78)&gt;0,1,0)</f>
        <v/>
      </c>
      <c r="O78" s="19">
        <f>O77+IF(LEN($Y$78)&gt;0,1,0)</f>
        <v/>
      </c>
      <c r="P78" s="19">
        <f>P77+IF(LEN($Z$78)&gt;0,1,0)</f>
        <v/>
      </c>
      <c r="Q78" s="19">
        <f>Q77+IF(LEN($AA$78)&gt;0,1,0)</f>
        <v/>
      </c>
      <c r="R78" s="19">
        <f>R77+IF(LEN($AB$78)&gt;0,1,0)</f>
        <v/>
      </c>
      <c r="S78" s="19">
        <f>S77+IF(LEN($AC$78)&gt;0,1,0)</f>
        <v/>
      </c>
      <c r="T78" s="19">
        <f>T77+IF(LEN($AD$78)&gt;0,1,0)</f>
        <v/>
      </c>
      <c r="U78" s="19">
        <f>U77+IF(LEN($AE$78)&gt;0,1,0)</f>
        <v/>
      </c>
      <c r="X78" s="19">
        <f>IF(ISERROR($B$78),"",IF(ISBLANK($B$78),"",$B$78))</f>
        <v/>
      </c>
      <c r="Y78" s="19">
        <f>IF(ISERROR($C$78),"",IF(ISBLANK($C$78),"",$C$78))</f>
        <v/>
      </c>
      <c r="Z78" s="19">
        <f>IF(ISERROR($D$78),"",IF(ISBLANK($D$78),"",$D$78))</f>
        <v/>
      </c>
      <c r="AA78" s="19">
        <f>IF(ISERROR($E$78),"",IF(ISBLANK($E$78),"",$E$78))</f>
        <v/>
      </c>
      <c r="AB78" s="19">
        <f>IF(ISERROR($F$78),"",IF(ISBLANK($F$78),"",$F$78))</f>
        <v/>
      </c>
      <c r="AC78" s="19">
        <f>IF(ISERROR($G$78),"",IF(ISBLANK($G$78),"",$G$78))</f>
        <v/>
      </c>
      <c r="AD78" s="19">
        <f>IF(ISERROR($H$78),"",IF(ISBLANK($H$78),"",$H$78))</f>
        <v/>
      </c>
      <c r="AE78" s="19">
        <f>IF(ISERROR($I$78),"",IF(ISBLANK($I$78),"",$I$78))</f>
        <v/>
      </c>
      <c r="AF78" s="19">
        <f>IF(ISERROR($J$78),"",IF(ISBLANK($J$78),"",$J$78))</f>
        <v/>
      </c>
      <c r="AG78" s="19">
        <f>ISERROR($B$78)*1+ISERROR($C$78)*1+ISERROR($D$78)*1+ISERROR($E$78)*1+ISERROR($F$78)*1+ISERROR($G$78)*1+ISERROR($H$78)*1+ISERROR($I$78)*1+ISERROR($J$78)*1</f>
        <v/>
      </c>
    </row>
    <row r="79" ht="26" customHeight="1">
      <c r="B79" s="31" t="n"/>
      <c r="C79" s="28" t="n"/>
      <c r="D79" s="28" t="n"/>
      <c r="E79" s="28" t="n"/>
      <c r="F79" s="28" t="n"/>
      <c r="G79" s="28" t="n"/>
      <c r="H79" s="28" t="n"/>
      <c r="I79" s="28" t="n"/>
      <c r="J79" s="28" t="n"/>
      <c r="K79" s="18">
        <f>IF(AG79&gt;0,"O Google leu como fórmula: escolha de novo ou digite com ' na frente.","")</f>
        <v/>
      </c>
      <c r="N79" s="19">
        <f>N78+IF(LEN($X$79)&gt;0,1,0)</f>
        <v/>
      </c>
      <c r="O79" s="19">
        <f>O78+IF(LEN($Y$79)&gt;0,1,0)</f>
        <v/>
      </c>
      <c r="P79" s="19">
        <f>P78+IF(LEN($Z$79)&gt;0,1,0)</f>
        <v/>
      </c>
      <c r="Q79" s="19">
        <f>Q78+IF(LEN($AA$79)&gt;0,1,0)</f>
        <v/>
      </c>
      <c r="R79" s="19">
        <f>R78+IF(LEN($AB$79)&gt;0,1,0)</f>
        <v/>
      </c>
      <c r="S79" s="19">
        <f>S78+IF(LEN($AC$79)&gt;0,1,0)</f>
        <v/>
      </c>
      <c r="T79" s="19">
        <f>T78+IF(LEN($AD$79)&gt;0,1,0)</f>
        <v/>
      </c>
      <c r="U79" s="19">
        <f>U78+IF(LEN($AE$79)&gt;0,1,0)</f>
        <v/>
      </c>
      <c r="X79" s="19">
        <f>IF(ISERROR($B$79),"",IF(ISBLANK($B$79),"",$B$79))</f>
        <v/>
      </c>
      <c r="Y79" s="19">
        <f>IF(ISERROR($C$79),"",IF(ISBLANK($C$79),"",$C$79))</f>
        <v/>
      </c>
      <c r="Z79" s="19">
        <f>IF(ISERROR($D$79),"",IF(ISBLANK($D$79),"",$D$79))</f>
        <v/>
      </c>
      <c r="AA79" s="19">
        <f>IF(ISERROR($E$79),"",IF(ISBLANK($E$79),"",$E$79))</f>
        <v/>
      </c>
      <c r="AB79" s="19">
        <f>IF(ISERROR($F$79),"",IF(ISBLANK($F$79),"",$F$79))</f>
        <v/>
      </c>
      <c r="AC79" s="19">
        <f>IF(ISERROR($G$79),"",IF(ISBLANK($G$79),"",$G$79))</f>
        <v/>
      </c>
      <c r="AD79" s="19">
        <f>IF(ISERROR($H$79),"",IF(ISBLANK($H$79),"",$H$79))</f>
        <v/>
      </c>
      <c r="AE79" s="19">
        <f>IF(ISERROR($I$79),"",IF(ISBLANK($I$79),"",$I$79))</f>
        <v/>
      </c>
      <c r="AF79" s="19">
        <f>IF(ISERROR($J$79),"",IF(ISBLANK($J$79),"",$J$79))</f>
        <v/>
      </c>
      <c r="AG79" s="19">
        <f>ISERROR($B$79)*1+ISERROR($C$79)*1+ISERROR($D$79)*1+ISERROR($E$79)*1+ISERROR($F$79)*1+ISERROR($G$79)*1+ISERROR($H$79)*1+ISERROR($I$79)*1+ISERROR($J$79)*1</f>
        <v/>
      </c>
    </row>
    <row r="80" ht="26" customHeight="1">
      <c r="B80" s="30" t="n"/>
      <c r="C80" s="3" t="n"/>
      <c r="D80" s="3" t="n"/>
      <c r="E80" s="3" t="n"/>
      <c r="F80" s="3" t="n"/>
      <c r="G80" s="3" t="n"/>
      <c r="H80" s="3" t="n"/>
      <c r="I80" s="3" t="n"/>
      <c r="J80" s="3" t="n"/>
      <c r="K80" s="18">
        <f>IF(AG80&gt;0,"O Google leu como fórmula: escolha de novo ou digite com ' na frente.","")</f>
        <v/>
      </c>
      <c r="N80" s="19">
        <f>N79+IF(LEN($X$80)&gt;0,1,0)</f>
        <v/>
      </c>
      <c r="O80" s="19">
        <f>O79+IF(LEN($Y$80)&gt;0,1,0)</f>
        <v/>
      </c>
      <c r="P80" s="19">
        <f>P79+IF(LEN($Z$80)&gt;0,1,0)</f>
        <v/>
      </c>
      <c r="Q80" s="19">
        <f>Q79+IF(LEN($AA$80)&gt;0,1,0)</f>
        <v/>
      </c>
      <c r="R80" s="19">
        <f>R79+IF(LEN($AB$80)&gt;0,1,0)</f>
        <v/>
      </c>
      <c r="S80" s="19">
        <f>S79+IF(LEN($AC$80)&gt;0,1,0)</f>
        <v/>
      </c>
      <c r="T80" s="19">
        <f>T79+IF(LEN($AD$80)&gt;0,1,0)</f>
        <v/>
      </c>
      <c r="U80" s="19">
        <f>U79+IF(LEN($AE$80)&gt;0,1,0)</f>
        <v/>
      </c>
      <c r="X80" s="19">
        <f>IF(ISERROR($B$80),"",IF(ISBLANK($B$80),"",$B$80))</f>
        <v/>
      </c>
      <c r="Y80" s="19">
        <f>IF(ISERROR($C$80),"",IF(ISBLANK($C$80),"",$C$80))</f>
        <v/>
      </c>
      <c r="Z80" s="19">
        <f>IF(ISERROR($D$80),"",IF(ISBLANK($D$80),"",$D$80))</f>
        <v/>
      </c>
      <c r="AA80" s="19">
        <f>IF(ISERROR($E$80),"",IF(ISBLANK($E$80),"",$E$80))</f>
        <v/>
      </c>
      <c r="AB80" s="19">
        <f>IF(ISERROR($F$80),"",IF(ISBLANK($F$80),"",$F$80))</f>
        <v/>
      </c>
      <c r="AC80" s="19">
        <f>IF(ISERROR($G$80),"",IF(ISBLANK($G$80),"",$G$80))</f>
        <v/>
      </c>
      <c r="AD80" s="19">
        <f>IF(ISERROR($H$80),"",IF(ISBLANK($H$80),"",$H$80))</f>
        <v/>
      </c>
      <c r="AE80" s="19">
        <f>IF(ISERROR($I$80),"",IF(ISBLANK($I$80),"",$I$80))</f>
        <v/>
      </c>
      <c r="AF80" s="19">
        <f>IF(ISERROR($J$80),"",IF(ISBLANK($J$80),"",$J$80))</f>
        <v/>
      </c>
      <c r="AG80" s="19">
        <f>ISERROR($B$80)*1+ISERROR($C$80)*1+ISERROR($D$80)*1+ISERROR($E$80)*1+ISERROR($F$80)*1+ISERROR($G$80)*1+ISERROR($H$80)*1+ISERROR($I$80)*1+ISERROR($J$80)*1</f>
        <v/>
      </c>
    </row>
    <row r="81" ht="15" customHeight="1">
      <c r="B81" s="7" t="inlineStr">
        <is>
          <t>Facções</t>
        </is>
      </c>
      <c r="C81" s="7" t="inlineStr">
        <is>
          <t>Locais</t>
        </is>
      </c>
      <c r="D81" s="7" t="inlineStr">
        <is>
          <t>Ganchos 1-4</t>
        </is>
      </c>
      <c r="E81" s="7" t="inlineStr">
        <is>
          <t>Ganchos 5-8</t>
        </is>
      </c>
      <c r="F81" s="7" t="inlineStr">
        <is>
          <t>Ganchos 9-12</t>
        </is>
      </c>
      <c r="G81" s="7" t="inlineStr">
        <is>
          <t>Ganchos 13-16</t>
        </is>
      </c>
      <c r="H81" s="7" t="inlineStr">
        <is>
          <t>Ganchos 17-20</t>
        </is>
      </c>
      <c r="I81" s="7" t="inlineStr">
        <is>
          <t>Facção ou origem (H8)</t>
        </is>
      </c>
      <c r="J81" s="7" t="inlineStr">
        <is>
          <t>Ambiente (H8)</t>
        </is>
      </c>
      <c r="N81" s="19">
        <f>N80</f>
        <v/>
      </c>
      <c r="O81" s="19">
        <f>O80</f>
        <v/>
      </c>
      <c r="P81" s="19">
        <f>P80</f>
        <v/>
      </c>
      <c r="Q81" s="19">
        <f>Q80</f>
        <v/>
      </c>
      <c r="R81" s="19">
        <f>R80</f>
        <v/>
      </c>
      <c r="S81" s="19">
        <f>S80</f>
        <v/>
      </c>
      <c r="T81" s="19">
        <f>T80</f>
        <v/>
      </c>
      <c r="U81" s="19">
        <f>U80</f>
        <v/>
      </c>
      <c r="X81" s="19">
        <f>IF(ISERROR($B$81),"",IF(ISBLANK($B$81),"",$B$81))</f>
        <v/>
      </c>
      <c r="Y81" s="19">
        <f>IF(ISERROR($C$81),"",IF(ISBLANK($C$81),"",$C$81))</f>
        <v/>
      </c>
      <c r="Z81" s="19">
        <f>IF(ISERROR($D$81),"",IF(ISBLANK($D$81),"",$D$81))</f>
        <v/>
      </c>
      <c r="AA81" s="19">
        <f>IF(ISERROR($E$81),"",IF(ISBLANK($E$81),"",$E$81))</f>
        <v/>
      </c>
      <c r="AB81" s="19">
        <f>IF(ISERROR($F$81),"",IF(ISBLANK($F$81),"",$F$81))</f>
        <v/>
      </c>
      <c r="AC81" s="19">
        <f>IF(ISERROR($G$81),"",IF(ISBLANK($G$81),"",$G$81))</f>
        <v/>
      </c>
      <c r="AD81" s="19">
        <f>IF(ISERROR($H$81),"",IF(ISBLANK($H$81),"",$H$81))</f>
        <v/>
      </c>
      <c r="AE81" s="19">
        <f>IF(ISERROR($I$81),"",IF(ISBLANK($I$81),"",$I$81))</f>
        <v/>
      </c>
      <c r="AF81" s="19">
        <f>IF(ISERROR($J$81),"",IF(ISBLANK($J$81),"",$J$81))</f>
        <v/>
      </c>
    </row>
    <row r="82" ht="26" customHeight="1">
      <c r="B82" s="30" t="n"/>
      <c r="C82" s="3" t="n"/>
      <c r="D82" s="3" t="n"/>
      <c r="E82" s="3" t="n"/>
      <c r="F82" s="3" t="n"/>
      <c r="G82" s="3" t="n"/>
      <c r="H82" s="3" t="n"/>
      <c r="I82" s="3" t="n"/>
      <c r="J82" s="3" t="n"/>
      <c r="K82" s="18">
        <f>IF(AG82&gt;0,"O Google leu como fórmula: escolha de novo ou digite com ' na frente.","")</f>
        <v/>
      </c>
      <c r="N82" s="19">
        <f>N81+IF(LEN($X$82)&gt;0,1,0)</f>
        <v/>
      </c>
      <c r="O82" s="19">
        <f>O81+IF(LEN($Y$82)&gt;0,1,0)</f>
        <v/>
      </c>
      <c r="P82" s="19">
        <f>P81+IF(LEN($Z$82)&gt;0,1,0)</f>
        <v/>
      </c>
      <c r="Q82" s="19">
        <f>Q81+IF(LEN($AA$82)&gt;0,1,0)</f>
        <v/>
      </c>
      <c r="R82" s="19">
        <f>R81+IF(LEN($AB$82)&gt;0,1,0)</f>
        <v/>
      </c>
      <c r="S82" s="19">
        <f>S81+IF(LEN($AC$82)&gt;0,1,0)</f>
        <v/>
      </c>
      <c r="T82" s="19">
        <f>T81+IF(LEN($AD$82)&gt;0,1,0)</f>
        <v/>
      </c>
      <c r="U82" s="19">
        <f>U81+IF(LEN($AE$82)&gt;0,1,0)</f>
        <v/>
      </c>
      <c r="X82" s="19">
        <f>IF(ISERROR($B$82),"",IF(ISBLANK($B$82),"",$B$82))</f>
        <v/>
      </c>
      <c r="Y82" s="19">
        <f>IF(ISERROR($C$82),"",IF(ISBLANK($C$82),"",$C$82))</f>
        <v/>
      </c>
      <c r="Z82" s="19">
        <f>IF(ISERROR($D$82),"",IF(ISBLANK($D$82),"",$D$82))</f>
        <v/>
      </c>
      <c r="AA82" s="19">
        <f>IF(ISERROR($E$82),"",IF(ISBLANK($E$82),"",$E$82))</f>
        <v/>
      </c>
      <c r="AB82" s="19">
        <f>IF(ISERROR($F$82),"",IF(ISBLANK($F$82),"",$F$82))</f>
        <v/>
      </c>
      <c r="AC82" s="19">
        <f>IF(ISERROR($G$82),"",IF(ISBLANK($G$82),"",$G$82))</f>
        <v/>
      </c>
      <c r="AD82" s="19">
        <f>IF(ISERROR($H$82),"",IF(ISBLANK($H$82),"",$H$82))</f>
        <v/>
      </c>
      <c r="AE82" s="19">
        <f>IF(ISERROR($I$82),"",IF(ISBLANK($I$82),"",$I$82))</f>
        <v/>
      </c>
      <c r="AF82" s="19">
        <f>IF(ISERROR($J$82),"",IF(ISBLANK($J$82),"",$J$82))</f>
        <v/>
      </c>
      <c r="AG82" s="19">
        <f>ISERROR($B$82)*1+ISERROR($C$82)*1+ISERROR($D$82)*1+ISERROR($E$82)*1+ISERROR($F$82)*1+ISERROR($G$82)*1+ISERROR($H$82)*1+ISERROR($I$82)*1+ISERROR($J$82)*1</f>
        <v/>
      </c>
    </row>
    <row r="83" ht="26" customHeight="1">
      <c r="B83" s="31" t="n"/>
      <c r="C83" s="28" t="n"/>
      <c r="D83" s="28" t="n"/>
      <c r="E83" s="28" t="n"/>
      <c r="F83" s="28" t="n"/>
      <c r="G83" s="28" t="n"/>
      <c r="H83" s="28" t="n"/>
      <c r="I83" s="28" t="n"/>
      <c r="J83" s="28" t="n"/>
      <c r="K83" s="18">
        <f>IF(AG83&gt;0,"O Google leu como fórmula: escolha de novo ou digite com ' na frente.","")</f>
        <v/>
      </c>
      <c r="N83" s="19">
        <f>N82+IF(LEN($X$83)&gt;0,1,0)</f>
        <v/>
      </c>
      <c r="O83" s="19">
        <f>O82+IF(LEN($Y$83)&gt;0,1,0)</f>
        <v/>
      </c>
      <c r="P83" s="19">
        <f>P82+IF(LEN($Z$83)&gt;0,1,0)</f>
        <v/>
      </c>
      <c r="Q83" s="19">
        <f>Q82+IF(LEN($AA$83)&gt;0,1,0)</f>
        <v/>
      </c>
      <c r="R83" s="19">
        <f>R82+IF(LEN($AB$83)&gt;0,1,0)</f>
        <v/>
      </c>
      <c r="S83" s="19">
        <f>S82+IF(LEN($AC$83)&gt;0,1,0)</f>
        <v/>
      </c>
      <c r="T83" s="19">
        <f>T82+IF(LEN($AD$83)&gt;0,1,0)</f>
        <v/>
      </c>
      <c r="U83" s="19">
        <f>U82+IF(LEN($AE$83)&gt;0,1,0)</f>
        <v/>
      </c>
      <c r="X83" s="19">
        <f>IF(ISERROR($B$83),"",IF(ISBLANK($B$83),"",$B$83))</f>
        <v/>
      </c>
      <c r="Y83" s="19">
        <f>IF(ISERROR($C$83),"",IF(ISBLANK($C$83),"",$C$83))</f>
        <v/>
      </c>
      <c r="Z83" s="19">
        <f>IF(ISERROR($D$83),"",IF(ISBLANK($D$83),"",$D$83))</f>
        <v/>
      </c>
      <c r="AA83" s="19">
        <f>IF(ISERROR($E$83),"",IF(ISBLANK($E$83),"",$E$83))</f>
        <v/>
      </c>
      <c r="AB83" s="19">
        <f>IF(ISERROR($F$83),"",IF(ISBLANK($F$83),"",$F$83))</f>
        <v/>
      </c>
      <c r="AC83" s="19">
        <f>IF(ISERROR($G$83),"",IF(ISBLANK($G$83),"",$G$83))</f>
        <v/>
      </c>
      <c r="AD83" s="19">
        <f>IF(ISERROR($H$83),"",IF(ISBLANK($H$83),"",$H$83))</f>
        <v/>
      </c>
      <c r="AE83" s="19">
        <f>IF(ISERROR($I$83),"",IF(ISBLANK($I$83),"",$I$83))</f>
        <v/>
      </c>
      <c r="AF83" s="19">
        <f>IF(ISERROR($J$83),"",IF(ISBLANK($J$83),"",$J$83))</f>
        <v/>
      </c>
      <c r="AG83" s="19">
        <f>ISERROR($B$83)*1+ISERROR($C$83)*1+ISERROR($D$83)*1+ISERROR($E$83)*1+ISERROR($F$83)*1+ISERROR($G$83)*1+ISERROR($H$83)*1+ISERROR($I$83)*1+ISERROR($J$83)*1</f>
        <v/>
      </c>
    </row>
    <row r="84" ht="26" customHeight="1">
      <c r="B84" s="30" t="n"/>
      <c r="C84" s="3" t="n"/>
      <c r="D84" s="3" t="n"/>
      <c r="E84" s="3" t="n"/>
      <c r="F84" s="3" t="n"/>
      <c r="G84" s="3" t="n"/>
      <c r="H84" s="3" t="n"/>
      <c r="I84" s="3" t="n"/>
      <c r="J84" s="3" t="n"/>
      <c r="K84" s="18">
        <f>IF(AG84&gt;0,"O Google leu como fórmula: escolha de novo ou digite com ' na frente.","")</f>
        <v/>
      </c>
      <c r="N84" s="19">
        <f>N83+IF(LEN($X$84)&gt;0,1,0)</f>
        <v/>
      </c>
      <c r="O84" s="19">
        <f>O83+IF(LEN($Y$84)&gt;0,1,0)</f>
        <v/>
      </c>
      <c r="P84" s="19">
        <f>P83+IF(LEN($Z$84)&gt;0,1,0)</f>
        <v/>
      </c>
      <c r="Q84" s="19">
        <f>Q83+IF(LEN($AA$84)&gt;0,1,0)</f>
        <v/>
      </c>
      <c r="R84" s="19">
        <f>R83+IF(LEN($AB$84)&gt;0,1,0)</f>
        <v/>
      </c>
      <c r="S84" s="19">
        <f>S83+IF(LEN($AC$84)&gt;0,1,0)</f>
        <v/>
      </c>
      <c r="T84" s="19">
        <f>T83+IF(LEN($AD$84)&gt;0,1,0)</f>
        <v/>
      </c>
      <c r="U84" s="19">
        <f>U83+IF(LEN($AE$84)&gt;0,1,0)</f>
        <v/>
      </c>
      <c r="X84" s="19">
        <f>IF(ISERROR($B$84),"",IF(ISBLANK($B$84),"",$B$84))</f>
        <v/>
      </c>
      <c r="Y84" s="19">
        <f>IF(ISERROR($C$84),"",IF(ISBLANK($C$84),"",$C$84))</f>
        <v/>
      </c>
      <c r="Z84" s="19">
        <f>IF(ISERROR($D$84),"",IF(ISBLANK($D$84),"",$D$84))</f>
        <v/>
      </c>
      <c r="AA84" s="19">
        <f>IF(ISERROR($E$84),"",IF(ISBLANK($E$84),"",$E$84))</f>
        <v/>
      </c>
      <c r="AB84" s="19">
        <f>IF(ISERROR($F$84),"",IF(ISBLANK($F$84),"",$F$84))</f>
        <v/>
      </c>
      <c r="AC84" s="19">
        <f>IF(ISERROR($G$84),"",IF(ISBLANK($G$84),"",$G$84))</f>
        <v/>
      </c>
      <c r="AD84" s="19">
        <f>IF(ISERROR($H$84),"",IF(ISBLANK($H$84),"",$H$84))</f>
        <v/>
      </c>
      <c r="AE84" s="19">
        <f>IF(ISERROR($I$84),"",IF(ISBLANK($I$84),"",$I$84))</f>
        <v/>
      </c>
      <c r="AF84" s="19">
        <f>IF(ISERROR($J$84),"",IF(ISBLANK($J$84),"",$J$84))</f>
        <v/>
      </c>
      <c r="AG84" s="19">
        <f>ISERROR($B$84)*1+ISERROR($C$84)*1+ISERROR($D$84)*1+ISERROR($E$84)*1+ISERROR($F$84)*1+ISERROR($G$84)*1+ISERROR($H$84)*1+ISERROR($I$84)*1+ISERROR($J$84)*1</f>
        <v/>
      </c>
    </row>
    <row r="85" ht="26" customHeight="1">
      <c r="B85" s="31" t="n"/>
      <c r="C85" s="28" t="n"/>
      <c r="D85" s="28" t="n"/>
      <c r="E85" s="28" t="n"/>
      <c r="F85" s="28" t="n"/>
      <c r="G85" s="28" t="n"/>
      <c r="H85" s="28" t="n"/>
      <c r="I85" s="28" t="n"/>
      <c r="J85" s="28" t="n"/>
      <c r="K85" s="18">
        <f>IF(AG85&gt;0,"O Google leu como fórmula: escolha de novo ou digite com ' na frente.","")</f>
        <v/>
      </c>
      <c r="N85" s="19">
        <f>N84+IF(LEN($X$85)&gt;0,1,0)</f>
        <v/>
      </c>
      <c r="O85" s="19">
        <f>O84+IF(LEN($Y$85)&gt;0,1,0)</f>
        <v/>
      </c>
      <c r="P85" s="19">
        <f>P84+IF(LEN($Z$85)&gt;0,1,0)</f>
        <v/>
      </c>
      <c r="Q85" s="19">
        <f>Q84+IF(LEN($AA$85)&gt;0,1,0)</f>
        <v/>
      </c>
      <c r="R85" s="19">
        <f>R84+IF(LEN($AB$85)&gt;0,1,0)</f>
        <v/>
      </c>
      <c r="S85" s="19">
        <f>S84+IF(LEN($AC$85)&gt;0,1,0)</f>
        <v/>
      </c>
      <c r="T85" s="19">
        <f>T84+IF(LEN($AD$85)&gt;0,1,0)</f>
        <v/>
      </c>
      <c r="U85" s="19">
        <f>U84+IF(LEN($AE$85)&gt;0,1,0)</f>
        <v/>
      </c>
      <c r="X85" s="19">
        <f>IF(ISERROR($B$85),"",IF(ISBLANK($B$85),"",$B$85))</f>
        <v/>
      </c>
      <c r="Y85" s="19">
        <f>IF(ISERROR($C$85),"",IF(ISBLANK($C$85),"",$C$85))</f>
        <v/>
      </c>
      <c r="Z85" s="19">
        <f>IF(ISERROR($D$85),"",IF(ISBLANK($D$85),"",$D$85))</f>
        <v/>
      </c>
      <c r="AA85" s="19">
        <f>IF(ISERROR($E$85),"",IF(ISBLANK($E$85),"",$E$85))</f>
        <v/>
      </c>
      <c r="AB85" s="19">
        <f>IF(ISERROR($F$85),"",IF(ISBLANK($F$85),"",$F$85))</f>
        <v/>
      </c>
      <c r="AC85" s="19">
        <f>IF(ISERROR($G$85),"",IF(ISBLANK($G$85),"",$G$85))</f>
        <v/>
      </c>
      <c r="AD85" s="19">
        <f>IF(ISERROR($H$85),"",IF(ISBLANK($H$85),"",$H$85))</f>
        <v/>
      </c>
      <c r="AE85" s="19">
        <f>IF(ISERROR($I$85),"",IF(ISBLANK($I$85),"",$I$85))</f>
        <v/>
      </c>
      <c r="AF85" s="19">
        <f>IF(ISERROR($J$85),"",IF(ISBLANK($J$85),"",$J$85))</f>
        <v/>
      </c>
      <c r="AG85" s="19">
        <f>ISERROR($B$85)*1+ISERROR($C$85)*1+ISERROR($D$85)*1+ISERROR($E$85)*1+ISERROR($F$85)*1+ISERROR($G$85)*1+ISERROR($H$85)*1+ISERROR($I$85)*1+ISERROR($J$85)*1</f>
        <v/>
      </c>
    </row>
    <row r="86" ht="26" customHeight="1">
      <c r="B86" s="30" t="n"/>
      <c r="C86" s="3" t="n"/>
      <c r="D86" s="3" t="n"/>
      <c r="E86" s="3" t="n"/>
      <c r="F86" s="3" t="n"/>
      <c r="G86" s="3" t="n"/>
      <c r="H86" s="3" t="n"/>
      <c r="I86" s="3" t="n"/>
      <c r="J86" s="3" t="n"/>
      <c r="K86" s="18">
        <f>IF(AG86&gt;0,"O Google leu como fórmula: escolha de novo ou digite com ' na frente.","")</f>
        <v/>
      </c>
      <c r="N86" s="19">
        <f>N85+IF(LEN($X$86)&gt;0,1,0)</f>
        <v/>
      </c>
      <c r="O86" s="19">
        <f>O85+IF(LEN($Y$86)&gt;0,1,0)</f>
        <v/>
      </c>
      <c r="P86" s="19">
        <f>P85+IF(LEN($Z$86)&gt;0,1,0)</f>
        <v/>
      </c>
      <c r="Q86" s="19">
        <f>Q85+IF(LEN($AA$86)&gt;0,1,0)</f>
        <v/>
      </c>
      <c r="R86" s="19">
        <f>R85+IF(LEN($AB$86)&gt;0,1,0)</f>
        <v/>
      </c>
      <c r="S86" s="19">
        <f>S85+IF(LEN($AC$86)&gt;0,1,0)</f>
        <v/>
      </c>
      <c r="T86" s="19">
        <f>T85+IF(LEN($AD$86)&gt;0,1,0)</f>
        <v/>
      </c>
      <c r="U86" s="19">
        <f>U85+IF(LEN($AE$86)&gt;0,1,0)</f>
        <v/>
      </c>
      <c r="X86" s="19">
        <f>IF(ISERROR($B$86),"",IF(ISBLANK($B$86),"",$B$86))</f>
        <v/>
      </c>
      <c r="Y86" s="19">
        <f>IF(ISERROR($C$86),"",IF(ISBLANK($C$86),"",$C$86))</f>
        <v/>
      </c>
      <c r="Z86" s="19">
        <f>IF(ISERROR($D$86),"",IF(ISBLANK($D$86),"",$D$86))</f>
        <v/>
      </c>
      <c r="AA86" s="19">
        <f>IF(ISERROR($E$86),"",IF(ISBLANK($E$86),"",$E$86))</f>
        <v/>
      </c>
      <c r="AB86" s="19">
        <f>IF(ISERROR($F$86),"",IF(ISBLANK($F$86),"",$F$86))</f>
        <v/>
      </c>
      <c r="AC86" s="19">
        <f>IF(ISERROR($G$86),"",IF(ISBLANK($G$86),"",$G$86))</f>
        <v/>
      </c>
      <c r="AD86" s="19">
        <f>IF(ISERROR($H$86),"",IF(ISBLANK($H$86),"",$H$86))</f>
        <v/>
      </c>
      <c r="AE86" s="19">
        <f>IF(ISERROR($I$86),"",IF(ISBLANK($I$86),"",$I$86))</f>
        <v/>
      </c>
      <c r="AF86" s="19">
        <f>IF(ISERROR($J$86),"",IF(ISBLANK($J$86),"",$J$86))</f>
        <v/>
      </c>
      <c r="AG86" s="19">
        <f>ISERROR($B$86)*1+ISERROR($C$86)*1+ISERROR($D$86)*1+ISERROR($E$86)*1+ISERROR($F$86)*1+ISERROR($G$86)*1+ISERROR($H$86)*1+ISERROR($I$86)*1+ISERROR($J$86)*1</f>
        <v/>
      </c>
    </row>
    <row r="87" ht="26" customHeight="1">
      <c r="B87" s="31" t="n"/>
      <c r="C87" s="28" t="n"/>
      <c r="D87" s="28" t="n"/>
      <c r="E87" s="28" t="n"/>
      <c r="F87" s="28" t="n"/>
      <c r="G87" s="28" t="n"/>
      <c r="H87" s="28" t="n"/>
      <c r="I87" s="28" t="n"/>
      <c r="J87" s="28" t="n"/>
      <c r="K87" s="18">
        <f>IF(AG87&gt;0,"O Google leu como fórmula: escolha de novo ou digite com ' na frente.","")</f>
        <v/>
      </c>
      <c r="N87" s="19">
        <f>N86+IF(LEN($X$87)&gt;0,1,0)</f>
        <v/>
      </c>
      <c r="O87" s="19">
        <f>O86+IF(LEN($Y$87)&gt;0,1,0)</f>
        <v/>
      </c>
      <c r="P87" s="19">
        <f>P86+IF(LEN($Z$87)&gt;0,1,0)</f>
        <v/>
      </c>
      <c r="Q87" s="19">
        <f>Q86+IF(LEN($AA$87)&gt;0,1,0)</f>
        <v/>
      </c>
      <c r="R87" s="19">
        <f>R86+IF(LEN($AB$87)&gt;0,1,0)</f>
        <v/>
      </c>
      <c r="S87" s="19">
        <f>S86+IF(LEN($AC$87)&gt;0,1,0)</f>
        <v/>
      </c>
      <c r="T87" s="19">
        <f>T86+IF(LEN($AD$87)&gt;0,1,0)</f>
        <v/>
      </c>
      <c r="U87" s="19">
        <f>U86+IF(LEN($AE$87)&gt;0,1,0)</f>
        <v/>
      </c>
      <c r="X87" s="19">
        <f>IF(ISERROR($B$87),"",IF(ISBLANK($B$87),"",$B$87))</f>
        <v/>
      </c>
      <c r="Y87" s="19">
        <f>IF(ISERROR($C$87),"",IF(ISBLANK($C$87),"",$C$87))</f>
        <v/>
      </c>
      <c r="Z87" s="19">
        <f>IF(ISERROR($D$87),"",IF(ISBLANK($D$87),"",$D$87))</f>
        <v/>
      </c>
      <c r="AA87" s="19">
        <f>IF(ISERROR($E$87),"",IF(ISBLANK($E$87),"",$E$87))</f>
        <v/>
      </c>
      <c r="AB87" s="19">
        <f>IF(ISERROR($F$87),"",IF(ISBLANK($F$87),"",$F$87))</f>
        <v/>
      </c>
      <c r="AC87" s="19">
        <f>IF(ISERROR($G$87),"",IF(ISBLANK($G$87),"",$G$87))</f>
        <v/>
      </c>
      <c r="AD87" s="19">
        <f>IF(ISERROR($H$87),"",IF(ISBLANK($H$87),"",$H$87))</f>
        <v/>
      </c>
      <c r="AE87" s="19">
        <f>IF(ISERROR($I$87),"",IF(ISBLANK($I$87),"",$I$87))</f>
        <v/>
      </c>
      <c r="AF87" s="19">
        <f>IF(ISERROR($J$87),"",IF(ISBLANK($J$87),"",$J$87))</f>
        <v/>
      </c>
      <c r="AG87" s="19">
        <f>ISERROR($B$87)*1+ISERROR($C$87)*1+ISERROR($D$87)*1+ISERROR($E$87)*1+ISERROR($F$87)*1+ISERROR($G$87)*1+ISERROR($H$87)*1+ISERROR($I$87)*1+ISERROR($J$87)*1</f>
        <v/>
      </c>
    </row>
    <row r="88" ht="26" customHeight="1">
      <c r="B88" s="30" t="n"/>
      <c r="C88" s="3" t="n"/>
      <c r="D88" s="3" t="n"/>
      <c r="E88" s="3" t="n"/>
      <c r="F88" s="3" t="n"/>
      <c r="G88" s="3" t="n"/>
      <c r="H88" s="3" t="n"/>
      <c r="I88" s="3" t="n"/>
      <c r="J88" s="3" t="n"/>
      <c r="K88" s="18">
        <f>IF(AG88&gt;0,"O Google leu como fórmula: escolha de novo ou digite com ' na frente.","")</f>
        <v/>
      </c>
      <c r="N88" s="19">
        <f>N87+IF(LEN($X$88)&gt;0,1,0)</f>
        <v/>
      </c>
      <c r="O88" s="19">
        <f>O87+IF(LEN($Y$88)&gt;0,1,0)</f>
        <v/>
      </c>
      <c r="P88" s="19">
        <f>P87+IF(LEN($Z$88)&gt;0,1,0)</f>
        <v/>
      </c>
      <c r="Q88" s="19">
        <f>Q87+IF(LEN($AA$88)&gt;0,1,0)</f>
        <v/>
      </c>
      <c r="R88" s="19">
        <f>R87+IF(LEN($AB$88)&gt;0,1,0)</f>
        <v/>
      </c>
      <c r="S88" s="19">
        <f>S87+IF(LEN($AC$88)&gt;0,1,0)</f>
        <v/>
      </c>
      <c r="T88" s="19">
        <f>T87+IF(LEN($AD$88)&gt;0,1,0)</f>
        <v/>
      </c>
      <c r="U88" s="19">
        <f>U87+IF(LEN($AE$88)&gt;0,1,0)</f>
        <v/>
      </c>
      <c r="X88" s="19">
        <f>IF(ISERROR($B$88),"",IF(ISBLANK($B$88),"",$B$88))</f>
        <v/>
      </c>
      <c r="Y88" s="19">
        <f>IF(ISERROR($C$88),"",IF(ISBLANK($C$88),"",$C$88))</f>
        <v/>
      </c>
      <c r="Z88" s="19">
        <f>IF(ISERROR($D$88),"",IF(ISBLANK($D$88),"",$D$88))</f>
        <v/>
      </c>
      <c r="AA88" s="19">
        <f>IF(ISERROR($E$88),"",IF(ISBLANK($E$88),"",$E$88))</f>
        <v/>
      </c>
      <c r="AB88" s="19">
        <f>IF(ISERROR($F$88),"",IF(ISBLANK($F$88),"",$F$88))</f>
        <v/>
      </c>
      <c r="AC88" s="19">
        <f>IF(ISERROR($G$88),"",IF(ISBLANK($G$88),"",$G$88))</f>
        <v/>
      </c>
      <c r="AD88" s="19">
        <f>IF(ISERROR($H$88),"",IF(ISBLANK($H$88),"",$H$88))</f>
        <v/>
      </c>
      <c r="AE88" s="19">
        <f>IF(ISERROR($I$88),"",IF(ISBLANK($I$88),"",$I$88))</f>
        <v/>
      </c>
      <c r="AF88" s="19">
        <f>IF(ISERROR($J$88),"",IF(ISBLANK($J$88),"",$J$88))</f>
        <v/>
      </c>
      <c r="AG88" s="19">
        <f>ISERROR($B$88)*1+ISERROR($C$88)*1+ISERROR($D$88)*1+ISERROR($E$88)*1+ISERROR($F$88)*1+ISERROR($G$88)*1+ISERROR($H$88)*1+ISERROR($I$88)*1+ISERROR($J$88)*1</f>
        <v/>
      </c>
    </row>
    <row r="89" ht="26" customHeight="1">
      <c r="B89" s="31" t="n"/>
      <c r="C89" s="28" t="n"/>
      <c r="D89" s="28" t="n"/>
      <c r="E89" s="28" t="n"/>
      <c r="F89" s="28" t="n"/>
      <c r="G89" s="28" t="n"/>
      <c r="H89" s="28" t="n"/>
      <c r="I89" s="28" t="n"/>
      <c r="J89" s="28" t="n"/>
      <c r="K89" s="18">
        <f>IF(AG89&gt;0,"O Google leu como fórmula: escolha de novo ou digite com ' na frente.","")</f>
        <v/>
      </c>
      <c r="N89" s="19">
        <f>N88+IF(LEN($X$89)&gt;0,1,0)</f>
        <v/>
      </c>
      <c r="O89" s="19">
        <f>O88+IF(LEN($Y$89)&gt;0,1,0)</f>
        <v/>
      </c>
      <c r="P89" s="19">
        <f>P88+IF(LEN($Z$89)&gt;0,1,0)</f>
        <v/>
      </c>
      <c r="Q89" s="19">
        <f>Q88+IF(LEN($AA$89)&gt;0,1,0)</f>
        <v/>
      </c>
      <c r="R89" s="19">
        <f>R88+IF(LEN($AB$89)&gt;0,1,0)</f>
        <v/>
      </c>
      <c r="S89" s="19">
        <f>S88+IF(LEN($AC$89)&gt;0,1,0)</f>
        <v/>
      </c>
      <c r="T89" s="19">
        <f>T88+IF(LEN($AD$89)&gt;0,1,0)</f>
        <v/>
      </c>
      <c r="U89" s="19">
        <f>U88+IF(LEN($AE$89)&gt;0,1,0)</f>
        <v/>
      </c>
      <c r="X89" s="19">
        <f>IF(ISERROR($B$89),"",IF(ISBLANK($B$89),"",$B$89))</f>
        <v/>
      </c>
      <c r="Y89" s="19">
        <f>IF(ISERROR($C$89),"",IF(ISBLANK($C$89),"",$C$89))</f>
        <v/>
      </c>
      <c r="Z89" s="19">
        <f>IF(ISERROR($D$89),"",IF(ISBLANK($D$89),"",$D$89))</f>
        <v/>
      </c>
      <c r="AA89" s="19">
        <f>IF(ISERROR($E$89),"",IF(ISBLANK($E$89),"",$E$89))</f>
        <v/>
      </c>
      <c r="AB89" s="19">
        <f>IF(ISERROR($F$89),"",IF(ISBLANK($F$89),"",$F$89))</f>
        <v/>
      </c>
      <c r="AC89" s="19">
        <f>IF(ISERROR($G$89),"",IF(ISBLANK($G$89),"",$G$89))</f>
        <v/>
      </c>
      <c r="AD89" s="19">
        <f>IF(ISERROR($H$89),"",IF(ISBLANK($H$89),"",$H$89))</f>
        <v/>
      </c>
      <c r="AE89" s="19">
        <f>IF(ISERROR($I$89),"",IF(ISBLANK($I$89),"",$I$89))</f>
        <v/>
      </c>
      <c r="AF89" s="19">
        <f>IF(ISERROR($J$89),"",IF(ISBLANK($J$89),"",$J$89))</f>
        <v/>
      </c>
      <c r="AG89" s="19">
        <f>ISERROR($B$89)*1+ISERROR($C$89)*1+ISERROR($D$89)*1+ISERROR($E$89)*1+ISERROR($F$89)*1+ISERROR($G$89)*1+ISERROR($H$89)*1+ISERROR($I$89)*1+ISERROR($J$89)*1</f>
        <v/>
      </c>
    </row>
    <row r="90" ht="26" customHeight="1">
      <c r="B90" s="30" t="n"/>
      <c r="C90" s="3" t="n"/>
      <c r="D90" s="3" t="n"/>
      <c r="E90" s="3" t="n"/>
      <c r="F90" s="3" t="n"/>
      <c r="G90" s="3" t="n"/>
      <c r="H90" s="3" t="n"/>
      <c r="I90" s="3" t="n"/>
      <c r="J90" s="3" t="n"/>
      <c r="K90" s="18">
        <f>IF(AG90&gt;0,"O Google leu como fórmula: escolha de novo ou digite com ' na frente.","")</f>
        <v/>
      </c>
      <c r="N90" s="19">
        <f>N89+IF(LEN($X$90)&gt;0,1,0)</f>
        <v/>
      </c>
      <c r="O90" s="19">
        <f>O89+IF(LEN($Y$90)&gt;0,1,0)</f>
        <v/>
      </c>
      <c r="P90" s="19">
        <f>P89+IF(LEN($Z$90)&gt;0,1,0)</f>
        <v/>
      </c>
      <c r="Q90" s="19">
        <f>Q89+IF(LEN($AA$90)&gt;0,1,0)</f>
        <v/>
      </c>
      <c r="R90" s="19">
        <f>R89+IF(LEN($AB$90)&gt;0,1,0)</f>
        <v/>
      </c>
      <c r="S90" s="19">
        <f>S89+IF(LEN($AC$90)&gt;0,1,0)</f>
        <v/>
      </c>
      <c r="T90" s="19">
        <f>T89+IF(LEN($AD$90)&gt;0,1,0)</f>
        <v/>
      </c>
      <c r="U90" s="19">
        <f>U89+IF(LEN($AE$90)&gt;0,1,0)</f>
        <v/>
      </c>
      <c r="X90" s="19">
        <f>IF(ISERROR($B$90),"",IF(ISBLANK($B$90),"",$B$90))</f>
        <v/>
      </c>
      <c r="Y90" s="19">
        <f>IF(ISERROR($C$90),"",IF(ISBLANK($C$90),"",$C$90))</f>
        <v/>
      </c>
      <c r="Z90" s="19">
        <f>IF(ISERROR($D$90),"",IF(ISBLANK($D$90),"",$D$90))</f>
        <v/>
      </c>
      <c r="AA90" s="19">
        <f>IF(ISERROR($E$90),"",IF(ISBLANK($E$90),"",$E$90))</f>
        <v/>
      </c>
      <c r="AB90" s="19">
        <f>IF(ISERROR($F$90),"",IF(ISBLANK($F$90),"",$F$90))</f>
        <v/>
      </c>
      <c r="AC90" s="19">
        <f>IF(ISERROR($G$90),"",IF(ISBLANK($G$90),"",$G$90))</f>
        <v/>
      </c>
      <c r="AD90" s="19">
        <f>IF(ISERROR($H$90),"",IF(ISBLANK($H$90),"",$H$90))</f>
        <v/>
      </c>
      <c r="AE90" s="19">
        <f>IF(ISERROR($I$90),"",IF(ISBLANK($I$90),"",$I$90))</f>
        <v/>
      </c>
      <c r="AF90" s="19">
        <f>IF(ISERROR($J$90),"",IF(ISBLANK($J$90),"",$J$90))</f>
        <v/>
      </c>
      <c r="AG90" s="19">
        <f>ISERROR($B$90)*1+ISERROR($C$90)*1+ISERROR($D$90)*1+ISERROR($E$90)*1+ISERROR($F$90)*1+ISERROR($G$90)*1+ISERROR($H$90)*1+ISERROR($I$90)*1+ISERROR($J$90)*1</f>
        <v/>
      </c>
    </row>
    <row r="91" ht="26" customHeight="1">
      <c r="B91" s="31" t="n"/>
      <c r="C91" s="28" t="n"/>
      <c r="D91" s="28" t="n"/>
      <c r="E91" s="28" t="n"/>
      <c r="F91" s="28" t="n"/>
      <c r="G91" s="28" t="n"/>
      <c r="H91" s="28" t="n"/>
      <c r="I91" s="28" t="n"/>
      <c r="J91" s="28" t="n"/>
      <c r="K91" s="18">
        <f>IF(AG91&gt;0,"O Google leu como fórmula: escolha de novo ou digite com ' na frente.","")</f>
        <v/>
      </c>
      <c r="N91" s="19">
        <f>N90+IF(LEN($X$91)&gt;0,1,0)</f>
        <v/>
      </c>
      <c r="O91" s="19">
        <f>O90+IF(LEN($Y$91)&gt;0,1,0)</f>
        <v/>
      </c>
      <c r="P91" s="19">
        <f>P90+IF(LEN($Z$91)&gt;0,1,0)</f>
        <v/>
      </c>
      <c r="Q91" s="19">
        <f>Q90+IF(LEN($AA$91)&gt;0,1,0)</f>
        <v/>
      </c>
      <c r="R91" s="19">
        <f>R90+IF(LEN($AB$91)&gt;0,1,0)</f>
        <v/>
      </c>
      <c r="S91" s="19">
        <f>S90+IF(LEN($AC$91)&gt;0,1,0)</f>
        <v/>
      </c>
      <c r="T91" s="19">
        <f>T90+IF(LEN($AD$91)&gt;0,1,0)</f>
        <v/>
      </c>
      <c r="U91" s="19">
        <f>U90+IF(LEN($AE$91)&gt;0,1,0)</f>
        <v/>
      </c>
      <c r="X91" s="19">
        <f>IF(ISERROR($B$91),"",IF(ISBLANK($B$91),"",$B$91))</f>
        <v/>
      </c>
      <c r="Y91" s="19">
        <f>IF(ISERROR($C$91),"",IF(ISBLANK($C$91),"",$C$91))</f>
        <v/>
      </c>
      <c r="Z91" s="19">
        <f>IF(ISERROR($D$91),"",IF(ISBLANK($D$91),"",$D$91))</f>
        <v/>
      </c>
      <c r="AA91" s="19">
        <f>IF(ISERROR($E$91),"",IF(ISBLANK($E$91),"",$E$91))</f>
        <v/>
      </c>
      <c r="AB91" s="19">
        <f>IF(ISERROR($F$91),"",IF(ISBLANK($F$91),"",$F$91))</f>
        <v/>
      </c>
      <c r="AC91" s="19">
        <f>IF(ISERROR($G$91),"",IF(ISBLANK($G$91),"",$G$91))</f>
        <v/>
      </c>
      <c r="AD91" s="19">
        <f>IF(ISERROR($H$91),"",IF(ISBLANK($H$91),"",$H$91))</f>
        <v/>
      </c>
      <c r="AE91" s="19">
        <f>IF(ISERROR($I$91),"",IF(ISBLANK($I$91),"",$I$91))</f>
        <v/>
      </c>
      <c r="AF91" s="19">
        <f>IF(ISERROR($J$91),"",IF(ISBLANK($J$91),"",$J$91))</f>
        <v/>
      </c>
      <c r="AG91" s="19">
        <f>ISERROR($B$91)*1+ISERROR($C$91)*1+ISERROR($D$91)*1+ISERROR($E$91)*1+ISERROR($F$91)*1+ISERROR($G$91)*1+ISERROR($H$91)*1+ISERROR($I$91)*1+ISERROR($J$91)*1</f>
        <v/>
      </c>
    </row>
    <row r="92" ht="26" customHeight="1">
      <c r="B92" s="30" t="n"/>
      <c r="C92" s="3" t="n"/>
      <c r="D92" s="3" t="n"/>
      <c r="E92" s="3" t="n"/>
      <c r="F92" s="3" t="n"/>
      <c r="G92" s="3" t="n"/>
      <c r="H92" s="3" t="n"/>
      <c r="I92" s="3" t="n"/>
      <c r="J92" s="3" t="n"/>
      <c r="K92" s="18">
        <f>IF(AG92&gt;0,"O Google leu como fórmula: escolha de novo ou digite com ' na frente.","")</f>
        <v/>
      </c>
      <c r="N92" s="19">
        <f>N91+IF(LEN($X$92)&gt;0,1,0)</f>
        <v/>
      </c>
      <c r="O92" s="19">
        <f>O91+IF(LEN($Y$92)&gt;0,1,0)</f>
        <v/>
      </c>
      <c r="P92" s="19">
        <f>P91+IF(LEN($Z$92)&gt;0,1,0)</f>
        <v/>
      </c>
      <c r="Q92" s="19">
        <f>Q91+IF(LEN($AA$92)&gt;0,1,0)</f>
        <v/>
      </c>
      <c r="R92" s="19">
        <f>R91+IF(LEN($AB$92)&gt;0,1,0)</f>
        <v/>
      </c>
      <c r="S92" s="19">
        <f>S91+IF(LEN($AC$92)&gt;0,1,0)</f>
        <v/>
      </c>
      <c r="T92" s="19">
        <f>T91+IF(LEN($AD$92)&gt;0,1,0)</f>
        <v/>
      </c>
      <c r="U92" s="19">
        <f>U91+IF(LEN($AE$92)&gt;0,1,0)</f>
        <v/>
      </c>
      <c r="X92" s="19">
        <f>IF(ISERROR($B$92),"",IF(ISBLANK($B$92),"",$B$92))</f>
        <v/>
      </c>
      <c r="Y92" s="19">
        <f>IF(ISERROR($C$92),"",IF(ISBLANK($C$92),"",$C$92))</f>
        <v/>
      </c>
      <c r="Z92" s="19">
        <f>IF(ISERROR($D$92),"",IF(ISBLANK($D$92),"",$D$92))</f>
        <v/>
      </c>
      <c r="AA92" s="19">
        <f>IF(ISERROR($E$92),"",IF(ISBLANK($E$92),"",$E$92))</f>
        <v/>
      </c>
      <c r="AB92" s="19">
        <f>IF(ISERROR($F$92),"",IF(ISBLANK($F$92),"",$F$92))</f>
        <v/>
      </c>
      <c r="AC92" s="19">
        <f>IF(ISERROR($G$92),"",IF(ISBLANK($G$92),"",$G$92))</f>
        <v/>
      </c>
      <c r="AD92" s="19">
        <f>IF(ISERROR($H$92),"",IF(ISBLANK($H$92),"",$H$92))</f>
        <v/>
      </c>
      <c r="AE92" s="19">
        <f>IF(ISERROR($I$92),"",IF(ISBLANK($I$92),"",$I$92))</f>
        <v/>
      </c>
      <c r="AF92" s="19">
        <f>IF(ISERROR($J$92),"",IF(ISBLANK($J$92),"",$J$92))</f>
        <v/>
      </c>
      <c r="AG92" s="19">
        <f>ISERROR($B$92)*1+ISERROR($C$92)*1+ISERROR($D$92)*1+ISERROR($E$92)*1+ISERROR($F$92)*1+ISERROR($G$92)*1+ISERROR($H$92)*1+ISERROR($I$92)*1+ISERROR($J$92)*1</f>
        <v/>
      </c>
    </row>
    <row r="93" ht="26" customHeight="1">
      <c r="B93" s="31" t="n"/>
      <c r="C93" s="28" t="n"/>
      <c r="D93" s="28" t="n"/>
      <c r="E93" s="28" t="n"/>
      <c r="F93" s="28" t="n"/>
      <c r="G93" s="28" t="n"/>
      <c r="H93" s="28" t="n"/>
      <c r="I93" s="28" t="n"/>
      <c r="J93" s="28" t="n"/>
      <c r="K93" s="18">
        <f>IF(AG93&gt;0,"O Google leu como fórmula: escolha de novo ou digite com ' na frente.","")</f>
        <v/>
      </c>
      <c r="N93" s="19">
        <f>N92+IF(LEN($X$93)&gt;0,1,0)</f>
        <v/>
      </c>
      <c r="O93" s="19">
        <f>O92+IF(LEN($Y$93)&gt;0,1,0)</f>
        <v/>
      </c>
      <c r="P93" s="19">
        <f>P92+IF(LEN($Z$93)&gt;0,1,0)</f>
        <v/>
      </c>
      <c r="Q93" s="19">
        <f>Q92+IF(LEN($AA$93)&gt;0,1,0)</f>
        <v/>
      </c>
      <c r="R93" s="19">
        <f>R92+IF(LEN($AB$93)&gt;0,1,0)</f>
        <v/>
      </c>
      <c r="S93" s="19">
        <f>S92+IF(LEN($AC$93)&gt;0,1,0)</f>
        <v/>
      </c>
      <c r="T93" s="19">
        <f>T92+IF(LEN($AD$93)&gt;0,1,0)</f>
        <v/>
      </c>
      <c r="U93" s="19">
        <f>U92+IF(LEN($AE$93)&gt;0,1,0)</f>
        <v/>
      </c>
      <c r="X93" s="19">
        <f>IF(ISERROR($B$93),"",IF(ISBLANK($B$93),"",$B$93))</f>
        <v/>
      </c>
      <c r="Y93" s="19">
        <f>IF(ISERROR($C$93),"",IF(ISBLANK($C$93),"",$C$93))</f>
        <v/>
      </c>
      <c r="Z93" s="19">
        <f>IF(ISERROR($D$93),"",IF(ISBLANK($D$93),"",$D$93))</f>
        <v/>
      </c>
      <c r="AA93" s="19">
        <f>IF(ISERROR($E$93),"",IF(ISBLANK($E$93),"",$E$93))</f>
        <v/>
      </c>
      <c r="AB93" s="19">
        <f>IF(ISERROR($F$93),"",IF(ISBLANK($F$93),"",$F$93))</f>
        <v/>
      </c>
      <c r="AC93" s="19">
        <f>IF(ISERROR($G$93),"",IF(ISBLANK($G$93),"",$G$93))</f>
        <v/>
      </c>
      <c r="AD93" s="19">
        <f>IF(ISERROR($H$93),"",IF(ISBLANK($H$93),"",$H$93))</f>
        <v/>
      </c>
      <c r="AE93" s="19">
        <f>IF(ISERROR($I$93),"",IF(ISBLANK($I$93),"",$I$93))</f>
        <v/>
      </c>
      <c r="AF93" s="19">
        <f>IF(ISERROR($J$93),"",IF(ISBLANK($J$93),"",$J$93))</f>
        <v/>
      </c>
      <c r="AG93" s="19">
        <f>ISERROR($B$93)*1+ISERROR($C$93)*1+ISERROR($D$93)*1+ISERROR($E$93)*1+ISERROR($F$93)*1+ISERROR($G$93)*1+ISERROR($H$93)*1+ISERROR($I$93)*1+ISERROR($J$93)*1</f>
        <v/>
      </c>
    </row>
    <row r="94" ht="26" customHeight="1">
      <c r="B94" s="30" t="n"/>
      <c r="C94" s="3" t="n"/>
      <c r="D94" s="3" t="n"/>
      <c r="E94" s="3" t="n"/>
      <c r="F94" s="3" t="n"/>
      <c r="G94" s="3" t="n"/>
      <c r="H94" s="3" t="n"/>
      <c r="I94" s="3" t="n"/>
      <c r="J94" s="3" t="n"/>
      <c r="K94" s="18">
        <f>IF(AG94&gt;0,"O Google leu como fórmula: escolha de novo ou digite com ' na frente.","")</f>
        <v/>
      </c>
      <c r="N94" s="19">
        <f>N93+IF(LEN($X$94)&gt;0,1,0)</f>
        <v/>
      </c>
      <c r="O94" s="19">
        <f>O93+IF(LEN($Y$94)&gt;0,1,0)</f>
        <v/>
      </c>
      <c r="P94" s="19">
        <f>P93+IF(LEN($Z$94)&gt;0,1,0)</f>
        <v/>
      </c>
      <c r="Q94" s="19">
        <f>Q93+IF(LEN($AA$94)&gt;0,1,0)</f>
        <v/>
      </c>
      <c r="R94" s="19">
        <f>R93+IF(LEN($AB$94)&gt;0,1,0)</f>
        <v/>
      </c>
      <c r="S94" s="19">
        <f>S93+IF(LEN($AC$94)&gt;0,1,0)</f>
        <v/>
      </c>
      <c r="T94" s="19">
        <f>T93+IF(LEN($AD$94)&gt;0,1,0)</f>
        <v/>
      </c>
      <c r="U94" s="19">
        <f>U93+IF(LEN($AE$94)&gt;0,1,0)</f>
        <v/>
      </c>
      <c r="X94" s="19">
        <f>IF(ISERROR($B$94),"",IF(ISBLANK($B$94),"",$B$94))</f>
        <v/>
      </c>
      <c r="Y94" s="19">
        <f>IF(ISERROR($C$94),"",IF(ISBLANK($C$94),"",$C$94))</f>
        <v/>
      </c>
      <c r="Z94" s="19">
        <f>IF(ISERROR($D$94),"",IF(ISBLANK($D$94),"",$D$94))</f>
        <v/>
      </c>
      <c r="AA94" s="19">
        <f>IF(ISERROR($E$94),"",IF(ISBLANK($E$94),"",$E$94))</f>
        <v/>
      </c>
      <c r="AB94" s="19">
        <f>IF(ISERROR($F$94),"",IF(ISBLANK($F$94),"",$F$94))</f>
        <v/>
      </c>
      <c r="AC94" s="19">
        <f>IF(ISERROR($G$94),"",IF(ISBLANK($G$94),"",$G$94))</f>
        <v/>
      </c>
      <c r="AD94" s="19">
        <f>IF(ISERROR($H$94),"",IF(ISBLANK($H$94),"",$H$94))</f>
        <v/>
      </c>
      <c r="AE94" s="19">
        <f>IF(ISERROR($I$94),"",IF(ISBLANK($I$94),"",$I$94))</f>
        <v/>
      </c>
      <c r="AF94" s="19">
        <f>IF(ISERROR($J$94),"",IF(ISBLANK($J$94),"",$J$94))</f>
        <v/>
      </c>
      <c r="AG94" s="19">
        <f>ISERROR($B$94)*1+ISERROR($C$94)*1+ISERROR($D$94)*1+ISERROR($E$94)*1+ISERROR($F$94)*1+ISERROR($G$94)*1+ISERROR($H$94)*1+ISERROR($I$94)*1+ISERROR($J$94)*1</f>
        <v/>
      </c>
    </row>
    <row r="95" ht="15" customHeight="1">
      <c r="B95" s="7" t="inlineStr">
        <is>
          <t>Facções</t>
        </is>
      </c>
      <c r="C95" s="7" t="inlineStr">
        <is>
          <t>Locais</t>
        </is>
      </c>
      <c r="D95" s="7" t="inlineStr">
        <is>
          <t>Ganchos 1-4</t>
        </is>
      </c>
      <c r="E95" s="7" t="inlineStr">
        <is>
          <t>Ganchos 5-8</t>
        </is>
      </c>
      <c r="F95" s="7" t="inlineStr">
        <is>
          <t>Ganchos 9-12</t>
        </is>
      </c>
      <c r="G95" s="7" t="inlineStr">
        <is>
          <t>Ganchos 13-16</t>
        </is>
      </c>
      <c r="H95" s="7" t="inlineStr">
        <is>
          <t>Ganchos 17-20</t>
        </is>
      </c>
      <c r="I95" s="7" t="inlineStr">
        <is>
          <t>Facção ou origem (H8)</t>
        </is>
      </c>
      <c r="J95" s="7" t="inlineStr">
        <is>
          <t>Ambiente (H8)</t>
        </is>
      </c>
      <c r="N95" s="19">
        <f>N94</f>
        <v/>
      </c>
      <c r="O95" s="19">
        <f>O94</f>
        <v/>
      </c>
      <c r="P95" s="19">
        <f>P94</f>
        <v/>
      </c>
      <c r="Q95" s="19">
        <f>Q94</f>
        <v/>
      </c>
      <c r="R95" s="19">
        <f>R94</f>
        <v/>
      </c>
      <c r="S95" s="19">
        <f>S94</f>
        <v/>
      </c>
      <c r="T95" s="19">
        <f>T94</f>
        <v/>
      </c>
      <c r="U95" s="19">
        <f>U94</f>
        <v/>
      </c>
      <c r="X95" s="19">
        <f>IF(ISERROR($B$95),"",IF(ISBLANK($B$95),"",$B$95))</f>
        <v/>
      </c>
      <c r="Y95" s="19">
        <f>IF(ISERROR($C$95),"",IF(ISBLANK($C$95),"",$C$95))</f>
        <v/>
      </c>
      <c r="Z95" s="19">
        <f>IF(ISERROR($D$95),"",IF(ISBLANK($D$95),"",$D$95))</f>
        <v/>
      </c>
      <c r="AA95" s="19">
        <f>IF(ISERROR($E$95),"",IF(ISBLANK($E$95),"",$E$95))</f>
        <v/>
      </c>
      <c r="AB95" s="19">
        <f>IF(ISERROR($F$95),"",IF(ISBLANK($F$95),"",$F$95))</f>
        <v/>
      </c>
      <c r="AC95" s="19">
        <f>IF(ISERROR($G$95),"",IF(ISBLANK($G$95),"",$G$95))</f>
        <v/>
      </c>
      <c r="AD95" s="19">
        <f>IF(ISERROR($H$95),"",IF(ISBLANK($H$95),"",$H$95))</f>
        <v/>
      </c>
      <c r="AE95" s="19">
        <f>IF(ISERROR($I$95),"",IF(ISBLANK($I$95),"",$I$95))</f>
        <v/>
      </c>
      <c r="AF95" s="19">
        <f>IF(ISERROR($J$95),"",IF(ISBLANK($J$95),"",$J$95))</f>
        <v/>
      </c>
    </row>
    <row r="96" ht="26" customHeight="1">
      <c r="B96" s="30" t="n"/>
      <c r="C96" s="3" t="n"/>
      <c r="D96" s="3" t="n"/>
      <c r="E96" s="3" t="n"/>
      <c r="F96" s="3" t="n"/>
      <c r="G96" s="3" t="n"/>
      <c r="H96" s="3" t="n"/>
      <c r="I96" s="3" t="n"/>
      <c r="J96" s="3" t="n"/>
      <c r="K96" s="18">
        <f>IF(AG96&gt;0,"O Google leu como fórmula: escolha de novo ou digite com ' na frente.","")</f>
        <v/>
      </c>
      <c r="N96" s="19">
        <f>N95+IF(LEN($X$96)&gt;0,1,0)</f>
        <v/>
      </c>
      <c r="O96" s="19">
        <f>O95+IF(LEN($Y$96)&gt;0,1,0)</f>
        <v/>
      </c>
      <c r="P96" s="19">
        <f>P95+IF(LEN($Z$96)&gt;0,1,0)</f>
        <v/>
      </c>
      <c r="Q96" s="19">
        <f>Q95+IF(LEN($AA$96)&gt;0,1,0)</f>
        <v/>
      </c>
      <c r="R96" s="19">
        <f>R95+IF(LEN($AB$96)&gt;0,1,0)</f>
        <v/>
      </c>
      <c r="S96" s="19">
        <f>S95+IF(LEN($AC$96)&gt;0,1,0)</f>
        <v/>
      </c>
      <c r="T96" s="19">
        <f>T95+IF(LEN($AD$96)&gt;0,1,0)</f>
        <v/>
      </c>
      <c r="U96" s="19">
        <f>U95+IF(LEN($AE$96)&gt;0,1,0)</f>
        <v/>
      </c>
      <c r="X96" s="19">
        <f>IF(ISERROR($B$96),"",IF(ISBLANK($B$96),"",$B$96))</f>
        <v/>
      </c>
      <c r="Y96" s="19">
        <f>IF(ISERROR($C$96),"",IF(ISBLANK($C$96),"",$C$96))</f>
        <v/>
      </c>
      <c r="Z96" s="19">
        <f>IF(ISERROR($D$96),"",IF(ISBLANK($D$96),"",$D$96))</f>
        <v/>
      </c>
      <c r="AA96" s="19">
        <f>IF(ISERROR($E$96),"",IF(ISBLANK($E$96),"",$E$96))</f>
        <v/>
      </c>
      <c r="AB96" s="19">
        <f>IF(ISERROR($F$96),"",IF(ISBLANK($F$96),"",$F$96))</f>
        <v/>
      </c>
      <c r="AC96" s="19">
        <f>IF(ISERROR($G$96),"",IF(ISBLANK($G$96),"",$G$96))</f>
        <v/>
      </c>
      <c r="AD96" s="19">
        <f>IF(ISERROR($H$96),"",IF(ISBLANK($H$96),"",$H$96))</f>
        <v/>
      </c>
      <c r="AE96" s="19">
        <f>IF(ISERROR($I$96),"",IF(ISBLANK($I$96),"",$I$96))</f>
        <v/>
      </c>
      <c r="AF96" s="19">
        <f>IF(ISERROR($J$96),"",IF(ISBLANK($J$96),"",$J$96))</f>
        <v/>
      </c>
      <c r="AG96" s="19">
        <f>ISERROR($B$96)*1+ISERROR($C$96)*1+ISERROR($D$96)*1+ISERROR($E$96)*1+ISERROR($F$96)*1+ISERROR($G$96)*1+ISERROR($H$96)*1+ISERROR($I$96)*1+ISERROR($J$96)*1</f>
        <v/>
      </c>
    </row>
    <row r="97" ht="26" customHeight="1">
      <c r="B97" s="31" t="n"/>
      <c r="C97" s="28" t="n"/>
      <c r="D97" s="28" t="n"/>
      <c r="E97" s="28" t="n"/>
      <c r="F97" s="28" t="n"/>
      <c r="G97" s="28" t="n"/>
      <c r="H97" s="28" t="n"/>
      <c r="I97" s="28" t="n"/>
      <c r="J97" s="28" t="n"/>
      <c r="K97" s="18">
        <f>IF(AG97&gt;0,"O Google leu como fórmula: escolha de novo ou digite com ' na frente.","")</f>
        <v/>
      </c>
      <c r="N97" s="19">
        <f>N96+IF(LEN($X$97)&gt;0,1,0)</f>
        <v/>
      </c>
      <c r="O97" s="19">
        <f>O96+IF(LEN($Y$97)&gt;0,1,0)</f>
        <v/>
      </c>
      <c r="P97" s="19">
        <f>P96+IF(LEN($Z$97)&gt;0,1,0)</f>
        <v/>
      </c>
      <c r="Q97" s="19">
        <f>Q96+IF(LEN($AA$97)&gt;0,1,0)</f>
        <v/>
      </c>
      <c r="R97" s="19">
        <f>R96+IF(LEN($AB$97)&gt;0,1,0)</f>
        <v/>
      </c>
      <c r="S97" s="19">
        <f>S96+IF(LEN($AC$97)&gt;0,1,0)</f>
        <v/>
      </c>
      <c r="T97" s="19">
        <f>T96+IF(LEN($AD$97)&gt;0,1,0)</f>
        <v/>
      </c>
      <c r="U97" s="19">
        <f>U96+IF(LEN($AE$97)&gt;0,1,0)</f>
        <v/>
      </c>
      <c r="X97" s="19">
        <f>IF(ISERROR($B$97),"",IF(ISBLANK($B$97),"",$B$97))</f>
        <v/>
      </c>
      <c r="Y97" s="19">
        <f>IF(ISERROR($C$97),"",IF(ISBLANK($C$97),"",$C$97))</f>
        <v/>
      </c>
      <c r="Z97" s="19">
        <f>IF(ISERROR($D$97),"",IF(ISBLANK($D$97),"",$D$97))</f>
        <v/>
      </c>
      <c r="AA97" s="19">
        <f>IF(ISERROR($E$97),"",IF(ISBLANK($E$97),"",$E$97))</f>
        <v/>
      </c>
      <c r="AB97" s="19">
        <f>IF(ISERROR($F$97),"",IF(ISBLANK($F$97),"",$F$97))</f>
        <v/>
      </c>
      <c r="AC97" s="19">
        <f>IF(ISERROR($G$97),"",IF(ISBLANK($G$97),"",$G$97))</f>
        <v/>
      </c>
      <c r="AD97" s="19">
        <f>IF(ISERROR($H$97),"",IF(ISBLANK($H$97),"",$H$97))</f>
        <v/>
      </c>
      <c r="AE97" s="19">
        <f>IF(ISERROR($I$97),"",IF(ISBLANK($I$97),"",$I$97))</f>
        <v/>
      </c>
      <c r="AF97" s="19">
        <f>IF(ISERROR($J$97),"",IF(ISBLANK($J$97),"",$J$97))</f>
        <v/>
      </c>
      <c r="AG97" s="19">
        <f>ISERROR($B$97)*1+ISERROR($C$97)*1+ISERROR($D$97)*1+ISERROR($E$97)*1+ISERROR($F$97)*1+ISERROR($G$97)*1+ISERROR($H$97)*1+ISERROR($I$97)*1+ISERROR($J$97)*1</f>
        <v/>
      </c>
    </row>
    <row r="98" ht="26" customHeight="1">
      <c r="B98" s="30" t="n"/>
      <c r="C98" s="3" t="n"/>
      <c r="D98" s="3" t="n"/>
      <c r="E98" s="3" t="n"/>
      <c r="F98" s="3" t="n"/>
      <c r="G98" s="3" t="n"/>
      <c r="H98" s="3" t="n"/>
      <c r="I98" s="3" t="n"/>
      <c r="J98" s="3" t="n"/>
      <c r="K98" s="18">
        <f>IF(AG98&gt;0,"O Google leu como fórmula: escolha de novo ou digite com ' na frente.","")</f>
        <v/>
      </c>
      <c r="N98" s="19">
        <f>N97+IF(LEN($X$98)&gt;0,1,0)</f>
        <v/>
      </c>
      <c r="O98" s="19">
        <f>O97+IF(LEN($Y$98)&gt;0,1,0)</f>
        <v/>
      </c>
      <c r="P98" s="19">
        <f>P97+IF(LEN($Z$98)&gt;0,1,0)</f>
        <v/>
      </c>
      <c r="Q98" s="19">
        <f>Q97+IF(LEN($AA$98)&gt;0,1,0)</f>
        <v/>
      </c>
      <c r="R98" s="19">
        <f>R97+IF(LEN($AB$98)&gt;0,1,0)</f>
        <v/>
      </c>
      <c r="S98" s="19">
        <f>S97+IF(LEN($AC$98)&gt;0,1,0)</f>
        <v/>
      </c>
      <c r="T98" s="19">
        <f>T97+IF(LEN($AD$98)&gt;0,1,0)</f>
        <v/>
      </c>
      <c r="U98" s="19">
        <f>U97+IF(LEN($AE$98)&gt;0,1,0)</f>
        <v/>
      </c>
      <c r="X98" s="19">
        <f>IF(ISERROR($B$98),"",IF(ISBLANK($B$98),"",$B$98))</f>
        <v/>
      </c>
      <c r="Y98" s="19">
        <f>IF(ISERROR($C$98),"",IF(ISBLANK($C$98),"",$C$98))</f>
        <v/>
      </c>
      <c r="Z98" s="19">
        <f>IF(ISERROR($D$98),"",IF(ISBLANK($D$98),"",$D$98))</f>
        <v/>
      </c>
      <c r="AA98" s="19">
        <f>IF(ISERROR($E$98),"",IF(ISBLANK($E$98),"",$E$98))</f>
        <v/>
      </c>
      <c r="AB98" s="19">
        <f>IF(ISERROR($F$98),"",IF(ISBLANK($F$98),"",$F$98))</f>
        <v/>
      </c>
      <c r="AC98" s="19">
        <f>IF(ISERROR($G$98),"",IF(ISBLANK($G$98),"",$G$98))</f>
        <v/>
      </c>
      <c r="AD98" s="19">
        <f>IF(ISERROR($H$98),"",IF(ISBLANK($H$98),"",$H$98))</f>
        <v/>
      </c>
      <c r="AE98" s="19">
        <f>IF(ISERROR($I$98),"",IF(ISBLANK($I$98),"",$I$98))</f>
        <v/>
      </c>
      <c r="AF98" s="19">
        <f>IF(ISERROR($J$98),"",IF(ISBLANK($J$98),"",$J$98))</f>
        <v/>
      </c>
      <c r="AG98" s="19">
        <f>ISERROR($B$98)*1+ISERROR($C$98)*1+ISERROR($D$98)*1+ISERROR($E$98)*1+ISERROR($F$98)*1+ISERROR($G$98)*1+ISERROR($H$98)*1+ISERROR($I$98)*1+ISERROR($J$98)*1</f>
        <v/>
      </c>
    </row>
    <row r="99" ht="26" customHeight="1">
      <c r="B99" s="31" t="n"/>
      <c r="C99" s="28" t="n"/>
      <c r="D99" s="28" t="n"/>
      <c r="E99" s="28" t="n"/>
      <c r="F99" s="28" t="n"/>
      <c r="G99" s="28" t="n"/>
      <c r="H99" s="28" t="n"/>
      <c r="I99" s="28" t="n"/>
      <c r="J99" s="28" t="n"/>
      <c r="K99" s="18">
        <f>IF(AG99&gt;0,"O Google leu como fórmula: escolha de novo ou digite com ' na frente.","")</f>
        <v/>
      </c>
      <c r="N99" s="19">
        <f>N98+IF(LEN($X$99)&gt;0,1,0)</f>
        <v/>
      </c>
      <c r="O99" s="19">
        <f>O98+IF(LEN($Y$99)&gt;0,1,0)</f>
        <v/>
      </c>
      <c r="P99" s="19">
        <f>P98+IF(LEN($Z$99)&gt;0,1,0)</f>
        <v/>
      </c>
      <c r="Q99" s="19">
        <f>Q98+IF(LEN($AA$99)&gt;0,1,0)</f>
        <v/>
      </c>
      <c r="R99" s="19">
        <f>R98+IF(LEN($AB$99)&gt;0,1,0)</f>
        <v/>
      </c>
      <c r="S99" s="19">
        <f>S98+IF(LEN($AC$99)&gt;0,1,0)</f>
        <v/>
      </c>
      <c r="T99" s="19">
        <f>T98+IF(LEN($AD$99)&gt;0,1,0)</f>
        <v/>
      </c>
      <c r="U99" s="19">
        <f>U98+IF(LEN($AE$99)&gt;0,1,0)</f>
        <v/>
      </c>
      <c r="X99" s="19">
        <f>IF(ISERROR($B$99),"",IF(ISBLANK($B$99),"",$B$99))</f>
        <v/>
      </c>
      <c r="Y99" s="19">
        <f>IF(ISERROR($C$99),"",IF(ISBLANK($C$99),"",$C$99))</f>
        <v/>
      </c>
      <c r="Z99" s="19">
        <f>IF(ISERROR($D$99),"",IF(ISBLANK($D$99),"",$D$99))</f>
        <v/>
      </c>
      <c r="AA99" s="19">
        <f>IF(ISERROR($E$99),"",IF(ISBLANK($E$99),"",$E$99))</f>
        <v/>
      </c>
      <c r="AB99" s="19">
        <f>IF(ISERROR($F$99),"",IF(ISBLANK($F$99),"",$F$99))</f>
        <v/>
      </c>
      <c r="AC99" s="19">
        <f>IF(ISERROR($G$99),"",IF(ISBLANK($G$99),"",$G$99))</f>
        <v/>
      </c>
      <c r="AD99" s="19">
        <f>IF(ISERROR($H$99),"",IF(ISBLANK($H$99),"",$H$99))</f>
        <v/>
      </c>
      <c r="AE99" s="19">
        <f>IF(ISERROR($I$99),"",IF(ISBLANK($I$99),"",$I$99))</f>
        <v/>
      </c>
      <c r="AF99" s="19">
        <f>IF(ISERROR($J$99),"",IF(ISBLANK($J$99),"",$J$99))</f>
        <v/>
      </c>
      <c r="AG99" s="19">
        <f>ISERROR($B$99)*1+ISERROR($C$99)*1+ISERROR($D$99)*1+ISERROR($E$99)*1+ISERROR($F$99)*1+ISERROR($G$99)*1+ISERROR($H$99)*1+ISERROR($I$99)*1+ISERROR($J$99)*1</f>
        <v/>
      </c>
    </row>
    <row r="100" ht="26" customHeight="1">
      <c r="B100" s="30" t="n"/>
      <c r="C100" s="3" t="n"/>
      <c r="D100" s="3" t="n"/>
      <c r="E100" s="3" t="n"/>
      <c r="F100" s="3" t="n"/>
      <c r="G100" s="3" t="n"/>
      <c r="H100" s="3" t="n"/>
      <c r="I100" s="3" t="n"/>
      <c r="J100" s="3" t="n"/>
      <c r="K100" s="18">
        <f>IF(AG100&gt;0,"O Google leu como fórmula: escolha de novo ou digite com ' na frente.","")</f>
        <v/>
      </c>
      <c r="N100" s="19">
        <f>N99+IF(LEN($X$100)&gt;0,1,0)</f>
        <v/>
      </c>
      <c r="O100" s="19">
        <f>O99+IF(LEN($Y$100)&gt;0,1,0)</f>
        <v/>
      </c>
      <c r="P100" s="19">
        <f>P99+IF(LEN($Z$100)&gt;0,1,0)</f>
        <v/>
      </c>
      <c r="Q100" s="19">
        <f>Q99+IF(LEN($AA$100)&gt;0,1,0)</f>
        <v/>
      </c>
      <c r="R100" s="19">
        <f>R99+IF(LEN($AB$100)&gt;0,1,0)</f>
        <v/>
      </c>
      <c r="S100" s="19">
        <f>S99+IF(LEN($AC$100)&gt;0,1,0)</f>
        <v/>
      </c>
      <c r="T100" s="19">
        <f>T99+IF(LEN($AD$100)&gt;0,1,0)</f>
        <v/>
      </c>
      <c r="U100" s="19">
        <f>U99+IF(LEN($AE$100)&gt;0,1,0)</f>
        <v/>
      </c>
      <c r="X100" s="19">
        <f>IF(ISERROR($B$100),"",IF(ISBLANK($B$100),"",$B$100))</f>
        <v/>
      </c>
      <c r="Y100" s="19">
        <f>IF(ISERROR($C$100),"",IF(ISBLANK($C$100),"",$C$100))</f>
        <v/>
      </c>
      <c r="Z100" s="19">
        <f>IF(ISERROR($D$100),"",IF(ISBLANK($D$100),"",$D$100))</f>
        <v/>
      </c>
      <c r="AA100" s="19">
        <f>IF(ISERROR($E$100),"",IF(ISBLANK($E$100),"",$E$100))</f>
        <v/>
      </c>
      <c r="AB100" s="19">
        <f>IF(ISERROR($F$100),"",IF(ISBLANK($F$100),"",$F$100))</f>
        <v/>
      </c>
      <c r="AC100" s="19">
        <f>IF(ISERROR($G$100),"",IF(ISBLANK($G$100),"",$G$100))</f>
        <v/>
      </c>
      <c r="AD100" s="19">
        <f>IF(ISERROR($H$100),"",IF(ISBLANK($H$100),"",$H$100))</f>
        <v/>
      </c>
      <c r="AE100" s="19">
        <f>IF(ISERROR($I$100),"",IF(ISBLANK($I$100),"",$I$100))</f>
        <v/>
      </c>
      <c r="AF100" s="19">
        <f>IF(ISERROR($J$100),"",IF(ISBLANK($J$100),"",$J$100))</f>
        <v/>
      </c>
      <c r="AG100" s="19">
        <f>ISERROR($B$100)*1+ISERROR($C$100)*1+ISERROR($D$100)*1+ISERROR($E$100)*1+ISERROR($F$100)*1+ISERROR($G$100)*1+ISERROR($H$100)*1+ISERROR($I$100)*1+ISERROR($J$100)*1</f>
        <v/>
      </c>
    </row>
    <row r="101" ht="26" customHeight="1">
      <c r="B101" s="31" t="n"/>
      <c r="C101" s="28" t="n"/>
      <c r="D101" s="28" t="n"/>
      <c r="E101" s="28" t="n"/>
      <c r="F101" s="28" t="n"/>
      <c r="G101" s="28" t="n"/>
      <c r="H101" s="28" t="n"/>
      <c r="I101" s="28" t="n"/>
      <c r="J101" s="28" t="n"/>
      <c r="K101" s="18">
        <f>IF(AG101&gt;0,"O Google leu como fórmula: escolha de novo ou digite com ' na frente.","")</f>
        <v/>
      </c>
      <c r="N101" s="19">
        <f>N100+IF(LEN($X$101)&gt;0,1,0)</f>
        <v/>
      </c>
      <c r="O101" s="19">
        <f>O100+IF(LEN($Y$101)&gt;0,1,0)</f>
        <v/>
      </c>
      <c r="P101" s="19">
        <f>P100+IF(LEN($Z$101)&gt;0,1,0)</f>
        <v/>
      </c>
      <c r="Q101" s="19">
        <f>Q100+IF(LEN($AA$101)&gt;0,1,0)</f>
        <v/>
      </c>
      <c r="R101" s="19">
        <f>R100+IF(LEN($AB$101)&gt;0,1,0)</f>
        <v/>
      </c>
      <c r="S101" s="19">
        <f>S100+IF(LEN($AC$101)&gt;0,1,0)</f>
        <v/>
      </c>
      <c r="T101" s="19">
        <f>T100+IF(LEN($AD$101)&gt;0,1,0)</f>
        <v/>
      </c>
      <c r="U101" s="19">
        <f>U100+IF(LEN($AE$101)&gt;0,1,0)</f>
        <v/>
      </c>
      <c r="X101" s="19">
        <f>IF(ISERROR($B$101),"",IF(ISBLANK($B$101),"",$B$101))</f>
        <v/>
      </c>
      <c r="Y101" s="19">
        <f>IF(ISERROR($C$101),"",IF(ISBLANK($C$101),"",$C$101))</f>
        <v/>
      </c>
      <c r="Z101" s="19">
        <f>IF(ISERROR($D$101),"",IF(ISBLANK($D$101),"",$D$101))</f>
        <v/>
      </c>
      <c r="AA101" s="19">
        <f>IF(ISERROR($E$101),"",IF(ISBLANK($E$101),"",$E$101))</f>
        <v/>
      </c>
      <c r="AB101" s="19">
        <f>IF(ISERROR($F$101),"",IF(ISBLANK($F$101),"",$F$101))</f>
        <v/>
      </c>
      <c r="AC101" s="19">
        <f>IF(ISERROR($G$101),"",IF(ISBLANK($G$101),"",$G$101))</f>
        <v/>
      </c>
      <c r="AD101" s="19">
        <f>IF(ISERROR($H$101),"",IF(ISBLANK($H$101),"",$H$101))</f>
        <v/>
      </c>
      <c r="AE101" s="19">
        <f>IF(ISERROR($I$101),"",IF(ISBLANK($I$101),"",$I$101))</f>
        <v/>
      </c>
      <c r="AF101" s="19">
        <f>IF(ISERROR($J$101),"",IF(ISBLANK($J$101),"",$J$101))</f>
        <v/>
      </c>
      <c r="AG101" s="19">
        <f>ISERROR($B$101)*1+ISERROR($C$101)*1+ISERROR($D$101)*1+ISERROR($E$101)*1+ISERROR($F$101)*1+ISERROR($G$101)*1+ISERROR($H$101)*1+ISERROR($I$101)*1+ISERROR($J$101)*1</f>
        <v/>
      </c>
    </row>
    <row r="102" ht="26" customHeight="1">
      <c r="B102" s="30" t="n"/>
      <c r="C102" s="3" t="n"/>
      <c r="D102" s="3" t="n"/>
      <c r="E102" s="3" t="n"/>
      <c r="F102" s="3" t="n"/>
      <c r="G102" s="3" t="n"/>
      <c r="H102" s="3" t="n"/>
      <c r="I102" s="3" t="n"/>
      <c r="J102" s="3" t="n"/>
      <c r="K102" s="18">
        <f>IF(AG102&gt;0,"O Google leu como fórmula: escolha de novo ou digite com ' na frente.","")</f>
        <v/>
      </c>
      <c r="N102" s="19">
        <f>N101+IF(LEN($X$102)&gt;0,1,0)</f>
        <v/>
      </c>
      <c r="O102" s="19">
        <f>O101+IF(LEN($Y$102)&gt;0,1,0)</f>
        <v/>
      </c>
      <c r="P102" s="19">
        <f>P101+IF(LEN($Z$102)&gt;0,1,0)</f>
        <v/>
      </c>
      <c r="Q102" s="19">
        <f>Q101+IF(LEN($AA$102)&gt;0,1,0)</f>
        <v/>
      </c>
      <c r="R102" s="19">
        <f>R101+IF(LEN($AB$102)&gt;0,1,0)</f>
        <v/>
      </c>
      <c r="S102" s="19">
        <f>S101+IF(LEN($AC$102)&gt;0,1,0)</f>
        <v/>
      </c>
      <c r="T102" s="19">
        <f>T101+IF(LEN($AD$102)&gt;0,1,0)</f>
        <v/>
      </c>
      <c r="U102" s="19">
        <f>U101+IF(LEN($AE$102)&gt;0,1,0)</f>
        <v/>
      </c>
      <c r="X102" s="19">
        <f>IF(ISERROR($B$102),"",IF(ISBLANK($B$102),"",$B$102))</f>
        <v/>
      </c>
      <c r="Y102" s="19">
        <f>IF(ISERROR($C$102),"",IF(ISBLANK($C$102),"",$C$102))</f>
        <v/>
      </c>
      <c r="Z102" s="19">
        <f>IF(ISERROR($D$102),"",IF(ISBLANK($D$102),"",$D$102))</f>
        <v/>
      </c>
      <c r="AA102" s="19">
        <f>IF(ISERROR($E$102),"",IF(ISBLANK($E$102),"",$E$102))</f>
        <v/>
      </c>
      <c r="AB102" s="19">
        <f>IF(ISERROR($F$102),"",IF(ISBLANK($F$102),"",$F$102))</f>
        <v/>
      </c>
      <c r="AC102" s="19">
        <f>IF(ISERROR($G$102),"",IF(ISBLANK($G$102),"",$G$102))</f>
        <v/>
      </c>
      <c r="AD102" s="19">
        <f>IF(ISERROR($H$102),"",IF(ISBLANK($H$102),"",$H$102))</f>
        <v/>
      </c>
      <c r="AE102" s="19">
        <f>IF(ISERROR($I$102),"",IF(ISBLANK($I$102),"",$I$102))</f>
        <v/>
      </c>
      <c r="AF102" s="19">
        <f>IF(ISERROR($J$102),"",IF(ISBLANK($J$102),"",$J$102))</f>
        <v/>
      </c>
      <c r="AG102" s="19">
        <f>ISERROR($B$102)*1+ISERROR($C$102)*1+ISERROR($D$102)*1+ISERROR($E$102)*1+ISERROR($F$102)*1+ISERROR($G$102)*1+ISERROR($H$102)*1+ISERROR($I$102)*1+ISERROR($J$102)*1</f>
        <v/>
      </c>
    </row>
    <row r="103" ht="26" customHeight="1">
      <c r="B103" s="31" t="n"/>
      <c r="C103" s="28" t="n"/>
      <c r="D103" s="28" t="n"/>
      <c r="E103" s="28" t="n"/>
      <c r="F103" s="28" t="n"/>
      <c r="G103" s="28" t="n"/>
      <c r="H103" s="28" t="n"/>
      <c r="I103" s="28" t="n"/>
      <c r="J103" s="28" t="n"/>
      <c r="K103" s="18">
        <f>IF(AG103&gt;0,"O Google leu como fórmula: escolha de novo ou digite com ' na frente.","")</f>
        <v/>
      </c>
      <c r="N103" s="19">
        <f>N102+IF(LEN($X$103)&gt;0,1,0)</f>
        <v/>
      </c>
      <c r="O103" s="19">
        <f>O102+IF(LEN($Y$103)&gt;0,1,0)</f>
        <v/>
      </c>
      <c r="P103" s="19">
        <f>P102+IF(LEN($Z$103)&gt;0,1,0)</f>
        <v/>
      </c>
      <c r="Q103" s="19">
        <f>Q102+IF(LEN($AA$103)&gt;0,1,0)</f>
        <v/>
      </c>
      <c r="R103" s="19">
        <f>R102+IF(LEN($AB$103)&gt;0,1,0)</f>
        <v/>
      </c>
      <c r="S103" s="19">
        <f>S102+IF(LEN($AC$103)&gt;0,1,0)</f>
        <v/>
      </c>
      <c r="T103" s="19">
        <f>T102+IF(LEN($AD$103)&gt;0,1,0)</f>
        <v/>
      </c>
      <c r="U103" s="19">
        <f>U102+IF(LEN($AE$103)&gt;0,1,0)</f>
        <v/>
      </c>
      <c r="X103" s="19">
        <f>IF(ISERROR($B$103),"",IF(ISBLANK($B$103),"",$B$103))</f>
        <v/>
      </c>
      <c r="Y103" s="19">
        <f>IF(ISERROR($C$103),"",IF(ISBLANK($C$103),"",$C$103))</f>
        <v/>
      </c>
      <c r="Z103" s="19">
        <f>IF(ISERROR($D$103),"",IF(ISBLANK($D$103),"",$D$103))</f>
        <v/>
      </c>
      <c r="AA103" s="19">
        <f>IF(ISERROR($E$103),"",IF(ISBLANK($E$103),"",$E$103))</f>
        <v/>
      </c>
      <c r="AB103" s="19">
        <f>IF(ISERROR($F$103),"",IF(ISBLANK($F$103),"",$F$103))</f>
        <v/>
      </c>
      <c r="AC103" s="19">
        <f>IF(ISERROR($G$103),"",IF(ISBLANK($G$103),"",$G$103))</f>
        <v/>
      </c>
      <c r="AD103" s="19">
        <f>IF(ISERROR($H$103),"",IF(ISBLANK($H$103),"",$H$103))</f>
        <v/>
      </c>
      <c r="AE103" s="19">
        <f>IF(ISERROR($I$103),"",IF(ISBLANK($I$103),"",$I$103))</f>
        <v/>
      </c>
      <c r="AF103" s="19">
        <f>IF(ISERROR($J$103),"",IF(ISBLANK($J$103),"",$J$103))</f>
        <v/>
      </c>
      <c r="AG103" s="19">
        <f>ISERROR($B$103)*1+ISERROR($C$103)*1+ISERROR($D$103)*1+ISERROR($E$103)*1+ISERROR($F$103)*1+ISERROR($G$103)*1+ISERROR($H$103)*1+ISERROR($I$103)*1+ISERROR($J$103)*1</f>
        <v/>
      </c>
    </row>
    <row r="104" ht="26" customHeight="1">
      <c r="B104" s="30" t="n"/>
      <c r="C104" s="3" t="n"/>
      <c r="D104" s="3" t="n"/>
      <c r="E104" s="3" t="n"/>
      <c r="F104" s="3" t="n"/>
      <c r="G104" s="3" t="n"/>
      <c r="H104" s="3" t="n"/>
      <c r="I104" s="3" t="n"/>
      <c r="J104" s="3" t="n"/>
      <c r="K104" s="18">
        <f>IF(AG104&gt;0,"O Google leu como fórmula: escolha de novo ou digite com ' na frente.","")</f>
        <v/>
      </c>
      <c r="N104" s="19">
        <f>N103+IF(LEN($X$104)&gt;0,1,0)</f>
        <v/>
      </c>
      <c r="O104" s="19">
        <f>O103+IF(LEN($Y$104)&gt;0,1,0)</f>
        <v/>
      </c>
      <c r="P104" s="19">
        <f>P103+IF(LEN($Z$104)&gt;0,1,0)</f>
        <v/>
      </c>
      <c r="Q104" s="19">
        <f>Q103+IF(LEN($AA$104)&gt;0,1,0)</f>
        <v/>
      </c>
      <c r="R104" s="19">
        <f>R103+IF(LEN($AB$104)&gt;0,1,0)</f>
        <v/>
      </c>
      <c r="S104" s="19">
        <f>S103+IF(LEN($AC$104)&gt;0,1,0)</f>
        <v/>
      </c>
      <c r="T104" s="19">
        <f>T103+IF(LEN($AD$104)&gt;0,1,0)</f>
        <v/>
      </c>
      <c r="U104" s="19">
        <f>U103+IF(LEN($AE$104)&gt;0,1,0)</f>
        <v/>
      </c>
      <c r="X104" s="19">
        <f>IF(ISERROR($B$104),"",IF(ISBLANK($B$104),"",$B$104))</f>
        <v/>
      </c>
      <c r="Y104" s="19">
        <f>IF(ISERROR($C$104),"",IF(ISBLANK($C$104),"",$C$104))</f>
        <v/>
      </c>
      <c r="Z104" s="19">
        <f>IF(ISERROR($D$104),"",IF(ISBLANK($D$104),"",$D$104))</f>
        <v/>
      </c>
      <c r="AA104" s="19">
        <f>IF(ISERROR($E$104),"",IF(ISBLANK($E$104),"",$E$104))</f>
        <v/>
      </c>
      <c r="AB104" s="19">
        <f>IF(ISERROR($F$104),"",IF(ISBLANK($F$104),"",$F$104))</f>
        <v/>
      </c>
      <c r="AC104" s="19">
        <f>IF(ISERROR($G$104),"",IF(ISBLANK($G$104),"",$G$104))</f>
        <v/>
      </c>
      <c r="AD104" s="19">
        <f>IF(ISERROR($H$104),"",IF(ISBLANK($H$104),"",$H$104))</f>
        <v/>
      </c>
      <c r="AE104" s="19">
        <f>IF(ISERROR($I$104),"",IF(ISBLANK($I$104),"",$I$104))</f>
        <v/>
      </c>
      <c r="AF104" s="19">
        <f>IF(ISERROR($J$104),"",IF(ISBLANK($J$104),"",$J$104))</f>
        <v/>
      </c>
      <c r="AG104" s="19">
        <f>ISERROR($B$104)*1+ISERROR($C$104)*1+ISERROR($D$104)*1+ISERROR($E$104)*1+ISERROR($F$104)*1+ISERROR($G$104)*1+ISERROR($H$104)*1+ISERROR($I$104)*1+ISERROR($J$104)*1</f>
        <v/>
      </c>
    </row>
    <row r="105" ht="26" customHeight="1">
      <c r="B105" s="31" t="n"/>
      <c r="C105" s="28" t="n"/>
      <c r="D105" s="28" t="n"/>
      <c r="E105" s="28" t="n"/>
      <c r="F105" s="28" t="n"/>
      <c r="G105" s="28" t="n"/>
      <c r="H105" s="28" t="n"/>
      <c r="I105" s="28" t="n"/>
      <c r="J105" s="28" t="n"/>
      <c r="K105" s="18">
        <f>IF(AG105&gt;0,"O Google leu como fórmula: escolha de novo ou digite com ' na frente.","")</f>
        <v/>
      </c>
      <c r="N105" s="19">
        <f>N104+IF(LEN($X$105)&gt;0,1,0)</f>
        <v/>
      </c>
      <c r="O105" s="19">
        <f>O104+IF(LEN($Y$105)&gt;0,1,0)</f>
        <v/>
      </c>
      <c r="P105" s="19">
        <f>P104+IF(LEN($Z$105)&gt;0,1,0)</f>
        <v/>
      </c>
      <c r="Q105" s="19">
        <f>Q104+IF(LEN($AA$105)&gt;0,1,0)</f>
        <v/>
      </c>
      <c r="R105" s="19">
        <f>R104+IF(LEN($AB$105)&gt;0,1,0)</f>
        <v/>
      </c>
      <c r="S105" s="19">
        <f>S104+IF(LEN($AC$105)&gt;0,1,0)</f>
        <v/>
      </c>
      <c r="T105" s="19">
        <f>T104+IF(LEN($AD$105)&gt;0,1,0)</f>
        <v/>
      </c>
      <c r="U105" s="19">
        <f>U104+IF(LEN($AE$105)&gt;0,1,0)</f>
        <v/>
      </c>
      <c r="X105" s="19">
        <f>IF(ISERROR($B$105),"",IF(ISBLANK($B$105),"",$B$105))</f>
        <v/>
      </c>
      <c r="Y105" s="19">
        <f>IF(ISERROR($C$105),"",IF(ISBLANK($C$105),"",$C$105))</f>
        <v/>
      </c>
      <c r="Z105" s="19">
        <f>IF(ISERROR($D$105),"",IF(ISBLANK($D$105),"",$D$105))</f>
        <v/>
      </c>
      <c r="AA105" s="19">
        <f>IF(ISERROR($E$105),"",IF(ISBLANK($E$105),"",$E$105))</f>
        <v/>
      </c>
      <c r="AB105" s="19">
        <f>IF(ISERROR($F$105),"",IF(ISBLANK($F$105),"",$F$105))</f>
        <v/>
      </c>
      <c r="AC105" s="19">
        <f>IF(ISERROR($G$105),"",IF(ISBLANK($G$105),"",$G$105))</f>
        <v/>
      </c>
      <c r="AD105" s="19">
        <f>IF(ISERROR($H$105),"",IF(ISBLANK($H$105),"",$H$105))</f>
        <v/>
      </c>
      <c r="AE105" s="19">
        <f>IF(ISERROR($I$105),"",IF(ISBLANK($I$105),"",$I$105))</f>
        <v/>
      </c>
      <c r="AF105" s="19">
        <f>IF(ISERROR($J$105),"",IF(ISBLANK($J$105),"",$J$105))</f>
        <v/>
      </c>
      <c r="AG105" s="19">
        <f>ISERROR($B$105)*1+ISERROR($C$105)*1+ISERROR($D$105)*1+ISERROR($E$105)*1+ISERROR($F$105)*1+ISERROR($G$105)*1+ISERROR($H$105)*1+ISERROR($I$105)*1+ISERROR($J$105)*1</f>
        <v/>
      </c>
    </row>
    <row r="106" ht="26" customHeight="1">
      <c r="B106" s="30" t="n"/>
      <c r="C106" s="3" t="n"/>
      <c r="D106" s="3" t="n"/>
      <c r="E106" s="3" t="n"/>
      <c r="F106" s="3" t="n"/>
      <c r="G106" s="3" t="n"/>
      <c r="H106" s="3" t="n"/>
      <c r="I106" s="3" t="n"/>
      <c r="J106" s="3" t="n"/>
      <c r="K106" s="18">
        <f>IF(AG106&gt;0,"O Google leu como fórmula: escolha de novo ou digite com ' na frente.","")</f>
        <v/>
      </c>
      <c r="N106" s="19">
        <f>N105+IF(LEN($X$106)&gt;0,1,0)</f>
        <v/>
      </c>
      <c r="O106" s="19">
        <f>O105+IF(LEN($Y$106)&gt;0,1,0)</f>
        <v/>
      </c>
      <c r="P106" s="19">
        <f>P105+IF(LEN($Z$106)&gt;0,1,0)</f>
        <v/>
      </c>
      <c r="Q106" s="19">
        <f>Q105+IF(LEN($AA$106)&gt;0,1,0)</f>
        <v/>
      </c>
      <c r="R106" s="19">
        <f>R105+IF(LEN($AB$106)&gt;0,1,0)</f>
        <v/>
      </c>
      <c r="S106" s="19">
        <f>S105+IF(LEN($AC$106)&gt;0,1,0)</f>
        <v/>
      </c>
      <c r="T106" s="19">
        <f>T105+IF(LEN($AD$106)&gt;0,1,0)</f>
        <v/>
      </c>
      <c r="U106" s="19">
        <f>U105+IF(LEN($AE$106)&gt;0,1,0)</f>
        <v/>
      </c>
      <c r="X106" s="19">
        <f>IF(ISERROR($B$106),"",IF(ISBLANK($B$106),"",$B$106))</f>
        <v/>
      </c>
      <c r="Y106" s="19">
        <f>IF(ISERROR($C$106),"",IF(ISBLANK($C$106),"",$C$106))</f>
        <v/>
      </c>
      <c r="Z106" s="19">
        <f>IF(ISERROR($D$106),"",IF(ISBLANK($D$106),"",$D$106))</f>
        <v/>
      </c>
      <c r="AA106" s="19">
        <f>IF(ISERROR($E$106),"",IF(ISBLANK($E$106),"",$E$106))</f>
        <v/>
      </c>
      <c r="AB106" s="19">
        <f>IF(ISERROR($F$106),"",IF(ISBLANK($F$106),"",$F$106))</f>
        <v/>
      </c>
      <c r="AC106" s="19">
        <f>IF(ISERROR($G$106),"",IF(ISBLANK($G$106),"",$G$106))</f>
        <v/>
      </c>
      <c r="AD106" s="19">
        <f>IF(ISERROR($H$106),"",IF(ISBLANK($H$106),"",$H$106))</f>
        <v/>
      </c>
      <c r="AE106" s="19">
        <f>IF(ISERROR($I$106),"",IF(ISBLANK($I$106),"",$I$106))</f>
        <v/>
      </c>
      <c r="AF106" s="19">
        <f>IF(ISERROR($J$106),"",IF(ISBLANK($J$106),"",$J$106))</f>
        <v/>
      </c>
      <c r="AG106" s="19">
        <f>ISERROR($B$106)*1+ISERROR($C$106)*1+ISERROR($D$106)*1+ISERROR($E$106)*1+ISERROR($F$106)*1+ISERROR($G$106)*1+ISERROR($H$106)*1+ISERROR($I$106)*1+ISERROR($J$106)*1</f>
        <v/>
      </c>
    </row>
    <row r="107" ht="26" customHeight="1">
      <c r="B107" s="31" t="n"/>
      <c r="C107" s="28" t="n"/>
      <c r="D107" s="28" t="n"/>
      <c r="E107" s="28" t="n"/>
      <c r="F107" s="28" t="n"/>
      <c r="G107" s="28" t="n"/>
      <c r="H107" s="28" t="n"/>
      <c r="I107" s="28" t="n"/>
      <c r="J107" s="28" t="n"/>
      <c r="K107" s="18">
        <f>IF(AG107&gt;0,"O Google leu como fórmula: escolha de novo ou digite com ' na frente.","")</f>
        <v/>
      </c>
      <c r="N107" s="19">
        <f>N106+IF(LEN($X$107)&gt;0,1,0)</f>
        <v/>
      </c>
      <c r="O107" s="19">
        <f>O106+IF(LEN($Y$107)&gt;0,1,0)</f>
        <v/>
      </c>
      <c r="P107" s="19">
        <f>P106+IF(LEN($Z$107)&gt;0,1,0)</f>
        <v/>
      </c>
      <c r="Q107" s="19">
        <f>Q106+IF(LEN($AA$107)&gt;0,1,0)</f>
        <v/>
      </c>
      <c r="R107" s="19">
        <f>R106+IF(LEN($AB$107)&gt;0,1,0)</f>
        <v/>
      </c>
      <c r="S107" s="19">
        <f>S106+IF(LEN($AC$107)&gt;0,1,0)</f>
        <v/>
      </c>
      <c r="T107" s="19">
        <f>T106+IF(LEN($AD$107)&gt;0,1,0)</f>
        <v/>
      </c>
      <c r="U107" s="19">
        <f>U106+IF(LEN($AE$107)&gt;0,1,0)</f>
        <v/>
      </c>
      <c r="X107" s="19">
        <f>IF(ISERROR($B$107),"",IF(ISBLANK($B$107),"",$B$107))</f>
        <v/>
      </c>
      <c r="Y107" s="19">
        <f>IF(ISERROR($C$107),"",IF(ISBLANK($C$107),"",$C$107))</f>
        <v/>
      </c>
      <c r="Z107" s="19">
        <f>IF(ISERROR($D$107),"",IF(ISBLANK($D$107),"",$D$107))</f>
        <v/>
      </c>
      <c r="AA107" s="19">
        <f>IF(ISERROR($E$107),"",IF(ISBLANK($E$107),"",$E$107))</f>
        <v/>
      </c>
      <c r="AB107" s="19">
        <f>IF(ISERROR($F$107),"",IF(ISBLANK($F$107),"",$F$107))</f>
        <v/>
      </c>
      <c r="AC107" s="19">
        <f>IF(ISERROR($G$107),"",IF(ISBLANK($G$107),"",$G$107))</f>
        <v/>
      </c>
      <c r="AD107" s="19">
        <f>IF(ISERROR($H$107),"",IF(ISBLANK($H$107),"",$H$107))</f>
        <v/>
      </c>
      <c r="AE107" s="19">
        <f>IF(ISERROR($I$107),"",IF(ISBLANK($I$107),"",$I$107))</f>
        <v/>
      </c>
      <c r="AF107" s="19">
        <f>IF(ISERROR($J$107),"",IF(ISBLANK($J$107),"",$J$107))</f>
        <v/>
      </c>
      <c r="AG107" s="19">
        <f>ISERROR($B$107)*1+ISERROR($C$107)*1+ISERROR($D$107)*1+ISERROR($E$107)*1+ISERROR($F$107)*1+ISERROR($G$107)*1+ISERROR($H$107)*1+ISERROR($I$107)*1+ISERROR($J$107)*1</f>
        <v/>
      </c>
    </row>
    <row r="108" ht="26" customHeight="1">
      <c r="B108" s="30" t="n"/>
      <c r="C108" s="3" t="n"/>
      <c r="D108" s="3" t="n"/>
      <c r="E108" s="3" t="n"/>
      <c r="F108" s="3" t="n"/>
      <c r="G108" s="3" t="n"/>
      <c r="H108" s="3" t="n"/>
      <c r="I108" s="3" t="n"/>
      <c r="J108" s="3" t="n"/>
      <c r="K108" s="18">
        <f>IF(AG108&gt;0,"O Google leu como fórmula: escolha de novo ou digite com ' na frente.","")</f>
        <v/>
      </c>
      <c r="N108" s="19">
        <f>N107+IF(LEN($X$108)&gt;0,1,0)</f>
        <v/>
      </c>
      <c r="O108" s="19">
        <f>O107+IF(LEN($Y$108)&gt;0,1,0)</f>
        <v/>
      </c>
      <c r="P108" s="19">
        <f>P107+IF(LEN($Z$108)&gt;0,1,0)</f>
        <v/>
      </c>
      <c r="Q108" s="19">
        <f>Q107+IF(LEN($AA$108)&gt;0,1,0)</f>
        <v/>
      </c>
      <c r="R108" s="19">
        <f>R107+IF(LEN($AB$108)&gt;0,1,0)</f>
        <v/>
      </c>
      <c r="S108" s="19">
        <f>S107+IF(LEN($AC$108)&gt;0,1,0)</f>
        <v/>
      </c>
      <c r="T108" s="19">
        <f>T107+IF(LEN($AD$108)&gt;0,1,0)</f>
        <v/>
      </c>
      <c r="U108" s="19">
        <f>U107+IF(LEN($AE$108)&gt;0,1,0)</f>
        <v/>
      </c>
      <c r="X108" s="19">
        <f>IF(ISERROR($B$108),"",IF(ISBLANK($B$108),"",$B$108))</f>
        <v/>
      </c>
      <c r="Y108" s="19">
        <f>IF(ISERROR($C$108),"",IF(ISBLANK($C$108),"",$C$108))</f>
        <v/>
      </c>
      <c r="Z108" s="19">
        <f>IF(ISERROR($D$108),"",IF(ISBLANK($D$108),"",$D$108))</f>
        <v/>
      </c>
      <c r="AA108" s="19">
        <f>IF(ISERROR($E$108),"",IF(ISBLANK($E$108),"",$E$108))</f>
        <v/>
      </c>
      <c r="AB108" s="19">
        <f>IF(ISERROR($F$108),"",IF(ISBLANK($F$108),"",$F$108))</f>
        <v/>
      </c>
      <c r="AC108" s="19">
        <f>IF(ISERROR($G$108),"",IF(ISBLANK($G$108),"",$G$108))</f>
        <v/>
      </c>
      <c r="AD108" s="19">
        <f>IF(ISERROR($H$108),"",IF(ISBLANK($H$108),"",$H$108))</f>
        <v/>
      </c>
      <c r="AE108" s="19">
        <f>IF(ISERROR($I$108),"",IF(ISBLANK($I$108),"",$I$108))</f>
        <v/>
      </c>
      <c r="AF108" s="19">
        <f>IF(ISERROR($J$108),"",IF(ISBLANK($J$108),"",$J$108))</f>
        <v/>
      </c>
      <c r="AG108" s="19">
        <f>ISERROR($B$108)*1+ISERROR($C$108)*1+ISERROR($D$108)*1+ISERROR($E$108)*1+ISERROR($F$108)*1+ISERROR($G$108)*1+ISERROR($H$108)*1+ISERROR($I$108)*1+ISERROR($J$108)*1</f>
        <v/>
      </c>
    </row>
    <row r="109" ht="15" customHeight="1">
      <c r="B109" s="7" t="inlineStr">
        <is>
          <t>Facções</t>
        </is>
      </c>
      <c r="C109" s="7" t="inlineStr">
        <is>
          <t>Locais</t>
        </is>
      </c>
      <c r="D109" s="7" t="inlineStr">
        <is>
          <t>Ganchos 1-4</t>
        </is>
      </c>
      <c r="E109" s="7" t="inlineStr">
        <is>
          <t>Ganchos 5-8</t>
        </is>
      </c>
      <c r="F109" s="7" t="inlineStr">
        <is>
          <t>Ganchos 9-12</t>
        </is>
      </c>
      <c r="G109" s="7" t="inlineStr">
        <is>
          <t>Ganchos 13-16</t>
        </is>
      </c>
      <c r="H109" s="7" t="inlineStr">
        <is>
          <t>Ganchos 17-20</t>
        </is>
      </c>
      <c r="I109" s="7" t="inlineStr">
        <is>
          <t>Facção ou origem (H8)</t>
        </is>
      </c>
      <c r="J109" s="7" t="inlineStr">
        <is>
          <t>Ambiente (H8)</t>
        </is>
      </c>
      <c r="N109" s="19">
        <f>N108</f>
        <v/>
      </c>
      <c r="O109" s="19">
        <f>O108</f>
        <v/>
      </c>
      <c r="P109" s="19">
        <f>P108</f>
        <v/>
      </c>
      <c r="Q109" s="19">
        <f>Q108</f>
        <v/>
      </c>
      <c r="R109" s="19">
        <f>R108</f>
        <v/>
      </c>
      <c r="S109" s="19">
        <f>S108</f>
        <v/>
      </c>
      <c r="T109" s="19">
        <f>T108</f>
        <v/>
      </c>
      <c r="U109" s="19">
        <f>U108</f>
        <v/>
      </c>
      <c r="X109" s="19">
        <f>IF(ISERROR($B$109),"",IF(ISBLANK($B$109),"",$B$109))</f>
        <v/>
      </c>
      <c r="Y109" s="19">
        <f>IF(ISERROR($C$109),"",IF(ISBLANK($C$109),"",$C$109))</f>
        <v/>
      </c>
      <c r="Z109" s="19">
        <f>IF(ISERROR($D$109),"",IF(ISBLANK($D$109),"",$D$109))</f>
        <v/>
      </c>
      <c r="AA109" s="19">
        <f>IF(ISERROR($E$109),"",IF(ISBLANK($E$109),"",$E$109))</f>
        <v/>
      </c>
      <c r="AB109" s="19">
        <f>IF(ISERROR($F$109),"",IF(ISBLANK($F$109),"",$F$109))</f>
        <v/>
      </c>
      <c r="AC109" s="19">
        <f>IF(ISERROR($G$109),"",IF(ISBLANK($G$109),"",$G$109))</f>
        <v/>
      </c>
      <c r="AD109" s="19">
        <f>IF(ISERROR($H$109),"",IF(ISBLANK($H$109),"",$H$109))</f>
        <v/>
      </c>
      <c r="AE109" s="19">
        <f>IF(ISERROR($I$109),"",IF(ISBLANK($I$109),"",$I$109))</f>
        <v/>
      </c>
      <c r="AF109" s="19">
        <f>IF(ISERROR($J$109),"",IF(ISBLANK($J$109),"",$J$109))</f>
        <v/>
      </c>
    </row>
    <row r="110" ht="26" customHeight="1">
      <c r="B110" s="30" t="n"/>
      <c r="C110" s="3" t="n"/>
      <c r="D110" s="3" t="n"/>
      <c r="E110" s="3" t="n"/>
      <c r="F110" s="3" t="n"/>
      <c r="G110" s="3" t="n"/>
      <c r="H110" s="3" t="n"/>
      <c r="I110" s="3" t="n"/>
      <c r="J110" s="3" t="n"/>
      <c r="K110" s="18">
        <f>IF(AG110&gt;0,"O Google leu como fórmula: escolha de novo ou digite com ' na frente.","")</f>
        <v/>
      </c>
      <c r="N110" s="19">
        <f>N109+IF(LEN($X$110)&gt;0,1,0)</f>
        <v/>
      </c>
      <c r="O110" s="19">
        <f>O109+IF(LEN($Y$110)&gt;0,1,0)</f>
        <v/>
      </c>
      <c r="P110" s="19">
        <f>P109+IF(LEN($Z$110)&gt;0,1,0)</f>
        <v/>
      </c>
      <c r="Q110" s="19">
        <f>Q109+IF(LEN($AA$110)&gt;0,1,0)</f>
        <v/>
      </c>
      <c r="R110" s="19">
        <f>R109+IF(LEN($AB$110)&gt;0,1,0)</f>
        <v/>
      </c>
      <c r="S110" s="19">
        <f>S109+IF(LEN($AC$110)&gt;0,1,0)</f>
        <v/>
      </c>
      <c r="T110" s="19">
        <f>T109+IF(LEN($AD$110)&gt;0,1,0)</f>
        <v/>
      </c>
      <c r="U110" s="19">
        <f>U109+IF(LEN($AE$110)&gt;0,1,0)</f>
        <v/>
      </c>
      <c r="X110" s="19">
        <f>IF(ISERROR($B$110),"",IF(ISBLANK($B$110),"",$B$110))</f>
        <v/>
      </c>
      <c r="Y110" s="19">
        <f>IF(ISERROR($C$110),"",IF(ISBLANK($C$110),"",$C$110))</f>
        <v/>
      </c>
      <c r="Z110" s="19">
        <f>IF(ISERROR($D$110),"",IF(ISBLANK($D$110),"",$D$110))</f>
        <v/>
      </c>
      <c r="AA110" s="19">
        <f>IF(ISERROR($E$110),"",IF(ISBLANK($E$110),"",$E$110))</f>
        <v/>
      </c>
      <c r="AB110" s="19">
        <f>IF(ISERROR($F$110),"",IF(ISBLANK($F$110),"",$F$110))</f>
        <v/>
      </c>
      <c r="AC110" s="19">
        <f>IF(ISERROR($G$110),"",IF(ISBLANK($G$110),"",$G$110))</f>
        <v/>
      </c>
      <c r="AD110" s="19">
        <f>IF(ISERROR($H$110),"",IF(ISBLANK($H$110),"",$H$110))</f>
        <v/>
      </c>
      <c r="AE110" s="19">
        <f>IF(ISERROR($I$110),"",IF(ISBLANK($I$110),"",$I$110))</f>
        <v/>
      </c>
      <c r="AF110" s="19">
        <f>IF(ISERROR($J$110),"",IF(ISBLANK($J$110),"",$J$110))</f>
        <v/>
      </c>
      <c r="AG110" s="19">
        <f>ISERROR($B$110)*1+ISERROR($C$110)*1+ISERROR($D$110)*1+ISERROR($E$110)*1+ISERROR($F$110)*1+ISERROR($G$110)*1+ISERROR($H$110)*1+ISERROR($I$110)*1+ISERROR($J$110)*1</f>
        <v/>
      </c>
    </row>
    <row r="111" ht="26" customHeight="1">
      <c r="B111" s="31" t="n"/>
      <c r="C111" s="28" t="n"/>
      <c r="D111" s="28" t="n"/>
      <c r="E111" s="28" t="n"/>
      <c r="F111" s="28" t="n"/>
      <c r="G111" s="28" t="n"/>
      <c r="H111" s="28" t="n"/>
      <c r="I111" s="28" t="n"/>
      <c r="J111" s="28" t="n"/>
      <c r="K111" s="18">
        <f>IF(AG111&gt;0,"O Google leu como fórmula: escolha de novo ou digite com ' na frente.","")</f>
        <v/>
      </c>
      <c r="N111" s="19">
        <f>N110+IF(LEN($X$111)&gt;0,1,0)</f>
        <v/>
      </c>
      <c r="O111" s="19">
        <f>O110+IF(LEN($Y$111)&gt;0,1,0)</f>
        <v/>
      </c>
      <c r="P111" s="19">
        <f>P110+IF(LEN($Z$111)&gt;0,1,0)</f>
        <v/>
      </c>
      <c r="Q111" s="19">
        <f>Q110+IF(LEN($AA$111)&gt;0,1,0)</f>
        <v/>
      </c>
      <c r="R111" s="19">
        <f>R110+IF(LEN($AB$111)&gt;0,1,0)</f>
        <v/>
      </c>
      <c r="S111" s="19">
        <f>S110+IF(LEN($AC$111)&gt;0,1,0)</f>
        <v/>
      </c>
      <c r="T111" s="19">
        <f>T110+IF(LEN($AD$111)&gt;0,1,0)</f>
        <v/>
      </c>
      <c r="U111" s="19">
        <f>U110+IF(LEN($AE$111)&gt;0,1,0)</f>
        <v/>
      </c>
      <c r="X111" s="19">
        <f>IF(ISERROR($B$111),"",IF(ISBLANK($B$111),"",$B$111))</f>
        <v/>
      </c>
      <c r="Y111" s="19">
        <f>IF(ISERROR($C$111),"",IF(ISBLANK($C$111),"",$C$111))</f>
        <v/>
      </c>
      <c r="Z111" s="19">
        <f>IF(ISERROR($D$111),"",IF(ISBLANK($D$111),"",$D$111))</f>
        <v/>
      </c>
      <c r="AA111" s="19">
        <f>IF(ISERROR($E$111),"",IF(ISBLANK($E$111),"",$E$111))</f>
        <v/>
      </c>
      <c r="AB111" s="19">
        <f>IF(ISERROR($F$111),"",IF(ISBLANK($F$111),"",$F$111))</f>
        <v/>
      </c>
      <c r="AC111" s="19">
        <f>IF(ISERROR($G$111),"",IF(ISBLANK($G$111),"",$G$111))</f>
        <v/>
      </c>
      <c r="AD111" s="19">
        <f>IF(ISERROR($H$111),"",IF(ISBLANK($H$111),"",$H$111))</f>
        <v/>
      </c>
      <c r="AE111" s="19">
        <f>IF(ISERROR($I$111),"",IF(ISBLANK($I$111),"",$I$111))</f>
        <v/>
      </c>
      <c r="AF111" s="19">
        <f>IF(ISERROR($J$111),"",IF(ISBLANK($J$111),"",$J$111))</f>
        <v/>
      </c>
      <c r="AG111" s="19">
        <f>ISERROR($B$111)*1+ISERROR($C$111)*1+ISERROR($D$111)*1+ISERROR($E$111)*1+ISERROR($F$111)*1+ISERROR($G$111)*1+ISERROR($H$111)*1+ISERROR($I$111)*1+ISERROR($J$111)*1</f>
        <v/>
      </c>
    </row>
    <row r="112" ht="26" customHeight="1">
      <c r="B112" s="30" t="n"/>
      <c r="C112" s="3" t="n"/>
      <c r="D112" s="3" t="n"/>
      <c r="E112" s="3" t="n"/>
      <c r="F112" s="3" t="n"/>
      <c r="G112" s="3" t="n"/>
      <c r="H112" s="3" t="n"/>
      <c r="I112" s="3" t="n"/>
      <c r="J112" s="3" t="n"/>
      <c r="K112" s="18">
        <f>IF(AG112&gt;0,"O Google leu como fórmula: escolha de novo ou digite com ' na frente.","")</f>
        <v/>
      </c>
      <c r="N112" s="19">
        <f>N111+IF(LEN($X$112)&gt;0,1,0)</f>
        <v/>
      </c>
      <c r="O112" s="19">
        <f>O111+IF(LEN($Y$112)&gt;0,1,0)</f>
        <v/>
      </c>
      <c r="P112" s="19">
        <f>P111+IF(LEN($Z$112)&gt;0,1,0)</f>
        <v/>
      </c>
      <c r="Q112" s="19">
        <f>Q111+IF(LEN($AA$112)&gt;0,1,0)</f>
        <v/>
      </c>
      <c r="R112" s="19">
        <f>R111+IF(LEN($AB$112)&gt;0,1,0)</f>
        <v/>
      </c>
      <c r="S112" s="19">
        <f>S111+IF(LEN($AC$112)&gt;0,1,0)</f>
        <v/>
      </c>
      <c r="T112" s="19">
        <f>T111+IF(LEN($AD$112)&gt;0,1,0)</f>
        <v/>
      </c>
      <c r="U112" s="19">
        <f>U111+IF(LEN($AE$112)&gt;0,1,0)</f>
        <v/>
      </c>
      <c r="X112" s="19">
        <f>IF(ISERROR($B$112),"",IF(ISBLANK($B$112),"",$B$112))</f>
        <v/>
      </c>
      <c r="Y112" s="19">
        <f>IF(ISERROR($C$112),"",IF(ISBLANK($C$112),"",$C$112))</f>
        <v/>
      </c>
      <c r="Z112" s="19">
        <f>IF(ISERROR($D$112),"",IF(ISBLANK($D$112),"",$D$112))</f>
        <v/>
      </c>
      <c r="AA112" s="19">
        <f>IF(ISERROR($E$112),"",IF(ISBLANK($E$112),"",$E$112))</f>
        <v/>
      </c>
      <c r="AB112" s="19">
        <f>IF(ISERROR($F$112),"",IF(ISBLANK($F$112),"",$F$112))</f>
        <v/>
      </c>
      <c r="AC112" s="19">
        <f>IF(ISERROR($G$112),"",IF(ISBLANK($G$112),"",$G$112))</f>
        <v/>
      </c>
      <c r="AD112" s="19">
        <f>IF(ISERROR($H$112),"",IF(ISBLANK($H$112),"",$H$112))</f>
        <v/>
      </c>
      <c r="AE112" s="19">
        <f>IF(ISERROR($I$112),"",IF(ISBLANK($I$112),"",$I$112))</f>
        <v/>
      </c>
      <c r="AF112" s="19">
        <f>IF(ISERROR($J$112),"",IF(ISBLANK($J$112),"",$J$112))</f>
        <v/>
      </c>
      <c r="AG112" s="19">
        <f>ISERROR($B$112)*1+ISERROR($C$112)*1+ISERROR($D$112)*1+ISERROR($E$112)*1+ISERROR($F$112)*1+ISERROR($G$112)*1+ISERROR($H$112)*1+ISERROR($I$112)*1+ISERROR($J$112)*1</f>
        <v/>
      </c>
    </row>
    <row r="113" ht="26" customHeight="1">
      <c r="B113" s="31" t="n"/>
      <c r="C113" s="28" t="n"/>
      <c r="D113" s="28" t="n"/>
      <c r="E113" s="28" t="n"/>
      <c r="F113" s="28" t="n"/>
      <c r="G113" s="28" t="n"/>
      <c r="H113" s="28" t="n"/>
      <c r="I113" s="28" t="n"/>
      <c r="J113" s="28" t="n"/>
      <c r="K113" s="18">
        <f>IF(AG113&gt;0,"O Google leu como fórmula: escolha de novo ou digite com ' na frente.","")</f>
        <v/>
      </c>
      <c r="N113" s="19">
        <f>N112+IF(LEN($X$113)&gt;0,1,0)</f>
        <v/>
      </c>
      <c r="O113" s="19">
        <f>O112+IF(LEN($Y$113)&gt;0,1,0)</f>
        <v/>
      </c>
      <c r="P113" s="19">
        <f>P112+IF(LEN($Z$113)&gt;0,1,0)</f>
        <v/>
      </c>
      <c r="Q113" s="19">
        <f>Q112+IF(LEN($AA$113)&gt;0,1,0)</f>
        <v/>
      </c>
      <c r="R113" s="19">
        <f>R112+IF(LEN($AB$113)&gt;0,1,0)</f>
        <v/>
      </c>
      <c r="S113" s="19">
        <f>S112+IF(LEN($AC$113)&gt;0,1,0)</f>
        <v/>
      </c>
      <c r="T113" s="19">
        <f>T112+IF(LEN($AD$113)&gt;0,1,0)</f>
        <v/>
      </c>
      <c r="U113" s="19">
        <f>U112+IF(LEN($AE$113)&gt;0,1,0)</f>
        <v/>
      </c>
      <c r="X113" s="19">
        <f>IF(ISERROR($B$113),"",IF(ISBLANK($B$113),"",$B$113))</f>
        <v/>
      </c>
      <c r="Y113" s="19">
        <f>IF(ISERROR($C$113),"",IF(ISBLANK($C$113),"",$C$113))</f>
        <v/>
      </c>
      <c r="Z113" s="19">
        <f>IF(ISERROR($D$113),"",IF(ISBLANK($D$113),"",$D$113))</f>
        <v/>
      </c>
      <c r="AA113" s="19">
        <f>IF(ISERROR($E$113),"",IF(ISBLANK($E$113),"",$E$113))</f>
        <v/>
      </c>
      <c r="AB113" s="19">
        <f>IF(ISERROR($F$113),"",IF(ISBLANK($F$113),"",$F$113))</f>
        <v/>
      </c>
      <c r="AC113" s="19">
        <f>IF(ISERROR($G$113),"",IF(ISBLANK($G$113),"",$G$113))</f>
        <v/>
      </c>
      <c r="AD113" s="19">
        <f>IF(ISERROR($H$113),"",IF(ISBLANK($H$113),"",$H$113))</f>
        <v/>
      </c>
      <c r="AE113" s="19">
        <f>IF(ISERROR($I$113),"",IF(ISBLANK($I$113),"",$I$113))</f>
        <v/>
      </c>
      <c r="AF113" s="19">
        <f>IF(ISERROR($J$113),"",IF(ISBLANK($J$113),"",$J$113))</f>
        <v/>
      </c>
      <c r="AG113" s="19">
        <f>ISERROR($B$113)*1+ISERROR($C$113)*1+ISERROR($D$113)*1+ISERROR($E$113)*1+ISERROR($F$113)*1+ISERROR($G$113)*1+ISERROR($H$113)*1+ISERROR($I$113)*1+ISERROR($J$113)*1</f>
        <v/>
      </c>
    </row>
    <row r="114" ht="26" customHeight="1">
      <c r="B114" s="30" t="n"/>
      <c r="C114" s="3" t="n"/>
      <c r="D114" s="3" t="n"/>
      <c r="E114" s="3" t="n"/>
      <c r="F114" s="3" t="n"/>
      <c r="G114" s="3" t="n"/>
      <c r="H114" s="3" t="n"/>
      <c r="I114" s="3" t="n"/>
      <c r="J114" s="3" t="n"/>
      <c r="K114" s="18">
        <f>IF(AG114&gt;0,"O Google leu como fórmula: escolha de novo ou digite com ' na frente.","")</f>
        <v/>
      </c>
      <c r="N114" s="19">
        <f>N113+IF(LEN($X$114)&gt;0,1,0)</f>
        <v/>
      </c>
      <c r="O114" s="19">
        <f>O113+IF(LEN($Y$114)&gt;0,1,0)</f>
        <v/>
      </c>
      <c r="P114" s="19">
        <f>P113+IF(LEN($Z$114)&gt;0,1,0)</f>
        <v/>
      </c>
      <c r="Q114" s="19">
        <f>Q113+IF(LEN($AA$114)&gt;0,1,0)</f>
        <v/>
      </c>
      <c r="R114" s="19">
        <f>R113+IF(LEN($AB$114)&gt;0,1,0)</f>
        <v/>
      </c>
      <c r="S114" s="19">
        <f>S113+IF(LEN($AC$114)&gt;0,1,0)</f>
        <v/>
      </c>
      <c r="T114" s="19">
        <f>T113+IF(LEN($AD$114)&gt;0,1,0)</f>
        <v/>
      </c>
      <c r="U114" s="19">
        <f>U113+IF(LEN($AE$114)&gt;0,1,0)</f>
        <v/>
      </c>
      <c r="X114" s="19">
        <f>IF(ISERROR($B$114),"",IF(ISBLANK($B$114),"",$B$114))</f>
        <v/>
      </c>
      <c r="Y114" s="19">
        <f>IF(ISERROR($C$114),"",IF(ISBLANK($C$114),"",$C$114))</f>
        <v/>
      </c>
      <c r="Z114" s="19">
        <f>IF(ISERROR($D$114),"",IF(ISBLANK($D$114),"",$D$114))</f>
        <v/>
      </c>
      <c r="AA114" s="19">
        <f>IF(ISERROR($E$114),"",IF(ISBLANK($E$114),"",$E$114))</f>
        <v/>
      </c>
      <c r="AB114" s="19">
        <f>IF(ISERROR($F$114),"",IF(ISBLANK($F$114),"",$F$114))</f>
        <v/>
      </c>
      <c r="AC114" s="19">
        <f>IF(ISERROR($G$114),"",IF(ISBLANK($G$114),"",$G$114))</f>
        <v/>
      </c>
      <c r="AD114" s="19">
        <f>IF(ISERROR($H$114),"",IF(ISBLANK($H$114),"",$H$114))</f>
        <v/>
      </c>
      <c r="AE114" s="19">
        <f>IF(ISERROR($I$114),"",IF(ISBLANK($I$114),"",$I$114))</f>
        <v/>
      </c>
      <c r="AF114" s="19">
        <f>IF(ISERROR($J$114),"",IF(ISBLANK($J$114),"",$J$114))</f>
        <v/>
      </c>
      <c r="AG114" s="19">
        <f>ISERROR($B$114)*1+ISERROR($C$114)*1+ISERROR($D$114)*1+ISERROR($E$114)*1+ISERROR($F$114)*1+ISERROR($G$114)*1+ISERROR($H$114)*1+ISERROR($I$114)*1+ISERROR($J$114)*1</f>
        <v/>
      </c>
    </row>
    <row r="115" ht="26" customHeight="1">
      <c r="B115" s="31" t="n"/>
      <c r="C115" s="28" t="n"/>
      <c r="D115" s="28" t="n"/>
      <c r="E115" s="28" t="n"/>
      <c r="F115" s="28" t="n"/>
      <c r="G115" s="28" t="n"/>
      <c r="H115" s="28" t="n"/>
      <c r="I115" s="28" t="n"/>
      <c r="J115" s="28" t="n"/>
      <c r="K115" s="18">
        <f>IF(AG115&gt;0,"O Google leu como fórmula: escolha de novo ou digite com ' na frente.","")</f>
        <v/>
      </c>
      <c r="N115" s="19">
        <f>N114+IF(LEN($X$115)&gt;0,1,0)</f>
        <v/>
      </c>
      <c r="O115" s="19">
        <f>O114+IF(LEN($Y$115)&gt;0,1,0)</f>
        <v/>
      </c>
      <c r="P115" s="19">
        <f>P114+IF(LEN($Z$115)&gt;0,1,0)</f>
        <v/>
      </c>
      <c r="Q115" s="19">
        <f>Q114+IF(LEN($AA$115)&gt;0,1,0)</f>
        <v/>
      </c>
      <c r="R115" s="19">
        <f>R114+IF(LEN($AB$115)&gt;0,1,0)</f>
        <v/>
      </c>
      <c r="S115" s="19">
        <f>S114+IF(LEN($AC$115)&gt;0,1,0)</f>
        <v/>
      </c>
      <c r="T115" s="19">
        <f>T114+IF(LEN($AD$115)&gt;0,1,0)</f>
        <v/>
      </c>
      <c r="U115" s="19">
        <f>U114+IF(LEN($AE$115)&gt;0,1,0)</f>
        <v/>
      </c>
      <c r="X115" s="19">
        <f>IF(ISERROR($B$115),"",IF(ISBLANK($B$115),"",$B$115))</f>
        <v/>
      </c>
      <c r="Y115" s="19">
        <f>IF(ISERROR($C$115),"",IF(ISBLANK($C$115),"",$C$115))</f>
        <v/>
      </c>
      <c r="Z115" s="19">
        <f>IF(ISERROR($D$115),"",IF(ISBLANK($D$115),"",$D$115))</f>
        <v/>
      </c>
      <c r="AA115" s="19">
        <f>IF(ISERROR($E$115),"",IF(ISBLANK($E$115),"",$E$115))</f>
        <v/>
      </c>
      <c r="AB115" s="19">
        <f>IF(ISERROR($F$115),"",IF(ISBLANK($F$115),"",$F$115))</f>
        <v/>
      </c>
      <c r="AC115" s="19">
        <f>IF(ISERROR($G$115),"",IF(ISBLANK($G$115),"",$G$115))</f>
        <v/>
      </c>
      <c r="AD115" s="19">
        <f>IF(ISERROR($H$115),"",IF(ISBLANK($H$115),"",$H$115))</f>
        <v/>
      </c>
      <c r="AE115" s="19">
        <f>IF(ISERROR($I$115),"",IF(ISBLANK($I$115),"",$I$115))</f>
        <v/>
      </c>
      <c r="AF115" s="19">
        <f>IF(ISERROR($J$115),"",IF(ISBLANK($J$115),"",$J$115))</f>
        <v/>
      </c>
      <c r="AG115" s="19">
        <f>ISERROR($B$115)*1+ISERROR($C$115)*1+ISERROR($D$115)*1+ISERROR($E$115)*1+ISERROR($F$115)*1+ISERROR($G$115)*1+ISERROR($H$115)*1+ISERROR($I$115)*1+ISERROR($J$115)*1</f>
        <v/>
      </c>
    </row>
    <row r="116" ht="26" customHeight="1">
      <c r="B116" s="30" t="n"/>
      <c r="C116" s="3" t="n"/>
      <c r="D116" s="3" t="n"/>
      <c r="E116" s="3" t="n"/>
      <c r="F116" s="3" t="n"/>
      <c r="G116" s="3" t="n"/>
      <c r="H116" s="3" t="n"/>
      <c r="I116" s="3" t="n"/>
      <c r="J116" s="3" t="n"/>
      <c r="K116" s="18">
        <f>IF(AG116&gt;0,"O Google leu como fórmula: escolha de novo ou digite com ' na frente.","")</f>
        <v/>
      </c>
      <c r="N116" s="19">
        <f>N115+IF(LEN($X$116)&gt;0,1,0)</f>
        <v/>
      </c>
      <c r="O116" s="19">
        <f>O115+IF(LEN($Y$116)&gt;0,1,0)</f>
        <v/>
      </c>
      <c r="P116" s="19">
        <f>P115+IF(LEN($Z$116)&gt;0,1,0)</f>
        <v/>
      </c>
      <c r="Q116" s="19">
        <f>Q115+IF(LEN($AA$116)&gt;0,1,0)</f>
        <v/>
      </c>
      <c r="R116" s="19">
        <f>R115+IF(LEN($AB$116)&gt;0,1,0)</f>
        <v/>
      </c>
      <c r="S116" s="19">
        <f>S115+IF(LEN($AC$116)&gt;0,1,0)</f>
        <v/>
      </c>
      <c r="T116" s="19">
        <f>T115+IF(LEN($AD$116)&gt;0,1,0)</f>
        <v/>
      </c>
      <c r="U116" s="19">
        <f>U115+IF(LEN($AE$116)&gt;0,1,0)</f>
        <v/>
      </c>
      <c r="X116" s="19">
        <f>IF(ISERROR($B$116),"",IF(ISBLANK($B$116),"",$B$116))</f>
        <v/>
      </c>
      <c r="Y116" s="19">
        <f>IF(ISERROR($C$116),"",IF(ISBLANK($C$116),"",$C$116))</f>
        <v/>
      </c>
      <c r="Z116" s="19">
        <f>IF(ISERROR($D$116),"",IF(ISBLANK($D$116),"",$D$116))</f>
        <v/>
      </c>
      <c r="AA116" s="19">
        <f>IF(ISERROR($E$116),"",IF(ISBLANK($E$116),"",$E$116))</f>
        <v/>
      </c>
      <c r="AB116" s="19">
        <f>IF(ISERROR($F$116),"",IF(ISBLANK($F$116),"",$F$116))</f>
        <v/>
      </c>
      <c r="AC116" s="19">
        <f>IF(ISERROR($G$116),"",IF(ISBLANK($G$116),"",$G$116))</f>
        <v/>
      </c>
      <c r="AD116" s="19">
        <f>IF(ISERROR($H$116),"",IF(ISBLANK($H$116),"",$H$116))</f>
        <v/>
      </c>
      <c r="AE116" s="19">
        <f>IF(ISERROR($I$116),"",IF(ISBLANK($I$116),"",$I$116))</f>
        <v/>
      </c>
      <c r="AF116" s="19">
        <f>IF(ISERROR($J$116),"",IF(ISBLANK($J$116),"",$J$116))</f>
        <v/>
      </c>
      <c r="AG116" s="19">
        <f>ISERROR($B$116)*1+ISERROR($C$116)*1+ISERROR($D$116)*1+ISERROR($E$116)*1+ISERROR($F$116)*1+ISERROR($G$116)*1+ISERROR($H$116)*1+ISERROR($I$116)*1+ISERROR($J$116)*1</f>
        <v/>
      </c>
    </row>
    <row r="117" ht="26" customHeight="1">
      <c r="B117" s="31" t="n"/>
      <c r="C117" s="28" t="n"/>
      <c r="D117" s="28" t="n"/>
      <c r="E117" s="28" t="n"/>
      <c r="F117" s="28" t="n"/>
      <c r="G117" s="28" t="n"/>
      <c r="H117" s="28" t="n"/>
      <c r="I117" s="28" t="n"/>
      <c r="J117" s="28" t="n"/>
      <c r="K117" s="18">
        <f>IF(AG117&gt;0,"O Google leu como fórmula: escolha de novo ou digite com ' na frente.","")</f>
        <v/>
      </c>
      <c r="N117" s="19">
        <f>N116+IF(LEN($X$117)&gt;0,1,0)</f>
        <v/>
      </c>
      <c r="O117" s="19">
        <f>O116+IF(LEN($Y$117)&gt;0,1,0)</f>
        <v/>
      </c>
      <c r="P117" s="19">
        <f>P116+IF(LEN($Z$117)&gt;0,1,0)</f>
        <v/>
      </c>
      <c r="Q117" s="19">
        <f>Q116+IF(LEN($AA$117)&gt;0,1,0)</f>
        <v/>
      </c>
      <c r="R117" s="19">
        <f>R116+IF(LEN($AB$117)&gt;0,1,0)</f>
        <v/>
      </c>
      <c r="S117" s="19">
        <f>S116+IF(LEN($AC$117)&gt;0,1,0)</f>
        <v/>
      </c>
      <c r="T117" s="19">
        <f>T116+IF(LEN($AD$117)&gt;0,1,0)</f>
        <v/>
      </c>
      <c r="U117" s="19">
        <f>U116+IF(LEN($AE$117)&gt;0,1,0)</f>
        <v/>
      </c>
      <c r="X117" s="19">
        <f>IF(ISERROR($B$117),"",IF(ISBLANK($B$117),"",$B$117))</f>
        <v/>
      </c>
      <c r="Y117" s="19">
        <f>IF(ISERROR($C$117),"",IF(ISBLANK($C$117),"",$C$117))</f>
        <v/>
      </c>
      <c r="Z117" s="19">
        <f>IF(ISERROR($D$117),"",IF(ISBLANK($D$117),"",$D$117))</f>
        <v/>
      </c>
      <c r="AA117" s="19">
        <f>IF(ISERROR($E$117),"",IF(ISBLANK($E$117),"",$E$117))</f>
        <v/>
      </c>
      <c r="AB117" s="19">
        <f>IF(ISERROR($F$117),"",IF(ISBLANK($F$117),"",$F$117))</f>
        <v/>
      </c>
      <c r="AC117" s="19">
        <f>IF(ISERROR($G$117),"",IF(ISBLANK($G$117),"",$G$117))</f>
        <v/>
      </c>
      <c r="AD117" s="19">
        <f>IF(ISERROR($H$117),"",IF(ISBLANK($H$117),"",$H$117))</f>
        <v/>
      </c>
      <c r="AE117" s="19">
        <f>IF(ISERROR($I$117),"",IF(ISBLANK($I$117),"",$I$117))</f>
        <v/>
      </c>
      <c r="AF117" s="19">
        <f>IF(ISERROR($J$117),"",IF(ISBLANK($J$117),"",$J$117))</f>
        <v/>
      </c>
      <c r="AG117" s="19">
        <f>ISERROR($B$117)*1+ISERROR($C$117)*1+ISERROR($D$117)*1+ISERROR($E$117)*1+ISERROR($F$117)*1+ISERROR($G$117)*1+ISERROR($H$117)*1+ISERROR($I$117)*1+ISERROR($J$117)*1</f>
        <v/>
      </c>
    </row>
    <row r="118" ht="26" customHeight="1">
      <c r="B118" s="30" t="n"/>
      <c r="C118" s="3" t="n"/>
      <c r="D118" s="3" t="n"/>
      <c r="E118" s="3" t="n"/>
      <c r="F118" s="3" t="n"/>
      <c r="G118" s="3" t="n"/>
      <c r="H118" s="3" t="n"/>
      <c r="I118" s="3" t="n"/>
      <c r="J118" s="3" t="n"/>
      <c r="K118" s="18">
        <f>IF(AG118&gt;0,"O Google leu como fórmula: escolha de novo ou digite com ' na frente.","")</f>
        <v/>
      </c>
      <c r="N118" s="19">
        <f>N117+IF(LEN($X$118)&gt;0,1,0)</f>
        <v/>
      </c>
      <c r="O118" s="19">
        <f>O117+IF(LEN($Y$118)&gt;0,1,0)</f>
        <v/>
      </c>
      <c r="P118" s="19">
        <f>P117+IF(LEN($Z$118)&gt;0,1,0)</f>
        <v/>
      </c>
      <c r="Q118" s="19">
        <f>Q117+IF(LEN($AA$118)&gt;0,1,0)</f>
        <v/>
      </c>
      <c r="R118" s="19">
        <f>R117+IF(LEN($AB$118)&gt;0,1,0)</f>
        <v/>
      </c>
      <c r="S118" s="19">
        <f>S117+IF(LEN($AC$118)&gt;0,1,0)</f>
        <v/>
      </c>
      <c r="T118" s="19">
        <f>T117+IF(LEN($AD$118)&gt;0,1,0)</f>
        <v/>
      </c>
      <c r="U118" s="19">
        <f>U117+IF(LEN($AE$118)&gt;0,1,0)</f>
        <v/>
      </c>
      <c r="X118" s="19">
        <f>IF(ISERROR($B$118),"",IF(ISBLANK($B$118),"",$B$118))</f>
        <v/>
      </c>
      <c r="Y118" s="19">
        <f>IF(ISERROR($C$118),"",IF(ISBLANK($C$118),"",$C$118))</f>
        <v/>
      </c>
      <c r="Z118" s="19">
        <f>IF(ISERROR($D$118),"",IF(ISBLANK($D$118),"",$D$118))</f>
        <v/>
      </c>
      <c r="AA118" s="19">
        <f>IF(ISERROR($E$118),"",IF(ISBLANK($E$118),"",$E$118))</f>
        <v/>
      </c>
      <c r="AB118" s="19">
        <f>IF(ISERROR($F$118),"",IF(ISBLANK($F$118),"",$F$118))</f>
        <v/>
      </c>
      <c r="AC118" s="19">
        <f>IF(ISERROR($G$118),"",IF(ISBLANK($G$118),"",$G$118))</f>
        <v/>
      </c>
      <c r="AD118" s="19">
        <f>IF(ISERROR($H$118),"",IF(ISBLANK($H$118),"",$H$118))</f>
        <v/>
      </c>
      <c r="AE118" s="19">
        <f>IF(ISERROR($I$118),"",IF(ISBLANK($I$118),"",$I$118))</f>
        <v/>
      </c>
      <c r="AF118" s="19">
        <f>IF(ISERROR($J$118),"",IF(ISBLANK($J$118),"",$J$118))</f>
        <v/>
      </c>
      <c r="AG118" s="19">
        <f>ISERROR($B$118)*1+ISERROR($C$118)*1+ISERROR($D$118)*1+ISERROR($E$118)*1+ISERROR($F$118)*1+ISERROR($G$118)*1+ISERROR($H$118)*1+ISERROR($I$118)*1+ISERROR($J$118)*1</f>
        <v/>
      </c>
    </row>
    <row r="119"/>
    <row r="120" ht="20" customHeight="1">
      <c r="A120" s="12" t="inlineStr">
        <is>
          <t>Nomes por cultura (05) — Sugestão da planilha; ficam fora da ortografia — 100 vagas por lista</t>
        </is>
      </c>
    </row>
    <row r="121">
      <c r="A121" s="11" t="inlineStr">
        <is>
          <t>Apague para trocar, use as vagas vazias para ampliar. Não insira linhas: o contador corrido pularia a linha nova.</t>
        </is>
      </c>
    </row>
    <row r="122">
      <c r="A122" s="7" t="inlineStr">
        <is>
          <t>Lista</t>
        </is>
      </c>
      <c r="B122" s="7" t="inlineStr">
        <is>
          <t>Nome — Humano</t>
        </is>
      </c>
      <c r="C122" s="7" t="inlineStr">
        <is>
          <t>Nome — Xianzhouíta</t>
        </is>
      </c>
      <c r="D122" s="7" t="inlineStr">
        <is>
          <t>Nome — Vidyadhara</t>
        </is>
      </c>
      <c r="E122" s="7" t="inlineStr">
        <is>
          <t>Nome — Vulpes</t>
        </is>
      </c>
      <c r="F122" s="7" t="inlineStr">
        <is>
          <t>Nome — Haloviano</t>
        </is>
      </c>
      <c r="G122" s="7" t="inlineStr">
        <is>
          <t>Nome — Avginiano</t>
        </is>
      </c>
      <c r="H122" s="7" t="inlineStr">
        <is>
          <t>Nome — Intellitron</t>
        </is>
      </c>
    </row>
    <row r="123" ht="26" customHeight="1">
      <c r="A123" s="8" t="inlineStr">
        <is>
          <t>Fonte</t>
        </is>
      </c>
      <c r="B123" s="13" t="inlineStr">
        <is>
          <t>Sugestão da planilha (estilo de 05, Humano)</t>
        </is>
      </c>
      <c r="C123" s="13" t="inlineStr">
        <is>
          <t>Sugestão da planilha (estilo de 05, Xianzhouíta)</t>
        </is>
      </c>
      <c r="D123" s="13" t="inlineStr">
        <is>
          <t>Sugestão da planilha (estilo de 05, Vidyadhara)</t>
        </is>
      </c>
      <c r="E123" s="13" t="inlineStr">
        <is>
          <t>Sugestão da planilha (estilo de 05, Vulpes)</t>
        </is>
      </c>
      <c r="F123" s="13" t="inlineStr">
        <is>
          <t>Sugestão da planilha (estilo de 05, Haloviano)</t>
        </is>
      </c>
      <c r="G123" s="13" t="inlineStr">
        <is>
          <t>Sugestão da planilha (estilo de 05, Avginiano)</t>
        </is>
      </c>
      <c r="H123" s="13" t="inlineStr">
        <is>
          <t>Sugestão da planilha (estilo de 05, Intellitron)</t>
        </is>
      </c>
    </row>
    <row r="124" ht="26" customHeight="1">
      <c r="A124" s="21" t="inlineStr">
        <is>
          <t>Tamanho da lista</t>
        </is>
      </c>
      <c r="B124" s="29">
        <f>N233</f>
        <v/>
      </c>
      <c r="C124" s="29">
        <f>O233</f>
        <v/>
      </c>
      <c r="D124" s="29">
        <f>P233</f>
        <v/>
      </c>
      <c r="E124" s="29">
        <f>Q233</f>
        <v/>
      </c>
      <c r="F124" s="29">
        <f>R233</f>
        <v/>
      </c>
      <c r="G124" s="29">
        <f>S233</f>
        <v/>
      </c>
      <c r="H124" s="29">
        <f>T233</f>
        <v/>
      </c>
    </row>
    <row r="125" ht="26" customHeight="1">
      <c r="A125" s="8" t="inlineStr">
        <is>
          <t>Aviso</t>
        </is>
      </c>
      <c r="B125" s="18">
        <f>IF(N233&gt;=100,"Lista cheia (100): use Minhas Tabelas para uma lista maior","")</f>
        <v/>
      </c>
      <c r="C125" s="18">
        <f>IF(O233&gt;=100,"Lista cheia (100): use Minhas Tabelas para uma lista maior","")</f>
        <v/>
      </c>
      <c r="D125" s="18">
        <f>IF(P233&gt;=100,"Lista cheia (100): use Minhas Tabelas para uma lista maior","")</f>
        <v/>
      </c>
      <c r="E125" s="18">
        <f>IF(Q233&gt;=100,"Lista cheia (100): use Minhas Tabelas para uma lista maior","")</f>
        <v/>
      </c>
      <c r="F125" s="18">
        <f>IF(R233&gt;=100,"Lista cheia (100): use Minhas Tabelas para uma lista maior","")</f>
        <v/>
      </c>
      <c r="G125" s="18">
        <f>IF(S233&gt;=100,"Lista cheia (100): use Minhas Tabelas para uma lista maior","")</f>
        <v/>
      </c>
      <c r="H125" s="18">
        <f>IF(T233&gt;=100,"Lista cheia (100): use Minhas Tabelas para uma lista maior","")</f>
        <v/>
      </c>
    </row>
    <row r="126" ht="15" customHeight="1">
      <c r="B126" s="7" t="inlineStr">
        <is>
          <t>Nome — Humano</t>
        </is>
      </c>
      <c r="C126" s="7" t="inlineStr">
        <is>
          <t>Nome — Xianzhouíta</t>
        </is>
      </c>
      <c r="D126" s="7" t="inlineStr">
        <is>
          <t>Nome — Vidyadhara</t>
        </is>
      </c>
      <c r="E126" s="7" t="inlineStr">
        <is>
          <t>Nome — Vulpes</t>
        </is>
      </c>
      <c r="F126" s="7" t="inlineStr">
        <is>
          <t>Nome — Haloviano</t>
        </is>
      </c>
      <c r="G126" s="7" t="inlineStr">
        <is>
          <t>Nome — Avginiano</t>
        </is>
      </c>
      <c r="H126" s="7" t="inlineStr">
        <is>
          <t>Nome — Intellitron</t>
        </is>
      </c>
      <c r="N126" s="19">
        <f>0</f>
        <v/>
      </c>
      <c r="O126" s="19">
        <f>0</f>
        <v/>
      </c>
      <c r="P126" s="19">
        <f>0</f>
        <v/>
      </c>
      <c r="Q126" s="19">
        <f>0</f>
        <v/>
      </c>
      <c r="R126" s="19">
        <f>0</f>
        <v/>
      </c>
      <c r="S126" s="19">
        <f>0</f>
        <v/>
      </c>
      <c r="T126" s="19">
        <f>0</f>
        <v/>
      </c>
    </row>
    <row r="127" ht="26" customHeight="1">
      <c r="B127" s="30" t="inlineStr">
        <is>
          <t>Teodora</t>
        </is>
      </c>
      <c r="C127" s="3" t="inlineStr">
        <is>
          <t>Wenshu</t>
        </is>
      </c>
      <c r="D127" s="3" t="inlineStr">
        <is>
          <t>Chaoyinhe</t>
        </is>
      </c>
      <c r="E127" s="3" t="inlineStr">
        <is>
          <t>Rin</t>
        </is>
      </c>
      <c r="F127" s="3" t="inlineStr">
        <is>
          <t>Aelia</t>
        </is>
      </c>
      <c r="G127" s="3" t="inlineStr">
        <is>
          <t>Kesh</t>
        </is>
      </c>
      <c r="H127" s="3" t="inlineStr">
        <is>
          <t>AT-07</t>
        </is>
      </c>
      <c r="K127" s="18">
        <f>IF(AG127&gt;0,"O Google leu como fórmula: digite de novo com ' na frente.","")</f>
        <v/>
      </c>
      <c r="N127" s="19">
        <f>N126+IF(LEN($X$127)&gt;0,1,0)</f>
        <v/>
      </c>
      <c r="O127" s="19">
        <f>O126+IF(LEN($Y$127)&gt;0,1,0)</f>
        <v/>
      </c>
      <c r="P127" s="19">
        <f>P126+IF(LEN($Z$127)&gt;0,1,0)</f>
        <v/>
      </c>
      <c r="Q127" s="19">
        <f>Q126+IF(LEN($AA$127)&gt;0,1,0)</f>
        <v/>
      </c>
      <c r="R127" s="19">
        <f>R126+IF(LEN($AB$127)&gt;0,1,0)</f>
        <v/>
      </c>
      <c r="S127" s="19">
        <f>S126+IF(LEN($AC$127)&gt;0,1,0)</f>
        <v/>
      </c>
      <c r="T127" s="19">
        <f>T126+IF(LEN($AD$127)&gt;0,1,0)</f>
        <v/>
      </c>
      <c r="X127" s="19">
        <f>IF(ISERROR($B$127),"",IF(ISBLANK($B$127),"",$B$127))</f>
        <v/>
      </c>
      <c r="Y127" s="19">
        <f>IF(ISERROR($C$127),"",IF(ISBLANK($C$127),"",$C$127))</f>
        <v/>
      </c>
      <c r="Z127" s="19">
        <f>IF(ISERROR($D$127),"",IF(ISBLANK($D$127),"",$D$127))</f>
        <v/>
      </c>
      <c r="AA127" s="19">
        <f>IF(ISERROR($E$127),"",IF(ISBLANK($E$127),"",$E$127))</f>
        <v/>
      </c>
      <c r="AB127" s="19">
        <f>IF(ISERROR($F$127),"",IF(ISBLANK($F$127),"",$F$127))</f>
        <v/>
      </c>
      <c r="AC127" s="19">
        <f>IF(ISERROR($G$127),"",IF(ISBLANK($G$127),"",$G$127))</f>
        <v/>
      </c>
      <c r="AD127" s="19">
        <f>IF(ISERROR($H$127),"",IF(ISBLANK($H$127),"",$H$127))</f>
        <v/>
      </c>
      <c r="AG127" s="19">
        <f>ISERROR($B$127)*1+ISERROR($C$127)*1+ISERROR($D$127)*1+ISERROR($E$127)*1+ISERROR($F$127)*1+ISERROR($G$127)*1+ISERROR($H$127)*1</f>
        <v/>
      </c>
    </row>
    <row r="128" ht="26" customHeight="1">
      <c r="B128" s="31" t="inlineStr">
        <is>
          <t>Ilan</t>
        </is>
      </c>
      <c r="C128" s="28" t="inlineStr">
        <is>
          <t>Zhaolin</t>
        </is>
      </c>
      <c r="D128" s="28" t="inlineStr">
        <is>
          <t>Haishenglu</t>
        </is>
      </c>
      <c r="E128" s="28" t="inlineStr">
        <is>
          <t>Kiku</t>
        </is>
      </c>
      <c r="F128" s="28" t="inlineStr">
        <is>
          <t>Ilauna</t>
        </is>
      </c>
      <c r="G128" s="28" t="inlineStr">
        <is>
          <t>Tavi</t>
        </is>
      </c>
      <c r="H128" s="28" t="inlineStr">
        <is>
          <t>RQ-31</t>
        </is>
      </c>
      <c r="K128" s="18">
        <f>IF(AG128&gt;0,"O Google leu como fórmula: digite de novo com ' na frente.","")</f>
        <v/>
      </c>
      <c r="N128" s="19">
        <f>N127+IF(LEN($X$128)&gt;0,1,0)</f>
        <v/>
      </c>
      <c r="O128" s="19">
        <f>O127+IF(LEN($Y$128)&gt;0,1,0)</f>
        <v/>
      </c>
      <c r="P128" s="19">
        <f>P127+IF(LEN($Z$128)&gt;0,1,0)</f>
        <v/>
      </c>
      <c r="Q128" s="19">
        <f>Q127+IF(LEN($AA$128)&gt;0,1,0)</f>
        <v/>
      </c>
      <c r="R128" s="19">
        <f>R127+IF(LEN($AB$128)&gt;0,1,0)</f>
        <v/>
      </c>
      <c r="S128" s="19">
        <f>S127+IF(LEN($AC$128)&gt;0,1,0)</f>
        <v/>
      </c>
      <c r="T128" s="19">
        <f>T127+IF(LEN($AD$128)&gt;0,1,0)</f>
        <v/>
      </c>
      <c r="X128" s="19">
        <f>IF(ISERROR($B$128),"",IF(ISBLANK($B$128),"",$B$128))</f>
        <v/>
      </c>
      <c r="Y128" s="19">
        <f>IF(ISERROR($C$128),"",IF(ISBLANK($C$128),"",$C$128))</f>
        <v/>
      </c>
      <c r="Z128" s="19">
        <f>IF(ISERROR($D$128),"",IF(ISBLANK($D$128),"",$D$128))</f>
        <v/>
      </c>
      <c r="AA128" s="19">
        <f>IF(ISERROR($E$128),"",IF(ISBLANK($E$128),"",$E$128))</f>
        <v/>
      </c>
      <c r="AB128" s="19">
        <f>IF(ISERROR($F$128),"",IF(ISBLANK($F$128),"",$F$128))</f>
        <v/>
      </c>
      <c r="AC128" s="19">
        <f>IF(ISERROR($G$128),"",IF(ISBLANK($G$128),"",$G$128))</f>
        <v/>
      </c>
      <c r="AD128" s="19">
        <f>IF(ISERROR($H$128),"",IF(ISBLANK($H$128),"",$H$128))</f>
        <v/>
      </c>
      <c r="AG128" s="19">
        <f>ISERROR($B$128)*1+ISERROR($C$128)*1+ISERROR($D$128)*1+ISERROR($E$128)*1+ISERROR($F$128)*1+ISERROR($G$128)*1+ISERROR($H$128)*1</f>
        <v/>
      </c>
    </row>
    <row r="129" ht="26" customHeight="1">
      <c r="B129" s="30" t="inlineStr">
        <is>
          <t>Marisol</t>
        </is>
      </c>
      <c r="C129" s="3" t="inlineStr">
        <is>
          <t>Chunhe</t>
        </is>
      </c>
      <c r="D129" s="3" t="inlineStr">
        <is>
          <t>Langqiuyan</t>
        </is>
      </c>
      <c r="E129" s="3" t="inlineStr">
        <is>
          <t>Yuna</t>
        </is>
      </c>
      <c r="F129" s="3" t="inlineStr">
        <is>
          <t>Oraelo</t>
        </is>
      </c>
      <c r="G129" s="3" t="inlineStr">
        <is>
          <t>Ondo</t>
        </is>
      </c>
      <c r="H129" s="3" t="inlineStr">
        <is>
          <t>MN-40</t>
        </is>
      </c>
      <c r="K129" s="18">
        <f>IF(AG129&gt;0,"O Google leu como fórmula: digite de novo com ' na frente.","")</f>
        <v/>
      </c>
      <c r="N129" s="19">
        <f>N128+IF(LEN($X$129)&gt;0,1,0)</f>
        <v/>
      </c>
      <c r="O129" s="19">
        <f>O128+IF(LEN($Y$129)&gt;0,1,0)</f>
        <v/>
      </c>
      <c r="P129" s="19">
        <f>P128+IF(LEN($Z$129)&gt;0,1,0)</f>
        <v/>
      </c>
      <c r="Q129" s="19">
        <f>Q128+IF(LEN($AA$129)&gt;0,1,0)</f>
        <v/>
      </c>
      <c r="R129" s="19">
        <f>R128+IF(LEN($AB$129)&gt;0,1,0)</f>
        <v/>
      </c>
      <c r="S129" s="19">
        <f>S128+IF(LEN($AC$129)&gt;0,1,0)</f>
        <v/>
      </c>
      <c r="T129" s="19">
        <f>T128+IF(LEN($AD$129)&gt;0,1,0)</f>
        <v/>
      </c>
      <c r="X129" s="19">
        <f>IF(ISERROR($B$129),"",IF(ISBLANK($B$129),"",$B$129))</f>
        <v/>
      </c>
      <c r="Y129" s="19">
        <f>IF(ISERROR($C$129),"",IF(ISBLANK($C$129),"",$C$129))</f>
        <v/>
      </c>
      <c r="Z129" s="19">
        <f>IF(ISERROR($D$129),"",IF(ISBLANK($D$129),"",$D$129))</f>
        <v/>
      </c>
      <c r="AA129" s="19">
        <f>IF(ISERROR($E$129),"",IF(ISBLANK($E$129),"",$E$129))</f>
        <v/>
      </c>
      <c r="AB129" s="19">
        <f>IF(ISERROR($F$129),"",IF(ISBLANK($F$129),"",$F$129))</f>
        <v/>
      </c>
      <c r="AC129" s="19">
        <f>IF(ISERROR($G$129),"",IF(ISBLANK($G$129),"",$G$129))</f>
        <v/>
      </c>
      <c r="AD129" s="19">
        <f>IF(ISERROR($H$129),"",IF(ISBLANK($H$129),"",$H$129))</f>
        <v/>
      </c>
      <c r="AG129" s="19">
        <f>ISERROR($B$129)*1+ISERROR($C$129)*1+ISERROR($D$129)*1+ISERROR($E$129)*1+ISERROR($F$129)*1+ISERROR($G$129)*1+ISERROR($H$129)*1</f>
        <v/>
      </c>
    </row>
    <row r="130" ht="26" customHeight="1">
      <c r="B130" s="31" t="inlineStr">
        <is>
          <t>Kwame</t>
        </is>
      </c>
      <c r="C130" s="28" t="inlineStr">
        <is>
          <t>Qiuyan</t>
        </is>
      </c>
      <c r="D130" s="28" t="inlineStr">
        <is>
          <t>Yuanchaoming</t>
        </is>
      </c>
      <c r="E130" s="28" t="inlineStr">
        <is>
          <t>Tomo</t>
        </is>
      </c>
      <c r="F130" s="28" t="inlineStr">
        <is>
          <t>Mirava</t>
        </is>
      </c>
      <c r="G130" s="28" t="inlineStr">
        <is>
          <t>Zev</t>
        </is>
      </c>
      <c r="H130" s="28" t="inlineStr">
        <is>
          <t>ZL-9</t>
        </is>
      </c>
      <c r="K130" s="18">
        <f>IF(AG130&gt;0,"O Google leu como fórmula: digite de novo com ' na frente.","")</f>
        <v/>
      </c>
      <c r="N130" s="19">
        <f>N129+IF(LEN($X$130)&gt;0,1,0)</f>
        <v/>
      </c>
      <c r="O130" s="19">
        <f>O129+IF(LEN($Y$130)&gt;0,1,0)</f>
        <v/>
      </c>
      <c r="P130" s="19">
        <f>P129+IF(LEN($Z$130)&gt;0,1,0)</f>
        <v/>
      </c>
      <c r="Q130" s="19">
        <f>Q129+IF(LEN($AA$130)&gt;0,1,0)</f>
        <v/>
      </c>
      <c r="R130" s="19">
        <f>R129+IF(LEN($AB$130)&gt;0,1,0)</f>
        <v/>
      </c>
      <c r="S130" s="19">
        <f>S129+IF(LEN($AC$130)&gt;0,1,0)</f>
        <v/>
      </c>
      <c r="T130" s="19">
        <f>T129+IF(LEN($AD$130)&gt;0,1,0)</f>
        <v/>
      </c>
      <c r="X130" s="19">
        <f>IF(ISERROR($B$130),"",IF(ISBLANK($B$130),"",$B$130))</f>
        <v/>
      </c>
      <c r="Y130" s="19">
        <f>IF(ISERROR($C$130),"",IF(ISBLANK($C$130),"",$C$130))</f>
        <v/>
      </c>
      <c r="Z130" s="19">
        <f>IF(ISERROR($D$130),"",IF(ISBLANK($D$130),"",$D$130))</f>
        <v/>
      </c>
      <c r="AA130" s="19">
        <f>IF(ISERROR($E$130),"",IF(ISBLANK($E$130),"",$E$130))</f>
        <v/>
      </c>
      <c r="AB130" s="19">
        <f>IF(ISERROR($F$130),"",IF(ISBLANK($F$130),"",$F$130))</f>
        <v/>
      </c>
      <c r="AC130" s="19">
        <f>IF(ISERROR($G$130),"",IF(ISBLANK($G$130),"",$G$130))</f>
        <v/>
      </c>
      <c r="AD130" s="19">
        <f>IF(ISERROR($H$130),"",IF(ISBLANK($H$130),"",$H$130))</f>
        <v/>
      </c>
      <c r="AG130" s="19">
        <f>ISERROR($B$130)*1+ISERROR($C$130)*1+ISERROR($D$130)*1+ISERROR($E$130)*1+ISERROR($F$130)*1+ISERROR($G$130)*1+ISERROR($H$130)*1</f>
        <v/>
      </c>
    </row>
    <row r="131" ht="26" customHeight="1">
      <c r="B131" s="30" t="inlineStr">
        <is>
          <t>Ingrid</t>
        </is>
      </c>
      <c r="C131" s="3" t="inlineStr">
        <is>
          <t>Shuiming</t>
        </is>
      </c>
      <c r="D131" s="3" t="inlineStr">
        <is>
          <t>Shuiyueqing</t>
        </is>
      </c>
      <c r="E131" s="3" t="inlineStr">
        <is>
          <t>Haru</t>
        </is>
      </c>
      <c r="F131" s="3" t="inlineStr">
        <is>
          <t>Solenne</t>
        </is>
      </c>
      <c r="G131" s="3" t="inlineStr">
        <is>
          <t>Ilo</t>
        </is>
      </c>
      <c r="H131" s="3" t="inlineStr">
        <is>
          <t>OX-112</t>
        </is>
      </c>
      <c r="K131" s="18">
        <f>IF(AG131&gt;0,"O Google leu como fórmula: digite de novo com ' na frente.","")</f>
        <v/>
      </c>
      <c r="N131" s="19">
        <f>N130+IF(LEN($X$131)&gt;0,1,0)</f>
        <v/>
      </c>
      <c r="O131" s="19">
        <f>O130+IF(LEN($Y$131)&gt;0,1,0)</f>
        <v/>
      </c>
      <c r="P131" s="19">
        <f>P130+IF(LEN($Z$131)&gt;0,1,0)</f>
        <v/>
      </c>
      <c r="Q131" s="19">
        <f>Q130+IF(LEN($AA$131)&gt;0,1,0)</f>
        <v/>
      </c>
      <c r="R131" s="19">
        <f>R130+IF(LEN($AB$131)&gt;0,1,0)</f>
        <v/>
      </c>
      <c r="S131" s="19">
        <f>S130+IF(LEN($AC$131)&gt;0,1,0)</f>
        <v/>
      </c>
      <c r="T131" s="19">
        <f>T130+IF(LEN($AD$131)&gt;0,1,0)</f>
        <v/>
      </c>
      <c r="X131" s="19">
        <f>IF(ISERROR($B$131),"",IF(ISBLANK($B$131),"",$B$131))</f>
        <v/>
      </c>
      <c r="Y131" s="19">
        <f>IF(ISERROR($C$131),"",IF(ISBLANK($C$131),"",$C$131))</f>
        <v/>
      </c>
      <c r="Z131" s="19">
        <f>IF(ISERROR($D$131),"",IF(ISBLANK($D$131),"",$D$131))</f>
        <v/>
      </c>
      <c r="AA131" s="19">
        <f>IF(ISERROR($E$131),"",IF(ISBLANK($E$131),"",$E$131))</f>
        <v/>
      </c>
      <c r="AB131" s="19">
        <f>IF(ISERROR($F$131),"",IF(ISBLANK($F$131),"",$F$131))</f>
        <v/>
      </c>
      <c r="AC131" s="19">
        <f>IF(ISERROR($G$131),"",IF(ISBLANK($G$131),"",$G$131))</f>
        <v/>
      </c>
      <c r="AD131" s="19">
        <f>IF(ISERROR($H$131),"",IF(ISBLANK($H$131),"",$H$131))</f>
        <v/>
      </c>
      <c r="AG131" s="19">
        <f>ISERROR($B$131)*1+ISERROR($C$131)*1+ISERROR($D$131)*1+ISERROR($E$131)*1+ISERROR($F$131)*1+ISERROR($G$131)*1+ISERROR($H$131)*1</f>
        <v/>
      </c>
    </row>
    <row r="132" ht="26" customHeight="1">
      <c r="B132" s="31" t="inlineStr">
        <is>
          <t>Tadeu</t>
        </is>
      </c>
      <c r="C132" s="28" t="inlineStr">
        <is>
          <t>Rongan</t>
        </is>
      </c>
      <c r="D132" s="28" t="inlineStr">
        <is>
          <t>Haiyuanzhi</t>
        </is>
      </c>
      <c r="E132" s="28" t="inlineStr">
        <is>
          <t>Mika</t>
        </is>
      </c>
      <c r="F132" s="28" t="inlineStr">
        <is>
          <t>Liora</t>
        </is>
      </c>
      <c r="G132" s="28" t="inlineStr">
        <is>
          <t>Saka</t>
        </is>
      </c>
      <c r="H132" s="28" t="inlineStr">
        <is>
          <t>PT-5</t>
        </is>
      </c>
      <c r="K132" s="18">
        <f>IF(AG132&gt;0,"O Google leu como fórmula: digite de novo com ' na frente.","")</f>
        <v/>
      </c>
      <c r="N132" s="19">
        <f>N131+IF(LEN($X$132)&gt;0,1,0)</f>
        <v/>
      </c>
      <c r="O132" s="19">
        <f>O131+IF(LEN($Y$132)&gt;0,1,0)</f>
        <v/>
      </c>
      <c r="P132" s="19">
        <f>P131+IF(LEN($Z$132)&gt;0,1,0)</f>
        <v/>
      </c>
      <c r="Q132" s="19">
        <f>Q131+IF(LEN($AA$132)&gt;0,1,0)</f>
        <v/>
      </c>
      <c r="R132" s="19">
        <f>R131+IF(LEN($AB$132)&gt;0,1,0)</f>
        <v/>
      </c>
      <c r="S132" s="19">
        <f>S131+IF(LEN($AC$132)&gt;0,1,0)</f>
        <v/>
      </c>
      <c r="T132" s="19">
        <f>T131+IF(LEN($AD$132)&gt;0,1,0)</f>
        <v/>
      </c>
      <c r="X132" s="19">
        <f>IF(ISERROR($B$132),"",IF(ISBLANK($B$132),"",$B$132))</f>
        <v/>
      </c>
      <c r="Y132" s="19">
        <f>IF(ISERROR($C$132),"",IF(ISBLANK($C$132),"",$C$132))</f>
        <v/>
      </c>
      <c r="Z132" s="19">
        <f>IF(ISERROR($D$132),"",IF(ISBLANK($D$132),"",$D$132))</f>
        <v/>
      </c>
      <c r="AA132" s="19">
        <f>IF(ISERROR($E$132),"",IF(ISBLANK($E$132),"",$E$132))</f>
        <v/>
      </c>
      <c r="AB132" s="19">
        <f>IF(ISERROR($F$132),"",IF(ISBLANK($F$132),"",$F$132))</f>
        <v/>
      </c>
      <c r="AC132" s="19">
        <f>IF(ISERROR($G$132),"",IF(ISBLANK($G$132),"",$G$132))</f>
        <v/>
      </c>
      <c r="AD132" s="19">
        <f>IF(ISERROR($H$132),"",IF(ISBLANK($H$132),"",$H$132))</f>
        <v/>
      </c>
      <c r="AG132" s="19">
        <f>ISERROR($B$132)*1+ISERROR($C$132)*1+ISERROR($D$132)*1+ISERROR($E$132)*1+ISERROR($F$132)*1+ISERROR($G$132)*1+ISERROR($H$132)*1</f>
        <v/>
      </c>
    </row>
    <row r="133" ht="26" customHeight="1">
      <c r="B133" s="30" t="inlineStr">
        <is>
          <t>Yasmin</t>
        </is>
      </c>
      <c r="C133" s="3" t="inlineStr">
        <is>
          <t>Huaijin</t>
        </is>
      </c>
      <c r="D133" s="3" t="inlineStr">
        <is>
          <t>Bolanxinyu</t>
        </is>
      </c>
      <c r="E133" s="3" t="inlineStr">
        <is>
          <t>Aoi</t>
        </is>
      </c>
      <c r="F133" s="3" t="inlineStr">
        <is>
          <t>Avaneh</t>
        </is>
      </c>
      <c r="G133" s="3" t="inlineStr">
        <is>
          <t>Bren</t>
        </is>
      </c>
      <c r="H133" s="3" t="inlineStr">
        <is>
          <t>VK-23</t>
        </is>
      </c>
      <c r="K133" s="18">
        <f>IF(AG133&gt;0,"O Google leu como fórmula: digite de novo com ' na frente.","")</f>
        <v/>
      </c>
      <c r="N133" s="19">
        <f>N132+IF(LEN($X$133)&gt;0,1,0)</f>
        <v/>
      </c>
      <c r="O133" s="19">
        <f>O132+IF(LEN($Y$133)&gt;0,1,0)</f>
        <v/>
      </c>
      <c r="P133" s="19">
        <f>P132+IF(LEN($Z$133)&gt;0,1,0)</f>
        <v/>
      </c>
      <c r="Q133" s="19">
        <f>Q132+IF(LEN($AA$133)&gt;0,1,0)</f>
        <v/>
      </c>
      <c r="R133" s="19">
        <f>R132+IF(LEN($AB$133)&gt;0,1,0)</f>
        <v/>
      </c>
      <c r="S133" s="19">
        <f>S132+IF(LEN($AC$133)&gt;0,1,0)</f>
        <v/>
      </c>
      <c r="T133" s="19">
        <f>T132+IF(LEN($AD$133)&gt;0,1,0)</f>
        <v/>
      </c>
      <c r="X133" s="19">
        <f>IF(ISERROR($B$133),"",IF(ISBLANK($B$133),"",$B$133))</f>
        <v/>
      </c>
      <c r="Y133" s="19">
        <f>IF(ISERROR($C$133),"",IF(ISBLANK($C$133),"",$C$133))</f>
        <v/>
      </c>
      <c r="Z133" s="19">
        <f>IF(ISERROR($D$133),"",IF(ISBLANK($D$133),"",$D$133))</f>
        <v/>
      </c>
      <c r="AA133" s="19">
        <f>IF(ISERROR($E$133),"",IF(ISBLANK($E$133),"",$E$133))</f>
        <v/>
      </c>
      <c r="AB133" s="19">
        <f>IF(ISERROR($F$133),"",IF(ISBLANK($F$133),"",$F$133))</f>
        <v/>
      </c>
      <c r="AC133" s="19">
        <f>IF(ISERROR($G$133),"",IF(ISBLANK($G$133),"",$G$133))</f>
        <v/>
      </c>
      <c r="AD133" s="19">
        <f>IF(ISERROR($H$133),"",IF(ISBLANK($H$133),"",$H$133))</f>
        <v/>
      </c>
      <c r="AG133" s="19">
        <f>ISERROR($B$133)*1+ISERROR($C$133)*1+ISERROR($D$133)*1+ISERROR($E$133)*1+ISERROR($F$133)*1+ISERROR($G$133)*1+ISERROR($H$133)*1</f>
        <v/>
      </c>
    </row>
    <row r="134" ht="26" customHeight="1">
      <c r="B134" s="31" t="inlineStr">
        <is>
          <t>Oleg</t>
        </is>
      </c>
      <c r="C134" s="28" t="inlineStr">
        <is>
          <t>Lianshu</t>
        </is>
      </c>
      <c r="D134" s="28" t="inlineStr">
        <is>
          <t>Chenhaijun</t>
        </is>
      </c>
      <c r="E134" s="28" t="inlineStr">
        <is>
          <t>Ren</t>
        </is>
      </c>
      <c r="F134" s="28" t="inlineStr">
        <is>
          <t>Elaré</t>
        </is>
      </c>
      <c r="G134" s="28" t="inlineStr">
        <is>
          <t>Dalu</t>
        </is>
      </c>
      <c r="H134" s="28" t="inlineStr">
        <is>
          <t>HL-88</t>
        </is>
      </c>
      <c r="K134" s="18">
        <f>IF(AG134&gt;0,"O Google leu como fórmula: digite de novo com ' na frente.","")</f>
        <v/>
      </c>
      <c r="N134" s="19">
        <f>N133+IF(LEN($X$134)&gt;0,1,0)</f>
        <v/>
      </c>
      <c r="O134" s="19">
        <f>O133+IF(LEN($Y$134)&gt;0,1,0)</f>
        <v/>
      </c>
      <c r="P134" s="19">
        <f>P133+IF(LEN($Z$134)&gt;0,1,0)</f>
        <v/>
      </c>
      <c r="Q134" s="19">
        <f>Q133+IF(LEN($AA$134)&gt;0,1,0)</f>
        <v/>
      </c>
      <c r="R134" s="19">
        <f>R133+IF(LEN($AB$134)&gt;0,1,0)</f>
        <v/>
      </c>
      <c r="S134" s="19">
        <f>S133+IF(LEN($AC$134)&gt;0,1,0)</f>
        <v/>
      </c>
      <c r="T134" s="19">
        <f>T133+IF(LEN($AD$134)&gt;0,1,0)</f>
        <v/>
      </c>
      <c r="X134" s="19">
        <f>IF(ISERROR($B$134),"",IF(ISBLANK($B$134),"",$B$134))</f>
        <v/>
      </c>
      <c r="Y134" s="19">
        <f>IF(ISERROR($C$134),"",IF(ISBLANK($C$134),"",$C$134))</f>
        <v/>
      </c>
      <c r="Z134" s="19">
        <f>IF(ISERROR($D$134),"",IF(ISBLANK($D$134),"",$D$134))</f>
        <v/>
      </c>
      <c r="AA134" s="19">
        <f>IF(ISERROR($E$134),"",IF(ISBLANK($E$134),"",$E$134))</f>
        <v/>
      </c>
      <c r="AB134" s="19">
        <f>IF(ISERROR($F$134),"",IF(ISBLANK($F$134),"",$F$134))</f>
        <v/>
      </c>
      <c r="AC134" s="19">
        <f>IF(ISERROR($G$134),"",IF(ISBLANK($G$134),"",$G$134))</f>
        <v/>
      </c>
      <c r="AD134" s="19">
        <f>IF(ISERROR($H$134),"",IF(ISBLANK($H$134),"",$H$134))</f>
        <v/>
      </c>
      <c r="AG134" s="19">
        <f>ISERROR($B$134)*1+ISERROR($C$134)*1+ISERROR($D$134)*1+ISERROR($E$134)*1+ISERROR($F$134)*1+ISERROR($G$134)*1+ISERROR($H$134)*1</f>
        <v/>
      </c>
    </row>
    <row r="135" ht="26" customHeight="1">
      <c r="B135" s="30" t="inlineStr">
        <is>
          <t>Beatriz</t>
        </is>
      </c>
      <c r="C135" s="3" t="inlineStr">
        <is>
          <t>Mingde</t>
        </is>
      </c>
      <c r="D135" s="3" t="inlineStr">
        <is>
          <t>Yongchaoxi</t>
        </is>
      </c>
      <c r="E135" s="3" t="inlineStr">
        <is>
          <t>Kaede</t>
        </is>
      </c>
      <c r="F135" s="3" t="inlineStr">
        <is>
          <t>Ianthe</t>
        </is>
      </c>
      <c r="G135" s="3" t="inlineStr">
        <is>
          <t>Hesk</t>
        </is>
      </c>
      <c r="H135" s="3" t="inlineStr">
        <is>
          <t>SN-14</t>
        </is>
      </c>
      <c r="K135" s="18">
        <f>IF(AG135&gt;0,"O Google leu como fórmula: digite de novo com ' na frente.","")</f>
        <v/>
      </c>
      <c r="N135" s="19">
        <f>N134+IF(LEN($X$135)&gt;0,1,0)</f>
        <v/>
      </c>
      <c r="O135" s="19">
        <f>O134+IF(LEN($Y$135)&gt;0,1,0)</f>
        <v/>
      </c>
      <c r="P135" s="19">
        <f>P134+IF(LEN($Z$135)&gt;0,1,0)</f>
        <v/>
      </c>
      <c r="Q135" s="19">
        <f>Q134+IF(LEN($AA$135)&gt;0,1,0)</f>
        <v/>
      </c>
      <c r="R135" s="19">
        <f>R134+IF(LEN($AB$135)&gt;0,1,0)</f>
        <v/>
      </c>
      <c r="S135" s="19">
        <f>S134+IF(LEN($AC$135)&gt;0,1,0)</f>
        <v/>
      </c>
      <c r="T135" s="19">
        <f>T134+IF(LEN($AD$135)&gt;0,1,0)</f>
        <v/>
      </c>
      <c r="X135" s="19">
        <f>IF(ISERROR($B$135),"",IF(ISBLANK($B$135),"",$B$135))</f>
        <v/>
      </c>
      <c r="Y135" s="19">
        <f>IF(ISERROR($C$135),"",IF(ISBLANK($C$135),"",$C$135))</f>
        <v/>
      </c>
      <c r="Z135" s="19">
        <f>IF(ISERROR($D$135),"",IF(ISBLANK($D$135),"",$D$135))</f>
        <v/>
      </c>
      <c r="AA135" s="19">
        <f>IF(ISERROR($E$135),"",IF(ISBLANK($E$135),"",$E$135))</f>
        <v/>
      </c>
      <c r="AB135" s="19">
        <f>IF(ISERROR($F$135),"",IF(ISBLANK($F$135),"",$F$135))</f>
        <v/>
      </c>
      <c r="AC135" s="19">
        <f>IF(ISERROR($G$135),"",IF(ISBLANK($G$135),"",$G$135))</f>
        <v/>
      </c>
      <c r="AD135" s="19">
        <f>IF(ISERROR($H$135),"",IF(ISBLANK($H$135),"",$H$135))</f>
        <v/>
      </c>
      <c r="AG135" s="19">
        <f>ISERROR($B$135)*1+ISERROR($C$135)*1+ISERROR($D$135)*1+ISERROR($E$135)*1+ISERROR($F$135)*1+ISERROR($G$135)*1+ISERROR($H$135)*1</f>
        <v/>
      </c>
    </row>
    <row r="136" ht="26" customHeight="1">
      <c r="B136" s="31" t="inlineStr">
        <is>
          <t>Ravi</t>
        </is>
      </c>
      <c r="C136" s="28" t="inlineStr">
        <is>
          <t>Yaozhen</t>
        </is>
      </c>
      <c r="D136" s="28" t="inlineStr">
        <is>
          <t>Ruohaifeng</t>
        </is>
      </c>
      <c r="E136" s="28" t="inlineStr">
        <is>
          <t>Nagi</t>
        </is>
      </c>
      <c r="F136" s="28" t="inlineStr">
        <is>
          <t>Orimae</t>
        </is>
      </c>
      <c r="G136" s="28" t="inlineStr">
        <is>
          <t>Nima</t>
        </is>
      </c>
      <c r="H136" s="28" t="inlineStr">
        <is>
          <t>TM-60</t>
        </is>
      </c>
      <c r="K136" s="18">
        <f>IF(AG136&gt;0,"O Google leu como fórmula: digite de novo com ' na frente.","")</f>
        <v/>
      </c>
      <c r="N136" s="19">
        <f>N135+IF(LEN($X$136)&gt;0,1,0)</f>
        <v/>
      </c>
      <c r="O136" s="19">
        <f>O135+IF(LEN($Y$136)&gt;0,1,0)</f>
        <v/>
      </c>
      <c r="P136" s="19">
        <f>P135+IF(LEN($Z$136)&gt;0,1,0)</f>
        <v/>
      </c>
      <c r="Q136" s="19">
        <f>Q135+IF(LEN($AA$136)&gt;0,1,0)</f>
        <v/>
      </c>
      <c r="R136" s="19">
        <f>R135+IF(LEN($AB$136)&gt;0,1,0)</f>
        <v/>
      </c>
      <c r="S136" s="19">
        <f>S135+IF(LEN($AC$136)&gt;0,1,0)</f>
        <v/>
      </c>
      <c r="T136" s="19">
        <f>T135+IF(LEN($AD$136)&gt;0,1,0)</f>
        <v/>
      </c>
      <c r="X136" s="19">
        <f>IF(ISERROR($B$136),"",IF(ISBLANK($B$136),"",$B$136))</f>
        <v/>
      </c>
      <c r="Y136" s="19">
        <f>IF(ISERROR($C$136),"",IF(ISBLANK($C$136),"",$C$136))</f>
        <v/>
      </c>
      <c r="Z136" s="19">
        <f>IF(ISERROR($D$136),"",IF(ISBLANK($D$136),"",$D$136))</f>
        <v/>
      </c>
      <c r="AA136" s="19">
        <f>IF(ISERROR($E$136),"",IF(ISBLANK($E$136),"",$E$136))</f>
        <v/>
      </c>
      <c r="AB136" s="19">
        <f>IF(ISERROR($F$136),"",IF(ISBLANK($F$136),"",$F$136))</f>
        <v/>
      </c>
      <c r="AC136" s="19">
        <f>IF(ISERROR($G$136),"",IF(ISBLANK($G$136),"",$G$136))</f>
        <v/>
      </c>
      <c r="AD136" s="19">
        <f>IF(ISERROR($H$136),"",IF(ISBLANK($H$136),"",$H$136))</f>
        <v/>
      </c>
      <c r="AG136" s="19">
        <f>ISERROR($B$136)*1+ISERROR($C$136)*1+ISERROR($D$136)*1+ISERROR($E$136)*1+ISERROR($F$136)*1+ISERROR($G$136)*1+ISERROR($H$136)*1</f>
        <v/>
      </c>
    </row>
    <row r="137" ht="26" customHeight="1">
      <c r="B137" s="30" t="inlineStr">
        <is>
          <t>Joaquim</t>
        </is>
      </c>
      <c r="C137" s="3" t="inlineStr">
        <is>
          <t>Shoucheng</t>
        </is>
      </c>
      <c r="D137" s="3" t="inlineStr">
        <is>
          <t>Qianlangsu</t>
        </is>
      </c>
      <c r="E137" s="3" t="inlineStr">
        <is>
          <t>Sae</t>
        </is>
      </c>
      <c r="F137" s="3" t="inlineStr">
        <is>
          <t>Saluen</t>
        </is>
      </c>
      <c r="G137" s="3" t="inlineStr">
        <is>
          <t>Teva</t>
        </is>
      </c>
      <c r="H137" s="3" t="inlineStr">
        <is>
          <t>QB-17</t>
        </is>
      </c>
      <c r="K137" s="18">
        <f>IF(AG137&gt;0,"O Google leu como fórmula: digite de novo com ' na frente.","")</f>
        <v/>
      </c>
      <c r="N137" s="19">
        <f>N136+IF(LEN($X$137)&gt;0,1,0)</f>
        <v/>
      </c>
      <c r="O137" s="19">
        <f>O136+IF(LEN($Y$137)&gt;0,1,0)</f>
        <v/>
      </c>
      <c r="P137" s="19">
        <f>P136+IF(LEN($Z$137)&gt;0,1,0)</f>
        <v/>
      </c>
      <c r="Q137" s="19">
        <f>Q136+IF(LEN($AA$137)&gt;0,1,0)</f>
        <v/>
      </c>
      <c r="R137" s="19">
        <f>R136+IF(LEN($AB$137)&gt;0,1,0)</f>
        <v/>
      </c>
      <c r="S137" s="19">
        <f>S136+IF(LEN($AC$137)&gt;0,1,0)</f>
        <v/>
      </c>
      <c r="T137" s="19">
        <f>T136+IF(LEN($AD$137)&gt;0,1,0)</f>
        <v/>
      </c>
      <c r="X137" s="19">
        <f>IF(ISERROR($B$137),"",IF(ISBLANK($B$137),"",$B$137))</f>
        <v/>
      </c>
      <c r="Y137" s="19">
        <f>IF(ISERROR($C$137),"",IF(ISBLANK($C$137),"",$C$137))</f>
        <v/>
      </c>
      <c r="Z137" s="19">
        <f>IF(ISERROR($D$137),"",IF(ISBLANK($D$137),"",$D$137))</f>
        <v/>
      </c>
      <c r="AA137" s="19">
        <f>IF(ISERROR($E$137),"",IF(ISBLANK($E$137),"",$E$137))</f>
        <v/>
      </c>
      <c r="AB137" s="19">
        <f>IF(ISERROR($F$137),"",IF(ISBLANK($F$137),"",$F$137))</f>
        <v/>
      </c>
      <c r="AC137" s="19">
        <f>IF(ISERROR($G$137),"",IF(ISBLANK($G$137),"",$G$137))</f>
        <v/>
      </c>
      <c r="AD137" s="19">
        <f>IF(ISERROR($H$137),"",IF(ISBLANK($H$137),"",$H$137))</f>
        <v/>
      </c>
      <c r="AG137" s="19">
        <f>ISERROR($B$137)*1+ISERROR($C$137)*1+ISERROR($D$137)*1+ISERROR($E$137)*1+ISERROR($F$137)*1+ISERROR($G$137)*1+ISERROR($H$137)*1</f>
        <v/>
      </c>
    </row>
    <row r="138" ht="26" customHeight="1">
      <c r="B138" s="31" t="inlineStr">
        <is>
          <t>Aiko</t>
        </is>
      </c>
      <c r="C138" s="28" t="inlineStr">
        <is>
          <t>Xinhe</t>
        </is>
      </c>
      <c r="D138" s="28" t="inlineStr">
        <is>
          <t>Haitangrui</t>
        </is>
      </c>
      <c r="E138" s="28" t="inlineStr">
        <is>
          <t>Ryo</t>
        </is>
      </c>
      <c r="F138" s="28" t="inlineStr">
        <is>
          <t>Valoa</t>
        </is>
      </c>
      <c r="G138" s="28" t="inlineStr">
        <is>
          <t>Kalo</t>
        </is>
      </c>
      <c r="H138" s="28" t="inlineStr">
        <is>
          <t>LX-02</t>
        </is>
      </c>
      <c r="K138" s="18">
        <f>IF(AG138&gt;0,"O Google leu como fórmula: digite de novo com ' na frente.","")</f>
        <v/>
      </c>
      <c r="N138" s="19">
        <f>N137+IF(LEN($X$138)&gt;0,1,0)</f>
        <v/>
      </c>
      <c r="O138" s="19">
        <f>O137+IF(LEN($Y$138)&gt;0,1,0)</f>
        <v/>
      </c>
      <c r="P138" s="19">
        <f>P137+IF(LEN($Z$138)&gt;0,1,0)</f>
        <v/>
      </c>
      <c r="Q138" s="19">
        <f>Q137+IF(LEN($AA$138)&gt;0,1,0)</f>
        <v/>
      </c>
      <c r="R138" s="19">
        <f>R137+IF(LEN($AB$138)&gt;0,1,0)</f>
        <v/>
      </c>
      <c r="S138" s="19">
        <f>S137+IF(LEN($AC$138)&gt;0,1,0)</f>
        <v/>
      </c>
      <c r="T138" s="19">
        <f>T137+IF(LEN($AD$138)&gt;0,1,0)</f>
        <v/>
      </c>
      <c r="X138" s="19">
        <f>IF(ISERROR($B$138),"",IF(ISBLANK($B$138),"",$B$138))</f>
        <v/>
      </c>
      <c r="Y138" s="19">
        <f>IF(ISERROR($C$138),"",IF(ISBLANK($C$138),"",$C$138))</f>
        <v/>
      </c>
      <c r="Z138" s="19">
        <f>IF(ISERROR($D$138),"",IF(ISBLANK($D$138),"",$D$138))</f>
        <v/>
      </c>
      <c r="AA138" s="19">
        <f>IF(ISERROR($E$138),"",IF(ISBLANK($E$138),"",$E$138))</f>
        <v/>
      </c>
      <c r="AB138" s="19">
        <f>IF(ISERROR($F$138),"",IF(ISBLANK($F$138),"",$F$138))</f>
        <v/>
      </c>
      <c r="AC138" s="19">
        <f>IF(ISERROR($G$138),"",IF(ISBLANK($G$138),"",$G$138))</f>
        <v/>
      </c>
      <c r="AD138" s="19">
        <f>IF(ISERROR($H$138),"",IF(ISBLANK($H$138),"",$H$138))</f>
        <v/>
      </c>
      <c r="AG138" s="19">
        <f>ISERROR($B$138)*1+ISERROR($C$138)*1+ISERROR($D$138)*1+ISERROR($E$138)*1+ISERROR($F$138)*1+ISERROR($G$138)*1+ISERROR($H$138)*1</f>
        <v/>
      </c>
    </row>
    <row r="139" ht="26" customHeight="1">
      <c r="B139" s="30" t="inlineStr">
        <is>
          <t>Dário</t>
        </is>
      </c>
      <c r="C139" s="3" t="inlineStr">
        <is>
          <t>Jinlu</t>
        </is>
      </c>
      <c r="D139" s="3" t="inlineStr">
        <is>
          <t>Xuchaolin</t>
        </is>
      </c>
      <c r="E139" s="3" t="inlineStr">
        <is>
          <t>Hina</t>
        </is>
      </c>
      <c r="F139" s="3" t="inlineStr">
        <is>
          <t>Eolin</t>
        </is>
      </c>
      <c r="G139" s="3" t="inlineStr">
        <is>
          <t>Asha</t>
        </is>
      </c>
      <c r="H139" s="3" t="inlineStr">
        <is>
          <t>EV-71</t>
        </is>
      </c>
      <c r="K139" s="18">
        <f>IF(AG139&gt;0,"O Google leu como fórmula: digite de novo com ' na frente.","")</f>
        <v/>
      </c>
      <c r="N139" s="19">
        <f>N138+IF(LEN($X$139)&gt;0,1,0)</f>
        <v/>
      </c>
      <c r="O139" s="19">
        <f>O138+IF(LEN($Y$139)&gt;0,1,0)</f>
        <v/>
      </c>
      <c r="P139" s="19">
        <f>P138+IF(LEN($Z$139)&gt;0,1,0)</f>
        <v/>
      </c>
      <c r="Q139" s="19">
        <f>Q138+IF(LEN($AA$139)&gt;0,1,0)</f>
        <v/>
      </c>
      <c r="R139" s="19">
        <f>R138+IF(LEN($AB$139)&gt;0,1,0)</f>
        <v/>
      </c>
      <c r="S139" s="19">
        <f>S138+IF(LEN($AC$139)&gt;0,1,0)</f>
        <v/>
      </c>
      <c r="T139" s="19">
        <f>T138+IF(LEN($AD$139)&gt;0,1,0)</f>
        <v/>
      </c>
      <c r="X139" s="19">
        <f>IF(ISERROR($B$139),"",IF(ISBLANK($B$139),"",$B$139))</f>
        <v/>
      </c>
      <c r="Y139" s="19">
        <f>IF(ISERROR($C$139),"",IF(ISBLANK($C$139),"",$C$139))</f>
        <v/>
      </c>
      <c r="Z139" s="19">
        <f>IF(ISERROR($D$139),"",IF(ISBLANK($D$139),"",$D$139))</f>
        <v/>
      </c>
      <c r="AA139" s="19">
        <f>IF(ISERROR($E$139),"",IF(ISBLANK($E$139),"",$E$139))</f>
        <v/>
      </c>
      <c r="AB139" s="19">
        <f>IF(ISERROR($F$139),"",IF(ISBLANK($F$139),"",$F$139))</f>
        <v/>
      </c>
      <c r="AC139" s="19">
        <f>IF(ISERROR($G$139),"",IF(ISBLANK($G$139),"",$G$139))</f>
        <v/>
      </c>
      <c r="AD139" s="19">
        <f>IF(ISERROR($H$139),"",IF(ISBLANK($H$139),"",$H$139))</f>
        <v/>
      </c>
      <c r="AG139" s="19">
        <f>ISERROR($B$139)*1+ISERROR($C$139)*1+ISERROR($D$139)*1+ISERROR($E$139)*1+ISERROR($F$139)*1+ISERROR($G$139)*1+ISERROR($H$139)*1</f>
        <v/>
      </c>
    </row>
    <row r="140" ht="15" customHeight="1">
      <c r="B140" s="7" t="inlineStr">
        <is>
          <t>Nome — Humano</t>
        </is>
      </c>
      <c r="C140" s="7" t="inlineStr">
        <is>
          <t>Nome — Xianzhouíta</t>
        </is>
      </c>
      <c r="D140" s="7" t="inlineStr">
        <is>
          <t>Nome — Vidyadhara</t>
        </is>
      </c>
      <c r="E140" s="7" t="inlineStr">
        <is>
          <t>Nome — Vulpes</t>
        </is>
      </c>
      <c r="F140" s="7" t="inlineStr">
        <is>
          <t>Nome — Haloviano</t>
        </is>
      </c>
      <c r="G140" s="7" t="inlineStr">
        <is>
          <t>Nome — Avginiano</t>
        </is>
      </c>
      <c r="H140" s="7" t="inlineStr">
        <is>
          <t>Nome — Intellitron</t>
        </is>
      </c>
      <c r="N140" s="19">
        <f>N139</f>
        <v/>
      </c>
      <c r="O140" s="19">
        <f>O139</f>
        <v/>
      </c>
      <c r="P140" s="19">
        <f>P139</f>
        <v/>
      </c>
      <c r="Q140" s="19">
        <f>Q139</f>
        <v/>
      </c>
      <c r="R140" s="19">
        <f>R139</f>
        <v/>
      </c>
      <c r="S140" s="19">
        <f>S139</f>
        <v/>
      </c>
      <c r="T140" s="19">
        <f>T139</f>
        <v/>
      </c>
      <c r="X140" s="19">
        <f>IF(ISERROR($B$140),"",IF(ISBLANK($B$140),"",$B$140))</f>
        <v/>
      </c>
      <c r="Y140" s="19">
        <f>IF(ISERROR($C$140),"",IF(ISBLANK($C$140),"",$C$140))</f>
        <v/>
      </c>
      <c r="Z140" s="19">
        <f>IF(ISERROR($D$140),"",IF(ISBLANK($D$140),"",$D$140))</f>
        <v/>
      </c>
      <c r="AA140" s="19">
        <f>IF(ISERROR($E$140),"",IF(ISBLANK($E$140),"",$E$140))</f>
        <v/>
      </c>
      <c r="AB140" s="19">
        <f>IF(ISERROR($F$140),"",IF(ISBLANK($F$140),"",$F$140))</f>
        <v/>
      </c>
      <c r="AC140" s="19">
        <f>IF(ISERROR($G$140),"",IF(ISBLANK($G$140),"",$G$140))</f>
        <v/>
      </c>
      <c r="AD140" s="19">
        <f>IF(ISERROR($H$140),"",IF(ISBLANK($H$140),"",$H$140))</f>
        <v/>
      </c>
    </row>
    <row r="141" ht="26" customHeight="1">
      <c r="B141" s="30" t="inlineStr">
        <is>
          <t>Fenna</t>
        </is>
      </c>
      <c r="C141" s="3" t="inlineStr">
        <is>
          <t>Zhenhai</t>
        </is>
      </c>
      <c r="D141" s="3" t="inlineStr">
        <is>
          <t>Mingchaohua</t>
        </is>
      </c>
      <c r="E141" s="3" t="inlineStr">
        <is>
          <t>Taki</t>
        </is>
      </c>
      <c r="F141" s="3" t="inlineStr">
        <is>
          <t>Amarae</t>
        </is>
      </c>
      <c r="G141" s="3" t="inlineStr">
        <is>
          <t>Rovi</t>
        </is>
      </c>
      <c r="H141" s="3" t="inlineStr">
        <is>
          <t>GR-45</t>
        </is>
      </c>
      <c r="K141" s="18">
        <f>IF(AG141&gt;0,"O Google leu como fórmula: digite de novo com ' na frente.","")</f>
        <v/>
      </c>
      <c r="N141" s="19">
        <f>N140+IF(LEN($X$141)&gt;0,1,0)</f>
        <v/>
      </c>
      <c r="O141" s="19">
        <f>O140+IF(LEN($Y$141)&gt;0,1,0)</f>
        <v/>
      </c>
      <c r="P141" s="19">
        <f>P140+IF(LEN($Z$141)&gt;0,1,0)</f>
        <v/>
      </c>
      <c r="Q141" s="19">
        <f>Q140+IF(LEN($AA$141)&gt;0,1,0)</f>
        <v/>
      </c>
      <c r="R141" s="19">
        <f>R140+IF(LEN($AB$141)&gt;0,1,0)</f>
        <v/>
      </c>
      <c r="S141" s="19">
        <f>S140+IF(LEN($AC$141)&gt;0,1,0)</f>
        <v/>
      </c>
      <c r="T141" s="19">
        <f>T140+IF(LEN($AD$141)&gt;0,1,0)</f>
        <v/>
      </c>
      <c r="X141" s="19">
        <f>IF(ISERROR($B$141),"",IF(ISBLANK($B$141),"",$B$141))</f>
        <v/>
      </c>
      <c r="Y141" s="19">
        <f>IF(ISERROR($C$141),"",IF(ISBLANK($C$141),"",$C$141))</f>
        <v/>
      </c>
      <c r="Z141" s="19">
        <f>IF(ISERROR($D$141),"",IF(ISBLANK($D$141),"",$D$141))</f>
        <v/>
      </c>
      <c r="AA141" s="19">
        <f>IF(ISERROR($E$141),"",IF(ISBLANK($E$141),"",$E$141))</f>
        <v/>
      </c>
      <c r="AB141" s="19">
        <f>IF(ISERROR($F$141),"",IF(ISBLANK($F$141),"",$F$141))</f>
        <v/>
      </c>
      <c r="AC141" s="19">
        <f>IF(ISERROR($G$141),"",IF(ISBLANK($G$141),"",$G$141))</f>
        <v/>
      </c>
      <c r="AD141" s="19">
        <f>IF(ISERROR($H$141),"",IF(ISBLANK($H$141),"",$H$141))</f>
        <v/>
      </c>
      <c r="AG141" s="19">
        <f>ISERROR($B$141)*1+ISERROR($C$141)*1+ISERROR($D$141)*1+ISERROR($E$141)*1+ISERROR($F$141)*1+ISERROR($G$141)*1+ISERROR($H$141)*1</f>
        <v/>
      </c>
    </row>
    <row r="142" ht="26" customHeight="1">
      <c r="B142" s="31" t="inlineStr">
        <is>
          <t>Emeka</t>
        </is>
      </c>
      <c r="C142" s="28" t="inlineStr">
        <is>
          <t>Yuehan</t>
        </is>
      </c>
      <c r="D142" s="28" t="inlineStr">
        <is>
          <t>Taoshuiwen</t>
        </is>
      </c>
      <c r="E142" s="28" t="inlineStr">
        <is>
          <t>Kumi</t>
        </is>
      </c>
      <c r="F142" s="28" t="inlineStr">
        <is>
          <t>Noelia</t>
        </is>
      </c>
      <c r="G142" s="28" t="inlineStr">
        <is>
          <t>Siv</t>
        </is>
      </c>
      <c r="H142" s="28" t="inlineStr">
        <is>
          <t>NC-8</t>
        </is>
      </c>
      <c r="K142" s="18">
        <f>IF(AG142&gt;0,"O Google leu como fórmula: digite de novo com ' na frente.","")</f>
        <v/>
      </c>
      <c r="N142" s="19">
        <f>N141+IF(LEN($X$142)&gt;0,1,0)</f>
        <v/>
      </c>
      <c r="O142" s="19">
        <f>O141+IF(LEN($Y$142)&gt;0,1,0)</f>
        <v/>
      </c>
      <c r="P142" s="19">
        <f>P141+IF(LEN($Z$142)&gt;0,1,0)</f>
        <v/>
      </c>
      <c r="Q142" s="19">
        <f>Q141+IF(LEN($AA$142)&gt;0,1,0)</f>
        <v/>
      </c>
      <c r="R142" s="19">
        <f>R141+IF(LEN($AB$142)&gt;0,1,0)</f>
        <v/>
      </c>
      <c r="S142" s="19">
        <f>S141+IF(LEN($AC$142)&gt;0,1,0)</f>
        <v/>
      </c>
      <c r="T142" s="19">
        <f>T141+IF(LEN($AD$142)&gt;0,1,0)</f>
        <v/>
      </c>
      <c r="X142" s="19">
        <f>IF(ISERROR($B$142),"",IF(ISBLANK($B$142),"",$B$142))</f>
        <v/>
      </c>
      <c r="Y142" s="19">
        <f>IF(ISERROR($C$142),"",IF(ISBLANK($C$142),"",$C$142))</f>
        <v/>
      </c>
      <c r="Z142" s="19">
        <f>IF(ISERROR($D$142),"",IF(ISBLANK($D$142),"",$D$142))</f>
        <v/>
      </c>
      <c r="AA142" s="19">
        <f>IF(ISERROR($E$142),"",IF(ISBLANK($E$142),"",$E$142))</f>
        <v/>
      </c>
      <c r="AB142" s="19">
        <f>IF(ISERROR($F$142),"",IF(ISBLANK($F$142),"",$F$142))</f>
        <v/>
      </c>
      <c r="AC142" s="19">
        <f>IF(ISERROR($G$142),"",IF(ISBLANK($G$142),"",$G$142))</f>
        <v/>
      </c>
      <c r="AD142" s="19">
        <f>IF(ISERROR($H$142),"",IF(ISBLANK($H$142),"",$H$142))</f>
        <v/>
      </c>
      <c r="AG142" s="19">
        <f>ISERROR($B$142)*1+ISERROR($C$142)*1+ISERROR($D$142)*1+ISERROR($E$142)*1+ISERROR($F$142)*1+ISERROR($G$142)*1+ISERROR($H$142)*1</f>
        <v/>
      </c>
    </row>
    <row r="143" ht="26" customHeight="1">
      <c r="B143" s="30" t="inlineStr">
        <is>
          <t>Lúcia</t>
        </is>
      </c>
      <c r="C143" s="3" t="inlineStr">
        <is>
          <t>Songli</t>
        </is>
      </c>
      <c r="D143" s="3" t="inlineStr">
        <is>
          <t>Liuhaiqing</t>
        </is>
      </c>
      <c r="E143" s="3" t="inlineStr">
        <is>
          <t>Shin</t>
        </is>
      </c>
      <c r="F143" s="3" t="inlineStr">
        <is>
          <t>Ilevara</t>
        </is>
      </c>
      <c r="G143" s="3" t="inlineStr">
        <is>
          <t>Arno</t>
        </is>
      </c>
      <c r="H143" s="3" t="inlineStr">
        <is>
          <t>WY-19</t>
        </is>
      </c>
      <c r="K143" s="18">
        <f>IF(AG143&gt;0,"O Google leu como fórmula: digite de novo com ' na frente.","")</f>
        <v/>
      </c>
      <c r="N143" s="19">
        <f>N142+IF(LEN($X$143)&gt;0,1,0)</f>
        <v/>
      </c>
      <c r="O143" s="19">
        <f>O142+IF(LEN($Y$143)&gt;0,1,0)</f>
        <v/>
      </c>
      <c r="P143" s="19">
        <f>P142+IF(LEN($Z$143)&gt;0,1,0)</f>
        <v/>
      </c>
      <c r="Q143" s="19">
        <f>Q142+IF(LEN($AA$143)&gt;0,1,0)</f>
        <v/>
      </c>
      <c r="R143" s="19">
        <f>R142+IF(LEN($AB$143)&gt;0,1,0)</f>
        <v/>
      </c>
      <c r="S143" s="19">
        <f>S142+IF(LEN($AC$143)&gt;0,1,0)</f>
        <v/>
      </c>
      <c r="T143" s="19">
        <f>T142+IF(LEN($AD$143)&gt;0,1,0)</f>
        <v/>
      </c>
      <c r="X143" s="19">
        <f>IF(ISERROR($B$143),"",IF(ISBLANK($B$143),"",$B$143))</f>
        <v/>
      </c>
      <c r="Y143" s="19">
        <f>IF(ISERROR($C$143),"",IF(ISBLANK($C$143),"",$C$143))</f>
        <v/>
      </c>
      <c r="Z143" s="19">
        <f>IF(ISERROR($D$143),"",IF(ISBLANK($D$143),"",$D$143))</f>
        <v/>
      </c>
      <c r="AA143" s="19">
        <f>IF(ISERROR($E$143),"",IF(ISBLANK($E$143),"",$E$143))</f>
        <v/>
      </c>
      <c r="AB143" s="19">
        <f>IF(ISERROR($F$143),"",IF(ISBLANK($F$143),"",$F$143))</f>
        <v/>
      </c>
      <c r="AC143" s="19">
        <f>IF(ISERROR($G$143),"",IF(ISBLANK($G$143),"",$G$143))</f>
        <v/>
      </c>
      <c r="AD143" s="19">
        <f>IF(ISERROR($H$143),"",IF(ISBLANK($H$143),"",$H$143))</f>
        <v/>
      </c>
      <c r="AG143" s="19">
        <f>ISERROR($B$143)*1+ISERROR($C$143)*1+ISERROR($D$143)*1+ISERROR($E$143)*1+ISERROR($F$143)*1+ISERROR($G$143)*1+ISERROR($H$143)*1</f>
        <v/>
      </c>
    </row>
    <row r="144" ht="26" customHeight="1">
      <c r="B144" s="31" t="inlineStr">
        <is>
          <t>Bastian</t>
        </is>
      </c>
      <c r="C144" s="28" t="inlineStr">
        <is>
          <t>Ruoshui</t>
        </is>
      </c>
      <c r="D144" s="28" t="inlineStr">
        <is>
          <t>Shenlanyue</t>
        </is>
      </c>
      <c r="E144" s="28" t="inlineStr">
        <is>
          <t>Emi</t>
        </is>
      </c>
      <c r="F144" s="28" t="inlineStr">
        <is>
          <t>Auralie</t>
        </is>
      </c>
      <c r="G144" s="28" t="inlineStr">
        <is>
          <t>Leku</t>
        </is>
      </c>
      <c r="H144" s="28" t="inlineStr">
        <is>
          <t>BT-306</t>
        </is>
      </c>
      <c r="K144" s="18">
        <f>IF(AG144&gt;0,"O Google leu como fórmula: digite de novo com ' na frente.","")</f>
        <v/>
      </c>
      <c r="N144" s="19">
        <f>N143+IF(LEN($X$144)&gt;0,1,0)</f>
        <v/>
      </c>
      <c r="O144" s="19">
        <f>O143+IF(LEN($Y$144)&gt;0,1,0)</f>
        <v/>
      </c>
      <c r="P144" s="19">
        <f>P143+IF(LEN($Z$144)&gt;0,1,0)</f>
        <v/>
      </c>
      <c r="Q144" s="19">
        <f>Q143+IF(LEN($AA$144)&gt;0,1,0)</f>
        <v/>
      </c>
      <c r="R144" s="19">
        <f>R143+IF(LEN($AB$144)&gt;0,1,0)</f>
        <v/>
      </c>
      <c r="S144" s="19">
        <f>S143+IF(LEN($AC$144)&gt;0,1,0)</f>
        <v/>
      </c>
      <c r="T144" s="19">
        <f>T143+IF(LEN($AD$144)&gt;0,1,0)</f>
        <v/>
      </c>
      <c r="X144" s="19">
        <f>IF(ISERROR($B$144),"",IF(ISBLANK($B$144),"",$B$144))</f>
        <v/>
      </c>
      <c r="Y144" s="19">
        <f>IF(ISERROR($C$144),"",IF(ISBLANK($C$144),"",$C$144))</f>
        <v/>
      </c>
      <c r="Z144" s="19">
        <f>IF(ISERROR($D$144),"",IF(ISBLANK($D$144),"",$D$144))</f>
        <v/>
      </c>
      <c r="AA144" s="19">
        <f>IF(ISERROR($E$144),"",IF(ISBLANK($E$144),"",$E$144))</f>
        <v/>
      </c>
      <c r="AB144" s="19">
        <f>IF(ISERROR($F$144),"",IF(ISBLANK($F$144),"",$F$144))</f>
        <v/>
      </c>
      <c r="AC144" s="19">
        <f>IF(ISERROR($G$144),"",IF(ISBLANK($G$144),"",$G$144))</f>
        <v/>
      </c>
      <c r="AD144" s="19">
        <f>IF(ISERROR($H$144),"",IF(ISBLANK($H$144),"",$H$144))</f>
        <v/>
      </c>
      <c r="AG144" s="19">
        <f>ISERROR($B$144)*1+ISERROR($C$144)*1+ISERROR($D$144)*1+ISERROR($E$144)*1+ISERROR($F$144)*1+ISERROR($G$144)*1+ISERROR($H$144)*1</f>
        <v/>
      </c>
    </row>
    <row r="145" ht="26" customHeight="1">
      <c r="B145" s="30" t="inlineStr">
        <is>
          <t>Priya</t>
        </is>
      </c>
      <c r="C145" s="3" t="inlineStr">
        <is>
          <t>Heqing</t>
        </is>
      </c>
      <c r="D145" s="3" t="inlineStr">
        <is>
          <t>Zhaochaoyi</t>
        </is>
      </c>
      <c r="E145" s="3" t="inlineStr">
        <is>
          <t>Yori</t>
        </is>
      </c>
      <c r="F145" s="3" t="inlineStr">
        <is>
          <t>Selaro</t>
        </is>
      </c>
      <c r="G145" s="3" t="inlineStr">
        <is>
          <t>Mavi</t>
        </is>
      </c>
      <c r="H145" s="3" t="inlineStr">
        <is>
          <t>IO-22</t>
        </is>
      </c>
      <c r="K145" s="18">
        <f>IF(AG145&gt;0,"O Google leu como fórmula: digite de novo com ' na frente.","")</f>
        <v/>
      </c>
      <c r="N145" s="19">
        <f>N144+IF(LEN($X$145)&gt;0,1,0)</f>
        <v/>
      </c>
      <c r="O145" s="19">
        <f>O144+IF(LEN($Y$145)&gt;0,1,0)</f>
        <v/>
      </c>
      <c r="P145" s="19">
        <f>P144+IF(LEN($Z$145)&gt;0,1,0)</f>
        <v/>
      </c>
      <c r="Q145" s="19">
        <f>Q144+IF(LEN($AA$145)&gt;0,1,0)</f>
        <v/>
      </c>
      <c r="R145" s="19">
        <f>R144+IF(LEN($AB$145)&gt;0,1,0)</f>
        <v/>
      </c>
      <c r="S145" s="19">
        <f>S144+IF(LEN($AC$145)&gt;0,1,0)</f>
        <v/>
      </c>
      <c r="T145" s="19">
        <f>T144+IF(LEN($AD$145)&gt;0,1,0)</f>
        <v/>
      </c>
      <c r="X145" s="19">
        <f>IF(ISERROR($B$145),"",IF(ISBLANK($B$145),"",$B$145))</f>
        <v/>
      </c>
      <c r="Y145" s="19">
        <f>IF(ISERROR($C$145),"",IF(ISBLANK($C$145),"",$C$145))</f>
        <v/>
      </c>
      <c r="Z145" s="19">
        <f>IF(ISERROR($D$145),"",IF(ISBLANK($D$145),"",$D$145))</f>
        <v/>
      </c>
      <c r="AA145" s="19">
        <f>IF(ISERROR($E$145),"",IF(ISBLANK($E$145),"",$E$145))</f>
        <v/>
      </c>
      <c r="AB145" s="19">
        <f>IF(ISERROR($F$145),"",IF(ISBLANK($F$145),"",$F$145))</f>
        <v/>
      </c>
      <c r="AC145" s="19">
        <f>IF(ISERROR($G$145),"",IF(ISBLANK($G$145),"",$G$145))</f>
        <v/>
      </c>
      <c r="AD145" s="19">
        <f>IF(ISERROR($H$145),"",IF(ISBLANK($H$145),"",$H$145))</f>
        <v/>
      </c>
      <c r="AG145" s="19">
        <f>ISERROR($B$145)*1+ISERROR($C$145)*1+ISERROR($D$145)*1+ISERROR($E$145)*1+ISERROR($F$145)*1+ISERROR($G$145)*1+ISERROR($H$145)*1</f>
        <v/>
      </c>
    </row>
    <row r="146" ht="26" customHeight="1">
      <c r="B146" s="31" t="inlineStr">
        <is>
          <t>Caetano</t>
        </is>
      </c>
      <c r="C146" s="28" t="inlineStr">
        <is>
          <t>Lianyi</t>
        </is>
      </c>
      <c r="D146" s="28" t="inlineStr">
        <is>
          <t>Wuhaisheng</t>
        </is>
      </c>
      <c r="E146" s="28" t="inlineStr">
        <is>
          <t>Koto</t>
        </is>
      </c>
      <c r="F146" s="28" t="inlineStr">
        <is>
          <t>Maelune</t>
        </is>
      </c>
      <c r="G146" s="28" t="inlineStr">
        <is>
          <t>Odda</t>
        </is>
      </c>
      <c r="H146" s="28" t="inlineStr">
        <is>
          <t>FK-11</t>
        </is>
      </c>
      <c r="K146" s="18">
        <f>IF(AG146&gt;0,"O Google leu como fórmula: digite de novo com ' na frente.","")</f>
        <v/>
      </c>
      <c r="N146" s="19">
        <f>N145+IF(LEN($X$146)&gt;0,1,0)</f>
        <v/>
      </c>
      <c r="O146" s="19">
        <f>O145+IF(LEN($Y$146)&gt;0,1,0)</f>
        <v/>
      </c>
      <c r="P146" s="19">
        <f>P145+IF(LEN($Z$146)&gt;0,1,0)</f>
        <v/>
      </c>
      <c r="Q146" s="19">
        <f>Q145+IF(LEN($AA$146)&gt;0,1,0)</f>
        <v/>
      </c>
      <c r="R146" s="19">
        <f>R145+IF(LEN($AB$146)&gt;0,1,0)</f>
        <v/>
      </c>
      <c r="S146" s="19">
        <f>S145+IF(LEN($AC$146)&gt;0,1,0)</f>
        <v/>
      </c>
      <c r="T146" s="19">
        <f>T145+IF(LEN($AD$146)&gt;0,1,0)</f>
        <v/>
      </c>
      <c r="X146" s="19">
        <f>IF(ISERROR($B$146),"",IF(ISBLANK($B$146),"",$B$146))</f>
        <v/>
      </c>
      <c r="Y146" s="19">
        <f>IF(ISERROR($C$146),"",IF(ISBLANK($C$146),"",$C$146))</f>
        <v/>
      </c>
      <c r="Z146" s="19">
        <f>IF(ISERROR($D$146),"",IF(ISBLANK($D$146),"",$D$146))</f>
        <v/>
      </c>
      <c r="AA146" s="19">
        <f>IF(ISERROR($E$146),"",IF(ISBLANK($E$146),"",$E$146))</f>
        <v/>
      </c>
      <c r="AB146" s="19">
        <f>IF(ISERROR($F$146),"",IF(ISBLANK($F$146),"",$F$146))</f>
        <v/>
      </c>
      <c r="AC146" s="19">
        <f>IF(ISERROR($G$146),"",IF(ISBLANK($G$146),"",$G$146))</f>
        <v/>
      </c>
      <c r="AD146" s="19">
        <f>IF(ISERROR($H$146),"",IF(ISBLANK($H$146),"",$H$146))</f>
        <v/>
      </c>
      <c r="AG146" s="19">
        <f>ISERROR($B$146)*1+ISERROR($C$146)*1+ISERROR($D$146)*1+ISERROR($E$146)*1+ISERROR($F$146)*1+ISERROR($G$146)*1+ISERROR($H$146)*1</f>
        <v/>
      </c>
    </row>
    <row r="147" ht="26" customHeight="1">
      <c r="B147" s="30" t="inlineStr">
        <is>
          <t>Sigrid</t>
        </is>
      </c>
      <c r="C147" s="3" t="inlineStr">
        <is>
          <t>Chengfeng</t>
        </is>
      </c>
      <c r="D147" s="3" t="inlineStr">
        <is>
          <t>Yinlangshu</t>
        </is>
      </c>
      <c r="E147" s="3" t="inlineStr">
        <is>
          <t>Sumi</t>
        </is>
      </c>
      <c r="F147" s="3" t="inlineStr">
        <is>
          <t>Oriane</t>
        </is>
      </c>
      <c r="G147" s="3" t="inlineStr">
        <is>
          <t>Raki</t>
        </is>
      </c>
      <c r="H147" s="3" t="inlineStr">
        <is>
          <t>UR-6</t>
        </is>
      </c>
      <c r="K147" s="18">
        <f>IF(AG147&gt;0,"O Google leu como fórmula: digite de novo com ' na frente.","")</f>
        <v/>
      </c>
      <c r="N147" s="19">
        <f>N146+IF(LEN($X$147)&gt;0,1,0)</f>
        <v/>
      </c>
      <c r="O147" s="19">
        <f>O146+IF(LEN($Y$147)&gt;0,1,0)</f>
        <v/>
      </c>
      <c r="P147" s="19">
        <f>P146+IF(LEN($Z$147)&gt;0,1,0)</f>
        <v/>
      </c>
      <c r="Q147" s="19">
        <f>Q146+IF(LEN($AA$147)&gt;0,1,0)</f>
        <v/>
      </c>
      <c r="R147" s="19">
        <f>R146+IF(LEN($AB$147)&gt;0,1,0)</f>
        <v/>
      </c>
      <c r="S147" s="19">
        <f>S146+IF(LEN($AC$147)&gt;0,1,0)</f>
        <v/>
      </c>
      <c r="T147" s="19">
        <f>T146+IF(LEN($AD$147)&gt;0,1,0)</f>
        <v/>
      </c>
      <c r="X147" s="19">
        <f>IF(ISERROR($B$147),"",IF(ISBLANK($B$147),"",$B$147))</f>
        <v/>
      </c>
      <c r="Y147" s="19">
        <f>IF(ISERROR($C$147),"",IF(ISBLANK($C$147),"",$C$147))</f>
        <v/>
      </c>
      <c r="Z147" s="19">
        <f>IF(ISERROR($D$147),"",IF(ISBLANK($D$147),"",$D$147))</f>
        <v/>
      </c>
      <c r="AA147" s="19">
        <f>IF(ISERROR($E$147),"",IF(ISBLANK($E$147),"",$E$147))</f>
        <v/>
      </c>
      <c r="AB147" s="19">
        <f>IF(ISERROR($F$147),"",IF(ISBLANK($F$147),"",$F$147))</f>
        <v/>
      </c>
      <c r="AC147" s="19">
        <f>IF(ISERROR($G$147),"",IF(ISBLANK($G$147),"",$G$147))</f>
        <v/>
      </c>
      <c r="AD147" s="19">
        <f>IF(ISERROR($H$147),"",IF(ISBLANK($H$147),"",$H$147))</f>
        <v/>
      </c>
      <c r="AG147" s="19">
        <f>ISERROR($B$147)*1+ISERROR($C$147)*1+ISERROR($D$147)*1+ISERROR($E$147)*1+ISERROR($F$147)*1+ISERROR($G$147)*1+ISERROR($H$147)*1</f>
        <v/>
      </c>
    </row>
    <row r="148" ht="26" customHeight="1">
      <c r="B148" s="31" t="inlineStr">
        <is>
          <t>Matteo</t>
        </is>
      </c>
      <c r="C148" s="28" t="inlineStr">
        <is>
          <t>Mujin</t>
        </is>
      </c>
      <c r="D148" s="28" t="inlineStr">
        <is>
          <t>Huaichaoyun</t>
        </is>
      </c>
      <c r="E148" s="28" t="inlineStr">
        <is>
          <t>Maru</t>
        </is>
      </c>
      <c r="F148" s="28" t="inlineStr">
        <is>
          <t>Leova</t>
        </is>
      </c>
      <c r="G148" s="28" t="inlineStr">
        <is>
          <t>Tesa</t>
        </is>
      </c>
      <c r="H148" s="28" t="inlineStr">
        <is>
          <t>JD-90</t>
        </is>
      </c>
      <c r="K148" s="18">
        <f>IF(AG148&gt;0,"O Google leu como fórmula: digite de novo com ' na frente.","")</f>
        <v/>
      </c>
      <c r="N148" s="19">
        <f>N147+IF(LEN($X$148)&gt;0,1,0)</f>
        <v/>
      </c>
      <c r="O148" s="19">
        <f>O147+IF(LEN($Y$148)&gt;0,1,0)</f>
        <v/>
      </c>
      <c r="P148" s="19">
        <f>P147+IF(LEN($Z$148)&gt;0,1,0)</f>
        <v/>
      </c>
      <c r="Q148" s="19">
        <f>Q147+IF(LEN($AA$148)&gt;0,1,0)</f>
        <v/>
      </c>
      <c r="R148" s="19">
        <f>R147+IF(LEN($AB$148)&gt;0,1,0)</f>
        <v/>
      </c>
      <c r="S148" s="19">
        <f>S147+IF(LEN($AC$148)&gt;0,1,0)</f>
        <v/>
      </c>
      <c r="T148" s="19">
        <f>T147+IF(LEN($AD$148)&gt;0,1,0)</f>
        <v/>
      </c>
      <c r="X148" s="19">
        <f>IF(ISERROR($B$148),"",IF(ISBLANK($B$148),"",$B$148))</f>
        <v/>
      </c>
      <c r="Y148" s="19">
        <f>IF(ISERROR($C$148),"",IF(ISBLANK($C$148),"",$C$148))</f>
        <v/>
      </c>
      <c r="Z148" s="19">
        <f>IF(ISERROR($D$148),"",IF(ISBLANK($D$148),"",$D$148))</f>
        <v/>
      </c>
      <c r="AA148" s="19">
        <f>IF(ISERROR($E$148),"",IF(ISBLANK($E$148),"",$E$148))</f>
        <v/>
      </c>
      <c r="AB148" s="19">
        <f>IF(ISERROR($F$148),"",IF(ISBLANK($F$148),"",$F$148))</f>
        <v/>
      </c>
      <c r="AC148" s="19">
        <f>IF(ISERROR($G$148),"",IF(ISBLANK($G$148),"",$G$148))</f>
        <v/>
      </c>
      <c r="AD148" s="19">
        <f>IF(ISERROR($H$148),"",IF(ISBLANK($H$148),"",$H$148))</f>
        <v/>
      </c>
      <c r="AG148" s="19">
        <f>ISERROR($B$148)*1+ISERROR($C$148)*1+ISERROR($D$148)*1+ISERROR($E$148)*1+ISERROR($F$148)*1+ISERROR($G$148)*1+ISERROR($H$148)*1</f>
        <v/>
      </c>
    </row>
    <row r="149" ht="26" customHeight="1">
      <c r="B149" s="30" t="inlineStr">
        <is>
          <t>Zuleica</t>
        </is>
      </c>
      <c r="C149" s="3" t="inlineStr">
        <is>
          <t>Tianze</t>
        </is>
      </c>
      <c r="D149" s="3" t="inlineStr">
        <is>
          <t>Pingbohai</t>
        </is>
      </c>
      <c r="E149" s="3" t="inlineStr">
        <is>
          <t>Chika</t>
        </is>
      </c>
      <c r="F149" s="3" t="inlineStr">
        <is>
          <t>Inaela</t>
        </is>
      </c>
      <c r="G149" s="3" t="inlineStr">
        <is>
          <t>Uli</t>
        </is>
      </c>
      <c r="H149" s="3" t="inlineStr">
        <is>
          <t>CA-27</t>
        </is>
      </c>
      <c r="K149" s="18">
        <f>IF(AG149&gt;0,"O Google leu como fórmula: digite de novo com ' na frente.","")</f>
        <v/>
      </c>
      <c r="N149" s="19">
        <f>N148+IF(LEN($X$149)&gt;0,1,0)</f>
        <v/>
      </c>
      <c r="O149" s="19">
        <f>O148+IF(LEN($Y$149)&gt;0,1,0)</f>
        <v/>
      </c>
      <c r="P149" s="19">
        <f>P148+IF(LEN($Z$149)&gt;0,1,0)</f>
        <v/>
      </c>
      <c r="Q149" s="19">
        <f>Q148+IF(LEN($AA$149)&gt;0,1,0)</f>
        <v/>
      </c>
      <c r="R149" s="19">
        <f>R148+IF(LEN($AB$149)&gt;0,1,0)</f>
        <v/>
      </c>
      <c r="S149" s="19">
        <f>S148+IF(LEN($AC$149)&gt;0,1,0)</f>
        <v/>
      </c>
      <c r="T149" s="19">
        <f>T148+IF(LEN($AD$149)&gt;0,1,0)</f>
        <v/>
      </c>
      <c r="X149" s="19">
        <f>IF(ISERROR($B$149),"",IF(ISBLANK($B$149),"",$B$149))</f>
        <v/>
      </c>
      <c r="Y149" s="19">
        <f>IF(ISERROR($C$149),"",IF(ISBLANK($C$149),"",$C$149))</f>
        <v/>
      </c>
      <c r="Z149" s="19">
        <f>IF(ISERROR($D$149),"",IF(ISBLANK($D$149),"",$D$149))</f>
        <v/>
      </c>
      <c r="AA149" s="19">
        <f>IF(ISERROR($E$149),"",IF(ISBLANK($E$149),"",$E$149))</f>
        <v/>
      </c>
      <c r="AB149" s="19">
        <f>IF(ISERROR($F$149),"",IF(ISBLANK($F$149),"",$F$149))</f>
        <v/>
      </c>
      <c r="AC149" s="19">
        <f>IF(ISERROR($G$149),"",IF(ISBLANK($G$149),"",$G$149))</f>
        <v/>
      </c>
      <c r="AD149" s="19">
        <f>IF(ISERROR($H$149),"",IF(ISBLANK($H$149),"",$H$149))</f>
        <v/>
      </c>
      <c r="AG149" s="19">
        <f>ISERROR($B$149)*1+ISERROR($C$149)*1+ISERROR($D$149)*1+ISERROR($E$149)*1+ISERROR($F$149)*1+ISERROR($G$149)*1+ISERROR($H$149)*1</f>
        <v/>
      </c>
    </row>
    <row r="150" ht="26" customHeight="1">
      <c r="B150" s="31" t="inlineStr">
        <is>
          <t>Anselmo</t>
        </is>
      </c>
      <c r="C150" s="28" t="inlineStr">
        <is>
          <t>Xuanhe</t>
        </is>
      </c>
      <c r="D150" s="28" t="inlineStr">
        <is>
          <t>Jiangyuexin</t>
        </is>
      </c>
      <c r="E150" s="28" t="inlineStr">
        <is>
          <t>Rei</t>
        </is>
      </c>
      <c r="F150" s="28" t="inlineStr">
        <is>
          <t>Aruena</t>
        </is>
      </c>
      <c r="G150" s="28" t="inlineStr">
        <is>
          <t>Vasko</t>
        </is>
      </c>
      <c r="H150" s="28" t="inlineStr">
        <is>
          <t>YM-13</t>
        </is>
      </c>
      <c r="K150" s="18">
        <f>IF(AG150&gt;0,"O Google leu como fórmula: digite de novo com ' na frente.","")</f>
        <v/>
      </c>
      <c r="N150" s="19">
        <f>N149+IF(LEN($X$150)&gt;0,1,0)</f>
        <v/>
      </c>
      <c r="O150" s="19">
        <f>O149+IF(LEN($Y$150)&gt;0,1,0)</f>
        <v/>
      </c>
      <c r="P150" s="19">
        <f>P149+IF(LEN($Z$150)&gt;0,1,0)</f>
        <v/>
      </c>
      <c r="Q150" s="19">
        <f>Q149+IF(LEN($AA$150)&gt;0,1,0)</f>
        <v/>
      </c>
      <c r="R150" s="19">
        <f>R149+IF(LEN($AB$150)&gt;0,1,0)</f>
        <v/>
      </c>
      <c r="S150" s="19">
        <f>S149+IF(LEN($AC$150)&gt;0,1,0)</f>
        <v/>
      </c>
      <c r="T150" s="19">
        <f>T149+IF(LEN($AD$150)&gt;0,1,0)</f>
        <v/>
      </c>
      <c r="X150" s="19">
        <f>IF(ISERROR($B$150),"",IF(ISBLANK($B$150),"",$B$150))</f>
        <v/>
      </c>
      <c r="Y150" s="19">
        <f>IF(ISERROR($C$150),"",IF(ISBLANK($C$150),"",$C$150))</f>
        <v/>
      </c>
      <c r="Z150" s="19">
        <f>IF(ISERROR($D$150),"",IF(ISBLANK($D$150),"",$D$150))</f>
        <v/>
      </c>
      <c r="AA150" s="19">
        <f>IF(ISERROR($E$150),"",IF(ISBLANK($E$150),"",$E$150))</f>
        <v/>
      </c>
      <c r="AB150" s="19">
        <f>IF(ISERROR($F$150),"",IF(ISBLANK($F$150),"",$F$150))</f>
        <v/>
      </c>
      <c r="AC150" s="19">
        <f>IF(ISERROR($G$150),"",IF(ISBLANK($G$150),"",$G$150))</f>
        <v/>
      </c>
      <c r="AD150" s="19">
        <f>IF(ISERROR($H$150),"",IF(ISBLANK($H$150),"",$H$150))</f>
        <v/>
      </c>
      <c r="AG150" s="19">
        <f>ISERROR($B$150)*1+ISERROR($C$150)*1+ISERROR($D$150)*1+ISERROR($E$150)*1+ISERROR($F$150)*1+ISERROR($G$150)*1+ISERROR($H$150)*1</f>
        <v/>
      </c>
    </row>
    <row r="151" ht="26" customHeight="1">
      <c r="B151" s="30" t="inlineStr">
        <is>
          <t>Hanna</t>
        </is>
      </c>
      <c r="C151" s="3" t="inlineStr">
        <is>
          <t>Jianshu</t>
        </is>
      </c>
      <c r="D151" s="3" t="inlineStr">
        <is>
          <t>Moshuilan</t>
        </is>
      </c>
      <c r="E151" s="3" t="inlineStr">
        <is>
          <t>Ayu</t>
        </is>
      </c>
      <c r="F151" s="3" t="inlineStr">
        <is>
          <t>Celavo</t>
        </is>
      </c>
      <c r="G151" s="3" t="inlineStr">
        <is>
          <t>Yeni</t>
        </is>
      </c>
      <c r="H151" s="3" t="inlineStr">
        <is>
          <t>KR-55</t>
        </is>
      </c>
      <c r="K151" s="18">
        <f>IF(AG151&gt;0,"O Google leu como fórmula: digite de novo com ' na frente.","")</f>
        <v/>
      </c>
      <c r="N151" s="19">
        <f>N150+IF(LEN($X$151)&gt;0,1,0)</f>
        <v/>
      </c>
      <c r="O151" s="19">
        <f>O150+IF(LEN($Y$151)&gt;0,1,0)</f>
        <v/>
      </c>
      <c r="P151" s="19">
        <f>P150+IF(LEN($Z$151)&gt;0,1,0)</f>
        <v/>
      </c>
      <c r="Q151" s="19">
        <f>Q150+IF(LEN($AA$151)&gt;0,1,0)</f>
        <v/>
      </c>
      <c r="R151" s="19">
        <f>R150+IF(LEN($AB$151)&gt;0,1,0)</f>
        <v/>
      </c>
      <c r="S151" s="19">
        <f>S150+IF(LEN($AC$151)&gt;0,1,0)</f>
        <v/>
      </c>
      <c r="T151" s="19">
        <f>T150+IF(LEN($AD$151)&gt;0,1,0)</f>
        <v/>
      </c>
      <c r="X151" s="19">
        <f>IF(ISERROR($B$151),"",IF(ISBLANK($B$151),"",$B$151))</f>
        <v/>
      </c>
      <c r="Y151" s="19">
        <f>IF(ISERROR($C$151),"",IF(ISBLANK($C$151),"",$C$151))</f>
        <v/>
      </c>
      <c r="Z151" s="19">
        <f>IF(ISERROR($D$151),"",IF(ISBLANK($D$151),"",$D$151))</f>
        <v/>
      </c>
      <c r="AA151" s="19">
        <f>IF(ISERROR($E$151),"",IF(ISBLANK($E$151),"",$E$151))</f>
        <v/>
      </c>
      <c r="AB151" s="19">
        <f>IF(ISERROR($F$151),"",IF(ISBLANK($F$151),"",$F$151))</f>
        <v/>
      </c>
      <c r="AC151" s="19">
        <f>IF(ISERROR($G$151),"",IF(ISBLANK($G$151),"",$G$151))</f>
        <v/>
      </c>
      <c r="AD151" s="19">
        <f>IF(ISERROR($H$151),"",IF(ISBLANK($H$151),"",$H$151))</f>
        <v/>
      </c>
      <c r="AG151" s="19">
        <f>ISERROR($B$151)*1+ISERROR($C$151)*1+ISERROR($D$151)*1+ISERROR($E$151)*1+ISERROR($F$151)*1+ISERROR($G$151)*1+ISERROR($H$151)*1</f>
        <v/>
      </c>
    </row>
    <row r="152" ht="26" customHeight="1">
      <c r="B152" s="31" t="inlineStr">
        <is>
          <t>Otávio</t>
        </is>
      </c>
      <c r="C152" s="28" t="inlineStr">
        <is>
          <t>Shanqiu</t>
        </is>
      </c>
      <c r="D152" s="28" t="inlineStr">
        <is>
          <t>Haoranbohai</t>
        </is>
      </c>
      <c r="E152" s="28" t="inlineStr">
        <is>
          <t>Tsuki</t>
        </is>
      </c>
      <c r="F152" s="28" t="inlineStr">
        <is>
          <t>Elouan</t>
        </is>
      </c>
      <c r="G152" s="28" t="inlineStr">
        <is>
          <t>Zora</t>
        </is>
      </c>
      <c r="H152" s="28" t="inlineStr">
        <is>
          <t>SB-4</t>
        </is>
      </c>
      <c r="K152" s="18">
        <f>IF(AG152&gt;0,"O Google leu como fórmula: digite de novo com ' na frente.","")</f>
        <v/>
      </c>
      <c r="N152" s="19">
        <f>N151+IF(LEN($X$152)&gt;0,1,0)</f>
        <v/>
      </c>
      <c r="O152" s="19">
        <f>O151+IF(LEN($Y$152)&gt;0,1,0)</f>
        <v/>
      </c>
      <c r="P152" s="19">
        <f>P151+IF(LEN($Z$152)&gt;0,1,0)</f>
        <v/>
      </c>
      <c r="Q152" s="19">
        <f>Q151+IF(LEN($AA$152)&gt;0,1,0)</f>
        <v/>
      </c>
      <c r="R152" s="19">
        <f>R151+IF(LEN($AB$152)&gt;0,1,0)</f>
        <v/>
      </c>
      <c r="S152" s="19">
        <f>S151+IF(LEN($AC$152)&gt;0,1,0)</f>
        <v/>
      </c>
      <c r="T152" s="19">
        <f>T151+IF(LEN($AD$152)&gt;0,1,0)</f>
        <v/>
      </c>
      <c r="X152" s="19">
        <f>IF(ISERROR($B$152),"",IF(ISBLANK($B$152),"",$B$152))</f>
        <v/>
      </c>
      <c r="Y152" s="19">
        <f>IF(ISERROR($C$152),"",IF(ISBLANK($C$152),"",$C$152))</f>
        <v/>
      </c>
      <c r="Z152" s="19">
        <f>IF(ISERROR($D$152),"",IF(ISBLANK($D$152),"",$D$152))</f>
        <v/>
      </c>
      <c r="AA152" s="19">
        <f>IF(ISERROR($E$152),"",IF(ISBLANK($E$152),"",$E$152))</f>
        <v/>
      </c>
      <c r="AB152" s="19">
        <f>IF(ISERROR($F$152),"",IF(ISBLANK($F$152),"",$F$152))</f>
        <v/>
      </c>
      <c r="AC152" s="19">
        <f>IF(ISERROR($G$152),"",IF(ISBLANK($G$152),"",$G$152))</f>
        <v/>
      </c>
      <c r="AD152" s="19">
        <f>IF(ISERROR($H$152),"",IF(ISBLANK($H$152),"",$H$152))</f>
        <v/>
      </c>
      <c r="AG152" s="19">
        <f>ISERROR($B$152)*1+ISERROR($C$152)*1+ISERROR($D$152)*1+ISERROR($E$152)*1+ISERROR($F$152)*1+ISERROR($G$152)*1+ISERROR($H$152)*1</f>
        <v/>
      </c>
    </row>
    <row r="153" ht="26" customHeight="1">
      <c r="B153" s="30" t="inlineStr">
        <is>
          <t>Renata</t>
        </is>
      </c>
      <c r="C153" s="3" t="inlineStr">
        <is>
          <t>Yuanxi</t>
        </is>
      </c>
      <c r="D153" s="3" t="inlineStr">
        <is>
          <t>Qingchaozhi</t>
        </is>
      </c>
      <c r="E153" s="3" t="inlineStr">
        <is>
          <t>Nami</t>
        </is>
      </c>
      <c r="F153" s="3" t="inlineStr">
        <is>
          <t>Yselde</t>
        </is>
      </c>
      <c r="G153" s="3" t="inlineStr">
        <is>
          <t>Gabo</t>
        </is>
      </c>
      <c r="H153" s="3" t="inlineStr">
        <is>
          <t>PL-73</t>
        </is>
      </c>
      <c r="K153" s="18">
        <f>IF(AG153&gt;0,"O Google leu como fórmula: digite de novo com ' na frente.","")</f>
        <v/>
      </c>
      <c r="N153" s="19">
        <f>N152+IF(LEN($X$153)&gt;0,1,0)</f>
        <v/>
      </c>
      <c r="O153" s="19">
        <f>O152+IF(LEN($Y$153)&gt;0,1,0)</f>
        <v/>
      </c>
      <c r="P153" s="19">
        <f>P152+IF(LEN($Z$153)&gt;0,1,0)</f>
        <v/>
      </c>
      <c r="Q153" s="19">
        <f>Q152+IF(LEN($AA$153)&gt;0,1,0)</f>
        <v/>
      </c>
      <c r="R153" s="19">
        <f>R152+IF(LEN($AB$153)&gt;0,1,0)</f>
        <v/>
      </c>
      <c r="S153" s="19">
        <f>S152+IF(LEN($AC$153)&gt;0,1,0)</f>
        <v/>
      </c>
      <c r="T153" s="19">
        <f>T152+IF(LEN($AD$153)&gt;0,1,0)</f>
        <v/>
      </c>
      <c r="X153" s="19">
        <f>IF(ISERROR($B$153),"",IF(ISBLANK($B$153),"",$B$153))</f>
        <v/>
      </c>
      <c r="Y153" s="19">
        <f>IF(ISERROR($C$153),"",IF(ISBLANK($C$153),"",$C$153))</f>
        <v/>
      </c>
      <c r="Z153" s="19">
        <f>IF(ISERROR($D$153),"",IF(ISBLANK($D$153),"",$D$153))</f>
        <v/>
      </c>
      <c r="AA153" s="19">
        <f>IF(ISERROR($E$153),"",IF(ISBLANK($E$153),"",$E$153))</f>
        <v/>
      </c>
      <c r="AB153" s="19">
        <f>IF(ISERROR($F$153),"",IF(ISBLANK($F$153),"",$F$153))</f>
        <v/>
      </c>
      <c r="AC153" s="19">
        <f>IF(ISERROR($G$153),"",IF(ISBLANK($G$153),"",$G$153))</f>
        <v/>
      </c>
      <c r="AD153" s="19">
        <f>IF(ISERROR($H$153),"",IF(ISBLANK($H$153),"",$H$153))</f>
        <v/>
      </c>
      <c r="AG153" s="19">
        <f>ISERROR($B$153)*1+ISERROR($C$153)*1+ISERROR($D$153)*1+ISERROR($E$153)*1+ISERROR($F$153)*1+ISERROR($G$153)*1+ISERROR($H$153)*1</f>
        <v/>
      </c>
    </row>
    <row r="154" ht="15" customHeight="1">
      <c r="B154" s="7" t="inlineStr">
        <is>
          <t>Nome — Humano</t>
        </is>
      </c>
      <c r="C154" s="7" t="inlineStr">
        <is>
          <t>Nome — Xianzhouíta</t>
        </is>
      </c>
      <c r="D154" s="7" t="inlineStr">
        <is>
          <t>Nome — Vidyadhara</t>
        </is>
      </c>
      <c r="E154" s="7" t="inlineStr">
        <is>
          <t>Nome — Vulpes</t>
        </is>
      </c>
      <c r="F154" s="7" t="inlineStr">
        <is>
          <t>Nome — Haloviano</t>
        </is>
      </c>
      <c r="G154" s="7" t="inlineStr">
        <is>
          <t>Nome — Avginiano</t>
        </is>
      </c>
      <c r="H154" s="7" t="inlineStr">
        <is>
          <t>Nome — Intellitron</t>
        </is>
      </c>
      <c r="N154" s="19">
        <f>N153</f>
        <v/>
      </c>
      <c r="O154" s="19">
        <f>O153</f>
        <v/>
      </c>
      <c r="P154" s="19">
        <f>P153</f>
        <v/>
      </c>
      <c r="Q154" s="19">
        <f>Q153</f>
        <v/>
      </c>
      <c r="R154" s="19">
        <f>R153</f>
        <v/>
      </c>
      <c r="S154" s="19">
        <f>S153</f>
        <v/>
      </c>
      <c r="T154" s="19">
        <f>T153</f>
        <v/>
      </c>
      <c r="X154" s="19">
        <f>IF(ISERROR($B$154),"",IF(ISBLANK($B$154),"",$B$154))</f>
        <v/>
      </c>
      <c r="Y154" s="19">
        <f>IF(ISERROR($C$154),"",IF(ISBLANK($C$154),"",$C$154))</f>
        <v/>
      </c>
      <c r="Z154" s="19">
        <f>IF(ISERROR($D$154),"",IF(ISBLANK($D$154),"",$D$154))</f>
        <v/>
      </c>
      <c r="AA154" s="19">
        <f>IF(ISERROR($E$154),"",IF(ISBLANK($E$154),"",$E$154))</f>
        <v/>
      </c>
      <c r="AB154" s="19">
        <f>IF(ISERROR($F$154),"",IF(ISBLANK($F$154),"",$F$154))</f>
        <v/>
      </c>
      <c r="AC154" s="19">
        <f>IF(ISERROR($G$154),"",IF(ISBLANK($G$154),"",$G$154))</f>
        <v/>
      </c>
      <c r="AD154" s="19">
        <f>IF(ISERROR($H$154),"",IF(ISBLANK($H$154),"",$H$154))</f>
        <v/>
      </c>
    </row>
    <row r="155" ht="26" customHeight="1">
      <c r="B155" s="30" t="inlineStr">
        <is>
          <t>Kofi</t>
        </is>
      </c>
      <c r="C155" s="3" t="inlineStr">
        <is>
          <t>Zhuoran</t>
        </is>
      </c>
      <c r="D155" s="3" t="inlineStr">
        <is>
          <t>Ruilanhai</t>
        </is>
      </c>
      <c r="E155" s="3" t="inlineStr">
        <is>
          <t>Hoshi</t>
        </is>
      </c>
      <c r="F155" s="3" t="inlineStr">
        <is>
          <t>Amaleo</t>
        </is>
      </c>
      <c r="G155" s="3" t="inlineStr">
        <is>
          <t>Pema</t>
        </is>
      </c>
      <c r="H155" s="3" t="inlineStr">
        <is>
          <t>XE-38</t>
        </is>
      </c>
      <c r="K155" s="18">
        <f>IF(AG155&gt;0,"O Google leu como fórmula: digite de novo com ' na frente.","")</f>
        <v/>
      </c>
      <c r="N155" s="19">
        <f>N154+IF(LEN($X$155)&gt;0,1,0)</f>
        <v/>
      </c>
      <c r="O155" s="19">
        <f>O154+IF(LEN($Y$155)&gt;0,1,0)</f>
        <v/>
      </c>
      <c r="P155" s="19">
        <f>P154+IF(LEN($Z$155)&gt;0,1,0)</f>
        <v/>
      </c>
      <c r="Q155" s="19">
        <f>Q154+IF(LEN($AA$155)&gt;0,1,0)</f>
        <v/>
      </c>
      <c r="R155" s="19">
        <f>R154+IF(LEN($AB$155)&gt;0,1,0)</f>
        <v/>
      </c>
      <c r="S155" s="19">
        <f>S154+IF(LEN($AC$155)&gt;0,1,0)</f>
        <v/>
      </c>
      <c r="T155" s="19">
        <f>T154+IF(LEN($AD$155)&gt;0,1,0)</f>
        <v/>
      </c>
      <c r="X155" s="19">
        <f>IF(ISERROR($B$155),"",IF(ISBLANK($B$155),"",$B$155))</f>
        <v/>
      </c>
      <c r="Y155" s="19">
        <f>IF(ISERROR($C$155),"",IF(ISBLANK($C$155),"",$C$155))</f>
        <v/>
      </c>
      <c r="Z155" s="19">
        <f>IF(ISERROR($D$155),"",IF(ISBLANK($D$155),"",$D$155))</f>
        <v/>
      </c>
      <c r="AA155" s="19">
        <f>IF(ISERROR($E$155),"",IF(ISBLANK($E$155),"",$E$155))</f>
        <v/>
      </c>
      <c r="AB155" s="19">
        <f>IF(ISERROR($F$155),"",IF(ISBLANK($F$155),"",$F$155))</f>
        <v/>
      </c>
      <c r="AC155" s="19">
        <f>IF(ISERROR($G$155),"",IF(ISBLANK($G$155),"",$G$155))</f>
        <v/>
      </c>
      <c r="AD155" s="19">
        <f>IF(ISERROR($H$155),"",IF(ISBLANK($H$155),"",$H$155))</f>
        <v/>
      </c>
      <c r="AG155" s="19">
        <f>ISERROR($B$155)*1+ISERROR($C$155)*1+ISERROR($D$155)*1+ISERROR($E$155)*1+ISERROR($F$155)*1+ISERROR($G$155)*1+ISERROR($H$155)*1</f>
        <v/>
      </c>
    </row>
    <row r="156" ht="26" customHeight="1">
      <c r="B156" s="31" t="inlineStr">
        <is>
          <t>Ilse</t>
        </is>
      </c>
      <c r="C156" s="28" t="inlineStr">
        <is>
          <t>Kunlin</t>
        </is>
      </c>
      <c r="D156" s="28" t="inlineStr">
        <is>
          <t>Xiaochaoming</t>
        </is>
      </c>
      <c r="E156" s="28" t="inlineStr">
        <is>
          <t>Kazu</t>
        </is>
      </c>
      <c r="F156" s="28" t="inlineStr">
        <is>
          <t>Oleanor</t>
        </is>
      </c>
      <c r="G156" s="28" t="inlineStr">
        <is>
          <t>Orik</t>
        </is>
      </c>
      <c r="H156" s="28" t="inlineStr">
        <is>
          <t>MO-1</t>
        </is>
      </c>
      <c r="K156" s="18">
        <f>IF(AG156&gt;0,"O Google leu como fórmula: digite de novo com ' na frente.","")</f>
        <v/>
      </c>
      <c r="N156" s="19">
        <f>N155+IF(LEN($X$156)&gt;0,1,0)</f>
        <v/>
      </c>
      <c r="O156" s="19">
        <f>O155+IF(LEN($Y$156)&gt;0,1,0)</f>
        <v/>
      </c>
      <c r="P156" s="19">
        <f>P155+IF(LEN($Z$156)&gt;0,1,0)</f>
        <v/>
      </c>
      <c r="Q156" s="19">
        <f>Q155+IF(LEN($AA$156)&gt;0,1,0)</f>
        <v/>
      </c>
      <c r="R156" s="19">
        <f>R155+IF(LEN($AB$156)&gt;0,1,0)</f>
        <v/>
      </c>
      <c r="S156" s="19">
        <f>S155+IF(LEN($AC$156)&gt;0,1,0)</f>
        <v/>
      </c>
      <c r="T156" s="19">
        <f>T155+IF(LEN($AD$156)&gt;0,1,0)</f>
        <v/>
      </c>
      <c r="X156" s="19">
        <f>IF(ISERROR($B$156),"",IF(ISBLANK($B$156),"",$B$156))</f>
        <v/>
      </c>
      <c r="Y156" s="19">
        <f>IF(ISERROR($C$156),"",IF(ISBLANK($C$156),"",$C$156))</f>
        <v/>
      </c>
      <c r="Z156" s="19">
        <f>IF(ISERROR($D$156),"",IF(ISBLANK($D$156),"",$D$156))</f>
        <v/>
      </c>
      <c r="AA156" s="19">
        <f>IF(ISERROR($E$156),"",IF(ISBLANK($E$156),"",$E$156))</f>
        <v/>
      </c>
      <c r="AB156" s="19">
        <f>IF(ISERROR($F$156),"",IF(ISBLANK($F$156),"",$F$156))</f>
        <v/>
      </c>
      <c r="AC156" s="19">
        <f>IF(ISERROR($G$156),"",IF(ISBLANK($G$156),"",$G$156))</f>
        <v/>
      </c>
      <c r="AD156" s="19">
        <f>IF(ISERROR($H$156),"",IF(ISBLANK($H$156),"",$H$156))</f>
        <v/>
      </c>
      <c r="AG156" s="19">
        <f>ISERROR($B$156)*1+ISERROR($C$156)*1+ISERROR($D$156)*1+ISERROR($E$156)*1+ISERROR($F$156)*1+ISERROR($G$156)*1+ISERROR($H$156)*1</f>
        <v/>
      </c>
    </row>
    <row r="157" ht="26" customHeight="1">
      <c r="B157" s="30" t="inlineStr">
        <is>
          <t>Esperança</t>
        </is>
      </c>
      <c r="C157" s="3" t="inlineStr">
        <is>
          <t>Haoyu</t>
        </is>
      </c>
      <c r="D157" s="3" t="inlineStr">
        <is>
          <t>Duhaiyuan</t>
        </is>
      </c>
      <c r="E157" s="3" t="inlineStr">
        <is>
          <t>Fumi</t>
        </is>
      </c>
      <c r="F157" s="3" t="inlineStr">
        <is>
          <t>Siora</t>
        </is>
      </c>
      <c r="G157" s="3" t="inlineStr">
        <is>
          <t>Dessa</t>
        </is>
      </c>
      <c r="H157" s="3" t="inlineStr">
        <is>
          <t>TR-210</t>
        </is>
      </c>
      <c r="K157" s="18">
        <f>IF(AG157&gt;0,"O Google leu como fórmula: digite de novo com ' na frente.","")</f>
        <v/>
      </c>
      <c r="N157" s="19">
        <f>N156+IF(LEN($X$157)&gt;0,1,0)</f>
        <v/>
      </c>
      <c r="O157" s="19">
        <f>O156+IF(LEN($Y$157)&gt;0,1,0)</f>
        <v/>
      </c>
      <c r="P157" s="19">
        <f>P156+IF(LEN($Z$157)&gt;0,1,0)</f>
        <v/>
      </c>
      <c r="Q157" s="19">
        <f>Q156+IF(LEN($AA$157)&gt;0,1,0)</f>
        <v/>
      </c>
      <c r="R157" s="19">
        <f>R156+IF(LEN($AB$157)&gt;0,1,0)</f>
        <v/>
      </c>
      <c r="S157" s="19">
        <f>S156+IF(LEN($AC$157)&gt;0,1,0)</f>
        <v/>
      </c>
      <c r="T157" s="19">
        <f>T156+IF(LEN($AD$157)&gt;0,1,0)</f>
        <v/>
      </c>
      <c r="X157" s="19">
        <f>IF(ISERROR($B$157),"",IF(ISBLANK($B$157),"",$B$157))</f>
        <v/>
      </c>
      <c r="Y157" s="19">
        <f>IF(ISERROR($C$157),"",IF(ISBLANK($C$157),"",$C$157))</f>
        <v/>
      </c>
      <c r="Z157" s="19">
        <f>IF(ISERROR($D$157),"",IF(ISBLANK($D$157),"",$D$157))</f>
        <v/>
      </c>
      <c r="AA157" s="19">
        <f>IF(ISERROR($E$157),"",IF(ISBLANK($E$157),"",$E$157))</f>
        <v/>
      </c>
      <c r="AB157" s="19">
        <f>IF(ISERROR($F$157),"",IF(ISBLANK($F$157),"",$F$157))</f>
        <v/>
      </c>
      <c r="AC157" s="19">
        <f>IF(ISERROR($G$157),"",IF(ISBLANK($G$157),"",$G$157))</f>
        <v/>
      </c>
      <c r="AD157" s="19">
        <f>IF(ISERROR($H$157),"",IF(ISBLANK($H$157),"",$H$157))</f>
        <v/>
      </c>
      <c r="AG157" s="19">
        <f>ISERROR($B$157)*1+ISERROR($C$157)*1+ISERROR($D$157)*1+ISERROR($E$157)*1+ISERROR($F$157)*1+ISERROR($G$157)*1+ISERROR($H$157)*1</f>
        <v/>
      </c>
    </row>
    <row r="158" ht="26" customHeight="1">
      <c r="B158" s="31" t="inlineStr">
        <is>
          <t>Leif</t>
        </is>
      </c>
      <c r="C158" s="28" t="inlineStr">
        <is>
          <t>Baozhen</t>
        </is>
      </c>
      <c r="D158" s="28" t="inlineStr">
        <is>
          <t>Lanchaosong</t>
        </is>
      </c>
      <c r="E158" s="28" t="inlineStr">
        <is>
          <t>Akane</t>
        </is>
      </c>
      <c r="F158" s="28" t="inlineStr">
        <is>
          <t>Evarina</t>
        </is>
      </c>
      <c r="G158" s="28" t="inlineStr">
        <is>
          <t>Fen</t>
        </is>
      </c>
      <c r="H158" s="28" t="inlineStr">
        <is>
          <t>DV-66</t>
        </is>
      </c>
      <c r="K158" s="18">
        <f>IF(AG158&gt;0,"O Google leu como fórmula: digite de novo com ' na frente.","")</f>
        <v/>
      </c>
      <c r="N158" s="19">
        <f>N157+IF(LEN($X$158)&gt;0,1,0)</f>
        <v/>
      </c>
      <c r="O158" s="19">
        <f>O157+IF(LEN($Y$158)&gt;0,1,0)</f>
        <v/>
      </c>
      <c r="P158" s="19">
        <f>P157+IF(LEN($Z$158)&gt;0,1,0)</f>
        <v/>
      </c>
      <c r="Q158" s="19">
        <f>Q157+IF(LEN($AA$158)&gt;0,1,0)</f>
        <v/>
      </c>
      <c r="R158" s="19">
        <f>R157+IF(LEN($AB$158)&gt;0,1,0)</f>
        <v/>
      </c>
      <c r="S158" s="19">
        <f>S157+IF(LEN($AC$158)&gt;0,1,0)</f>
        <v/>
      </c>
      <c r="T158" s="19">
        <f>T157+IF(LEN($AD$158)&gt;0,1,0)</f>
        <v/>
      </c>
      <c r="X158" s="19">
        <f>IF(ISERROR($B$158),"",IF(ISBLANK($B$158),"",$B$158))</f>
        <v/>
      </c>
      <c r="Y158" s="19">
        <f>IF(ISERROR($C$158),"",IF(ISBLANK($C$158),"",$C$158))</f>
        <v/>
      </c>
      <c r="Z158" s="19">
        <f>IF(ISERROR($D$158),"",IF(ISBLANK($D$158),"",$D$158))</f>
        <v/>
      </c>
      <c r="AA158" s="19">
        <f>IF(ISERROR($E$158),"",IF(ISBLANK($E$158),"",$E$158))</f>
        <v/>
      </c>
      <c r="AB158" s="19">
        <f>IF(ISERROR($F$158),"",IF(ISBLANK($F$158),"",$F$158))</f>
        <v/>
      </c>
      <c r="AC158" s="19">
        <f>IF(ISERROR($G$158),"",IF(ISBLANK($G$158),"",$G$158))</f>
        <v/>
      </c>
      <c r="AD158" s="19">
        <f>IF(ISERROR($H$158),"",IF(ISBLANK($H$158),"",$H$158))</f>
        <v/>
      </c>
      <c r="AG158" s="19">
        <f>ISERROR($B$158)*1+ISERROR($C$158)*1+ISERROR($D$158)*1+ISERROR($E$158)*1+ISERROR($F$158)*1+ISERROR($G$158)*1+ISERROR($H$158)*1</f>
        <v/>
      </c>
    </row>
    <row r="159" ht="26" customHeight="1">
      <c r="B159" s="30" t="inlineStr">
        <is>
          <t>Amara</t>
        </is>
      </c>
      <c r="C159" s="3" t="inlineStr">
        <is>
          <t>Dezhao</t>
        </is>
      </c>
      <c r="D159" s="3" t="inlineStr">
        <is>
          <t>Wenbolang</t>
        </is>
      </c>
      <c r="E159" s="3" t="inlineStr">
        <is>
          <t>Ume</t>
        </is>
      </c>
      <c r="F159" s="3" t="inlineStr">
        <is>
          <t>Aurenor</t>
        </is>
      </c>
      <c r="G159" s="3" t="inlineStr">
        <is>
          <t>Juta</t>
        </is>
      </c>
      <c r="H159" s="3" t="inlineStr">
        <is>
          <t>HZ-501</t>
        </is>
      </c>
      <c r="K159" s="18">
        <f>IF(AG159&gt;0,"O Google leu como fórmula: digite de novo com ' na frente.","")</f>
        <v/>
      </c>
      <c r="N159" s="19">
        <f>N158+IF(LEN($X$159)&gt;0,1,0)</f>
        <v/>
      </c>
      <c r="O159" s="19">
        <f>O158+IF(LEN($Y$159)&gt;0,1,0)</f>
        <v/>
      </c>
      <c r="P159" s="19">
        <f>P158+IF(LEN($Z$159)&gt;0,1,0)</f>
        <v/>
      </c>
      <c r="Q159" s="19">
        <f>Q158+IF(LEN($AA$159)&gt;0,1,0)</f>
        <v/>
      </c>
      <c r="R159" s="19">
        <f>R158+IF(LEN($AB$159)&gt;0,1,0)</f>
        <v/>
      </c>
      <c r="S159" s="19">
        <f>S158+IF(LEN($AC$159)&gt;0,1,0)</f>
        <v/>
      </c>
      <c r="T159" s="19">
        <f>T158+IF(LEN($AD$159)&gt;0,1,0)</f>
        <v/>
      </c>
      <c r="X159" s="19">
        <f>IF(ISERROR($B$159),"",IF(ISBLANK($B$159),"",$B$159))</f>
        <v/>
      </c>
      <c r="Y159" s="19">
        <f>IF(ISERROR($C$159),"",IF(ISBLANK($C$159),"",$C$159))</f>
        <v/>
      </c>
      <c r="Z159" s="19">
        <f>IF(ISERROR($D$159),"",IF(ISBLANK($D$159),"",$D$159))</f>
        <v/>
      </c>
      <c r="AA159" s="19">
        <f>IF(ISERROR($E$159),"",IF(ISBLANK($E$159),"",$E$159))</f>
        <v/>
      </c>
      <c r="AB159" s="19">
        <f>IF(ISERROR($F$159),"",IF(ISBLANK($F$159),"",$F$159))</f>
        <v/>
      </c>
      <c r="AC159" s="19">
        <f>IF(ISERROR($G$159),"",IF(ISBLANK($G$159),"",$G$159))</f>
        <v/>
      </c>
      <c r="AD159" s="19">
        <f>IF(ISERROR($H$159),"",IF(ISBLANK($H$159),"",$H$159))</f>
        <v/>
      </c>
      <c r="AG159" s="19">
        <f>ISERROR($B$159)*1+ISERROR($C$159)*1+ISERROR($D$159)*1+ISERROR($E$159)*1+ISERROR($F$159)*1+ISERROR($G$159)*1+ISERROR($H$159)*1</f>
        <v/>
      </c>
    </row>
    <row r="160" ht="26" customHeight="1">
      <c r="B160" s="31" t="inlineStr">
        <is>
          <t>Vítor</t>
        </is>
      </c>
      <c r="C160" s="28" t="inlineStr">
        <is>
          <t>Qiaoming</t>
        </is>
      </c>
      <c r="D160" s="28" t="n"/>
      <c r="E160" s="28" t="n"/>
      <c r="F160" s="28" t="n"/>
      <c r="G160" s="28" t="n"/>
      <c r="H160" s="28" t="n"/>
      <c r="K160" s="18">
        <f>IF(AG160&gt;0,"O Google leu como fórmula: digite de novo com ' na frente.","")</f>
        <v/>
      </c>
      <c r="N160" s="19">
        <f>N159+IF(LEN($X$160)&gt;0,1,0)</f>
        <v/>
      </c>
      <c r="O160" s="19">
        <f>O159+IF(LEN($Y$160)&gt;0,1,0)</f>
        <v/>
      </c>
      <c r="P160" s="19">
        <f>P159+IF(LEN($Z$160)&gt;0,1,0)</f>
        <v/>
      </c>
      <c r="Q160" s="19">
        <f>Q159+IF(LEN($AA$160)&gt;0,1,0)</f>
        <v/>
      </c>
      <c r="R160" s="19">
        <f>R159+IF(LEN($AB$160)&gt;0,1,0)</f>
        <v/>
      </c>
      <c r="S160" s="19">
        <f>S159+IF(LEN($AC$160)&gt;0,1,0)</f>
        <v/>
      </c>
      <c r="T160" s="19">
        <f>T159+IF(LEN($AD$160)&gt;0,1,0)</f>
        <v/>
      </c>
      <c r="X160" s="19">
        <f>IF(ISERROR($B$160),"",IF(ISBLANK($B$160),"",$B$160))</f>
        <v/>
      </c>
      <c r="Y160" s="19">
        <f>IF(ISERROR($C$160),"",IF(ISBLANK($C$160),"",$C$160))</f>
        <v/>
      </c>
      <c r="Z160" s="19">
        <f>IF(ISERROR($D$160),"",IF(ISBLANK($D$160),"",$D$160))</f>
        <v/>
      </c>
      <c r="AA160" s="19">
        <f>IF(ISERROR($E$160),"",IF(ISBLANK($E$160),"",$E$160))</f>
        <v/>
      </c>
      <c r="AB160" s="19">
        <f>IF(ISERROR($F$160),"",IF(ISBLANK($F$160),"",$F$160))</f>
        <v/>
      </c>
      <c r="AC160" s="19">
        <f>IF(ISERROR($G$160),"",IF(ISBLANK($G$160),"",$G$160))</f>
        <v/>
      </c>
      <c r="AD160" s="19">
        <f>IF(ISERROR($H$160),"",IF(ISBLANK($H$160),"",$H$160))</f>
        <v/>
      </c>
      <c r="AG160" s="19">
        <f>ISERROR($B$160)*1+ISERROR($C$160)*1+ISERROR($D$160)*1+ISERROR($E$160)*1+ISERROR($F$160)*1+ISERROR($G$160)*1+ISERROR($H$160)*1</f>
        <v/>
      </c>
    </row>
    <row r="161" ht="26" customHeight="1">
      <c r="B161" s="30" t="n"/>
      <c r="C161" s="3" t="n"/>
      <c r="D161" s="3" t="n"/>
      <c r="E161" s="3" t="n"/>
      <c r="F161" s="3" t="n"/>
      <c r="G161" s="3" t="n"/>
      <c r="H161" s="3" t="n"/>
      <c r="K161" s="18">
        <f>IF(AG161&gt;0,"O Google leu como fórmula: digite de novo com ' na frente.","")</f>
        <v/>
      </c>
      <c r="N161" s="19">
        <f>N160+IF(LEN($X$161)&gt;0,1,0)</f>
        <v/>
      </c>
      <c r="O161" s="19">
        <f>O160+IF(LEN($Y$161)&gt;0,1,0)</f>
        <v/>
      </c>
      <c r="P161" s="19">
        <f>P160+IF(LEN($Z$161)&gt;0,1,0)</f>
        <v/>
      </c>
      <c r="Q161" s="19">
        <f>Q160+IF(LEN($AA$161)&gt;0,1,0)</f>
        <v/>
      </c>
      <c r="R161" s="19">
        <f>R160+IF(LEN($AB$161)&gt;0,1,0)</f>
        <v/>
      </c>
      <c r="S161" s="19">
        <f>S160+IF(LEN($AC$161)&gt;0,1,0)</f>
        <v/>
      </c>
      <c r="T161" s="19">
        <f>T160+IF(LEN($AD$161)&gt;0,1,0)</f>
        <v/>
      </c>
      <c r="X161" s="19">
        <f>IF(ISERROR($B$161),"",IF(ISBLANK($B$161),"",$B$161))</f>
        <v/>
      </c>
      <c r="Y161" s="19">
        <f>IF(ISERROR($C$161),"",IF(ISBLANK($C$161),"",$C$161))</f>
        <v/>
      </c>
      <c r="Z161" s="19">
        <f>IF(ISERROR($D$161),"",IF(ISBLANK($D$161),"",$D$161))</f>
        <v/>
      </c>
      <c r="AA161" s="19">
        <f>IF(ISERROR($E$161),"",IF(ISBLANK($E$161),"",$E$161))</f>
        <v/>
      </c>
      <c r="AB161" s="19">
        <f>IF(ISERROR($F$161),"",IF(ISBLANK($F$161),"",$F$161))</f>
        <v/>
      </c>
      <c r="AC161" s="19">
        <f>IF(ISERROR($G$161),"",IF(ISBLANK($G$161),"",$G$161))</f>
        <v/>
      </c>
      <c r="AD161" s="19">
        <f>IF(ISERROR($H$161),"",IF(ISBLANK($H$161),"",$H$161))</f>
        <v/>
      </c>
      <c r="AG161" s="19">
        <f>ISERROR($B$161)*1+ISERROR($C$161)*1+ISERROR($D$161)*1+ISERROR($E$161)*1+ISERROR($F$161)*1+ISERROR($G$161)*1+ISERROR($H$161)*1</f>
        <v/>
      </c>
    </row>
    <row r="162" ht="26" customHeight="1">
      <c r="B162" s="31" t="n"/>
      <c r="C162" s="28" t="n"/>
      <c r="D162" s="28" t="n"/>
      <c r="E162" s="28" t="n"/>
      <c r="F162" s="28" t="n"/>
      <c r="G162" s="28" t="n"/>
      <c r="H162" s="28" t="n"/>
      <c r="K162" s="18">
        <f>IF(AG162&gt;0,"O Google leu como fórmula: digite de novo com ' na frente.","")</f>
        <v/>
      </c>
      <c r="N162" s="19">
        <f>N161+IF(LEN($X$162)&gt;0,1,0)</f>
        <v/>
      </c>
      <c r="O162" s="19">
        <f>O161+IF(LEN($Y$162)&gt;0,1,0)</f>
        <v/>
      </c>
      <c r="P162" s="19">
        <f>P161+IF(LEN($Z$162)&gt;0,1,0)</f>
        <v/>
      </c>
      <c r="Q162" s="19">
        <f>Q161+IF(LEN($AA$162)&gt;0,1,0)</f>
        <v/>
      </c>
      <c r="R162" s="19">
        <f>R161+IF(LEN($AB$162)&gt;0,1,0)</f>
        <v/>
      </c>
      <c r="S162" s="19">
        <f>S161+IF(LEN($AC$162)&gt;0,1,0)</f>
        <v/>
      </c>
      <c r="T162" s="19">
        <f>T161+IF(LEN($AD$162)&gt;0,1,0)</f>
        <v/>
      </c>
      <c r="X162" s="19">
        <f>IF(ISERROR($B$162),"",IF(ISBLANK($B$162),"",$B$162))</f>
        <v/>
      </c>
      <c r="Y162" s="19">
        <f>IF(ISERROR($C$162),"",IF(ISBLANK($C$162),"",$C$162))</f>
        <v/>
      </c>
      <c r="Z162" s="19">
        <f>IF(ISERROR($D$162),"",IF(ISBLANK($D$162),"",$D$162))</f>
        <v/>
      </c>
      <c r="AA162" s="19">
        <f>IF(ISERROR($E$162),"",IF(ISBLANK($E$162),"",$E$162))</f>
        <v/>
      </c>
      <c r="AB162" s="19">
        <f>IF(ISERROR($F$162),"",IF(ISBLANK($F$162),"",$F$162))</f>
        <v/>
      </c>
      <c r="AC162" s="19">
        <f>IF(ISERROR($G$162),"",IF(ISBLANK($G$162),"",$G$162))</f>
        <v/>
      </c>
      <c r="AD162" s="19">
        <f>IF(ISERROR($H$162),"",IF(ISBLANK($H$162),"",$H$162))</f>
        <v/>
      </c>
      <c r="AG162" s="19">
        <f>ISERROR($B$162)*1+ISERROR($C$162)*1+ISERROR($D$162)*1+ISERROR($E$162)*1+ISERROR($F$162)*1+ISERROR($G$162)*1+ISERROR($H$162)*1</f>
        <v/>
      </c>
    </row>
    <row r="163" ht="26" customHeight="1">
      <c r="B163" s="30" t="n"/>
      <c r="C163" s="3" t="n"/>
      <c r="D163" s="3" t="n"/>
      <c r="E163" s="3" t="n"/>
      <c r="F163" s="3" t="n"/>
      <c r="G163" s="3" t="n"/>
      <c r="H163" s="3" t="n"/>
      <c r="K163" s="18">
        <f>IF(AG163&gt;0,"O Google leu como fórmula: digite de novo com ' na frente.","")</f>
        <v/>
      </c>
      <c r="N163" s="19">
        <f>N162+IF(LEN($X$163)&gt;0,1,0)</f>
        <v/>
      </c>
      <c r="O163" s="19">
        <f>O162+IF(LEN($Y$163)&gt;0,1,0)</f>
        <v/>
      </c>
      <c r="P163" s="19">
        <f>P162+IF(LEN($Z$163)&gt;0,1,0)</f>
        <v/>
      </c>
      <c r="Q163" s="19">
        <f>Q162+IF(LEN($AA$163)&gt;0,1,0)</f>
        <v/>
      </c>
      <c r="R163" s="19">
        <f>R162+IF(LEN($AB$163)&gt;0,1,0)</f>
        <v/>
      </c>
      <c r="S163" s="19">
        <f>S162+IF(LEN($AC$163)&gt;0,1,0)</f>
        <v/>
      </c>
      <c r="T163" s="19">
        <f>T162+IF(LEN($AD$163)&gt;0,1,0)</f>
        <v/>
      </c>
      <c r="X163" s="19">
        <f>IF(ISERROR($B$163),"",IF(ISBLANK($B$163),"",$B$163))</f>
        <v/>
      </c>
      <c r="Y163" s="19">
        <f>IF(ISERROR($C$163),"",IF(ISBLANK($C$163),"",$C$163))</f>
        <v/>
      </c>
      <c r="Z163" s="19">
        <f>IF(ISERROR($D$163),"",IF(ISBLANK($D$163),"",$D$163))</f>
        <v/>
      </c>
      <c r="AA163" s="19">
        <f>IF(ISERROR($E$163),"",IF(ISBLANK($E$163),"",$E$163))</f>
        <v/>
      </c>
      <c r="AB163" s="19">
        <f>IF(ISERROR($F$163),"",IF(ISBLANK($F$163),"",$F$163))</f>
        <v/>
      </c>
      <c r="AC163" s="19">
        <f>IF(ISERROR($G$163),"",IF(ISBLANK($G$163),"",$G$163))</f>
        <v/>
      </c>
      <c r="AD163" s="19">
        <f>IF(ISERROR($H$163),"",IF(ISBLANK($H$163),"",$H$163))</f>
        <v/>
      </c>
      <c r="AG163" s="19">
        <f>ISERROR($B$163)*1+ISERROR($C$163)*1+ISERROR($D$163)*1+ISERROR($E$163)*1+ISERROR($F$163)*1+ISERROR($G$163)*1+ISERROR($H$163)*1</f>
        <v/>
      </c>
    </row>
    <row r="164" ht="26" customHeight="1">
      <c r="B164" s="31" t="n"/>
      <c r="C164" s="28" t="n"/>
      <c r="D164" s="28" t="n"/>
      <c r="E164" s="28" t="n"/>
      <c r="F164" s="28" t="n"/>
      <c r="G164" s="28" t="n"/>
      <c r="H164" s="28" t="n"/>
      <c r="K164" s="18">
        <f>IF(AG164&gt;0,"O Google leu como fórmula: digite de novo com ' na frente.","")</f>
        <v/>
      </c>
      <c r="N164" s="19">
        <f>N163+IF(LEN($X$164)&gt;0,1,0)</f>
        <v/>
      </c>
      <c r="O164" s="19">
        <f>O163+IF(LEN($Y$164)&gt;0,1,0)</f>
        <v/>
      </c>
      <c r="P164" s="19">
        <f>P163+IF(LEN($Z$164)&gt;0,1,0)</f>
        <v/>
      </c>
      <c r="Q164" s="19">
        <f>Q163+IF(LEN($AA$164)&gt;0,1,0)</f>
        <v/>
      </c>
      <c r="R164" s="19">
        <f>R163+IF(LEN($AB$164)&gt;0,1,0)</f>
        <v/>
      </c>
      <c r="S164" s="19">
        <f>S163+IF(LEN($AC$164)&gt;0,1,0)</f>
        <v/>
      </c>
      <c r="T164" s="19">
        <f>T163+IF(LEN($AD$164)&gt;0,1,0)</f>
        <v/>
      </c>
      <c r="X164" s="19">
        <f>IF(ISERROR($B$164),"",IF(ISBLANK($B$164),"",$B$164))</f>
        <v/>
      </c>
      <c r="Y164" s="19">
        <f>IF(ISERROR($C$164),"",IF(ISBLANK($C$164),"",$C$164))</f>
        <v/>
      </c>
      <c r="Z164" s="19">
        <f>IF(ISERROR($D$164),"",IF(ISBLANK($D$164),"",$D$164))</f>
        <v/>
      </c>
      <c r="AA164" s="19">
        <f>IF(ISERROR($E$164),"",IF(ISBLANK($E$164),"",$E$164))</f>
        <v/>
      </c>
      <c r="AB164" s="19">
        <f>IF(ISERROR($F$164),"",IF(ISBLANK($F$164),"",$F$164))</f>
        <v/>
      </c>
      <c r="AC164" s="19">
        <f>IF(ISERROR($G$164),"",IF(ISBLANK($G$164),"",$G$164))</f>
        <v/>
      </c>
      <c r="AD164" s="19">
        <f>IF(ISERROR($H$164),"",IF(ISBLANK($H$164),"",$H$164))</f>
        <v/>
      </c>
      <c r="AG164" s="19">
        <f>ISERROR($B$164)*1+ISERROR($C$164)*1+ISERROR($D$164)*1+ISERROR($E$164)*1+ISERROR($F$164)*1+ISERROR($G$164)*1+ISERROR($H$164)*1</f>
        <v/>
      </c>
    </row>
    <row r="165" ht="26" customHeight="1">
      <c r="B165" s="30" t="n"/>
      <c r="C165" s="3" t="n"/>
      <c r="D165" s="3" t="n"/>
      <c r="E165" s="3" t="n"/>
      <c r="F165" s="3" t="n"/>
      <c r="G165" s="3" t="n"/>
      <c r="H165" s="3" t="n"/>
      <c r="K165" s="18">
        <f>IF(AG165&gt;0,"O Google leu como fórmula: digite de novo com ' na frente.","")</f>
        <v/>
      </c>
      <c r="N165" s="19">
        <f>N164+IF(LEN($X$165)&gt;0,1,0)</f>
        <v/>
      </c>
      <c r="O165" s="19">
        <f>O164+IF(LEN($Y$165)&gt;0,1,0)</f>
        <v/>
      </c>
      <c r="P165" s="19">
        <f>P164+IF(LEN($Z$165)&gt;0,1,0)</f>
        <v/>
      </c>
      <c r="Q165" s="19">
        <f>Q164+IF(LEN($AA$165)&gt;0,1,0)</f>
        <v/>
      </c>
      <c r="R165" s="19">
        <f>R164+IF(LEN($AB$165)&gt;0,1,0)</f>
        <v/>
      </c>
      <c r="S165" s="19">
        <f>S164+IF(LEN($AC$165)&gt;0,1,0)</f>
        <v/>
      </c>
      <c r="T165" s="19">
        <f>T164+IF(LEN($AD$165)&gt;0,1,0)</f>
        <v/>
      </c>
      <c r="X165" s="19">
        <f>IF(ISERROR($B$165),"",IF(ISBLANK($B$165),"",$B$165))</f>
        <v/>
      </c>
      <c r="Y165" s="19">
        <f>IF(ISERROR($C$165),"",IF(ISBLANK($C$165),"",$C$165))</f>
        <v/>
      </c>
      <c r="Z165" s="19">
        <f>IF(ISERROR($D$165),"",IF(ISBLANK($D$165),"",$D$165))</f>
        <v/>
      </c>
      <c r="AA165" s="19">
        <f>IF(ISERROR($E$165),"",IF(ISBLANK($E$165),"",$E$165))</f>
        <v/>
      </c>
      <c r="AB165" s="19">
        <f>IF(ISERROR($F$165),"",IF(ISBLANK($F$165),"",$F$165))</f>
        <v/>
      </c>
      <c r="AC165" s="19">
        <f>IF(ISERROR($G$165),"",IF(ISBLANK($G$165),"",$G$165))</f>
        <v/>
      </c>
      <c r="AD165" s="19">
        <f>IF(ISERROR($H$165),"",IF(ISBLANK($H$165),"",$H$165))</f>
        <v/>
      </c>
      <c r="AG165" s="19">
        <f>ISERROR($B$165)*1+ISERROR($C$165)*1+ISERROR($D$165)*1+ISERROR($E$165)*1+ISERROR($F$165)*1+ISERROR($G$165)*1+ISERROR($H$165)*1</f>
        <v/>
      </c>
    </row>
    <row r="166" ht="26" customHeight="1">
      <c r="B166" s="31" t="n"/>
      <c r="C166" s="28" t="n"/>
      <c r="D166" s="28" t="n"/>
      <c r="E166" s="28" t="n"/>
      <c r="F166" s="28" t="n"/>
      <c r="G166" s="28" t="n"/>
      <c r="H166" s="28" t="n"/>
      <c r="K166" s="18">
        <f>IF(AG166&gt;0,"O Google leu como fórmula: digite de novo com ' na frente.","")</f>
        <v/>
      </c>
      <c r="N166" s="19">
        <f>N165+IF(LEN($X$166)&gt;0,1,0)</f>
        <v/>
      </c>
      <c r="O166" s="19">
        <f>O165+IF(LEN($Y$166)&gt;0,1,0)</f>
        <v/>
      </c>
      <c r="P166" s="19">
        <f>P165+IF(LEN($Z$166)&gt;0,1,0)</f>
        <v/>
      </c>
      <c r="Q166" s="19">
        <f>Q165+IF(LEN($AA$166)&gt;0,1,0)</f>
        <v/>
      </c>
      <c r="R166" s="19">
        <f>R165+IF(LEN($AB$166)&gt;0,1,0)</f>
        <v/>
      </c>
      <c r="S166" s="19">
        <f>S165+IF(LEN($AC$166)&gt;0,1,0)</f>
        <v/>
      </c>
      <c r="T166" s="19">
        <f>T165+IF(LEN($AD$166)&gt;0,1,0)</f>
        <v/>
      </c>
      <c r="X166" s="19">
        <f>IF(ISERROR($B$166),"",IF(ISBLANK($B$166),"",$B$166))</f>
        <v/>
      </c>
      <c r="Y166" s="19">
        <f>IF(ISERROR($C$166),"",IF(ISBLANK($C$166),"",$C$166))</f>
        <v/>
      </c>
      <c r="Z166" s="19">
        <f>IF(ISERROR($D$166),"",IF(ISBLANK($D$166),"",$D$166))</f>
        <v/>
      </c>
      <c r="AA166" s="19">
        <f>IF(ISERROR($E$166),"",IF(ISBLANK($E$166),"",$E$166))</f>
        <v/>
      </c>
      <c r="AB166" s="19">
        <f>IF(ISERROR($F$166),"",IF(ISBLANK($F$166),"",$F$166))</f>
        <v/>
      </c>
      <c r="AC166" s="19">
        <f>IF(ISERROR($G$166),"",IF(ISBLANK($G$166),"",$G$166))</f>
        <v/>
      </c>
      <c r="AD166" s="19">
        <f>IF(ISERROR($H$166),"",IF(ISBLANK($H$166),"",$H$166))</f>
        <v/>
      </c>
      <c r="AG166" s="19">
        <f>ISERROR($B$166)*1+ISERROR($C$166)*1+ISERROR($D$166)*1+ISERROR($E$166)*1+ISERROR($F$166)*1+ISERROR($G$166)*1+ISERROR($H$166)*1</f>
        <v/>
      </c>
    </row>
    <row r="167" ht="26" customHeight="1">
      <c r="B167" s="30" t="n"/>
      <c r="C167" s="3" t="n"/>
      <c r="D167" s="3" t="n"/>
      <c r="E167" s="3" t="n"/>
      <c r="F167" s="3" t="n"/>
      <c r="G167" s="3" t="n"/>
      <c r="H167" s="3" t="n"/>
      <c r="K167" s="18">
        <f>IF(AG167&gt;0,"O Google leu como fórmula: digite de novo com ' na frente.","")</f>
        <v/>
      </c>
      <c r="N167" s="19">
        <f>N166+IF(LEN($X$167)&gt;0,1,0)</f>
        <v/>
      </c>
      <c r="O167" s="19">
        <f>O166+IF(LEN($Y$167)&gt;0,1,0)</f>
        <v/>
      </c>
      <c r="P167" s="19">
        <f>P166+IF(LEN($Z$167)&gt;0,1,0)</f>
        <v/>
      </c>
      <c r="Q167" s="19">
        <f>Q166+IF(LEN($AA$167)&gt;0,1,0)</f>
        <v/>
      </c>
      <c r="R167" s="19">
        <f>R166+IF(LEN($AB$167)&gt;0,1,0)</f>
        <v/>
      </c>
      <c r="S167" s="19">
        <f>S166+IF(LEN($AC$167)&gt;0,1,0)</f>
        <v/>
      </c>
      <c r="T167" s="19">
        <f>T166+IF(LEN($AD$167)&gt;0,1,0)</f>
        <v/>
      </c>
      <c r="X167" s="19">
        <f>IF(ISERROR($B$167),"",IF(ISBLANK($B$167),"",$B$167))</f>
        <v/>
      </c>
      <c r="Y167" s="19">
        <f>IF(ISERROR($C$167),"",IF(ISBLANK($C$167),"",$C$167))</f>
        <v/>
      </c>
      <c r="Z167" s="19">
        <f>IF(ISERROR($D$167),"",IF(ISBLANK($D$167),"",$D$167))</f>
        <v/>
      </c>
      <c r="AA167" s="19">
        <f>IF(ISERROR($E$167),"",IF(ISBLANK($E$167),"",$E$167))</f>
        <v/>
      </c>
      <c r="AB167" s="19">
        <f>IF(ISERROR($F$167),"",IF(ISBLANK($F$167),"",$F$167))</f>
        <v/>
      </c>
      <c r="AC167" s="19">
        <f>IF(ISERROR($G$167),"",IF(ISBLANK($G$167),"",$G$167))</f>
        <v/>
      </c>
      <c r="AD167" s="19">
        <f>IF(ISERROR($H$167),"",IF(ISBLANK($H$167),"",$H$167))</f>
        <v/>
      </c>
      <c r="AG167" s="19">
        <f>ISERROR($B$167)*1+ISERROR($C$167)*1+ISERROR($D$167)*1+ISERROR($E$167)*1+ISERROR($F$167)*1+ISERROR($G$167)*1+ISERROR($H$167)*1</f>
        <v/>
      </c>
    </row>
    <row r="168" ht="15" customHeight="1">
      <c r="B168" s="7" t="inlineStr">
        <is>
          <t>Nome — Humano</t>
        </is>
      </c>
      <c r="C168" s="7" t="inlineStr">
        <is>
          <t>Nome — Xianzhouíta</t>
        </is>
      </c>
      <c r="D168" s="7" t="inlineStr">
        <is>
          <t>Nome — Vidyadhara</t>
        </is>
      </c>
      <c r="E168" s="7" t="inlineStr">
        <is>
          <t>Nome — Vulpes</t>
        </is>
      </c>
      <c r="F168" s="7" t="inlineStr">
        <is>
          <t>Nome — Haloviano</t>
        </is>
      </c>
      <c r="G168" s="7" t="inlineStr">
        <is>
          <t>Nome — Avginiano</t>
        </is>
      </c>
      <c r="H168" s="7" t="inlineStr">
        <is>
          <t>Nome — Intellitron</t>
        </is>
      </c>
      <c r="N168" s="19">
        <f>N167</f>
        <v/>
      </c>
      <c r="O168" s="19">
        <f>O167</f>
        <v/>
      </c>
      <c r="P168" s="19">
        <f>P167</f>
        <v/>
      </c>
      <c r="Q168" s="19">
        <f>Q167</f>
        <v/>
      </c>
      <c r="R168" s="19">
        <f>R167</f>
        <v/>
      </c>
      <c r="S168" s="19">
        <f>S167</f>
        <v/>
      </c>
      <c r="T168" s="19">
        <f>T167</f>
        <v/>
      </c>
      <c r="X168" s="19">
        <f>IF(ISERROR($B$168),"",IF(ISBLANK($B$168),"",$B$168))</f>
        <v/>
      </c>
      <c r="Y168" s="19">
        <f>IF(ISERROR($C$168),"",IF(ISBLANK($C$168),"",$C$168))</f>
        <v/>
      </c>
      <c r="Z168" s="19">
        <f>IF(ISERROR($D$168),"",IF(ISBLANK($D$168),"",$D$168))</f>
        <v/>
      </c>
      <c r="AA168" s="19">
        <f>IF(ISERROR($E$168),"",IF(ISBLANK($E$168),"",$E$168))</f>
        <v/>
      </c>
      <c r="AB168" s="19">
        <f>IF(ISERROR($F$168),"",IF(ISBLANK($F$168),"",$F$168))</f>
        <v/>
      </c>
      <c r="AC168" s="19">
        <f>IF(ISERROR($G$168),"",IF(ISBLANK($G$168),"",$G$168))</f>
        <v/>
      </c>
      <c r="AD168" s="19">
        <f>IF(ISERROR($H$168),"",IF(ISBLANK($H$168),"",$H$168))</f>
        <v/>
      </c>
    </row>
    <row r="169" ht="26" customHeight="1">
      <c r="B169" s="30" t="n"/>
      <c r="C169" s="3" t="n"/>
      <c r="D169" s="3" t="n"/>
      <c r="E169" s="3" t="n"/>
      <c r="F169" s="3" t="n"/>
      <c r="G169" s="3" t="n"/>
      <c r="H169" s="3" t="n"/>
      <c r="K169" s="18">
        <f>IF(AG169&gt;0,"O Google leu como fórmula: digite de novo com ' na frente.","")</f>
        <v/>
      </c>
      <c r="N169" s="19">
        <f>N168+IF(LEN($X$169)&gt;0,1,0)</f>
        <v/>
      </c>
      <c r="O169" s="19">
        <f>O168+IF(LEN($Y$169)&gt;0,1,0)</f>
        <v/>
      </c>
      <c r="P169" s="19">
        <f>P168+IF(LEN($Z$169)&gt;0,1,0)</f>
        <v/>
      </c>
      <c r="Q169" s="19">
        <f>Q168+IF(LEN($AA$169)&gt;0,1,0)</f>
        <v/>
      </c>
      <c r="R169" s="19">
        <f>R168+IF(LEN($AB$169)&gt;0,1,0)</f>
        <v/>
      </c>
      <c r="S169" s="19">
        <f>S168+IF(LEN($AC$169)&gt;0,1,0)</f>
        <v/>
      </c>
      <c r="T169" s="19">
        <f>T168+IF(LEN($AD$169)&gt;0,1,0)</f>
        <v/>
      </c>
      <c r="X169" s="19">
        <f>IF(ISERROR($B$169),"",IF(ISBLANK($B$169),"",$B$169))</f>
        <v/>
      </c>
      <c r="Y169" s="19">
        <f>IF(ISERROR($C$169),"",IF(ISBLANK($C$169),"",$C$169))</f>
        <v/>
      </c>
      <c r="Z169" s="19">
        <f>IF(ISERROR($D$169),"",IF(ISBLANK($D$169),"",$D$169))</f>
        <v/>
      </c>
      <c r="AA169" s="19">
        <f>IF(ISERROR($E$169),"",IF(ISBLANK($E$169),"",$E$169))</f>
        <v/>
      </c>
      <c r="AB169" s="19">
        <f>IF(ISERROR($F$169),"",IF(ISBLANK($F$169),"",$F$169))</f>
        <v/>
      </c>
      <c r="AC169" s="19">
        <f>IF(ISERROR($G$169),"",IF(ISBLANK($G$169),"",$G$169))</f>
        <v/>
      </c>
      <c r="AD169" s="19">
        <f>IF(ISERROR($H$169),"",IF(ISBLANK($H$169),"",$H$169))</f>
        <v/>
      </c>
      <c r="AG169" s="19">
        <f>ISERROR($B$169)*1+ISERROR($C$169)*1+ISERROR($D$169)*1+ISERROR($E$169)*1+ISERROR($F$169)*1+ISERROR($G$169)*1+ISERROR($H$169)*1</f>
        <v/>
      </c>
    </row>
    <row r="170" ht="26" customHeight="1">
      <c r="B170" s="31" t="n"/>
      <c r="C170" s="28" t="n"/>
      <c r="D170" s="28" t="n"/>
      <c r="E170" s="28" t="n"/>
      <c r="F170" s="28" t="n"/>
      <c r="G170" s="28" t="n"/>
      <c r="H170" s="28" t="n"/>
      <c r="K170" s="18">
        <f>IF(AG170&gt;0,"O Google leu como fórmula: digite de novo com ' na frente.","")</f>
        <v/>
      </c>
      <c r="N170" s="19">
        <f>N169+IF(LEN($X$170)&gt;0,1,0)</f>
        <v/>
      </c>
      <c r="O170" s="19">
        <f>O169+IF(LEN($Y$170)&gt;0,1,0)</f>
        <v/>
      </c>
      <c r="P170" s="19">
        <f>P169+IF(LEN($Z$170)&gt;0,1,0)</f>
        <v/>
      </c>
      <c r="Q170" s="19">
        <f>Q169+IF(LEN($AA$170)&gt;0,1,0)</f>
        <v/>
      </c>
      <c r="R170" s="19">
        <f>R169+IF(LEN($AB$170)&gt;0,1,0)</f>
        <v/>
      </c>
      <c r="S170" s="19">
        <f>S169+IF(LEN($AC$170)&gt;0,1,0)</f>
        <v/>
      </c>
      <c r="T170" s="19">
        <f>T169+IF(LEN($AD$170)&gt;0,1,0)</f>
        <v/>
      </c>
      <c r="X170" s="19">
        <f>IF(ISERROR($B$170),"",IF(ISBLANK($B$170),"",$B$170))</f>
        <v/>
      </c>
      <c r="Y170" s="19">
        <f>IF(ISERROR($C$170),"",IF(ISBLANK($C$170),"",$C$170))</f>
        <v/>
      </c>
      <c r="Z170" s="19">
        <f>IF(ISERROR($D$170),"",IF(ISBLANK($D$170),"",$D$170))</f>
        <v/>
      </c>
      <c r="AA170" s="19">
        <f>IF(ISERROR($E$170),"",IF(ISBLANK($E$170),"",$E$170))</f>
        <v/>
      </c>
      <c r="AB170" s="19">
        <f>IF(ISERROR($F$170),"",IF(ISBLANK($F$170),"",$F$170))</f>
        <v/>
      </c>
      <c r="AC170" s="19">
        <f>IF(ISERROR($G$170),"",IF(ISBLANK($G$170),"",$G$170))</f>
        <v/>
      </c>
      <c r="AD170" s="19">
        <f>IF(ISERROR($H$170),"",IF(ISBLANK($H$170),"",$H$170))</f>
        <v/>
      </c>
      <c r="AG170" s="19">
        <f>ISERROR($B$170)*1+ISERROR($C$170)*1+ISERROR($D$170)*1+ISERROR($E$170)*1+ISERROR($F$170)*1+ISERROR($G$170)*1+ISERROR($H$170)*1</f>
        <v/>
      </c>
    </row>
    <row r="171" ht="26" customHeight="1">
      <c r="B171" s="30" t="n"/>
      <c r="C171" s="3" t="n"/>
      <c r="D171" s="3" t="n"/>
      <c r="E171" s="3" t="n"/>
      <c r="F171" s="3" t="n"/>
      <c r="G171" s="3" t="n"/>
      <c r="H171" s="3" t="n"/>
      <c r="K171" s="18">
        <f>IF(AG171&gt;0,"O Google leu como fórmula: digite de novo com ' na frente.","")</f>
        <v/>
      </c>
      <c r="N171" s="19">
        <f>N170+IF(LEN($X$171)&gt;0,1,0)</f>
        <v/>
      </c>
      <c r="O171" s="19">
        <f>O170+IF(LEN($Y$171)&gt;0,1,0)</f>
        <v/>
      </c>
      <c r="P171" s="19">
        <f>P170+IF(LEN($Z$171)&gt;0,1,0)</f>
        <v/>
      </c>
      <c r="Q171" s="19">
        <f>Q170+IF(LEN($AA$171)&gt;0,1,0)</f>
        <v/>
      </c>
      <c r="R171" s="19">
        <f>R170+IF(LEN($AB$171)&gt;0,1,0)</f>
        <v/>
      </c>
      <c r="S171" s="19">
        <f>S170+IF(LEN($AC$171)&gt;0,1,0)</f>
        <v/>
      </c>
      <c r="T171" s="19">
        <f>T170+IF(LEN($AD$171)&gt;0,1,0)</f>
        <v/>
      </c>
      <c r="X171" s="19">
        <f>IF(ISERROR($B$171),"",IF(ISBLANK($B$171),"",$B$171))</f>
        <v/>
      </c>
      <c r="Y171" s="19">
        <f>IF(ISERROR($C$171),"",IF(ISBLANK($C$171),"",$C$171))</f>
        <v/>
      </c>
      <c r="Z171" s="19">
        <f>IF(ISERROR($D$171),"",IF(ISBLANK($D$171),"",$D$171))</f>
        <v/>
      </c>
      <c r="AA171" s="19">
        <f>IF(ISERROR($E$171),"",IF(ISBLANK($E$171),"",$E$171))</f>
        <v/>
      </c>
      <c r="AB171" s="19">
        <f>IF(ISERROR($F$171),"",IF(ISBLANK($F$171),"",$F$171))</f>
        <v/>
      </c>
      <c r="AC171" s="19">
        <f>IF(ISERROR($G$171),"",IF(ISBLANK($G$171),"",$G$171))</f>
        <v/>
      </c>
      <c r="AD171" s="19">
        <f>IF(ISERROR($H$171),"",IF(ISBLANK($H$171),"",$H$171))</f>
        <v/>
      </c>
      <c r="AG171" s="19">
        <f>ISERROR($B$171)*1+ISERROR($C$171)*1+ISERROR($D$171)*1+ISERROR($E$171)*1+ISERROR($F$171)*1+ISERROR($G$171)*1+ISERROR($H$171)*1</f>
        <v/>
      </c>
    </row>
    <row r="172" ht="26" customHeight="1">
      <c r="B172" s="31" t="n"/>
      <c r="C172" s="28" t="n"/>
      <c r="D172" s="28" t="n"/>
      <c r="E172" s="28" t="n"/>
      <c r="F172" s="28" t="n"/>
      <c r="G172" s="28" t="n"/>
      <c r="H172" s="28" t="n"/>
      <c r="K172" s="18">
        <f>IF(AG172&gt;0,"O Google leu como fórmula: digite de novo com ' na frente.","")</f>
        <v/>
      </c>
      <c r="N172" s="19">
        <f>N171+IF(LEN($X$172)&gt;0,1,0)</f>
        <v/>
      </c>
      <c r="O172" s="19">
        <f>O171+IF(LEN($Y$172)&gt;0,1,0)</f>
        <v/>
      </c>
      <c r="P172" s="19">
        <f>P171+IF(LEN($Z$172)&gt;0,1,0)</f>
        <v/>
      </c>
      <c r="Q172" s="19">
        <f>Q171+IF(LEN($AA$172)&gt;0,1,0)</f>
        <v/>
      </c>
      <c r="R172" s="19">
        <f>R171+IF(LEN($AB$172)&gt;0,1,0)</f>
        <v/>
      </c>
      <c r="S172" s="19">
        <f>S171+IF(LEN($AC$172)&gt;0,1,0)</f>
        <v/>
      </c>
      <c r="T172" s="19">
        <f>T171+IF(LEN($AD$172)&gt;0,1,0)</f>
        <v/>
      </c>
      <c r="X172" s="19">
        <f>IF(ISERROR($B$172),"",IF(ISBLANK($B$172),"",$B$172))</f>
        <v/>
      </c>
      <c r="Y172" s="19">
        <f>IF(ISERROR($C$172),"",IF(ISBLANK($C$172),"",$C$172))</f>
        <v/>
      </c>
      <c r="Z172" s="19">
        <f>IF(ISERROR($D$172),"",IF(ISBLANK($D$172),"",$D$172))</f>
        <v/>
      </c>
      <c r="AA172" s="19">
        <f>IF(ISERROR($E$172),"",IF(ISBLANK($E$172),"",$E$172))</f>
        <v/>
      </c>
      <c r="AB172" s="19">
        <f>IF(ISERROR($F$172),"",IF(ISBLANK($F$172),"",$F$172))</f>
        <v/>
      </c>
      <c r="AC172" s="19">
        <f>IF(ISERROR($G$172),"",IF(ISBLANK($G$172),"",$G$172))</f>
        <v/>
      </c>
      <c r="AD172" s="19">
        <f>IF(ISERROR($H$172),"",IF(ISBLANK($H$172),"",$H$172))</f>
        <v/>
      </c>
      <c r="AG172" s="19">
        <f>ISERROR($B$172)*1+ISERROR($C$172)*1+ISERROR($D$172)*1+ISERROR($E$172)*1+ISERROR($F$172)*1+ISERROR($G$172)*1+ISERROR($H$172)*1</f>
        <v/>
      </c>
    </row>
    <row r="173" ht="26" customHeight="1">
      <c r="B173" s="30" t="n"/>
      <c r="C173" s="3" t="n"/>
      <c r="D173" s="3" t="n"/>
      <c r="E173" s="3" t="n"/>
      <c r="F173" s="3" t="n"/>
      <c r="G173" s="3" t="n"/>
      <c r="H173" s="3" t="n"/>
      <c r="K173" s="18">
        <f>IF(AG173&gt;0,"O Google leu como fórmula: digite de novo com ' na frente.","")</f>
        <v/>
      </c>
      <c r="N173" s="19">
        <f>N172+IF(LEN($X$173)&gt;0,1,0)</f>
        <v/>
      </c>
      <c r="O173" s="19">
        <f>O172+IF(LEN($Y$173)&gt;0,1,0)</f>
        <v/>
      </c>
      <c r="P173" s="19">
        <f>P172+IF(LEN($Z$173)&gt;0,1,0)</f>
        <v/>
      </c>
      <c r="Q173" s="19">
        <f>Q172+IF(LEN($AA$173)&gt;0,1,0)</f>
        <v/>
      </c>
      <c r="R173" s="19">
        <f>R172+IF(LEN($AB$173)&gt;0,1,0)</f>
        <v/>
      </c>
      <c r="S173" s="19">
        <f>S172+IF(LEN($AC$173)&gt;0,1,0)</f>
        <v/>
      </c>
      <c r="T173" s="19">
        <f>T172+IF(LEN($AD$173)&gt;0,1,0)</f>
        <v/>
      </c>
      <c r="X173" s="19">
        <f>IF(ISERROR($B$173),"",IF(ISBLANK($B$173),"",$B$173))</f>
        <v/>
      </c>
      <c r="Y173" s="19">
        <f>IF(ISERROR($C$173),"",IF(ISBLANK($C$173),"",$C$173))</f>
        <v/>
      </c>
      <c r="Z173" s="19">
        <f>IF(ISERROR($D$173),"",IF(ISBLANK($D$173),"",$D$173))</f>
        <v/>
      </c>
      <c r="AA173" s="19">
        <f>IF(ISERROR($E$173),"",IF(ISBLANK($E$173),"",$E$173))</f>
        <v/>
      </c>
      <c r="AB173" s="19">
        <f>IF(ISERROR($F$173),"",IF(ISBLANK($F$173),"",$F$173))</f>
        <v/>
      </c>
      <c r="AC173" s="19">
        <f>IF(ISERROR($G$173),"",IF(ISBLANK($G$173),"",$G$173))</f>
        <v/>
      </c>
      <c r="AD173" s="19">
        <f>IF(ISERROR($H$173),"",IF(ISBLANK($H$173),"",$H$173))</f>
        <v/>
      </c>
      <c r="AG173" s="19">
        <f>ISERROR($B$173)*1+ISERROR($C$173)*1+ISERROR($D$173)*1+ISERROR($E$173)*1+ISERROR($F$173)*1+ISERROR($G$173)*1+ISERROR($H$173)*1</f>
        <v/>
      </c>
    </row>
    <row r="174" ht="26" customHeight="1">
      <c r="B174" s="31" t="n"/>
      <c r="C174" s="28" t="n"/>
      <c r="D174" s="28" t="n"/>
      <c r="E174" s="28" t="n"/>
      <c r="F174" s="28" t="n"/>
      <c r="G174" s="28" t="n"/>
      <c r="H174" s="28" t="n"/>
      <c r="K174" s="18">
        <f>IF(AG174&gt;0,"O Google leu como fórmula: digite de novo com ' na frente.","")</f>
        <v/>
      </c>
      <c r="N174" s="19">
        <f>N173+IF(LEN($X$174)&gt;0,1,0)</f>
        <v/>
      </c>
      <c r="O174" s="19">
        <f>O173+IF(LEN($Y$174)&gt;0,1,0)</f>
        <v/>
      </c>
      <c r="P174" s="19">
        <f>P173+IF(LEN($Z$174)&gt;0,1,0)</f>
        <v/>
      </c>
      <c r="Q174" s="19">
        <f>Q173+IF(LEN($AA$174)&gt;0,1,0)</f>
        <v/>
      </c>
      <c r="R174" s="19">
        <f>R173+IF(LEN($AB$174)&gt;0,1,0)</f>
        <v/>
      </c>
      <c r="S174" s="19">
        <f>S173+IF(LEN($AC$174)&gt;0,1,0)</f>
        <v/>
      </c>
      <c r="T174" s="19">
        <f>T173+IF(LEN($AD$174)&gt;0,1,0)</f>
        <v/>
      </c>
      <c r="X174" s="19">
        <f>IF(ISERROR($B$174),"",IF(ISBLANK($B$174),"",$B$174))</f>
        <v/>
      </c>
      <c r="Y174" s="19">
        <f>IF(ISERROR($C$174),"",IF(ISBLANK($C$174),"",$C$174))</f>
        <v/>
      </c>
      <c r="Z174" s="19">
        <f>IF(ISERROR($D$174),"",IF(ISBLANK($D$174),"",$D$174))</f>
        <v/>
      </c>
      <c r="AA174" s="19">
        <f>IF(ISERROR($E$174),"",IF(ISBLANK($E$174),"",$E$174))</f>
        <v/>
      </c>
      <c r="AB174" s="19">
        <f>IF(ISERROR($F$174),"",IF(ISBLANK($F$174),"",$F$174))</f>
        <v/>
      </c>
      <c r="AC174" s="19">
        <f>IF(ISERROR($G$174),"",IF(ISBLANK($G$174),"",$G$174))</f>
        <v/>
      </c>
      <c r="AD174" s="19">
        <f>IF(ISERROR($H$174),"",IF(ISBLANK($H$174),"",$H$174))</f>
        <v/>
      </c>
      <c r="AG174" s="19">
        <f>ISERROR($B$174)*1+ISERROR($C$174)*1+ISERROR($D$174)*1+ISERROR($E$174)*1+ISERROR($F$174)*1+ISERROR($G$174)*1+ISERROR($H$174)*1</f>
        <v/>
      </c>
    </row>
    <row r="175" ht="26" customHeight="1">
      <c r="B175" s="30" t="n"/>
      <c r="C175" s="3" t="n"/>
      <c r="D175" s="3" t="n"/>
      <c r="E175" s="3" t="n"/>
      <c r="F175" s="3" t="n"/>
      <c r="G175" s="3" t="n"/>
      <c r="H175" s="3" t="n"/>
      <c r="K175" s="18">
        <f>IF(AG175&gt;0,"O Google leu como fórmula: digite de novo com ' na frente.","")</f>
        <v/>
      </c>
      <c r="N175" s="19">
        <f>N174+IF(LEN($X$175)&gt;0,1,0)</f>
        <v/>
      </c>
      <c r="O175" s="19">
        <f>O174+IF(LEN($Y$175)&gt;0,1,0)</f>
        <v/>
      </c>
      <c r="P175" s="19">
        <f>P174+IF(LEN($Z$175)&gt;0,1,0)</f>
        <v/>
      </c>
      <c r="Q175" s="19">
        <f>Q174+IF(LEN($AA$175)&gt;0,1,0)</f>
        <v/>
      </c>
      <c r="R175" s="19">
        <f>R174+IF(LEN($AB$175)&gt;0,1,0)</f>
        <v/>
      </c>
      <c r="S175" s="19">
        <f>S174+IF(LEN($AC$175)&gt;0,1,0)</f>
        <v/>
      </c>
      <c r="T175" s="19">
        <f>T174+IF(LEN($AD$175)&gt;0,1,0)</f>
        <v/>
      </c>
      <c r="X175" s="19">
        <f>IF(ISERROR($B$175),"",IF(ISBLANK($B$175),"",$B$175))</f>
        <v/>
      </c>
      <c r="Y175" s="19">
        <f>IF(ISERROR($C$175),"",IF(ISBLANK($C$175),"",$C$175))</f>
        <v/>
      </c>
      <c r="Z175" s="19">
        <f>IF(ISERROR($D$175),"",IF(ISBLANK($D$175),"",$D$175))</f>
        <v/>
      </c>
      <c r="AA175" s="19">
        <f>IF(ISERROR($E$175),"",IF(ISBLANK($E$175),"",$E$175))</f>
        <v/>
      </c>
      <c r="AB175" s="19">
        <f>IF(ISERROR($F$175),"",IF(ISBLANK($F$175),"",$F$175))</f>
        <v/>
      </c>
      <c r="AC175" s="19">
        <f>IF(ISERROR($G$175),"",IF(ISBLANK($G$175),"",$G$175))</f>
        <v/>
      </c>
      <c r="AD175" s="19">
        <f>IF(ISERROR($H$175),"",IF(ISBLANK($H$175),"",$H$175))</f>
        <v/>
      </c>
      <c r="AG175" s="19">
        <f>ISERROR($B$175)*1+ISERROR($C$175)*1+ISERROR($D$175)*1+ISERROR($E$175)*1+ISERROR($F$175)*1+ISERROR($G$175)*1+ISERROR($H$175)*1</f>
        <v/>
      </c>
    </row>
    <row r="176" ht="26" customHeight="1">
      <c r="B176" s="31" t="n"/>
      <c r="C176" s="28" t="n"/>
      <c r="D176" s="28" t="n"/>
      <c r="E176" s="28" t="n"/>
      <c r="F176" s="28" t="n"/>
      <c r="G176" s="28" t="n"/>
      <c r="H176" s="28" t="n"/>
      <c r="K176" s="18">
        <f>IF(AG176&gt;0,"O Google leu como fórmula: digite de novo com ' na frente.","")</f>
        <v/>
      </c>
      <c r="N176" s="19">
        <f>N175+IF(LEN($X$176)&gt;0,1,0)</f>
        <v/>
      </c>
      <c r="O176" s="19">
        <f>O175+IF(LEN($Y$176)&gt;0,1,0)</f>
        <v/>
      </c>
      <c r="P176" s="19">
        <f>P175+IF(LEN($Z$176)&gt;0,1,0)</f>
        <v/>
      </c>
      <c r="Q176" s="19">
        <f>Q175+IF(LEN($AA$176)&gt;0,1,0)</f>
        <v/>
      </c>
      <c r="R176" s="19">
        <f>R175+IF(LEN($AB$176)&gt;0,1,0)</f>
        <v/>
      </c>
      <c r="S176" s="19">
        <f>S175+IF(LEN($AC$176)&gt;0,1,0)</f>
        <v/>
      </c>
      <c r="T176" s="19">
        <f>T175+IF(LEN($AD$176)&gt;0,1,0)</f>
        <v/>
      </c>
      <c r="X176" s="19">
        <f>IF(ISERROR($B$176),"",IF(ISBLANK($B$176),"",$B$176))</f>
        <v/>
      </c>
      <c r="Y176" s="19">
        <f>IF(ISERROR($C$176),"",IF(ISBLANK($C$176),"",$C$176))</f>
        <v/>
      </c>
      <c r="Z176" s="19">
        <f>IF(ISERROR($D$176),"",IF(ISBLANK($D$176),"",$D$176))</f>
        <v/>
      </c>
      <c r="AA176" s="19">
        <f>IF(ISERROR($E$176),"",IF(ISBLANK($E$176),"",$E$176))</f>
        <v/>
      </c>
      <c r="AB176" s="19">
        <f>IF(ISERROR($F$176),"",IF(ISBLANK($F$176),"",$F$176))</f>
        <v/>
      </c>
      <c r="AC176" s="19">
        <f>IF(ISERROR($G$176),"",IF(ISBLANK($G$176),"",$G$176))</f>
        <v/>
      </c>
      <c r="AD176" s="19">
        <f>IF(ISERROR($H$176),"",IF(ISBLANK($H$176),"",$H$176))</f>
        <v/>
      </c>
      <c r="AG176" s="19">
        <f>ISERROR($B$176)*1+ISERROR($C$176)*1+ISERROR($D$176)*1+ISERROR($E$176)*1+ISERROR($F$176)*1+ISERROR($G$176)*1+ISERROR($H$176)*1</f>
        <v/>
      </c>
    </row>
    <row r="177" ht="26" customHeight="1">
      <c r="B177" s="30" t="n"/>
      <c r="C177" s="3" t="n"/>
      <c r="D177" s="3" t="n"/>
      <c r="E177" s="3" t="n"/>
      <c r="F177" s="3" t="n"/>
      <c r="G177" s="3" t="n"/>
      <c r="H177" s="3" t="n"/>
      <c r="K177" s="18">
        <f>IF(AG177&gt;0,"O Google leu como fórmula: digite de novo com ' na frente.","")</f>
        <v/>
      </c>
      <c r="N177" s="19">
        <f>N176+IF(LEN($X$177)&gt;0,1,0)</f>
        <v/>
      </c>
      <c r="O177" s="19">
        <f>O176+IF(LEN($Y$177)&gt;0,1,0)</f>
        <v/>
      </c>
      <c r="P177" s="19">
        <f>P176+IF(LEN($Z$177)&gt;0,1,0)</f>
        <v/>
      </c>
      <c r="Q177" s="19">
        <f>Q176+IF(LEN($AA$177)&gt;0,1,0)</f>
        <v/>
      </c>
      <c r="R177" s="19">
        <f>R176+IF(LEN($AB$177)&gt;0,1,0)</f>
        <v/>
      </c>
      <c r="S177" s="19">
        <f>S176+IF(LEN($AC$177)&gt;0,1,0)</f>
        <v/>
      </c>
      <c r="T177" s="19">
        <f>T176+IF(LEN($AD$177)&gt;0,1,0)</f>
        <v/>
      </c>
      <c r="X177" s="19">
        <f>IF(ISERROR($B$177),"",IF(ISBLANK($B$177),"",$B$177))</f>
        <v/>
      </c>
      <c r="Y177" s="19">
        <f>IF(ISERROR($C$177),"",IF(ISBLANK($C$177),"",$C$177))</f>
        <v/>
      </c>
      <c r="Z177" s="19">
        <f>IF(ISERROR($D$177),"",IF(ISBLANK($D$177),"",$D$177))</f>
        <v/>
      </c>
      <c r="AA177" s="19">
        <f>IF(ISERROR($E$177),"",IF(ISBLANK($E$177),"",$E$177))</f>
        <v/>
      </c>
      <c r="AB177" s="19">
        <f>IF(ISERROR($F$177),"",IF(ISBLANK($F$177),"",$F$177))</f>
        <v/>
      </c>
      <c r="AC177" s="19">
        <f>IF(ISERROR($G$177),"",IF(ISBLANK($G$177),"",$G$177))</f>
        <v/>
      </c>
      <c r="AD177" s="19">
        <f>IF(ISERROR($H$177),"",IF(ISBLANK($H$177),"",$H$177))</f>
        <v/>
      </c>
      <c r="AG177" s="19">
        <f>ISERROR($B$177)*1+ISERROR($C$177)*1+ISERROR($D$177)*1+ISERROR($E$177)*1+ISERROR($F$177)*1+ISERROR($G$177)*1+ISERROR($H$177)*1</f>
        <v/>
      </c>
    </row>
    <row r="178" ht="26" customHeight="1">
      <c r="B178" s="31" t="n"/>
      <c r="C178" s="28" t="n"/>
      <c r="D178" s="28" t="n"/>
      <c r="E178" s="28" t="n"/>
      <c r="F178" s="28" t="n"/>
      <c r="G178" s="28" t="n"/>
      <c r="H178" s="28" t="n"/>
      <c r="K178" s="18">
        <f>IF(AG178&gt;0,"O Google leu como fórmula: digite de novo com ' na frente.","")</f>
        <v/>
      </c>
      <c r="N178" s="19">
        <f>N177+IF(LEN($X$178)&gt;0,1,0)</f>
        <v/>
      </c>
      <c r="O178" s="19">
        <f>O177+IF(LEN($Y$178)&gt;0,1,0)</f>
        <v/>
      </c>
      <c r="P178" s="19">
        <f>P177+IF(LEN($Z$178)&gt;0,1,0)</f>
        <v/>
      </c>
      <c r="Q178" s="19">
        <f>Q177+IF(LEN($AA$178)&gt;0,1,0)</f>
        <v/>
      </c>
      <c r="R178" s="19">
        <f>R177+IF(LEN($AB$178)&gt;0,1,0)</f>
        <v/>
      </c>
      <c r="S178" s="19">
        <f>S177+IF(LEN($AC$178)&gt;0,1,0)</f>
        <v/>
      </c>
      <c r="T178" s="19">
        <f>T177+IF(LEN($AD$178)&gt;0,1,0)</f>
        <v/>
      </c>
      <c r="X178" s="19">
        <f>IF(ISERROR($B$178),"",IF(ISBLANK($B$178),"",$B$178))</f>
        <v/>
      </c>
      <c r="Y178" s="19">
        <f>IF(ISERROR($C$178),"",IF(ISBLANK($C$178),"",$C$178))</f>
        <v/>
      </c>
      <c r="Z178" s="19">
        <f>IF(ISERROR($D$178),"",IF(ISBLANK($D$178),"",$D$178))</f>
        <v/>
      </c>
      <c r="AA178" s="19">
        <f>IF(ISERROR($E$178),"",IF(ISBLANK($E$178),"",$E$178))</f>
        <v/>
      </c>
      <c r="AB178" s="19">
        <f>IF(ISERROR($F$178),"",IF(ISBLANK($F$178),"",$F$178))</f>
        <v/>
      </c>
      <c r="AC178" s="19">
        <f>IF(ISERROR($G$178),"",IF(ISBLANK($G$178),"",$G$178))</f>
        <v/>
      </c>
      <c r="AD178" s="19">
        <f>IF(ISERROR($H$178),"",IF(ISBLANK($H$178),"",$H$178))</f>
        <v/>
      </c>
      <c r="AG178" s="19">
        <f>ISERROR($B$178)*1+ISERROR($C$178)*1+ISERROR($D$178)*1+ISERROR($E$178)*1+ISERROR($F$178)*1+ISERROR($G$178)*1+ISERROR($H$178)*1</f>
        <v/>
      </c>
    </row>
    <row r="179" ht="26" customHeight="1">
      <c r="B179" s="30" t="n"/>
      <c r="C179" s="3" t="n"/>
      <c r="D179" s="3" t="n"/>
      <c r="E179" s="3" t="n"/>
      <c r="F179" s="3" t="n"/>
      <c r="G179" s="3" t="n"/>
      <c r="H179" s="3" t="n"/>
      <c r="K179" s="18">
        <f>IF(AG179&gt;0,"O Google leu como fórmula: digite de novo com ' na frente.","")</f>
        <v/>
      </c>
      <c r="N179" s="19">
        <f>N178+IF(LEN($X$179)&gt;0,1,0)</f>
        <v/>
      </c>
      <c r="O179" s="19">
        <f>O178+IF(LEN($Y$179)&gt;0,1,0)</f>
        <v/>
      </c>
      <c r="P179" s="19">
        <f>P178+IF(LEN($Z$179)&gt;0,1,0)</f>
        <v/>
      </c>
      <c r="Q179" s="19">
        <f>Q178+IF(LEN($AA$179)&gt;0,1,0)</f>
        <v/>
      </c>
      <c r="R179" s="19">
        <f>R178+IF(LEN($AB$179)&gt;0,1,0)</f>
        <v/>
      </c>
      <c r="S179" s="19">
        <f>S178+IF(LEN($AC$179)&gt;0,1,0)</f>
        <v/>
      </c>
      <c r="T179" s="19">
        <f>T178+IF(LEN($AD$179)&gt;0,1,0)</f>
        <v/>
      </c>
      <c r="X179" s="19">
        <f>IF(ISERROR($B$179),"",IF(ISBLANK($B$179),"",$B$179))</f>
        <v/>
      </c>
      <c r="Y179" s="19">
        <f>IF(ISERROR($C$179),"",IF(ISBLANK($C$179),"",$C$179))</f>
        <v/>
      </c>
      <c r="Z179" s="19">
        <f>IF(ISERROR($D$179),"",IF(ISBLANK($D$179),"",$D$179))</f>
        <v/>
      </c>
      <c r="AA179" s="19">
        <f>IF(ISERROR($E$179),"",IF(ISBLANK($E$179),"",$E$179))</f>
        <v/>
      </c>
      <c r="AB179" s="19">
        <f>IF(ISERROR($F$179),"",IF(ISBLANK($F$179),"",$F$179))</f>
        <v/>
      </c>
      <c r="AC179" s="19">
        <f>IF(ISERROR($G$179),"",IF(ISBLANK($G$179),"",$G$179))</f>
        <v/>
      </c>
      <c r="AD179" s="19">
        <f>IF(ISERROR($H$179),"",IF(ISBLANK($H$179),"",$H$179))</f>
        <v/>
      </c>
      <c r="AG179" s="19">
        <f>ISERROR($B$179)*1+ISERROR($C$179)*1+ISERROR($D$179)*1+ISERROR($E$179)*1+ISERROR($F$179)*1+ISERROR($G$179)*1+ISERROR($H$179)*1</f>
        <v/>
      </c>
    </row>
    <row r="180" ht="26" customHeight="1">
      <c r="B180" s="31" t="n"/>
      <c r="C180" s="28" t="n"/>
      <c r="D180" s="28" t="n"/>
      <c r="E180" s="28" t="n"/>
      <c r="F180" s="28" t="n"/>
      <c r="G180" s="28" t="n"/>
      <c r="H180" s="28" t="n"/>
      <c r="K180" s="18">
        <f>IF(AG180&gt;0,"O Google leu como fórmula: digite de novo com ' na frente.","")</f>
        <v/>
      </c>
      <c r="N180" s="19">
        <f>N179+IF(LEN($X$180)&gt;0,1,0)</f>
        <v/>
      </c>
      <c r="O180" s="19">
        <f>O179+IF(LEN($Y$180)&gt;0,1,0)</f>
        <v/>
      </c>
      <c r="P180" s="19">
        <f>P179+IF(LEN($Z$180)&gt;0,1,0)</f>
        <v/>
      </c>
      <c r="Q180" s="19">
        <f>Q179+IF(LEN($AA$180)&gt;0,1,0)</f>
        <v/>
      </c>
      <c r="R180" s="19">
        <f>R179+IF(LEN($AB$180)&gt;0,1,0)</f>
        <v/>
      </c>
      <c r="S180" s="19">
        <f>S179+IF(LEN($AC$180)&gt;0,1,0)</f>
        <v/>
      </c>
      <c r="T180" s="19">
        <f>T179+IF(LEN($AD$180)&gt;0,1,0)</f>
        <v/>
      </c>
      <c r="X180" s="19">
        <f>IF(ISERROR($B$180),"",IF(ISBLANK($B$180),"",$B$180))</f>
        <v/>
      </c>
      <c r="Y180" s="19">
        <f>IF(ISERROR($C$180),"",IF(ISBLANK($C$180),"",$C$180))</f>
        <v/>
      </c>
      <c r="Z180" s="19">
        <f>IF(ISERROR($D$180),"",IF(ISBLANK($D$180),"",$D$180))</f>
        <v/>
      </c>
      <c r="AA180" s="19">
        <f>IF(ISERROR($E$180),"",IF(ISBLANK($E$180),"",$E$180))</f>
        <v/>
      </c>
      <c r="AB180" s="19">
        <f>IF(ISERROR($F$180),"",IF(ISBLANK($F$180),"",$F$180))</f>
        <v/>
      </c>
      <c r="AC180" s="19">
        <f>IF(ISERROR($G$180),"",IF(ISBLANK($G$180),"",$G$180))</f>
        <v/>
      </c>
      <c r="AD180" s="19">
        <f>IF(ISERROR($H$180),"",IF(ISBLANK($H$180),"",$H$180))</f>
        <v/>
      </c>
      <c r="AG180" s="19">
        <f>ISERROR($B$180)*1+ISERROR($C$180)*1+ISERROR($D$180)*1+ISERROR($E$180)*1+ISERROR($F$180)*1+ISERROR($G$180)*1+ISERROR($H$180)*1</f>
        <v/>
      </c>
    </row>
    <row r="181" ht="26" customHeight="1">
      <c r="B181" s="30" t="n"/>
      <c r="C181" s="3" t="n"/>
      <c r="D181" s="3" t="n"/>
      <c r="E181" s="3" t="n"/>
      <c r="F181" s="3" t="n"/>
      <c r="G181" s="3" t="n"/>
      <c r="H181" s="3" t="n"/>
      <c r="K181" s="18">
        <f>IF(AG181&gt;0,"O Google leu como fórmula: digite de novo com ' na frente.","")</f>
        <v/>
      </c>
      <c r="N181" s="19">
        <f>N180+IF(LEN($X$181)&gt;0,1,0)</f>
        <v/>
      </c>
      <c r="O181" s="19">
        <f>O180+IF(LEN($Y$181)&gt;0,1,0)</f>
        <v/>
      </c>
      <c r="P181" s="19">
        <f>P180+IF(LEN($Z$181)&gt;0,1,0)</f>
        <v/>
      </c>
      <c r="Q181" s="19">
        <f>Q180+IF(LEN($AA$181)&gt;0,1,0)</f>
        <v/>
      </c>
      <c r="R181" s="19">
        <f>R180+IF(LEN($AB$181)&gt;0,1,0)</f>
        <v/>
      </c>
      <c r="S181" s="19">
        <f>S180+IF(LEN($AC$181)&gt;0,1,0)</f>
        <v/>
      </c>
      <c r="T181" s="19">
        <f>T180+IF(LEN($AD$181)&gt;0,1,0)</f>
        <v/>
      </c>
      <c r="X181" s="19">
        <f>IF(ISERROR($B$181),"",IF(ISBLANK($B$181),"",$B$181))</f>
        <v/>
      </c>
      <c r="Y181" s="19">
        <f>IF(ISERROR($C$181),"",IF(ISBLANK($C$181),"",$C$181))</f>
        <v/>
      </c>
      <c r="Z181" s="19">
        <f>IF(ISERROR($D$181),"",IF(ISBLANK($D$181),"",$D$181))</f>
        <v/>
      </c>
      <c r="AA181" s="19">
        <f>IF(ISERROR($E$181),"",IF(ISBLANK($E$181),"",$E$181))</f>
        <v/>
      </c>
      <c r="AB181" s="19">
        <f>IF(ISERROR($F$181),"",IF(ISBLANK($F$181),"",$F$181))</f>
        <v/>
      </c>
      <c r="AC181" s="19">
        <f>IF(ISERROR($G$181),"",IF(ISBLANK($G$181),"",$G$181))</f>
        <v/>
      </c>
      <c r="AD181" s="19">
        <f>IF(ISERROR($H$181),"",IF(ISBLANK($H$181),"",$H$181))</f>
        <v/>
      </c>
      <c r="AG181" s="19">
        <f>ISERROR($B$181)*1+ISERROR($C$181)*1+ISERROR($D$181)*1+ISERROR($E$181)*1+ISERROR($F$181)*1+ISERROR($G$181)*1+ISERROR($H$181)*1</f>
        <v/>
      </c>
    </row>
    <row r="182" ht="15" customHeight="1">
      <c r="B182" s="7" t="inlineStr">
        <is>
          <t>Nome — Humano</t>
        </is>
      </c>
      <c r="C182" s="7" t="inlineStr">
        <is>
          <t>Nome — Xianzhouíta</t>
        </is>
      </c>
      <c r="D182" s="7" t="inlineStr">
        <is>
          <t>Nome — Vidyadhara</t>
        </is>
      </c>
      <c r="E182" s="7" t="inlineStr">
        <is>
          <t>Nome — Vulpes</t>
        </is>
      </c>
      <c r="F182" s="7" t="inlineStr">
        <is>
          <t>Nome — Haloviano</t>
        </is>
      </c>
      <c r="G182" s="7" t="inlineStr">
        <is>
          <t>Nome — Avginiano</t>
        </is>
      </c>
      <c r="H182" s="7" t="inlineStr">
        <is>
          <t>Nome — Intellitron</t>
        </is>
      </c>
      <c r="N182" s="19">
        <f>N181</f>
        <v/>
      </c>
      <c r="O182" s="19">
        <f>O181</f>
        <v/>
      </c>
      <c r="P182" s="19">
        <f>P181</f>
        <v/>
      </c>
      <c r="Q182" s="19">
        <f>Q181</f>
        <v/>
      </c>
      <c r="R182" s="19">
        <f>R181</f>
        <v/>
      </c>
      <c r="S182" s="19">
        <f>S181</f>
        <v/>
      </c>
      <c r="T182" s="19">
        <f>T181</f>
        <v/>
      </c>
      <c r="X182" s="19">
        <f>IF(ISERROR($B$182),"",IF(ISBLANK($B$182),"",$B$182))</f>
        <v/>
      </c>
      <c r="Y182" s="19">
        <f>IF(ISERROR($C$182),"",IF(ISBLANK($C$182),"",$C$182))</f>
        <v/>
      </c>
      <c r="Z182" s="19">
        <f>IF(ISERROR($D$182),"",IF(ISBLANK($D$182),"",$D$182))</f>
        <v/>
      </c>
      <c r="AA182" s="19">
        <f>IF(ISERROR($E$182),"",IF(ISBLANK($E$182),"",$E$182))</f>
        <v/>
      </c>
      <c r="AB182" s="19">
        <f>IF(ISERROR($F$182),"",IF(ISBLANK($F$182),"",$F$182))</f>
        <v/>
      </c>
      <c r="AC182" s="19">
        <f>IF(ISERROR($G$182),"",IF(ISBLANK($G$182),"",$G$182))</f>
        <v/>
      </c>
      <c r="AD182" s="19">
        <f>IF(ISERROR($H$182),"",IF(ISBLANK($H$182),"",$H$182))</f>
        <v/>
      </c>
    </row>
    <row r="183" ht="26" customHeight="1">
      <c r="B183" s="30" t="n"/>
      <c r="C183" s="3" t="n"/>
      <c r="D183" s="3" t="n"/>
      <c r="E183" s="3" t="n"/>
      <c r="F183" s="3" t="n"/>
      <c r="G183" s="3" t="n"/>
      <c r="H183" s="3" t="n"/>
      <c r="K183" s="18">
        <f>IF(AG183&gt;0,"O Google leu como fórmula: digite de novo com ' na frente.","")</f>
        <v/>
      </c>
      <c r="N183" s="19">
        <f>N182+IF(LEN($X$183)&gt;0,1,0)</f>
        <v/>
      </c>
      <c r="O183" s="19">
        <f>O182+IF(LEN($Y$183)&gt;0,1,0)</f>
        <v/>
      </c>
      <c r="P183" s="19">
        <f>P182+IF(LEN($Z$183)&gt;0,1,0)</f>
        <v/>
      </c>
      <c r="Q183" s="19">
        <f>Q182+IF(LEN($AA$183)&gt;0,1,0)</f>
        <v/>
      </c>
      <c r="R183" s="19">
        <f>R182+IF(LEN($AB$183)&gt;0,1,0)</f>
        <v/>
      </c>
      <c r="S183" s="19">
        <f>S182+IF(LEN($AC$183)&gt;0,1,0)</f>
        <v/>
      </c>
      <c r="T183" s="19">
        <f>T182+IF(LEN($AD$183)&gt;0,1,0)</f>
        <v/>
      </c>
      <c r="X183" s="19">
        <f>IF(ISERROR($B$183),"",IF(ISBLANK($B$183),"",$B$183))</f>
        <v/>
      </c>
      <c r="Y183" s="19">
        <f>IF(ISERROR($C$183),"",IF(ISBLANK($C$183),"",$C$183))</f>
        <v/>
      </c>
      <c r="Z183" s="19">
        <f>IF(ISERROR($D$183),"",IF(ISBLANK($D$183),"",$D$183))</f>
        <v/>
      </c>
      <c r="AA183" s="19">
        <f>IF(ISERROR($E$183),"",IF(ISBLANK($E$183),"",$E$183))</f>
        <v/>
      </c>
      <c r="AB183" s="19">
        <f>IF(ISERROR($F$183),"",IF(ISBLANK($F$183),"",$F$183))</f>
        <v/>
      </c>
      <c r="AC183" s="19">
        <f>IF(ISERROR($G$183),"",IF(ISBLANK($G$183),"",$G$183))</f>
        <v/>
      </c>
      <c r="AD183" s="19">
        <f>IF(ISERROR($H$183),"",IF(ISBLANK($H$183),"",$H$183))</f>
        <v/>
      </c>
      <c r="AG183" s="19">
        <f>ISERROR($B$183)*1+ISERROR($C$183)*1+ISERROR($D$183)*1+ISERROR($E$183)*1+ISERROR($F$183)*1+ISERROR($G$183)*1+ISERROR($H$183)*1</f>
        <v/>
      </c>
    </row>
    <row r="184" ht="26" customHeight="1">
      <c r="B184" s="31" t="n"/>
      <c r="C184" s="28" t="n"/>
      <c r="D184" s="28" t="n"/>
      <c r="E184" s="28" t="n"/>
      <c r="F184" s="28" t="n"/>
      <c r="G184" s="28" t="n"/>
      <c r="H184" s="28" t="n"/>
      <c r="K184" s="18">
        <f>IF(AG184&gt;0,"O Google leu como fórmula: digite de novo com ' na frente.","")</f>
        <v/>
      </c>
      <c r="N184" s="19">
        <f>N183+IF(LEN($X$184)&gt;0,1,0)</f>
        <v/>
      </c>
      <c r="O184" s="19">
        <f>O183+IF(LEN($Y$184)&gt;0,1,0)</f>
        <v/>
      </c>
      <c r="P184" s="19">
        <f>P183+IF(LEN($Z$184)&gt;0,1,0)</f>
        <v/>
      </c>
      <c r="Q184" s="19">
        <f>Q183+IF(LEN($AA$184)&gt;0,1,0)</f>
        <v/>
      </c>
      <c r="R184" s="19">
        <f>R183+IF(LEN($AB$184)&gt;0,1,0)</f>
        <v/>
      </c>
      <c r="S184" s="19">
        <f>S183+IF(LEN($AC$184)&gt;0,1,0)</f>
        <v/>
      </c>
      <c r="T184" s="19">
        <f>T183+IF(LEN($AD$184)&gt;0,1,0)</f>
        <v/>
      </c>
      <c r="X184" s="19">
        <f>IF(ISERROR($B$184),"",IF(ISBLANK($B$184),"",$B$184))</f>
        <v/>
      </c>
      <c r="Y184" s="19">
        <f>IF(ISERROR($C$184),"",IF(ISBLANK($C$184),"",$C$184))</f>
        <v/>
      </c>
      <c r="Z184" s="19">
        <f>IF(ISERROR($D$184),"",IF(ISBLANK($D$184),"",$D$184))</f>
        <v/>
      </c>
      <c r="AA184" s="19">
        <f>IF(ISERROR($E$184),"",IF(ISBLANK($E$184),"",$E$184))</f>
        <v/>
      </c>
      <c r="AB184" s="19">
        <f>IF(ISERROR($F$184),"",IF(ISBLANK($F$184),"",$F$184))</f>
        <v/>
      </c>
      <c r="AC184" s="19">
        <f>IF(ISERROR($G$184),"",IF(ISBLANK($G$184),"",$G$184))</f>
        <v/>
      </c>
      <c r="AD184" s="19">
        <f>IF(ISERROR($H$184),"",IF(ISBLANK($H$184),"",$H$184))</f>
        <v/>
      </c>
      <c r="AG184" s="19">
        <f>ISERROR($B$184)*1+ISERROR($C$184)*1+ISERROR($D$184)*1+ISERROR($E$184)*1+ISERROR($F$184)*1+ISERROR($G$184)*1+ISERROR($H$184)*1</f>
        <v/>
      </c>
    </row>
    <row r="185" ht="26" customHeight="1">
      <c r="B185" s="30" t="n"/>
      <c r="C185" s="3" t="n"/>
      <c r="D185" s="3" t="n"/>
      <c r="E185" s="3" t="n"/>
      <c r="F185" s="3" t="n"/>
      <c r="G185" s="3" t="n"/>
      <c r="H185" s="3" t="n"/>
      <c r="K185" s="18">
        <f>IF(AG185&gt;0,"O Google leu como fórmula: digite de novo com ' na frente.","")</f>
        <v/>
      </c>
      <c r="N185" s="19">
        <f>N184+IF(LEN($X$185)&gt;0,1,0)</f>
        <v/>
      </c>
      <c r="O185" s="19">
        <f>O184+IF(LEN($Y$185)&gt;0,1,0)</f>
        <v/>
      </c>
      <c r="P185" s="19">
        <f>P184+IF(LEN($Z$185)&gt;0,1,0)</f>
        <v/>
      </c>
      <c r="Q185" s="19">
        <f>Q184+IF(LEN($AA$185)&gt;0,1,0)</f>
        <v/>
      </c>
      <c r="R185" s="19">
        <f>R184+IF(LEN($AB$185)&gt;0,1,0)</f>
        <v/>
      </c>
      <c r="S185" s="19">
        <f>S184+IF(LEN($AC$185)&gt;0,1,0)</f>
        <v/>
      </c>
      <c r="T185" s="19">
        <f>T184+IF(LEN($AD$185)&gt;0,1,0)</f>
        <v/>
      </c>
      <c r="X185" s="19">
        <f>IF(ISERROR($B$185),"",IF(ISBLANK($B$185),"",$B$185))</f>
        <v/>
      </c>
      <c r="Y185" s="19">
        <f>IF(ISERROR($C$185),"",IF(ISBLANK($C$185),"",$C$185))</f>
        <v/>
      </c>
      <c r="Z185" s="19">
        <f>IF(ISERROR($D$185),"",IF(ISBLANK($D$185),"",$D$185))</f>
        <v/>
      </c>
      <c r="AA185" s="19">
        <f>IF(ISERROR($E$185),"",IF(ISBLANK($E$185),"",$E$185))</f>
        <v/>
      </c>
      <c r="AB185" s="19">
        <f>IF(ISERROR($F$185),"",IF(ISBLANK($F$185),"",$F$185))</f>
        <v/>
      </c>
      <c r="AC185" s="19">
        <f>IF(ISERROR($G$185),"",IF(ISBLANK($G$185),"",$G$185))</f>
        <v/>
      </c>
      <c r="AD185" s="19">
        <f>IF(ISERROR($H$185),"",IF(ISBLANK($H$185),"",$H$185))</f>
        <v/>
      </c>
      <c r="AG185" s="19">
        <f>ISERROR($B$185)*1+ISERROR($C$185)*1+ISERROR($D$185)*1+ISERROR($E$185)*1+ISERROR($F$185)*1+ISERROR($G$185)*1+ISERROR($H$185)*1</f>
        <v/>
      </c>
    </row>
    <row r="186" ht="26" customHeight="1">
      <c r="B186" s="31" t="n"/>
      <c r="C186" s="28" t="n"/>
      <c r="D186" s="28" t="n"/>
      <c r="E186" s="28" t="n"/>
      <c r="F186" s="28" t="n"/>
      <c r="G186" s="28" t="n"/>
      <c r="H186" s="28" t="n"/>
      <c r="K186" s="18">
        <f>IF(AG186&gt;0,"O Google leu como fórmula: digite de novo com ' na frente.","")</f>
        <v/>
      </c>
      <c r="N186" s="19">
        <f>N185+IF(LEN($X$186)&gt;0,1,0)</f>
        <v/>
      </c>
      <c r="O186" s="19">
        <f>O185+IF(LEN($Y$186)&gt;0,1,0)</f>
        <v/>
      </c>
      <c r="P186" s="19">
        <f>P185+IF(LEN($Z$186)&gt;0,1,0)</f>
        <v/>
      </c>
      <c r="Q186" s="19">
        <f>Q185+IF(LEN($AA$186)&gt;0,1,0)</f>
        <v/>
      </c>
      <c r="R186" s="19">
        <f>R185+IF(LEN($AB$186)&gt;0,1,0)</f>
        <v/>
      </c>
      <c r="S186" s="19">
        <f>S185+IF(LEN($AC$186)&gt;0,1,0)</f>
        <v/>
      </c>
      <c r="T186" s="19">
        <f>T185+IF(LEN($AD$186)&gt;0,1,0)</f>
        <v/>
      </c>
      <c r="X186" s="19">
        <f>IF(ISERROR($B$186),"",IF(ISBLANK($B$186),"",$B$186))</f>
        <v/>
      </c>
      <c r="Y186" s="19">
        <f>IF(ISERROR($C$186),"",IF(ISBLANK($C$186),"",$C$186))</f>
        <v/>
      </c>
      <c r="Z186" s="19">
        <f>IF(ISERROR($D$186),"",IF(ISBLANK($D$186),"",$D$186))</f>
        <v/>
      </c>
      <c r="AA186" s="19">
        <f>IF(ISERROR($E$186),"",IF(ISBLANK($E$186),"",$E$186))</f>
        <v/>
      </c>
      <c r="AB186" s="19">
        <f>IF(ISERROR($F$186),"",IF(ISBLANK($F$186),"",$F$186))</f>
        <v/>
      </c>
      <c r="AC186" s="19">
        <f>IF(ISERROR($G$186),"",IF(ISBLANK($G$186),"",$G$186))</f>
        <v/>
      </c>
      <c r="AD186" s="19">
        <f>IF(ISERROR($H$186),"",IF(ISBLANK($H$186),"",$H$186))</f>
        <v/>
      </c>
      <c r="AG186" s="19">
        <f>ISERROR($B$186)*1+ISERROR($C$186)*1+ISERROR($D$186)*1+ISERROR($E$186)*1+ISERROR($F$186)*1+ISERROR($G$186)*1+ISERROR($H$186)*1</f>
        <v/>
      </c>
    </row>
    <row r="187" ht="26" customHeight="1">
      <c r="B187" s="30" t="n"/>
      <c r="C187" s="3" t="n"/>
      <c r="D187" s="3" t="n"/>
      <c r="E187" s="3" t="n"/>
      <c r="F187" s="3" t="n"/>
      <c r="G187" s="3" t="n"/>
      <c r="H187" s="3" t="n"/>
      <c r="K187" s="18">
        <f>IF(AG187&gt;0,"O Google leu como fórmula: digite de novo com ' na frente.","")</f>
        <v/>
      </c>
      <c r="N187" s="19">
        <f>N186+IF(LEN($X$187)&gt;0,1,0)</f>
        <v/>
      </c>
      <c r="O187" s="19">
        <f>O186+IF(LEN($Y$187)&gt;0,1,0)</f>
        <v/>
      </c>
      <c r="P187" s="19">
        <f>P186+IF(LEN($Z$187)&gt;0,1,0)</f>
        <v/>
      </c>
      <c r="Q187" s="19">
        <f>Q186+IF(LEN($AA$187)&gt;0,1,0)</f>
        <v/>
      </c>
      <c r="R187" s="19">
        <f>R186+IF(LEN($AB$187)&gt;0,1,0)</f>
        <v/>
      </c>
      <c r="S187" s="19">
        <f>S186+IF(LEN($AC$187)&gt;0,1,0)</f>
        <v/>
      </c>
      <c r="T187" s="19">
        <f>T186+IF(LEN($AD$187)&gt;0,1,0)</f>
        <v/>
      </c>
      <c r="X187" s="19">
        <f>IF(ISERROR($B$187),"",IF(ISBLANK($B$187),"",$B$187))</f>
        <v/>
      </c>
      <c r="Y187" s="19">
        <f>IF(ISERROR($C$187),"",IF(ISBLANK($C$187),"",$C$187))</f>
        <v/>
      </c>
      <c r="Z187" s="19">
        <f>IF(ISERROR($D$187),"",IF(ISBLANK($D$187),"",$D$187))</f>
        <v/>
      </c>
      <c r="AA187" s="19">
        <f>IF(ISERROR($E$187),"",IF(ISBLANK($E$187),"",$E$187))</f>
        <v/>
      </c>
      <c r="AB187" s="19">
        <f>IF(ISERROR($F$187),"",IF(ISBLANK($F$187),"",$F$187))</f>
        <v/>
      </c>
      <c r="AC187" s="19">
        <f>IF(ISERROR($G$187),"",IF(ISBLANK($G$187),"",$G$187))</f>
        <v/>
      </c>
      <c r="AD187" s="19">
        <f>IF(ISERROR($H$187),"",IF(ISBLANK($H$187),"",$H$187))</f>
        <v/>
      </c>
      <c r="AG187" s="19">
        <f>ISERROR($B$187)*1+ISERROR($C$187)*1+ISERROR($D$187)*1+ISERROR($E$187)*1+ISERROR($F$187)*1+ISERROR($G$187)*1+ISERROR($H$187)*1</f>
        <v/>
      </c>
    </row>
    <row r="188" ht="26" customHeight="1">
      <c r="B188" s="31" t="n"/>
      <c r="C188" s="28" t="n"/>
      <c r="D188" s="28" t="n"/>
      <c r="E188" s="28" t="n"/>
      <c r="F188" s="28" t="n"/>
      <c r="G188" s="28" t="n"/>
      <c r="H188" s="28" t="n"/>
      <c r="K188" s="18">
        <f>IF(AG188&gt;0,"O Google leu como fórmula: digite de novo com ' na frente.","")</f>
        <v/>
      </c>
      <c r="N188" s="19">
        <f>N187+IF(LEN($X$188)&gt;0,1,0)</f>
        <v/>
      </c>
      <c r="O188" s="19">
        <f>O187+IF(LEN($Y$188)&gt;0,1,0)</f>
        <v/>
      </c>
      <c r="P188" s="19">
        <f>P187+IF(LEN($Z$188)&gt;0,1,0)</f>
        <v/>
      </c>
      <c r="Q188" s="19">
        <f>Q187+IF(LEN($AA$188)&gt;0,1,0)</f>
        <v/>
      </c>
      <c r="R188" s="19">
        <f>R187+IF(LEN($AB$188)&gt;0,1,0)</f>
        <v/>
      </c>
      <c r="S188" s="19">
        <f>S187+IF(LEN($AC$188)&gt;0,1,0)</f>
        <v/>
      </c>
      <c r="T188" s="19">
        <f>T187+IF(LEN($AD$188)&gt;0,1,0)</f>
        <v/>
      </c>
      <c r="X188" s="19">
        <f>IF(ISERROR($B$188),"",IF(ISBLANK($B$188),"",$B$188))</f>
        <v/>
      </c>
      <c r="Y188" s="19">
        <f>IF(ISERROR($C$188),"",IF(ISBLANK($C$188),"",$C$188))</f>
        <v/>
      </c>
      <c r="Z188" s="19">
        <f>IF(ISERROR($D$188),"",IF(ISBLANK($D$188),"",$D$188))</f>
        <v/>
      </c>
      <c r="AA188" s="19">
        <f>IF(ISERROR($E$188),"",IF(ISBLANK($E$188),"",$E$188))</f>
        <v/>
      </c>
      <c r="AB188" s="19">
        <f>IF(ISERROR($F$188),"",IF(ISBLANK($F$188),"",$F$188))</f>
        <v/>
      </c>
      <c r="AC188" s="19">
        <f>IF(ISERROR($G$188),"",IF(ISBLANK($G$188),"",$G$188))</f>
        <v/>
      </c>
      <c r="AD188" s="19">
        <f>IF(ISERROR($H$188),"",IF(ISBLANK($H$188),"",$H$188))</f>
        <v/>
      </c>
      <c r="AG188" s="19">
        <f>ISERROR($B$188)*1+ISERROR($C$188)*1+ISERROR($D$188)*1+ISERROR($E$188)*1+ISERROR($F$188)*1+ISERROR($G$188)*1+ISERROR($H$188)*1</f>
        <v/>
      </c>
    </row>
    <row r="189" ht="26" customHeight="1">
      <c r="B189" s="30" t="n"/>
      <c r="C189" s="3" t="n"/>
      <c r="D189" s="3" t="n"/>
      <c r="E189" s="3" t="n"/>
      <c r="F189" s="3" t="n"/>
      <c r="G189" s="3" t="n"/>
      <c r="H189" s="3" t="n"/>
      <c r="K189" s="18">
        <f>IF(AG189&gt;0,"O Google leu como fórmula: digite de novo com ' na frente.","")</f>
        <v/>
      </c>
      <c r="N189" s="19">
        <f>N188+IF(LEN($X$189)&gt;0,1,0)</f>
        <v/>
      </c>
      <c r="O189" s="19">
        <f>O188+IF(LEN($Y$189)&gt;0,1,0)</f>
        <v/>
      </c>
      <c r="P189" s="19">
        <f>P188+IF(LEN($Z$189)&gt;0,1,0)</f>
        <v/>
      </c>
      <c r="Q189" s="19">
        <f>Q188+IF(LEN($AA$189)&gt;0,1,0)</f>
        <v/>
      </c>
      <c r="R189" s="19">
        <f>R188+IF(LEN($AB$189)&gt;0,1,0)</f>
        <v/>
      </c>
      <c r="S189" s="19">
        <f>S188+IF(LEN($AC$189)&gt;0,1,0)</f>
        <v/>
      </c>
      <c r="T189" s="19">
        <f>T188+IF(LEN($AD$189)&gt;0,1,0)</f>
        <v/>
      </c>
      <c r="X189" s="19">
        <f>IF(ISERROR($B$189),"",IF(ISBLANK($B$189),"",$B$189))</f>
        <v/>
      </c>
      <c r="Y189" s="19">
        <f>IF(ISERROR($C$189),"",IF(ISBLANK($C$189),"",$C$189))</f>
        <v/>
      </c>
      <c r="Z189" s="19">
        <f>IF(ISERROR($D$189),"",IF(ISBLANK($D$189),"",$D$189))</f>
        <v/>
      </c>
      <c r="AA189" s="19">
        <f>IF(ISERROR($E$189),"",IF(ISBLANK($E$189),"",$E$189))</f>
        <v/>
      </c>
      <c r="AB189" s="19">
        <f>IF(ISERROR($F$189),"",IF(ISBLANK($F$189),"",$F$189))</f>
        <v/>
      </c>
      <c r="AC189" s="19">
        <f>IF(ISERROR($G$189),"",IF(ISBLANK($G$189),"",$G$189))</f>
        <v/>
      </c>
      <c r="AD189" s="19">
        <f>IF(ISERROR($H$189),"",IF(ISBLANK($H$189),"",$H$189))</f>
        <v/>
      </c>
      <c r="AG189" s="19">
        <f>ISERROR($B$189)*1+ISERROR($C$189)*1+ISERROR($D$189)*1+ISERROR($E$189)*1+ISERROR($F$189)*1+ISERROR($G$189)*1+ISERROR($H$189)*1</f>
        <v/>
      </c>
    </row>
    <row r="190" ht="26" customHeight="1">
      <c r="B190" s="31" t="n"/>
      <c r="C190" s="28" t="n"/>
      <c r="D190" s="28" t="n"/>
      <c r="E190" s="28" t="n"/>
      <c r="F190" s="28" t="n"/>
      <c r="G190" s="28" t="n"/>
      <c r="H190" s="28" t="n"/>
      <c r="K190" s="18">
        <f>IF(AG190&gt;0,"O Google leu como fórmula: digite de novo com ' na frente.","")</f>
        <v/>
      </c>
      <c r="N190" s="19">
        <f>N189+IF(LEN($X$190)&gt;0,1,0)</f>
        <v/>
      </c>
      <c r="O190" s="19">
        <f>O189+IF(LEN($Y$190)&gt;0,1,0)</f>
        <v/>
      </c>
      <c r="P190" s="19">
        <f>P189+IF(LEN($Z$190)&gt;0,1,0)</f>
        <v/>
      </c>
      <c r="Q190" s="19">
        <f>Q189+IF(LEN($AA$190)&gt;0,1,0)</f>
        <v/>
      </c>
      <c r="R190" s="19">
        <f>R189+IF(LEN($AB$190)&gt;0,1,0)</f>
        <v/>
      </c>
      <c r="S190" s="19">
        <f>S189+IF(LEN($AC$190)&gt;0,1,0)</f>
        <v/>
      </c>
      <c r="T190" s="19">
        <f>T189+IF(LEN($AD$190)&gt;0,1,0)</f>
        <v/>
      </c>
      <c r="X190" s="19">
        <f>IF(ISERROR($B$190),"",IF(ISBLANK($B$190),"",$B$190))</f>
        <v/>
      </c>
      <c r="Y190" s="19">
        <f>IF(ISERROR($C$190),"",IF(ISBLANK($C$190),"",$C$190))</f>
        <v/>
      </c>
      <c r="Z190" s="19">
        <f>IF(ISERROR($D$190),"",IF(ISBLANK($D$190),"",$D$190))</f>
        <v/>
      </c>
      <c r="AA190" s="19">
        <f>IF(ISERROR($E$190),"",IF(ISBLANK($E$190),"",$E$190))</f>
        <v/>
      </c>
      <c r="AB190" s="19">
        <f>IF(ISERROR($F$190),"",IF(ISBLANK($F$190),"",$F$190))</f>
        <v/>
      </c>
      <c r="AC190" s="19">
        <f>IF(ISERROR($G$190),"",IF(ISBLANK($G$190),"",$G$190))</f>
        <v/>
      </c>
      <c r="AD190" s="19">
        <f>IF(ISERROR($H$190),"",IF(ISBLANK($H$190),"",$H$190))</f>
        <v/>
      </c>
      <c r="AG190" s="19">
        <f>ISERROR($B$190)*1+ISERROR($C$190)*1+ISERROR($D$190)*1+ISERROR($E$190)*1+ISERROR($F$190)*1+ISERROR($G$190)*1+ISERROR($H$190)*1</f>
        <v/>
      </c>
    </row>
    <row r="191" ht="26" customHeight="1">
      <c r="B191" s="30" t="n"/>
      <c r="C191" s="3" t="n"/>
      <c r="D191" s="3" t="n"/>
      <c r="E191" s="3" t="n"/>
      <c r="F191" s="3" t="n"/>
      <c r="G191" s="3" t="n"/>
      <c r="H191" s="3" t="n"/>
      <c r="K191" s="18">
        <f>IF(AG191&gt;0,"O Google leu como fórmula: digite de novo com ' na frente.","")</f>
        <v/>
      </c>
      <c r="N191" s="19">
        <f>N190+IF(LEN($X$191)&gt;0,1,0)</f>
        <v/>
      </c>
      <c r="O191" s="19">
        <f>O190+IF(LEN($Y$191)&gt;0,1,0)</f>
        <v/>
      </c>
      <c r="P191" s="19">
        <f>P190+IF(LEN($Z$191)&gt;0,1,0)</f>
        <v/>
      </c>
      <c r="Q191" s="19">
        <f>Q190+IF(LEN($AA$191)&gt;0,1,0)</f>
        <v/>
      </c>
      <c r="R191" s="19">
        <f>R190+IF(LEN($AB$191)&gt;0,1,0)</f>
        <v/>
      </c>
      <c r="S191" s="19">
        <f>S190+IF(LEN($AC$191)&gt;0,1,0)</f>
        <v/>
      </c>
      <c r="T191" s="19">
        <f>T190+IF(LEN($AD$191)&gt;0,1,0)</f>
        <v/>
      </c>
      <c r="X191" s="19">
        <f>IF(ISERROR($B$191),"",IF(ISBLANK($B$191),"",$B$191))</f>
        <v/>
      </c>
      <c r="Y191" s="19">
        <f>IF(ISERROR($C$191),"",IF(ISBLANK($C$191),"",$C$191))</f>
        <v/>
      </c>
      <c r="Z191" s="19">
        <f>IF(ISERROR($D$191),"",IF(ISBLANK($D$191),"",$D$191))</f>
        <v/>
      </c>
      <c r="AA191" s="19">
        <f>IF(ISERROR($E$191),"",IF(ISBLANK($E$191),"",$E$191))</f>
        <v/>
      </c>
      <c r="AB191" s="19">
        <f>IF(ISERROR($F$191),"",IF(ISBLANK($F$191),"",$F$191))</f>
        <v/>
      </c>
      <c r="AC191" s="19">
        <f>IF(ISERROR($G$191),"",IF(ISBLANK($G$191),"",$G$191))</f>
        <v/>
      </c>
      <c r="AD191" s="19">
        <f>IF(ISERROR($H$191),"",IF(ISBLANK($H$191),"",$H$191))</f>
        <v/>
      </c>
      <c r="AG191" s="19">
        <f>ISERROR($B$191)*1+ISERROR($C$191)*1+ISERROR($D$191)*1+ISERROR($E$191)*1+ISERROR($F$191)*1+ISERROR($G$191)*1+ISERROR($H$191)*1</f>
        <v/>
      </c>
    </row>
    <row r="192" ht="26" customHeight="1">
      <c r="B192" s="31" t="n"/>
      <c r="C192" s="28" t="n"/>
      <c r="D192" s="28" t="n"/>
      <c r="E192" s="28" t="n"/>
      <c r="F192" s="28" t="n"/>
      <c r="G192" s="28" t="n"/>
      <c r="H192" s="28" t="n"/>
      <c r="K192" s="18">
        <f>IF(AG192&gt;0,"O Google leu como fórmula: digite de novo com ' na frente.","")</f>
        <v/>
      </c>
      <c r="N192" s="19">
        <f>N191+IF(LEN($X$192)&gt;0,1,0)</f>
        <v/>
      </c>
      <c r="O192" s="19">
        <f>O191+IF(LEN($Y$192)&gt;0,1,0)</f>
        <v/>
      </c>
      <c r="P192" s="19">
        <f>P191+IF(LEN($Z$192)&gt;0,1,0)</f>
        <v/>
      </c>
      <c r="Q192" s="19">
        <f>Q191+IF(LEN($AA$192)&gt;0,1,0)</f>
        <v/>
      </c>
      <c r="R192" s="19">
        <f>R191+IF(LEN($AB$192)&gt;0,1,0)</f>
        <v/>
      </c>
      <c r="S192" s="19">
        <f>S191+IF(LEN($AC$192)&gt;0,1,0)</f>
        <v/>
      </c>
      <c r="T192" s="19">
        <f>T191+IF(LEN($AD$192)&gt;0,1,0)</f>
        <v/>
      </c>
      <c r="X192" s="19">
        <f>IF(ISERROR($B$192),"",IF(ISBLANK($B$192),"",$B$192))</f>
        <v/>
      </c>
      <c r="Y192" s="19">
        <f>IF(ISERROR($C$192),"",IF(ISBLANK($C$192),"",$C$192))</f>
        <v/>
      </c>
      <c r="Z192" s="19">
        <f>IF(ISERROR($D$192),"",IF(ISBLANK($D$192),"",$D$192))</f>
        <v/>
      </c>
      <c r="AA192" s="19">
        <f>IF(ISERROR($E$192),"",IF(ISBLANK($E$192),"",$E$192))</f>
        <v/>
      </c>
      <c r="AB192" s="19">
        <f>IF(ISERROR($F$192),"",IF(ISBLANK($F$192),"",$F$192))</f>
        <v/>
      </c>
      <c r="AC192" s="19">
        <f>IF(ISERROR($G$192),"",IF(ISBLANK($G$192),"",$G$192))</f>
        <v/>
      </c>
      <c r="AD192" s="19">
        <f>IF(ISERROR($H$192),"",IF(ISBLANK($H$192),"",$H$192))</f>
        <v/>
      </c>
      <c r="AG192" s="19">
        <f>ISERROR($B$192)*1+ISERROR($C$192)*1+ISERROR($D$192)*1+ISERROR($E$192)*1+ISERROR($F$192)*1+ISERROR($G$192)*1+ISERROR($H$192)*1</f>
        <v/>
      </c>
    </row>
    <row r="193" ht="26" customHeight="1">
      <c r="B193" s="30" t="n"/>
      <c r="C193" s="3" t="n"/>
      <c r="D193" s="3" t="n"/>
      <c r="E193" s="3" t="n"/>
      <c r="F193" s="3" t="n"/>
      <c r="G193" s="3" t="n"/>
      <c r="H193" s="3" t="n"/>
      <c r="K193" s="18">
        <f>IF(AG193&gt;0,"O Google leu como fórmula: digite de novo com ' na frente.","")</f>
        <v/>
      </c>
      <c r="N193" s="19">
        <f>N192+IF(LEN($X$193)&gt;0,1,0)</f>
        <v/>
      </c>
      <c r="O193" s="19">
        <f>O192+IF(LEN($Y$193)&gt;0,1,0)</f>
        <v/>
      </c>
      <c r="P193" s="19">
        <f>P192+IF(LEN($Z$193)&gt;0,1,0)</f>
        <v/>
      </c>
      <c r="Q193" s="19">
        <f>Q192+IF(LEN($AA$193)&gt;0,1,0)</f>
        <v/>
      </c>
      <c r="R193" s="19">
        <f>R192+IF(LEN($AB$193)&gt;0,1,0)</f>
        <v/>
      </c>
      <c r="S193" s="19">
        <f>S192+IF(LEN($AC$193)&gt;0,1,0)</f>
        <v/>
      </c>
      <c r="T193" s="19">
        <f>T192+IF(LEN($AD$193)&gt;0,1,0)</f>
        <v/>
      </c>
      <c r="X193" s="19">
        <f>IF(ISERROR($B$193),"",IF(ISBLANK($B$193),"",$B$193))</f>
        <v/>
      </c>
      <c r="Y193" s="19">
        <f>IF(ISERROR($C$193),"",IF(ISBLANK($C$193),"",$C$193))</f>
        <v/>
      </c>
      <c r="Z193" s="19">
        <f>IF(ISERROR($D$193),"",IF(ISBLANK($D$193),"",$D$193))</f>
        <v/>
      </c>
      <c r="AA193" s="19">
        <f>IF(ISERROR($E$193),"",IF(ISBLANK($E$193),"",$E$193))</f>
        <v/>
      </c>
      <c r="AB193" s="19">
        <f>IF(ISERROR($F$193),"",IF(ISBLANK($F$193),"",$F$193))</f>
        <v/>
      </c>
      <c r="AC193" s="19">
        <f>IF(ISERROR($G$193),"",IF(ISBLANK($G$193),"",$G$193))</f>
        <v/>
      </c>
      <c r="AD193" s="19">
        <f>IF(ISERROR($H$193),"",IF(ISBLANK($H$193),"",$H$193))</f>
        <v/>
      </c>
      <c r="AG193" s="19">
        <f>ISERROR($B$193)*1+ISERROR($C$193)*1+ISERROR($D$193)*1+ISERROR($E$193)*1+ISERROR($F$193)*1+ISERROR($G$193)*1+ISERROR($H$193)*1</f>
        <v/>
      </c>
    </row>
    <row r="194" ht="26" customHeight="1">
      <c r="B194" s="31" t="n"/>
      <c r="C194" s="28" t="n"/>
      <c r="D194" s="28" t="n"/>
      <c r="E194" s="28" t="n"/>
      <c r="F194" s="28" t="n"/>
      <c r="G194" s="28" t="n"/>
      <c r="H194" s="28" t="n"/>
      <c r="K194" s="18">
        <f>IF(AG194&gt;0,"O Google leu como fórmula: digite de novo com ' na frente.","")</f>
        <v/>
      </c>
      <c r="N194" s="19">
        <f>N193+IF(LEN($X$194)&gt;0,1,0)</f>
        <v/>
      </c>
      <c r="O194" s="19">
        <f>O193+IF(LEN($Y$194)&gt;0,1,0)</f>
        <v/>
      </c>
      <c r="P194" s="19">
        <f>P193+IF(LEN($Z$194)&gt;0,1,0)</f>
        <v/>
      </c>
      <c r="Q194" s="19">
        <f>Q193+IF(LEN($AA$194)&gt;0,1,0)</f>
        <v/>
      </c>
      <c r="R194" s="19">
        <f>R193+IF(LEN($AB$194)&gt;0,1,0)</f>
        <v/>
      </c>
      <c r="S194" s="19">
        <f>S193+IF(LEN($AC$194)&gt;0,1,0)</f>
        <v/>
      </c>
      <c r="T194" s="19">
        <f>T193+IF(LEN($AD$194)&gt;0,1,0)</f>
        <v/>
      </c>
      <c r="X194" s="19">
        <f>IF(ISERROR($B$194),"",IF(ISBLANK($B$194),"",$B$194))</f>
        <v/>
      </c>
      <c r="Y194" s="19">
        <f>IF(ISERROR($C$194),"",IF(ISBLANK($C$194),"",$C$194))</f>
        <v/>
      </c>
      <c r="Z194" s="19">
        <f>IF(ISERROR($D$194),"",IF(ISBLANK($D$194),"",$D$194))</f>
        <v/>
      </c>
      <c r="AA194" s="19">
        <f>IF(ISERROR($E$194),"",IF(ISBLANK($E$194),"",$E$194))</f>
        <v/>
      </c>
      <c r="AB194" s="19">
        <f>IF(ISERROR($F$194),"",IF(ISBLANK($F$194),"",$F$194))</f>
        <v/>
      </c>
      <c r="AC194" s="19">
        <f>IF(ISERROR($G$194),"",IF(ISBLANK($G$194),"",$G$194))</f>
        <v/>
      </c>
      <c r="AD194" s="19">
        <f>IF(ISERROR($H$194),"",IF(ISBLANK($H$194),"",$H$194))</f>
        <v/>
      </c>
      <c r="AG194" s="19">
        <f>ISERROR($B$194)*1+ISERROR($C$194)*1+ISERROR($D$194)*1+ISERROR($E$194)*1+ISERROR($F$194)*1+ISERROR($G$194)*1+ISERROR($H$194)*1</f>
        <v/>
      </c>
    </row>
    <row r="195" ht="26" customHeight="1">
      <c r="B195" s="30" t="n"/>
      <c r="C195" s="3" t="n"/>
      <c r="D195" s="3" t="n"/>
      <c r="E195" s="3" t="n"/>
      <c r="F195" s="3" t="n"/>
      <c r="G195" s="3" t="n"/>
      <c r="H195" s="3" t="n"/>
      <c r="K195" s="18">
        <f>IF(AG195&gt;0,"O Google leu como fórmula: digite de novo com ' na frente.","")</f>
        <v/>
      </c>
      <c r="N195" s="19">
        <f>N194+IF(LEN($X$195)&gt;0,1,0)</f>
        <v/>
      </c>
      <c r="O195" s="19">
        <f>O194+IF(LEN($Y$195)&gt;0,1,0)</f>
        <v/>
      </c>
      <c r="P195" s="19">
        <f>P194+IF(LEN($Z$195)&gt;0,1,0)</f>
        <v/>
      </c>
      <c r="Q195" s="19">
        <f>Q194+IF(LEN($AA$195)&gt;0,1,0)</f>
        <v/>
      </c>
      <c r="R195" s="19">
        <f>R194+IF(LEN($AB$195)&gt;0,1,0)</f>
        <v/>
      </c>
      <c r="S195" s="19">
        <f>S194+IF(LEN($AC$195)&gt;0,1,0)</f>
        <v/>
      </c>
      <c r="T195" s="19">
        <f>T194+IF(LEN($AD$195)&gt;0,1,0)</f>
        <v/>
      </c>
      <c r="X195" s="19">
        <f>IF(ISERROR($B$195),"",IF(ISBLANK($B$195),"",$B$195))</f>
        <v/>
      </c>
      <c r="Y195" s="19">
        <f>IF(ISERROR($C$195),"",IF(ISBLANK($C$195),"",$C$195))</f>
        <v/>
      </c>
      <c r="Z195" s="19">
        <f>IF(ISERROR($D$195),"",IF(ISBLANK($D$195),"",$D$195))</f>
        <v/>
      </c>
      <c r="AA195" s="19">
        <f>IF(ISERROR($E$195),"",IF(ISBLANK($E$195),"",$E$195))</f>
        <v/>
      </c>
      <c r="AB195" s="19">
        <f>IF(ISERROR($F$195),"",IF(ISBLANK($F$195),"",$F$195))</f>
        <v/>
      </c>
      <c r="AC195" s="19">
        <f>IF(ISERROR($G$195),"",IF(ISBLANK($G$195),"",$G$195))</f>
        <v/>
      </c>
      <c r="AD195" s="19">
        <f>IF(ISERROR($H$195),"",IF(ISBLANK($H$195),"",$H$195))</f>
        <v/>
      </c>
      <c r="AG195" s="19">
        <f>ISERROR($B$195)*1+ISERROR($C$195)*1+ISERROR($D$195)*1+ISERROR($E$195)*1+ISERROR($F$195)*1+ISERROR($G$195)*1+ISERROR($H$195)*1</f>
        <v/>
      </c>
    </row>
    <row r="196" ht="15" customHeight="1">
      <c r="B196" s="7" t="inlineStr">
        <is>
          <t>Nome — Humano</t>
        </is>
      </c>
      <c r="C196" s="7" t="inlineStr">
        <is>
          <t>Nome — Xianzhouíta</t>
        </is>
      </c>
      <c r="D196" s="7" t="inlineStr">
        <is>
          <t>Nome — Vidyadhara</t>
        </is>
      </c>
      <c r="E196" s="7" t="inlineStr">
        <is>
          <t>Nome — Vulpes</t>
        </is>
      </c>
      <c r="F196" s="7" t="inlineStr">
        <is>
          <t>Nome — Haloviano</t>
        </is>
      </c>
      <c r="G196" s="7" t="inlineStr">
        <is>
          <t>Nome — Avginiano</t>
        </is>
      </c>
      <c r="H196" s="7" t="inlineStr">
        <is>
          <t>Nome — Intellitron</t>
        </is>
      </c>
      <c r="N196" s="19">
        <f>N195</f>
        <v/>
      </c>
      <c r="O196" s="19">
        <f>O195</f>
        <v/>
      </c>
      <c r="P196" s="19">
        <f>P195</f>
        <v/>
      </c>
      <c r="Q196" s="19">
        <f>Q195</f>
        <v/>
      </c>
      <c r="R196" s="19">
        <f>R195</f>
        <v/>
      </c>
      <c r="S196" s="19">
        <f>S195</f>
        <v/>
      </c>
      <c r="T196" s="19">
        <f>T195</f>
        <v/>
      </c>
      <c r="X196" s="19">
        <f>IF(ISERROR($B$196),"",IF(ISBLANK($B$196),"",$B$196))</f>
        <v/>
      </c>
      <c r="Y196" s="19">
        <f>IF(ISERROR($C$196),"",IF(ISBLANK($C$196),"",$C$196))</f>
        <v/>
      </c>
      <c r="Z196" s="19">
        <f>IF(ISERROR($D$196),"",IF(ISBLANK($D$196),"",$D$196))</f>
        <v/>
      </c>
      <c r="AA196" s="19">
        <f>IF(ISERROR($E$196),"",IF(ISBLANK($E$196),"",$E$196))</f>
        <v/>
      </c>
      <c r="AB196" s="19">
        <f>IF(ISERROR($F$196),"",IF(ISBLANK($F$196),"",$F$196))</f>
        <v/>
      </c>
      <c r="AC196" s="19">
        <f>IF(ISERROR($G$196),"",IF(ISBLANK($G$196),"",$G$196))</f>
        <v/>
      </c>
      <c r="AD196" s="19">
        <f>IF(ISERROR($H$196),"",IF(ISBLANK($H$196),"",$H$196))</f>
        <v/>
      </c>
    </row>
    <row r="197" ht="26" customHeight="1">
      <c r="B197" s="30" t="n"/>
      <c r="C197" s="3" t="n"/>
      <c r="D197" s="3" t="n"/>
      <c r="E197" s="3" t="n"/>
      <c r="F197" s="3" t="n"/>
      <c r="G197" s="3" t="n"/>
      <c r="H197" s="3" t="n"/>
      <c r="K197" s="18">
        <f>IF(AG197&gt;0,"O Google leu como fórmula: digite de novo com ' na frente.","")</f>
        <v/>
      </c>
      <c r="N197" s="19">
        <f>N196+IF(LEN($X$197)&gt;0,1,0)</f>
        <v/>
      </c>
      <c r="O197" s="19">
        <f>O196+IF(LEN($Y$197)&gt;0,1,0)</f>
        <v/>
      </c>
      <c r="P197" s="19">
        <f>P196+IF(LEN($Z$197)&gt;0,1,0)</f>
        <v/>
      </c>
      <c r="Q197" s="19">
        <f>Q196+IF(LEN($AA$197)&gt;0,1,0)</f>
        <v/>
      </c>
      <c r="R197" s="19">
        <f>R196+IF(LEN($AB$197)&gt;0,1,0)</f>
        <v/>
      </c>
      <c r="S197" s="19">
        <f>S196+IF(LEN($AC$197)&gt;0,1,0)</f>
        <v/>
      </c>
      <c r="T197" s="19">
        <f>T196+IF(LEN($AD$197)&gt;0,1,0)</f>
        <v/>
      </c>
      <c r="X197" s="19">
        <f>IF(ISERROR($B$197),"",IF(ISBLANK($B$197),"",$B$197))</f>
        <v/>
      </c>
      <c r="Y197" s="19">
        <f>IF(ISERROR($C$197),"",IF(ISBLANK($C$197),"",$C$197))</f>
        <v/>
      </c>
      <c r="Z197" s="19">
        <f>IF(ISERROR($D$197),"",IF(ISBLANK($D$197),"",$D$197))</f>
        <v/>
      </c>
      <c r="AA197" s="19">
        <f>IF(ISERROR($E$197),"",IF(ISBLANK($E$197),"",$E$197))</f>
        <v/>
      </c>
      <c r="AB197" s="19">
        <f>IF(ISERROR($F$197),"",IF(ISBLANK($F$197),"",$F$197))</f>
        <v/>
      </c>
      <c r="AC197" s="19">
        <f>IF(ISERROR($G$197),"",IF(ISBLANK($G$197),"",$G$197))</f>
        <v/>
      </c>
      <c r="AD197" s="19">
        <f>IF(ISERROR($H$197),"",IF(ISBLANK($H$197),"",$H$197))</f>
        <v/>
      </c>
      <c r="AG197" s="19">
        <f>ISERROR($B$197)*1+ISERROR($C$197)*1+ISERROR($D$197)*1+ISERROR($E$197)*1+ISERROR($F$197)*1+ISERROR($G$197)*1+ISERROR($H$197)*1</f>
        <v/>
      </c>
    </row>
    <row r="198" ht="26" customHeight="1">
      <c r="B198" s="31" t="n"/>
      <c r="C198" s="28" t="n"/>
      <c r="D198" s="28" t="n"/>
      <c r="E198" s="28" t="n"/>
      <c r="F198" s="28" t="n"/>
      <c r="G198" s="28" t="n"/>
      <c r="H198" s="28" t="n"/>
      <c r="K198" s="18">
        <f>IF(AG198&gt;0,"O Google leu como fórmula: digite de novo com ' na frente.","")</f>
        <v/>
      </c>
      <c r="N198" s="19">
        <f>N197+IF(LEN($X$198)&gt;0,1,0)</f>
        <v/>
      </c>
      <c r="O198" s="19">
        <f>O197+IF(LEN($Y$198)&gt;0,1,0)</f>
        <v/>
      </c>
      <c r="P198" s="19">
        <f>P197+IF(LEN($Z$198)&gt;0,1,0)</f>
        <v/>
      </c>
      <c r="Q198" s="19">
        <f>Q197+IF(LEN($AA$198)&gt;0,1,0)</f>
        <v/>
      </c>
      <c r="R198" s="19">
        <f>R197+IF(LEN($AB$198)&gt;0,1,0)</f>
        <v/>
      </c>
      <c r="S198" s="19">
        <f>S197+IF(LEN($AC$198)&gt;0,1,0)</f>
        <v/>
      </c>
      <c r="T198" s="19">
        <f>T197+IF(LEN($AD$198)&gt;0,1,0)</f>
        <v/>
      </c>
      <c r="X198" s="19">
        <f>IF(ISERROR($B$198),"",IF(ISBLANK($B$198),"",$B$198))</f>
        <v/>
      </c>
      <c r="Y198" s="19">
        <f>IF(ISERROR($C$198),"",IF(ISBLANK($C$198),"",$C$198))</f>
        <v/>
      </c>
      <c r="Z198" s="19">
        <f>IF(ISERROR($D$198),"",IF(ISBLANK($D$198),"",$D$198))</f>
        <v/>
      </c>
      <c r="AA198" s="19">
        <f>IF(ISERROR($E$198),"",IF(ISBLANK($E$198),"",$E$198))</f>
        <v/>
      </c>
      <c r="AB198" s="19">
        <f>IF(ISERROR($F$198),"",IF(ISBLANK($F$198),"",$F$198))</f>
        <v/>
      </c>
      <c r="AC198" s="19">
        <f>IF(ISERROR($G$198),"",IF(ISBLANK($G$198),"",$G$198))</f>
        <v/>
      </c>
      <c r="AD198" s="19">
        <f>IF(ISERROR($H$198),"",IF(ISBLANK($H$198),"",$H$198))</f>
        <v/>
      </c>
      <c r="AG198" s="19">
        <f>ISERROR($B$198)*1+ISERROR($C$198)*1+ISERROR($D$198)*1+ISERROR($E$198)*1+ISERROR($F$198)*1+ISERROR($G$198)*1+ISERROR($H$198)*1</f>
        <v/>
      </c>
    </row>
    <row r="199" ht="26" customHeight="1">
      <c r="B199" s="30" t="n"/>
      <c r="C199" s="3" t="n"/>
      <c r="D199" s="3" t="n"/>
      <c r="E199" s="3" t="n"/>
      <c r="F199" s="3" t="n"/>
      <c r="G199" s="3" t="n"/>
      <c r="H199" s="3" t="n"/>
      <c r="K199" s="18">
        <f>IF(AG199&gt;0,"O Google leu como fórmula: digite de novo com ' na frente.","")</f>
        <v/>
      </c>
      <c r="N199" s="19">
        <f>N198+IF(LEN($X$199)&gt;0,1,0)</f>
        <v/>
      </c>
      <c r="O199" s="19">
        <f>O198+IF(LEN($Y$199)&gt;0,1,0)</f>
        <v/>
      </c>
      <c r="P199" s="19">
        <f>P198+IF(LEN($Z$199)&gt;0,1,0)</f>
        <v/>
      </c>
      <c r="Q199" s="19">
        <f>Q198+IF(LEN($AA$199)&gt;0,1,0)</f>
        <v/>
      </c>
      <c r="R199" s="19">
        <f>R198+IF(LEN($AB$199)&gt;0,1,0)</f>
        <v/>
      </c>
      <c r="S199" s="19">
        <f>S198+IF(LEN($AC$199)&gt;0,1,0)</f>
        <v/>
      </c>
      <c r="T199" s="19">
        <f>T198+IF(LEN($AD$199)&gt;0,1,0)</f>
        <v/>
      </c>
      <c r="X199" s="19">
        <f>IF(ISERROR($B$199),"",IF(ISBLANK($B$199),"",$B$199))</f>
        <v/>
      </c>
      <c r="Y199" s="19">
        <f>IF(ISERROR($C$199),"",IF(ISBLANK($C$199),"",$C$199))</f>
        <v/>
      </c>
      <c r="Z199" s="19">
        <f>IF(ISERROR($D$199),"",IF(ISBLANK($D$199),"",$D$199))</f>
        <v/>
      </c>
      <c r="AA199" s="19">
        <f>IF(ISERROR($E$199),"",IF(ISBLANK($E$199),"",$E$199))</f>
        <v/>
      </c>
      <c r="AB199" s="19">
        <f>IF(ISERROR($F$199),"",IF(ISBLANK($F$199),"",$F$199))</f>
        <v/>
      </c>
      <c r="AC199" s="19">
        <f>IF(ISERROR($G$199),"",IF(ISBLANK($G$199),"",$G$199))</f>
        <v/>
      </c>
      <c r="AD199" s="19">
        <f>IF(ISERROR($H$199),"",IF(ISBLANK($H$199),"",$H$199))</f>
        <v/>
      </c>
      <c r="AG199" s="19">
        <f>ISERROR($B$199)*1+ISERROR($C$199)*1+ISERROR($D$199)*1+ISERROR($E$199)*1+ISERROR($F$199)*1+ISERROR($G$199)*1+ISERROR($H$199)*1</f>
        <v/>
      </c>
    </row>
    <row r="200" ht="26" customHeight="1">
      <c r="B200" s="31" t="n"/>
      <c r="C200" s="28" t="n"/>
      <c r="D200" s="28" t="n"/>
      <c r="E200" s="28" t="n"/>
      <c r="F200" s="28" t="n"/>
      <c r="G200" s="28" t="n"/>
      <c r="H200" s="28" t="n"/>
      <c r="K200" s="18">
        <f>IF(AG200&gt;0,"O Google leu como fórmula: digite de novo com ' na frente.","")</f>
        <v/>
      </c>
      <c r="N200" s="19">
        <f>N199+IF(LEN($X$200)&gt;0,1,0)</f>
        <v/>
      </c>
      <c r="O200" s="19">
        <f>O199+IF(LEN($Y$200)&gt;0,1,0)</f>
        <v/>
      </c>
      <c r="P200" s="19">
        <f>P199+IF(LEN($Z$200)&gt;0,1,0)</f>
        <v/>
      </c>
      <c r="Q200" s="19">
        <f>Q199+IF(LEN($AA$200)&gt;0,1,0)</f>
        <v/>
      </c>
      <c r="R200" s="19">
        <f>R199+IF(LEN($AB$200)&gt;0,1,0)</f>
        <v/>
      </c>
      <c r="S200" s="19">
        <f>S199+IF(LEN($AC$200)&gt;0,1,0)</f>
        <v/>
      </c>
      <c r="T200" s="19">
        <f>T199+IF(LEN($AD$200)&gt;0,1,0)</f>
        <v/>
      </c>
      <c r="X200" s="19">
        <f>IF(ISERROR($B$200),"",IF(ISBLANK($B$200),"",$B$200))</f>
        <v/>
      </c>
      <c r="Y200" s="19">
        <f>IF(ISERROR($C$200),"",IF(ISBLANK($C$200),"",$C$200))</f>
        <v/>
      </c>
      <c r="Z200" s="19">
        <f>IF(ISERROR($D$200),"",IF(ISBLANK($D$200),"",$D$200))</f>
        <v/>
      </c>
      <c r="AA200" s="19">
        <f>IF(ISERROR($E$200),"",IF(ISBLANK($E$200),"",$E$200))</f>
        <v/>
      </c>
      <c r="AB200" s="19">
        <f>IF(ISERROR($F$200),"",IF(ISBLANK($F$200),"",$F$200))</f>
        <v/>
      </c>
      <c r="AC200" s="19">
        <f>IF(ISERROR($G$200),"",IF(ISBLANK($G$200),"",$G$200))</f>
        <v/>
      </c>
      <c r="AD200" s="19">
        <f>IF(ISERROR($H$200),"",IF(ISBLANK($H$200),"",$H$200))</f>
        <v/>
      </c>
      <c r="AG200" s="19">
        <f>ISERROR($B$200)*1+ISERROR($C$200)*1+ISERROR($D$200)*1+ISERROR($E$200)*1+ISERROR($F$200)*1+ISERROR($G$200)*1+ISERROR($H$200)*1</f>
        <v/>
      </c>
    </row>
    <row r="201" ht="26" customHeight="1">
      <c r="B201" s="30" t="n"/>
      <c r="C201" s="3" t="n"/>
      <c r="D201" s="3" t="n"/>
      <c r="E201" s="3" t="n"/>
      <c r="F201" s="3" t="n"/>
      <c r="G201" s="3" t="n"/>
      <c r="H201" s="3" t="n"/>
      <c r="K201" s="18">
        <f>IF(AG201&gt;0,"O Google leu como fórmula: digite de novo com ' na frente.","")</f>
        <v/>
      </c>
      <c r="N201" s="19">
        <f>N200+IF(LEN($X$201)&gt;0,1,0)</f>
        <v/>
      </c>
      <c r="O201" s="19">
        <f>O200+IF(LEN($Y$201)&gt;0,1,0)</f>
        <v/>
      </c>
      <c r="P201" s="19">
        <f>P200+IF(LEN($Z$201)&gt;0,1,0)</f>
        <v/>
      </c>
      <c r="Q201" s="19">
        <f>Q200+IF(LEN($AA$201)&gt;0,1,0)</f>
        <v/>
      </c>
      <c r="R201" s="19">
        <f>R200+IF(LEN($AB$201)&gt;0,1,0)</f>
        <v/>
      </c>
      <c r="S201" s="19">
        <f>S200+IF(LEN($AC$201)&gt;0,1,0)</f>
        <v/>
      </c>
      <c r="T201" s="19">
        <f>T200+IF(LEN($AD$201)&gt;0,1,0)</f>
        <v/>
      </c>
      <c r="X201" s="19">
        <f>IF(ISERROR($B$201),"",IF(ISBLANK($B$201),"",$B$201))</f>
        <v/>
      </c>
      <c r="Y201" s="19">
        <f>IF(ISERROR($C$201),"",IF(ISBLANK($C$201),"",$C$201))</f>
        <v/>
      </c>
      <c r="Z201" s="19">
        <f>IF(ISERROR($D$201),"",IF(ISBLANK($D$201),"",$D$201))</f>
        <v/>
      </c>
      <c r="AA201" s="19">
        <f>IF(ISERROR($E$201),"",IF(ISBLANK($E$201),"",$E$201))</f>
        <v/>
      </c>
      <c r="AB201" s="19">
        <f>IF(ISERROR($F$201),"",IF(ISBLANK($F$201),"",$F$201))</f>
        <v/>
      </c>
      <c r="AC201" s="19">
        <f>IF(ISERROR($G$201),"",IF(ISBLANK($G$201),"",$G$201))</f>
        <v/>
      </c>
      <c r="AD201" s="19">
        <f>IF(ISERROR($H$201),"",IF(ISBLANK($H$201),"",$H$201))</f>
        <v/>
      </c>
      <c r="AG201" s="19">
        <f>ISERROR($B$201)*1+ISERROR($C$201)*1+ISERROR($D$201)*1+ISERROR($E$201)*1+ISERROR($F$201)*1+ISERROR($G$201)*1+ISERROR($H$201)*1</f>
        <v/>
      </c>
    </row>
    <row r="202" ht="26" customHeight="1">
      <c r="B202" s="31" t="n"/>
      <c r="C202" s="28" t="n"/>
      <c r="D202" s="28" t="n"/>
      <c r="E202" s="28" t="n"/>
      <c r="F202" s="28" t="n"/>
      <c r="G202" s="28" t="n"/>
      <c r="H202" s="28" t="n"/>
      <c r="K202" s="18">
        <f>IF(AG202&gt;0,"O Google leu como fórmula: digite de novo com ' na frente.","")</f>
        <v/>
      </c>
      <c r="N202" s="19">
        <f>N201+IF(LEN($X$202)&gt;0,1,0)</f>
        <v/>
      </c>
      <c r="O202" s="19">
        <f>O201+IF(LEN($Y$202)&gt;0,1,0)</f>
        <v/>
      </c>
      <c r="P202" s="19">
        <f>P201+IF(LEN($Z$202)&gt;0,1,0)</f>
        <v/>
      </c>
      <c r="Q202" s="19">
        <f>Q201+IF(LEN($AA$202)&gt;0,1,0)</f>
        <v/>
      </c>
      <c r="R202" s="19">
        <f>R201+IF(LEN($AB$202)&gt;0,1,0)</f>
        <v/>
      </c>
      <c r="S202" s="19">
        <f>S201+IF(LEN($AC$202)&gt;0,1,0)</f>
        <v/>
      </c>
      <c r="T202" s="19">
        <f>T201+IF(LEN($AD$202)&gt;0,1,0)</f>
        <v/>
      </c>
      <c r="X202" s="19">
        <f>IF(ISERROR($B$202),"",IF(ISBLANK($B$202),"",$B$202))</f>
        <v/>
      </c>
      <c r="Y202" s="19">
        <f>IF(ISERROR($C$202),"",IF(ISBLANK($C$202),"",$C$202))</f>
        <v/>
      </c>
      <c r="Z202" s="19">
        <f>IF(ISERROR($D$202),"",IF(ISBLANK($D$202),"",$D$202))</f>
        <v/>
      </c>
      <c r="AA202" s="19">
        <f>IF(ISERROR($E$202),"",IF(ISBLANK($E$202),"",$E$202))</f>
        <v/>
      </c>
      <c r="AB202" s="19">
        <f>IF(ISERROR($F$202),"",IF(ISBLANK($F$202),"",$F$202))</f>
        <v/>
      </c>
      <c r="AC202" s="19">
        <f>IF(ISERROR($G$202),"",IF(ISBLANK($G$202),"",$G$202))</f>
        <v/>
      </c>
      <c r="AD202" s="19">
        <f>IF(ISERROR($H$202),"",IF(ISBLANK($H$202),"",$H$202))</f>
        <v/>
      </c>
      <c r="AG202" s="19">
        <f>ISERROR($B$202)*1+ISERROR($C$202)*1+ISERROR($D$202)*1+ISERROR($E$202)*1+ISERROR($F$202)*1+ISERROR($G$202)*1+ISERROR($H$202)*1</f>
        <v/>
      </c>
    </row>
    <row r="203" ht="26" customHeight="1">
      <c r="B203" s="30" t="n"/>
      <c r="C203" s="3" t="n"/>
      <c r="D203" s="3" t="n"/>
      <c r="E203" s="3" t="n"/>
      <c r="F203" s="3" t="n"/>
      <c r="G203" s="3" t="n"/>
      <c r="H203" s="3" t="n"/>
      <c r="K203" s="18">
        <f>IF(AG203&gt;0,"O Google leu como fórmula: digite de novo com ' na frente.","")</f>
        <v/>
      </c>
      <c r="N203" s="19">
        <f>N202+IF(LEN($X$203)&gt;0,1,0)</f>
        <v/>
      </c>
      <c r="O203" s="19">
        <f>O202+IF(LEN($Y$203)&gt;0,1,0)</f>
        <v/>
      </c>
      <c r="P203" s="19">
        <f>P202+IF(LEN($Z$203)&gt;0,1,0)</f>
        <v/>
      </c>
      <c r="Q203" s="19">
        <f>Q202+IF(LEN($AA$203)&gt;0,1,0)</f>
        <v/>
      </c>
      <c r="R203" s="19">
        <f>R202+IF(LEN($AB$203)&gt;0,1,0)</f>
        <v/>
      </c>
      <c r="S203" s="19">
        <f>S202+IF(LEN($AC$203)&gt;0,1,0)</f>
        <v/>
      </c>
      <c r="T203" s="19">
        <f>T202+IF(LEN($AD$203)&gt;0,1,0)</f>
        <v/>
      </c>
      <c r="X203" s="19">
        <f>IF(ISERROR($B$203),"",IF(ISBLANK($B$203),"",$B$203))</f>
        <v/>
      </c>
      <c r="Y203" s="19">
        <f>IF(ISERROR($C$203),"",IF(ISBLANK($C$203),"",$C$203))</f>
        <v/>
      </c>
      <c r="Z203" s="19">
        <f>IF(ISERROR($D$203),"",IF(ISBLANK($D$203),"",$D$203))</f>
        <v/>
      </c>
      <c r="AA203" s="19">
        <f>IF(ISERROR($E$203),"",IF(ISBLANK($E$203),"",$E$203))</f>
        <v/>
      </c>
      <c r="AB203" s="19">
        <f>IF(ISERROR($F$203),"",IF(ISBLANK($F$203),"",$F$203))</f>
        <v/>
      </c>
      <c r="AC203" s="19">
        <f>IF(ISERROR($G$203),"",IF(ISBLANK($G$203),"",$G$203))</f>
        <v/>
      </c>
      <c r="AD203" s="19">
        <f>IF(ISERROR($H$203),"",IF(ISBLANK($H$203),"",$H$203))</f>
        <v/>
      </c>
      <c r="AG203" s="19">
        <f>ISERROR($B$203)*1+ISERROR($C$203)*1+ISERROR($D$203)*1+ISERROR($E$203)*1+ISERROR($F$203)*1+ISERROR($G$203)*1+ISERROR($H$203)*1</f>
        <v/>
      </c>
    </row>
    <row r="204" ht="26" customHeight="1">
      <c r="B204" s="31" t="n"/>
      <c r="C204" s="28" t="n"/>
      <c r="D204" s="28" t="n"/>
      <c r="E204" s="28" t="n"/>
      <c r="F204" s="28" t="n"/>
      <c r="G204" s="28" t="n"/>
      <c r="H204" s="28" t="n"/>
      <c r="K204" s="18">
        <f>IF(AG204&gt;0,"O Google leu como fórmula: digite de novo com ' na frente.","")</f>
        <v/>
      </c>
      <c r="N204" s="19">
        <f>N203+IF(LEN($X$204)&gt;0,1,0)</f>
        <v/>
      </c>
      <c r="O204" s="19">
        <f>O203+IF(LEN($Y$204)&gt;0,1,0)</f>
        <v/>
      </c>
      <c r="P204" s="19">
        <f>P203+IF(LEN($Z$204)&gt;0,1,0)</f>
        <v/>
      </c>
      <c r="Q204" s="19">
        <f>Q203+IF(LEN($AA$204)&gt;0,1,0)</f>
        <v/>
      </c>
      <c r="R204" s="19">
        <f>R203+IF(LEN($AB$204)&gt;0,1,0)</f>
        <v/>
      </c>
      <c r="S204" s="19">
        <f>S203+IF(LEN($AC$204)&gt;0,1,0)</f>
        <v/>
      </c>
      <c r="T204" s="19">
        <f>T203+IF(LEN($AD$204)&gt;0,1,0)</f>
        <v/>
      </c>
      <c r="X204" s="19">
        <f>IF(ISERROR($B$204),"",IF(ISBLANK($B$204),"",$B$204))</f>
        <v/>
      </c>
      <c r="Y204" s="19">
        <f>IF(ISERROR($C$204),"",IF(ISBLANK($C$204),"",$C$204))</f>
        <v/>
      </c>
      <c r="Z204" s="19">
        <f>IF(ISERROR($D$204),"",IF(ISBLANK($D$204),"",$D$204))</f>
        <v/>
      </c>
      <c r="AA204" s="19">
        <f>IF(ISERROR($E$204),"",IF(ISBLANK($E$204),"",$E$204))</f>
        <v/>
      </c>
      <c r="AB204" s="19">
        <f>IF(ISERROR($F$204),"",IF(ISBLANK($F$204),"",$F$204))</f>
        <v/>
      </c>
      <c r="AC204" s="19">
        <f>IF(ISERROR($G$204),"",IF(ISBLANK($G$204),"",$G$204))</f>
        <v/>
      </c>
      <c r="AD204" s="19">
        <f>IF(ISERROR($H$204),"",IF(ISBLANK($H$204),"",$H$204))</f>
        <v/>
      </c>
      <c r="AG204" s="19">
        <f>ISERROR($B$204)*1+ISERROR($C$204)*1+ISERROR($D$204)*1+ISERROR($E$204)*1+ISERROR($F$204)*1+ISERROR($G$204)*1+ISERROR($H$204)*1</f>
        <v/>
      </c>
    </row>
    <row r="205" ht="26" customHeight="1">
      <c r="B205" s="30" t="n"/>
      <c r="C205" s="3" t="n"/>
      <c r="D205" s="3" t="n"/>
      <c r="E205" s="3" t="n"/>
      <c r="F205" s="3" t="n"/>
      <c r="G205" s="3" t="n"/>
      <c r="H205" s="3" t="n"/>
      <c r="K205" s="18">
        <f>IF(AG205&gt;0,"O Google leu como fórmula: digite de novo com ' na frente.","")</f>
        <v/>
      </c>
      <c r="N205" s="19">
        <f>N204+IF(LEN($X$205)&gt;0,1,0)</f>
        <v/>
      </c>
      <c r="O205" s="19">
        <f>O204+IF(LEN($Y$205)&gt;0,1,0)</f>
        <v/>
      </c>
      <c r="P205" s="19">
        <f>P204+IF(LEN($Z$205)&gt;0,1,0)</f>
        <v/>
      </c>
      <c r="Q205" s="19">
        <f>Q204+IF(LEN($AA$205)&gt;0,1,0)</f>
        <v/>
      </c>
      <c r="R205" s="19">
        <f>R204+IF(LEN($AB$205)&gt;0,1,0)</f>
        <v/>
      </c>
      <c r="S205" s="19">
        <f>S204+IF(LEN($AC$205)&gt;0,1,0)</f>
        <v/>
      </c>
      <c r="T205" s="19">
        <f>T204+IF(LEN($AD$205)&gt;0,1,0)</f>
        <v/>
      </c>
      <c r="X205" s="19">
        <f>IF(ISERROR($B$205),"",IF(ISBLANK($B$205),"",$B$205))</f>
        <v/>
      </c>
      <c r="Y205" s="19">
        <f>IF(ISERROR($C$205),"",IF(ISBLANK($C$205),"",$C$205))</f>
        <v/>
      </c>
      <c r="Z205" s="19">
        <f>IF(ISERROR($D$205),"",IF(ISBLANK($D$205),"",$D$205))</f>
        <v/>
      </c>
      <c r="AA205" s="19">
        <f>IF(ISERROR($E$205),"",IF(ISBLANK($E$205),"",$E$205))</f>
        <v/>
      </c>
      <c r="AB205" s="19">
        <f>IF(ISERROR($F$205),"",IF(ISBLANK($F$205),"",$F$205))</f>
        <v/>
      </c>
      <c r="AC205" s="19">
        <f>IF(ISERROR($G$205),"",IF(ISBLANK($G$205),"",$G$205))</f>
        <v/>
      </c>
      <c r="AD205" s="19">
        <f>IF(ISERROR($H$205),"",IF(ISBLANK($H$205),"",$H$205))</f>
        <v/>
      </c>
      <c r="AG205" s="19">
        <f>ISERROR($B$205)*1+ISERROR($C$205)*1+ISERROR($D$205)*1+ISERROR($E$205)*1+ISERROR($F$205)*1+ISERROR($G$205)*1+ISERROR($H$205)*1</f>
        <v/>
      </c>
    </row>
    <row r="206" ht="26" customHeight="1">
      <c r="B206" s="31" t="n"/>
      <c r="C206" s="28" t="n"/>
      <c r="D206" s="28" t="n"/>
      <c r="E206" s="28" t="n"/>
      <c r="F206" s="28" t="n"/>
      <c r="G206" s="28" t="n"/>
      <c r="H206" s="28" t="n"/>
      <c r="K206" s="18">
        <f>IF(AG206&gt;0,"O Google leu como fórmula: digite de novo com ' na frente.","")</f>
        <v/>
      </c>
      <c r="N206" s="19">
        <f>N205+IF(LEN($X$206)&gt;0,1,0)</f>
        <v/>
      </c>
      <c r="O206" s="19">
        <f>O205+IF(LEN($Y$206)&gt;0,1,0)</f>
        <v/>
      </c>
      <c r="P206" s="19">
        <f>P205+IF(LEN($Z$206)&gt;0,1,0)</f>
        <v/>
      </c>
      <c r="Q206" s="19">
        <f>Q205+IF(LEN($AA$206)&gt;0,1,0)</f>
        <v/>
      </c>
      <c r="R206" s="19">
        <f>R205+IF(LEN($AB$206)&gt;0,1,0)</f>
        <v/>
      </c>
      <c r="S206" s="19">
        <f>S205+IF(LEN($AC$206)&gt;0,1,0)</f>
        <v/>
      </c>
      <c r="T206" s="19">
        <f>T205+IF(LEN($AD$206)&gt;0,1,0)</f>
        <v/>
      </c>
      <c r="X206" s="19">
        <f>IF(ISERROR($B$206),"",IF(ISBLANK($B$206),"",$B$206))</f>
        <v/>
      </c>
      <c r="Y206" s="19">
        <f>IF(ISERROR($C$206),"",IF(ISBLANK($C$206),"",$C$206))</f>
        <v/>
      </c>
      <c r="Z206" s="19">
        <f>IF(ISERROR($D$206),"",IF(ISBLANK($D$206),"",$D$206))</f>
        <v/>
      </c>
      <c r="AA206" s="19">
        <f>IF(ISERROR($E$206),"",IF(ISBLANK($E$206),"",$E$206))</f>
        <v/>
      </c>
      <c r="AB206" s="19">
        <f>IF(ISERROR($F$206),"",IF(ISBLANK($F$206),"",$F$206))</f>
        <v/>
      </c>
      <c r="AC206" s="19">
        <f>IF(ISERROR($G$206),"",IF(ISBLANK($G$206),"",$G$206))</f>
        <v/>
      </c>
      <c r="AD206" s="19">
        <f>IF(ISERROR($H$206),"",IF(ISBLANK($H$206),"",$H$206))</f>
        <v/>
      </c>
      <c r="AG206" s="19">
        <f>ISERROR($B$206)*1+ISERROR($C$206)*1+ISERROR($D$206)*1+ISERROR($E$206)*1+ISERROR($F$206)*1+ISERROR($G$206)*1+ISERROR($H$206)*1</f>
        <v/>
      </c>
    </row>
    <row r="207" ht="26" customHeight="1">
      <c r="B207" s="30" t="n"/>
      <c r="C207" s="3" t="n"/>
      <c r="D207" s="3" t="n"/>
      <c r="E207" s="3" t="n"/>
      <c r="F207" s="3" t="n"/>
      <c r="G207" s="3" t="n"/>
      <c r="H207" s="3" t="n"/>
      <c r="K207" s="18">
        <f>IF(AG207&gt;0,"O Google leu como fórmula: digite de novo com ' na frente.","")</f>
        <v/>
      </c>
      <c r="N207" s="19">
        <f>N206+IF(LEN($X$207)&gt;0,1,0)</f>
        <v/>
      </c>
      <c r="O207" s="19">
        <f>O206+IF(LEN($Y$207)&gt;0,1,0)</f>
        <v/>
      </c>
      <c r="P207" s="19">
        <f>P206+IF(LEN($Z$207)&gt;0,1,0)</f>
        <v/>
      </c>
      <c r="Q207" s="19">
        <f>Q206+IF(LEN($AA$207)&gt;0,1,0)</f>
        <v/>
      </c>
      <c r="R207" s="19">
        <f>R206+IF(LEN($AB$207)&gt;0,1,0)</f>
        <v/>
      </c>
      <c r="S207" s="19">
        <f>S206+IF(LEN($AC$207)&gt;0,1,0)</f>
        <v/>
      </c>
      <c r="T207" s="19">
        <f>T206+IF(LEN($AD$207)&gt;0,1,0)</f>
        <v/>
      </c>
      <c r="X207" s="19">
        <f>IF(ISERROR($B$207),"",IF(ISBLANK($B$207),"",$B$207))</f>
        <v/>
      </c>
      <c r="Y207" s="19">
        <f>IF(ISERROR($C$207),"",IF(ISBLANK($C$207),"",$C$207))</f>
        <v/>
      </c>
      <c r="Z207" s="19">
        <f>IF(ISERROR($D$207),"",IF(ISBLANK($D$207),"",$D$207))</f>
        <v/>
      </c>
      <c r="AA207" s="19">
        <f>IF(ISERROR($E$207),"",IF(ISBLANK($E$207),"",$E$207))</f>
        <v/>
      </c>
      <c r="AB207" s="19">
        <f>IF(ISERROR($F$207),"",IF(ISBLANK($F$207),"",$F$207))</f>
        <v/>
      </c>
      <c r="AC207" s="19">
        <f>IF(ISERROR($G$207),"",IF(ISBLANK($G$207),"",$G$207))</f>
        <v/>
      </c>
      <c r="AD207" s="19">
        <f>IF(ISERROR($H$207),"",IF(ISBLANK($H$207),"",$H$207))</f>
        <v/>
      </c>
      <c r="AG207" s="19">
        <f>ISERROR($B$207)*1+ISERROR($C$207)*1+ISERROR($D$207)*1+ISERROR($E$207)*1+ISERROR($F$207)*1+ISERROR($G$207)*1+ISERROR($H$207)*1</f>
        <v/>
      </c>
    </row>
    <row r="208" ht="26" customHeight="1">
      <c r="B208" s="31" t="n"/>
      <c r="C208" s="28" t="n"/>
      <c r="D208" s="28" t="n"/>
      <c r="E208" s="28" t="n"/>
      <c r="F208" s="28" t="n"/>
      <c r="G208" s="28" t="n"/>
      <c r="H208" s="28" t="n"/>
      <c r="K208" s="18">
        <f>IF(AG208&gt;0,"O Google leu como fórmula: digite de novo com ' na frente.","")</f>
        <v/>
      </c>
      <c r="N208" s="19">
        <f>N207+IF(LEN($X$208)&gt;0,1,0)</f>
        <v/>
      </c>
      <c r="O208" s="19">
        <f>O207+IF(LEN($Y$208)&gt;0,1,0)</f>
        <v/>
      </c>
      <c r="P208" s="19">
        <f>P207+IF(LEN($Z$208)&gt;0,1,0)</f>
        <v/>
      </c>
      <c r="Q208" s="19">
        <f>Q207+IF(LEN($AA$208)&gt;0,1,0)</f>
        <v/>
      </c>
      <c r="R208" s="19">
        <f>R207+IF(LEN($AB$208)&gt;0,1,0)</f>
        <v/>
      </c>
      <c r="S208" s="19">
        <f>S207+IF(LEN($AC$208)&gt;0,1,0)</f>
        <v/>
      </c>
      <c r="T208" s="19">
        <f>T207+IF(LEN($AD$208)&gt;0,1,0)</f>
        <v/>
      </c>
      <c r="X208" s="19">
        <f>IF(ISERROR($B$208),"",IF(ISBLANK($B$208),"",$B$208))</f>
        <v/>
      </c>
      <c r="Y208" s="19">
        <f>IF(ISERROR($C$208),"",IF(ISBLANK($C$208),"",$C$208))</f>
        <v/>
      </c>
      <c r="Z208" s="19">
        <f>IF(ISERROR($D$208),"",IF(ISBLANK($D$208),"",$D$208))</f>
        <v/>
      </c>
      <c r="AA208" s="19">
        <f>IF(ISERROR($E$208),"",IF(ISBLANK($E$208),"",$E$208))</f>
        <v/>
      </c>
      <c r="AB208" s="19">
        <f>IF(ISERROR($F$208),"",IF(ISBLANK($F$208),"",$F$208))</f>
        <v/>
      </c>
      <c r="AC208" s="19">
        <f>IF(ISERROR($G$208),"",IF(ISBLANK($G$208),"",$G$208))</f>
        <v/>
      </c>
      <c r="AD208" s="19">
        <f>IF(ISERROR($H$208),"",IF(ISBLANK($H$208),"",$H$208))</f>
        <v/>
      </c>
      <c r="AG208" s="19">
        <f>ISERROR($B$208)*1+ISERROR($C$208)*1+ISERROR($D$208)*1+ISERROR($E$208)*1+ISERROR($F$208)*1+ISERROR($G$208)*1+ISERROR($H$208)*1</f>
        <v/>
      </c>
    </row>
    <row r="209" ht="26" customHeight="1">
      <c r="B209" s="30" t="n"/>
      <c r="C209" s="3" t="n"/>
      <c r="D209" s="3" t="n"/>
      <c r="E209" s="3" t="n"/>
      <c r="F209" s="3" t="n"/>
      <c r="G209" s="3" t="n"/>
      <c r="H209" s="3" t="n"/>
      <c r="K209" s="18">
        <f>IF(AG209&gt;0,"O Google leu como fórmula: digite de novo com ' na frente.","")</f>
        <v/>
      </c>
      <c r="N209" s="19">
        <f>N208+IF(LEN($X$209)&gt;0,1,0)</f>
        <v/>
      </c>
      <c r="O209" s="19">
        <f>O208+IF(LEN($Y$209)&gt;0,1,0)</f>
        <v/>
      </c>
      <c r="P209" s="19">
        <f>P208+IF(LEN($Z$209)&gt;0,1,0)</f>
        <v/>
      </c>
      <c r="Q209" s="19">
        <f>Q208+IF(LEN($AA$209)&gt;0,1,0)</f>
        <v/>
      </c>
      <c r="R209" s="19">
        <f>R208+IF(LEN($AB$209)&gt;0,1,0)</f>
        <v/>
      </c>
      <c r="S209" s="19">
        <f>S208+IF(LEN($AC$209)&gt;0,1,0)</f>
        <v/>
      </c>
      <c r="T209" s="19">
        <f>T208+IF(LEN($AD$209)&gt;0,1,0)</f>
        <v/>
      </c>
      <c r="X209" s="19">
        <f>IF(ISERROR($B$209),"",IF(ISBLANK($B$209),"",$B$209))</f>
        <v/>
      </c>
      <c r="Y209" s="19">
        <f>IF(ISERROR($C$209),"",IF(ISBLANK($C$209),"",$C$209))</f>
        <v/>
      </c>
      <c r="Z209" s="19">
        <f>IF(ISERROR($D$209),"",IF(ISBLANK($D$209),"",$D$209))</f>
        <v/>
      </c>
      <c r="AA209" s="19">
        <f>IF(ISERROR($E$209),"",IF(ISBLANK($E$209),"",$E$209))</f>
        <v/>
      </c>
      <c r="AB209" s="19">
        <f>IF(ISERROR($F$209),"",IF(ISBLANK($F$209),"",$F$209))</f>
        <v/>
      </c>
      <c r="AC209" s="19">
        <f>IF(ISERROR($G$209),"",IF(ISBLANK($G$209),"",$G$209))</f>
        <v/>
      </c>
      <c r="AD209" s="19">
        <f>IF(ISERROR($H$209),"",IF(ISBLANK($H$209),"",$H$209))</f>
        <v/>
      </c>
      <c r="AG209" s="19">
        <f>ISERROR($B$209)*1+ISERROR($C$209)*1+ISERROR($D$209)*1+ISERROR($E$209)*1+ISERROR($F$209)*1+ISERROR($G$209)*1+ISERROR($H$209)*1</f>
        <v/>
      </c>
    </row>
    <row r="210" ht="15" customHeight="1">
      <c r="B210" s="7" t="inlineStr">
        <is>
          <t>Nome — Humano</t>
        </is>
      </c>
      <c r="C210" s="7" t="inlineStr">
        <is>
          <t>Nome — Xianzhouíta</t>
        </is>
      </c>
      <c r="D210" s="7" t="inlineStr">
        <is>
          <t>Nome — Vidyadhara</t>
        </is>
      </c>
      <c r="E210" s="7" t="inlineStr">
        <is>
          <t>Nome — Vulpes</t>
        </is>
      </c>
      <c r="F210" s="7" t="inlineStr">
        <is>
          <t>Nome — Haloviano</t>
        </is>
      </c>
      <c r="G210" s="7" t="inlineStr">
        <is>
          <t>Nome — Avginiano</t>
        </is>
      </c>
      <c r="H210" s="7" t="inlineStr">
        <is>
          <t>Nome — Intellitron</t>
        </is>
      </c>
      <c r="N210" s="19">
        <f>N209</f>
        <v/>
      </c>
      <c r="O210" s="19">
        <f>O209</f>
        <v/>
      </c>
      <c r="P210" s="19">
        <f>P209</f>
        <v/>
      </c>
      <c r="Q210" s="19">
        <f>Q209</f>
        <v/>
      </c>
      <c r="R210" s="19">
        <f>R209</f>
        <v/>
      </c>
      <c r="S210" s="19">
        <f>S209</f>
        <v/>
      </c>
      <c r="T210" s="19">
        <f>T209</f>
        <v/>
      </c>
      <c r="X210" s="19">
        <f>IF(ISERROR($B$210),"",IF(ISBLANK($B$210),"",$B$210))</f>
        <v/>
      </c>
      <c r="Y210" s="19">
        <f>IF(ISERROR($C$210),"",IF(ISBLANK($C$210),"",$C$210))</f>
        <v/>
      </c>
      <c r="Z210" s="19">
        <f>IF(ISERROR($D$210),"",IF(ISBLANK($D$210),"",$D$210))</f>
        <v/>
      </c>
      <c r="AA210" s="19">
        <f>IF(ISERROR($E$210),"",IF(ISBLANK($E$210),"",$E$210))</f>
        <v/>
      </c>
      <c r="AB210" s="19">
        <f>IF(ISERROR($F$210),"",IF(ISBLANK($F$210),"",$F$210))</f>
        <v/>
      </c>
      <c r="AC210" s="19">
        <f>IF(ISERROR($G$210),"",IF(ISBLANK($G$210),"",$G$210))</f>
        <v/>
      </c>
      <c r="AD210" s="19">
        <f>IF(ISERROR($H$210),"",IF(ISBLANK($H$210),"",$H$210))</f>
        <v/>
      </c>
    </row>
    <row r="211" ht="26" customHeight="1">
      <c r="B211" s="30" t="n"/>
      <c r="C211" s="3" t="n"/>
      <c r="D211" s="3" t="n"/>
      <c r="E211" s="3" t="n"/>
      <c r="F211" s="3" t="n"/>
      <c r="G211" s="3" t="n"/>
      <c r="H211" s="3" t="n"/>
      <c r="K211" s="18">
        <f>IF(AG211&gt;0,"O Google leu como fórmula: digite de novo com ' na frente.","")</f>
        <v/>
      </c>
      <c r="N211" s="19">
        <f>N210+IF(LEN($X$211)&gt;0,1,0)</f>
        <v/>
      </c>
      <c r="O211" s="19">
        <f>O210+IF(LEN($Y$211)&gt;0,1,0)</f>
        <v/>
      </c>
      <c r="P211" s="19">
        <f>P210+IF(LEN($Z$211)&gt;0,1,0)</f>
        <v/>
      </c>
      <c r="Q211" s="19">
        <f>Q210+IF(LEN($AA$211)&gt;0,1,0)</f>
        <v/>
      </c>
      <c r="R211" s="19">
        <f>R210+IF(LEN($AB$211)&gt;0,1,0)</f>
        <v/>
      </c>
      <c r="S211" s="19">
        <f>S210+IF(LEN($AC$211)&gt;0,1,0)</f>
        <v/>
      </c>
      <c r="T211" s="19">
        <f>T210+IF(LEN($AD$211)&gt;0,1,0)</f>
        <v/>
      </c>
      <c r="X211" s="19">
        <f>IF(ISERROR($B$211),"",IF(ISBLANK($B$211),"",$B$211))</f>
        <v/>
      </c>
      <c r="Y211" s="19">
        <f>IF(ISERROR($C$211),"",IF(ISBLANK($C$211),"",$C$211))</f>
        <v/>
      </c>
      <c r="Z211" s="19">
        <f>IF(ISERROR($D$211),"",IF(ISBLANK($D$211),"",$D$211))</f>
        <v/>
      </c>
      <c r="AA211" s="19">
        <f>IF(ISERROR($E$211),"",IF(ISBLANK($E$211),"",$E$211))</f>
        <v/>
      </c>
      <c r="AB211" s="19">
        <f>IF(ISERROR($F$211),"",IF(ISBLANK($F$211),"",$F$211))</f>
        <v/>
      </c>
      <c r="AC211" s="19">
        <f>IF(ISERROR($G$211),"",IF(ISBLANK($G$211),"",$G$211))</f>
        <v/>
      </c>
      <c r="AD211" s="19">
        <f>IF(ISERROR($H$211),"",IF(ISBLANK($H$211),"",$H$211))</f>
        <v/>
      </c>
      <c r="AG211" s="19">
        <f>ISERROR($B$211)*1+ISERROR($C$211)*1+ISERROR($D$211)*1+ISERROR($E$211)*1+ISERROR($F$211)*1+ISERROR($G$211)*1+ISERROR($H$211)*1</f>
        <v/>
      </c>
    </row>
    <row r="212" ht="26" customHeight="1">
      <c r="B212" s="31" t="n"/>
      <c r="C212" s="28" t="n"/>
      <c r="D212" s="28" t="n"/>
      <c r="E212" s="28" t="n"/>
      <c r="F212" s="28" t="n"/>
      <c r="G212" s="28" t="n"/>
      <c r="H212" s="28" t="n"/>
      <c r="K212" s="18">
        <f>IF(AG212&gt;0,"O Google leu como fórmula: digite de novo com ' na frente.","")</f>
        <v/>
      </c>
      <c r="N212" s="19">
        <f>N211+IF(LEN($X$212)&gt;0,1,0)</f>
        <v/>
      </c>
      <c r="O212" s="19">
        <f>O211+IF(LEN($Y$212)&gt;0,1,0)</f>
        <v/>
      </c>
      <c r="P212" s="19">
        <f>P211+IF(LEN($Z$212)&gt;0,1,0)</f>
        <v/>
      </c>
      <c r="Q212" s="19">
        <f>Q211+IF(LEN($AA$212)&gt;0,1,0)</f>
        <v/>
      </c>
      <c r="R212" s="19">
        <f>R211+IF(LEN($AB$212)&gt;0,1,0)</f>
        <v/>
      </c>
      <c r="S212" s="19">
        <f>S211+IF(LEN($AC$212)&gt;0,1,0)</f>
        <v/>
      </c>
      <c r="T212" s="19">
        <f>T211+IF(LEN($AD$212)&gt;0,1,0)</f>
        <v/>
      </c>
      <c r="X212" s="19">
        <f>IF(ISERROR($B$212),"",IF(ISBLANK($B$212),"",$B$212))</f>
        <v/>
      </c>
      <c r="Y212" s="19">
        <f>IF(ISERROR($C$212),"",IF(ISBLANK($C$212),"",$C$212))</f>
        <v/>
      </c>
      <c r="Z212" s="19">
        <f>IF(ISERROR($D$212),"",IF(ISBLANK($D$212),"",$D$212))</f>
        <v/>
      </c>
      <c r="AA212" s="19">
        <f>IF(ISERROR($E$212),"",IF(ISBLANK($E$212),"",$E$212))</f>
        <v/>
      </c>
      <c r="AB212" s="19">
        <f>IF(ISERROR($F$212),"",IF(ISBLANK($F$212),"",$F$212))</f>
        <v/>
      </c>
      <c r="AC212" s="19">
        <f>IF(ISERROR($G$212),"",IF(ISBLANK($G$212),"",$G$212))</f>
        <v/>
      </c>
      <c r="AD212" s="19">
        <f>IF(ISERROR($H$212),"",IF(ISBLANK($H$212),"",$H$212))</f>
        <v/>
      </c>
      <c r="AG212" s="19">
        <f>ISERROR($B$212)*1+ISERROR($C$212)*1+ISERROR($D$212)*1+ISERROR($E$212)*1+ISERROR($F$212)*1+ISERROR($G$212)*1+ISERROR($H$212)*1</f>
        <v/>
      </c>
    </row>
    <row r="213" ht="26" customHeight="1">
      <c r="B213" s="30" t="n"/>
      <c r="C213" s="3" t="n"/>
      <c r="D213" s="3" t="n"/>
      <c r="E213" s="3" t="n"/>
      <c r="F213" s="3" t="n"/>
      <c r="G213" s="3" t="n"/>
      <c r="H213" s="3" t="n"/>
      <c r="K213" s="18">
        <f>IF(AG213&gt;0,"O Google leu como fórmula: digite de novo com ' na frente.","")</f>
        <v/>
      </c>
      <c r="N213" s="19">
        <f>N212+IF(LEN($X$213)&gt;0,1,0)</f>
        <v/>
      </c>
      <c r="O213" s="19">
        <f>O212+IF(LEN($Y$213)&gt;0,1,0)</f>
        <v/>
      </c>
      <c r="P213" s="19">
        <f>P212+IF(LEN($Z$213)&gt;0,1,0)</f>
        <v/>
      </c>
      <c r="Q213" s="19">
        <f>Q212+IF(LEN($AA$213)&gt;0,1,0)</f>
        <v/>
      </c>
      <c r="R213" s="19">
        <f>R212+IF(LEN($AB$213)&gt;0,1,0)</f>
        <v/>
      </c>
      <c r="S213" s="19">
        <f>S212+IF(LEN($AC$213)&gt;0,1,0)</f>
        <v/>
      </c>
      <c r="T213" s="19">
        <f>T212+IF(LEN($AD$213)&gt;0,1,0)</f>
        <v/>
      </c>
      <c r="X213" s="19">
        <f>IF(ISERROR($B$213),"",IF(ISBLANK($B$213),"",$B$213))</f>
        <v/>
      </c>
      <c r="Y213" s="19">
        <f>IF(ISERROR($C$213),"",IF(ISBLANK($C$213),"",$C$213))</f>
        <v/>
      </c>
      <c r="Z213" s="19">
        <f>IF(ISERROR($D$213),"",IF(ISBLANK($D$213),"",$D$213))</f>
        <v/>
      </c>
      <c r="AA213" s="19">
        <f>IF(ISERROR($E$213),"",IF(ISBLANK($E$213),"",$E$213))</f>
        <v/>
      </c>
      <c r="AB213" s="19">
        <f>IF(ISERROR($F$213),"",IF(ISBLANK($F$213),"",$F$213))</f>
        <v/>
      </c>
      <c r="AC213" s="19">
        <f>IF(ISERROR($G$213),"",IF(ISBLANK($G$213),"",$G$213))</f>
        <v/>
      </c>
      <c r="AD213" s="19">
        <f>IF(ISERROR($H$213),"",IF(ISBLANK($H$213),"",$H$213))</f>
        <v/>
      </c>
      <c r="AG213" s="19">
        <f>ISERROR($B$213)*1+ISERROR($C$213)*1+ISERROR($D$213)*1+ISERROR($E$213)*1+ISERROR($F$213)*1+ISERROR($G$213)*1+ISERROR($H$213)*1</f>
        <v/>
      </c>
    </row>
    <row r="214" ht="26" customHeight="1">
      <c r="B214" s="31" t="n"/>
      <c r="C214" s="28" t="n"/>
      <c r="D214" s="28" t="n"/>
      <c r="E214" s="28" t="n"/>
      <c r="F214" s="28" t="n"/>
      <c r="G214" s="28" t="n"/>
      <c r="H214" s="28" t="n"/>
      <c r="K214" s="18">
        <f>IF(AG214&gt;0,"O Google leu como fórmula: digite de novo com ' na frente.","")</f>
        <v/>
      </c>
      <c r="N214" s="19">
        <f>N213+IF(LEN($X$214)&gt;0,1,0)</f>
        <v/>
      </c>
      <c r="O214" s="19">
        <f>O213+IF(LEN($Y$214)&gt;0,1,0)</f>
        <v/>
      </c>
      <c r="P214" s="19">
        <f>P213+IF(LEN($Z$214)&gt;0,1,0)</f>
        <v/>
      </c>
      <c r="Q214" s="19">
        <f>Q213+IF(LEN($AA$214)&gt;0,1,0)</f>
        <v/>
      </c>
      <c r="R214" s="19">
        <f>R213+IF(LEN($AB$214)&gt;0,1,0)</f>
        <v/>
      </c>
      <c r="S214" s="19">
        <f>S213+IF(LEN($AC$214)&gt;0,1,0)</f>
        <v/>
      </c>
      <c r="T214" s="19">
        <f>T213+IF(LEN($AD$214)&gt;0,1,0)</f>
        <v/>
      </c>
      <c r="X214" s="19">
        <f>IF(ISERROR($B$214),"",IF(ISBLANK($B$214),"",$B$214))</f>
        <v/>
      </c>
      <c r="Y214" s="19">
        <f>IF(ISERROR($C$214),"",IF(ISBLANK($C$214),"",$C$214))</f>
        <v/>
      </c>
      <c r="Z214" s="19">
        <f>IF(ISERROR($D$214),"",IF(ISBLANK($D$214),"",$D$214))</f>
        <v/>
      </c>
      <c r="AA214" s="19">
        <f>IF(ISERROR($E$214),"",IF(ISBLANK($E$214),"",$E$214))</f>
        <v/>
      </c>
      <c r="AB214" s="19">
        <f>IF(ISERROR($F$214),"",IF(ISBLANK($F$214),"",$F$214))</f>
        <v/>
      </c>
      <c r="AC214" s="19">
        <f>IF(ISERROR($G$214),"",IF(ISBLANK($G$214),"",$G$214))</f>
        <v/>
      </c>
      <c r="AD214" s="19">
        <f>IF(ISERROR($H$214),"",IF(ISBLANK($H$214),"",$H$214))</f>
        <v/>
      </c>
      <c r="AG214" s="19">
        <f>ISERROR($B$214)*1+ISERROR($C$214)*1+ISERROR($D$214)*1+ISERROR($E$214)*1+ISERROR($F$214)*1+ISERROR($G$214)*1+ISERROR($H$214)*1</f>
        <v/>
      </c>
    </row>
    <row r="215" ht="26" customHeight="1">
      <c r="B215" s="30" t="n"/>
      <c r="C215" s="3" t="n"/>
      <c r="D215" s="3" t="n"/>
      <c r="E215" s="3" t="n"/>
      <c r="F215" s="3" t="n"/>
      <c r="G215" s="3" t="n"/>
      <c r="H215" s="3" t="n"/>
      <c r="K215" s="18">
        <f>IF(AG215&gt;0,"O Google leu como fórmula: digite de novo com ' na frente.","")</f>
        <v/>
      </c>
      <c r="N215" s="19">
        <f>N214+IF(LEN($X$215)&gt;0,1,0)</f>
        <v/>
      </c>
      <c r="O215" s="19">
        <f>O214+IF(LEN($Y$215)&gt;0,1,0)</f>
        <v/>
      </c>
      <c r="P215" s="19">
        <f>P214+IF(LEN($Z$215)&gt;0,1,0)</f>
        <v/>
      </c>
      <c r="Q215" s="19">
        <f>Q214+IF(LEN($AA$215)&gt;0,1,0)</f>
        <v/>
      </c>
      <c r="R215" s="19">
        <f>R214+IF(LEN($AB$215)&gt;0,1,0)</f>
        <v/>
      </c>
      <c r="S215" s="19">
        <f>S214+IF(LEN($AC$215)&gt;0,1,0)</f>
        <v/>
      </c>
      <c r="T215" s="19">
        <f>T214+IF(LEN($AD$215)&gt;0,1,0)</f>
        <v/>
      </c>
      <c r="X215" s="19">
        <f>IF(ISERROR($B$215),"",IF(ISBLANK($B$215),"",$B$215))</f>
        <v/>
      </c>
      <c r="Y215" s="19">
        <f>IF(ISERROR($C$215),"",IF(ISBLANK($C$215),"",$C$215))</f>
        <v/>
      </c>
      <c r="Z215" s="19">
        <f>IF(ISERROR($D$215),"",IF(ISBLANK($D$215),"",$D$215))</f>
        <v/>
      </c>
      <c r="AA215" s="19">
        <f>IF(ISERROR($E$215),"",IF(ISBLANK($E$215),"",$E$215))</f>
        <v/>
      </c>
      <c r="AB215" s="19">
        <f>IF(ISERROR($F$215),"",IF(ISBLANK($F$215),"",$F$215))</f>
        <v/>
      </c>
      <c r="AC215" s="19">
        <f>IF(ISERROR($G$215),"",IF(ISBLANK($G$215),"",$G$215))</f>
        <v/>
      </c>
      <c r="AD215" s="19">
        <f>IF(ISERROR($H$215),"",IF(ISBLANK($H$215),"",$H$215))</f>
        <v/>
      </c>
      <c r="AG215" s="19">
        <f>ISERROR($B$215)*1+ISERROR($C$215)*1+ISERROR($D$215)*1+ISERROR($E$215)*1+ISERROR($F$215)*1+ISERROR($G$215)*1+ISERROR($H$215)*1</f>
        <v/>
      </c>
    </row>
    <row r="216" ht="26" customHeight="1">
      <c r="B216" s="31" t="n"/>
      <c r="C216" s="28" t="n"/>
      <c r="D216" s="28" t="n"/>
      <c r="E216" s="28" t="n"/>
      <c r="F216" s="28" t="n"/>
      <c r="G216" s="28" t="n"/>
      <c r="H216" s="28" t="n"/>
      <c r="K216" s="18">
        <f>IF(AG216&gt;0,"O Google leu como fórmula: digite de novo com ' na frente.","")</f>
        <v/>
      </c>
      <c r="N216" s="19">
        <f>N215+IF(LEN($X$216)&gt;0,1,0)</f>
        <v/>
      </c>
      <c r="O216" s="19">
        <f>O215+IF(LEN($Y$216)&gt;0,1,0)</f>
        <v/>
      </c>
      <c r="P216" s="19">
        <f>P215+IF(LEN($Z$216)&gt;0,1,0)</f>
        <v/>
      </c>
      <c r="Q216" s="19">
        <f>Q215+IF(LEN($AA$216)&gt;0,1,0)</f>
        <v/>
      </c>
      <c r="R216" s="19">
        <f>R215+IF(LEN($AB$216)&gt;0,1,0)</f>
        <v/>
      </c>
      <c r="S216" s="19">
        <f>S215+IF(LEN($AC$216)&gt;0,1,0)</f>
        <v/>
      </c>
      <c r="T216" s="19">
        <f>T215+IF(LEN($AD$216)&gt;0,1,0)</f>
        <v/>
      </c>
      <c r="X216" s="19">
        <f>IF(ISERROR($B$216),"",IF(ISBLANK($B$216),"",$B$216))</f>
        <v/>
      </c>
      <c r="Y216" s="19">
        <f>IF(ISERROR($C$216),"",IF(ISBLANK($C$216),"",$C$216))</f>
        <v/>
      </c>
      <c r="Z216" s="19">
        <f>IF(ISERROR($D$216),"",IF(ISBLANK($D$216),"",$D$216))</f>
        <v/>
      </c>
      <c r="AA216" s="19">
        <f>IF(ISERROR($E$216),"",IF(ISBLANK($E$216),"",$E$216))</f>
        <v/>
      </c>
      <c r="AB216" s="19">
        <f>IF(ISERROR($F$216),"",IF(ISBLANK($F$216),"",$F$216))</f>
        <v/>
      </c>
      <c r="AC216" s="19">
        <f>IF(ISERROR($G$216),"",IF(ISBLANK($G$216),"",$G$216))</f>
        <v/>
      </c>
      <c r="AD216" s="19">
        <f>IF(ISERROR($H$216),"",IF(ISBLANK($H$216),"",$H$216))</f>
        <v/>
      </c>
      <c r="AG216" s="19">
        <f>ISERROR($B$216)*1+ISERROR($C$216)*1+ISERROR($D$216)*1+ISERROR($E$216)*1+ISERROR($F$216)*1+ISERROR($G$216)*1+ISERROR($H$216)*1</f>
        <v/>
      </c>
    </row>
    <row r="217" ht="26" customHeight="1">
      <c r="B217" s="30" t="n"/>
      <c r="C217" s="3" t="n"/>
      <c r="D217" s="3" t="n"/>
      <c r="E217" s="3" t="n"/>
      <c r="F217" s="3" t="n"/>
      <c r="G217" s="3" t="n"/>
      <c r="H217" s="3" t="n"/>
      <c r="K217" s="18">
        <f>IF(AG217&gt;0,"O Google leu como fórmula: digite de novo com ' na frente.","")</f>
        <v/>
      </c>
      <c r="N217" s="19">
        <f>N216+IF(LEN($X$217)&gt;0,1,0)</f>
        <v/>
      </c>
      <c r="O217" s="19">
        <f>O216+IF(LEN($Y$217)&gt;0,1,0)</f>
        <v/>
      </c>
      <c r="P217" s="19">
        <f>P216+IF(LEN($Z$217)&gt;0,1,0)</f>
        <v/>
      </c>
      <c r="Q217" s="19">
        <f>Q216+IF(LEN($AA$217)&gt;0,1,0)</f>
        <v/>
      </c>
      <c r="R217" s="19">
        <f>R216+IF(LEN($AB$217)&gt;0,1,0)</f>
        <v/>
      </c>
      <c r="S217" s="19">
        <f>S216+IF(LEN($AC$217)&gt;0,1,0)</f>
        <v/>
      </c>
      <c r="T217" s="19">
        <f>T216+IF(LEN($AD$217)&gt;0,1,0)</f>
        <v/>
      </c>
      <c r="X217" s="19">
        <f>IF(ISERROR($B$217),"",IF(ISBLANK($B$217),"",$B$217))</f>
        <v/>
      </c>
      <c r="Y217" s="19">
        <f>IF(ISERROR($C$217),"",IF(ISBLANK($C$217),"",$C$217))</f>
        <v/>
      </c>
      <c r="Z217" s="19">
        <f>IF(ISERROR($D$217),"",IF(ISBLANK($D$217),"",$D$217))</f>
        <v/>
      </c>
      <c r="AA217" s="19">
        <f>IF(ISERROR($E$217),"",IF(ISBLANK($E$217),"",$E$217))</f>
        <v/>
      </c>
      <c r="AB217" s="19">
        <f>IF(ISERROR($F$217),"",IF(ISBLANK($F$217),"",$F$217))</f>
        <v/>
      </c>
      <c r="AC217" s="19">
        <f>IF(ISERROR($G$217),"",IF(ISBLANK($G$217),"",$G$217))</f>
        <v/>
      </c>
      <c r="AD217" s="19">
        <f>IF(ISERROR($H$217),"",IF(ISBLANK($H$217),"",$H$217))</f>
        <v/>
      </c>
      <c r="AG217" s="19">
        <f>ISERROR($B$217)*1+ISERROR($C$217)*1+ISERROR($D$217)*1+ISERROR($E$217)*1+ISERROR($F$217)*1+ISERROR($G$217)*1+ISERROR($H$217)*1</f>
        <v/>
      </c>
    </row>
    <row r="218" ht="26" customHeight="1">
      <c r="B218" s="31" t="n"/>
      <c r="C218" s="28" t="n"/>
      <c r="D218" s="28" t="n"/>
      <c r="E218" s="28" t="n"/>
      <c r="F218" s="28" t="n"/>
      <c r="G218" s="28" t="n"/>
      <c r="H218" s="28" t="n"/>
      <c r="K218" s="18">
        <f>IF(AG218&gt;0,"O Google leu como fórmula: digite de novo com ' na frente.","")</f>
        <v/>
      </c>
      <c r="N218" s="19">
        <f>N217+IF(LEN($X$218)&gt;0,1,0)</f>
        <v/>
      </c>
      <c r="O218" s="19">
        <f>O217+IF(LEN($Y$218)&gt;0,1,0)</f>
        <v/>
      </c>
      <c r="P218" s="19">
        <f>P217+IF(LEN($Z$218)&gt;0,1,0)</f>
        <v/>
      </c>
      <c r="Q218" s="19">
        <f>Q217+IF(LEN($AA$218)&gt;0,1,0)</f>
        <v/>
      </c>
      <c r="R218" s="19">
        <f>R217+IF(LEN($AB$218)&gt;0,1,0)</f>
        <v/>
      </c>
      <c r="S218" s="19">
        <f>S217+IF(LEN($AC$218)&gt;0,1,0)</f>
        <v/>
      </c>
      <c r="T218" s="19">
        <f>T217+IF(LEN($AD$218)&gt;0,1,0)</f>
        <v/>
      </c>
      <c r="X218" s="19">
        <f>IF(ISERROR($B$218),"",IF(ISBLANK($B$218),"",$B$218))</f>
        <v/>
      </c>
      <c r="Y218" s="19">
        <f>IF(ISERROR($C$218),"",IF(ISBLANK($C$218),"",$C$218))</f>
        <v/>
      </c>
      <c r="Z218" s="19">
        <f>IF(ISERROR($D$218),"",IF(ISBLANK($D$218),"",$D$218))</f>
        <v/>
      </c>
      <c r="AA218" s="19">
        <f>IF(ISERROR($E$218),"",IF(ISBLANK($E$218),"",$E$218))</f>
        <v/>
      </c>
      <c r="AB218" s="19">
        <f>IF(ISERROR($F$218),"",IF(ISBLANK($F$218),"",$F$218))</f>
        <v/>
      </c>
      <c r="AC218" s="19">
        <f>IF(ISERROR($G$218),"",IF(ISBLANK($G$218),"",$G$218))</f>
        <v/>
      </c>
      <c r="AD218" s="19">
        <f>IF(ISERROR($H$218),"",IF(ISBLANK($H$218),"",$H$218))</f>
        <v/>
      </c>
      <c r="AG218" s="19">
        <f>ISERROR($B$218)*1+ISERROR($C$218)*1+ISERROR($D$218)*1+ISERROR($E$218)*1+ISERROR($F$218)*1+ISERROR($G$218)*1+ISERROR($H$218)*1</f>
        <v/>
      </c>
    </row>
    <row r="219" ht="26" customHeight="1">
      <c r="B219" s="30" t="n"/>
      <c r="C219" s="3" t="n"/>
      <c r="D219" s="3" t="n"/>
      <c r="E219" s="3" t="n"/>
      <c r="F219" s="3" t="n"/>
      <c r="G219" s="3" t="n"/>
      <c r="H219" s="3" t="n"/>
      <c r="K219" s="18">
        <f>IF(AG219&gt;0,"O Google leu como fórmula: digite de novo com ' na frente.","")</f>
        <v/>
      </c>
      <c r="N219" s="19">
        <f>N218+IF(LEN($X$219)&gt;0,1,0)</f>
        <v/>
      </c>
      <c r="O219" s="19">
        <f>O218+IF(LEN($Y$219)&gt;0,1,0)</f>
        <v/>
      </c>
      <c r="P219" s="19">
        <f>P218+IF(LEN($Z$219)&gt;0,1,0)</f>
        <v/>
      </c>
      <c r="Q219" s="19">
        <f>Q218+IF(LEN($AA$219)&gt;0,1,0)</f>
        <v/>
      </c>
      <c r="R219" s="19">
        <f>R218+IF(LEN($AB$219)&gt;0,1,0)</f>
        <v/>
      </c>
      <c r="S219" s="19">
        <f>S218+IF(LEN($AC$219)&gt;0,1,0)</f>
        <v/>
      </c>
      <c r="T219" s="19">
        <f>T218+IF(LEN($AD$219)&gt;0,1,0)</f>
        <v/>
      </c>
      <c r="X219" s="19">
        <f>IF(ISERROR($B$219),"",IF(ISBLANK($B$219),"",$B$219))</f>
        <v/>
      </c>
      <c r="Y219" s="19">
        <f>IF(ISERROR($C$219),"",IF(ISBLANK($C$219),"",$C$219))</f>
        <v/>
      </c>
      <c r="Z219" s="19">
        <f>IF(ISERROR($D$219),"",IF(ISBLANK($D$219),"",$D$219))</f>
        <v/>
      </c>
      <c r="AA219" s="19">
        <f>IF(ISERROR($E$219),"",IF(ISBLANK($E$219),"",$E$219))</f>
        <v/>
      </c>
      <c r="AB219" s="19">
        <f>IF(ISERROR($F$219),"",IF(ISBLANK($F$219),"",$F$219))</f>
        <v/>
      </c>
      <c r="AC219" s="19">
        <f>IF(ISERROR($G$219),"",IF(ISBLANK($G$219),"",$G$219))</f>
        <v/>
      </c>
      <c r="AD219" s="19">
        <f>IF(ISERROR($H$219),"",IF(ISBLANK($H$219),"",$H$219))</f>
        <v/>
      </c>
      <c r="AG219" s="19">
        <f>ISERROR($B$219)*1+ISERROR($C$219)*1+ISERROR($D$219)*1+ISERROR($E$219)*1+ISERROR($F$219)*1+ISERROR($G$219)*1+ISERROR($H$219)*1</f>
        <v/>
      </c>
    </row>
    <row r="220" ht="26" customHeight="1">
      <c r="B220" s="31" t="n"/>
      <c r="C220" s="28" t="n"/>
      <c r="D220" s="28" t="n"/>
      <c r="E220" s="28" t="n"/>
      <c r="F220" s="28" t="n"/>
      <c r="G220" s="28" t="n"/>
      <c r="H220" s="28" t="n"/>
      <c r="K220" s="18">
        <f>IF(AG220&gt;0,"O Google leu como fórmula: digite de novo com ' na frente.","")</f>
        <v/>
      </c>
      <c r="N220" s="19">
        <f>N219+IF(LEN($X$220)&gt;0,1,0)</f>
        <v/>
      </c>
      <c r="O220" s="19">
        <f>O219+IF(LEN($Y$220)&gt;0,1,0)</f>
        <v/>
      </c>
      <c r="P220" s="19">
        <f>P219+IF(LEN($Z$220)&gt;0,1,0)</f>
        <v/>
      </c>
      <c r="Q220" s="19">
        <f>Q219+IF(LEN($AA$220)&gt;0,1,0)</f>
        <v/>
      </c>
      <c r="R220" s="19">
        <f>R219+IF(LEN($AB$220)&gt;0,1,0)</f>
        <v/>
      </c>
      <c r="S220" s="19">
        <f>S219+IF(LEN($AC$220)&gt;0,1,0)</f>
        <v/>
      </c>
      <c r="T220" s="19">
        <f>T219+IF(LEN($AD$220)&gt;0,1,0)</f>
        <v/>
      </c>
      <c r="X220" s="19">
        <f>IF(ISERROR($B$220),"",IF(ISBLANK($B$220),"",$B$220))</f>
        <v/>
      </c>
      <c r="Y220" s="19">
        <f>IF(ISERROR($C$220),"",IF(ISBLANK($C$220),"",$C$220))</f>
        <v/>
      </c>
      <c r="Z220" s="19">
        <f>IF(ISERROR($D$220),"",IF(ISBLANK($D$220),"",$D$220))</f>
        <v/>
      </c>
      <c r="AA220" s="19">
        <f>IF(ISERROR($E$220),"",IF(ISBLANK($E$220),"",$E$220))</f>
        <v/>
      </c>
      <c r="AB220" s="19">
        <f>IF(ISERROR($F$220),"",IF(ISBLANK($F$220),"",$F$220))</f>
        <v/>
      </c>
      <c r="AC220" s="19">
        <f>IF(ISERROR($G$220),"",IF(ISBLANK($G$220),"",$G$220))</f>
        <v/>
      </c>
      <c r="AD220" s="19">
        <f>IF(ISERROR($H$220),"",IF(ISBLANK($H$220),"",$H$220))</f>
        <v/>
      </c>
      <c r="AG220" s="19">
        <f>ISERROR($B$220)*1+ISERROR($C$220)*1+ISERROR($D$220)*1+ISERROR($E$220)*1+ISERROR($F$220)*1+ISERROR($G$220)*1+ISERROR($H$220)*1</f>
        <v/>
      </c>
    </row>
    <row r="221" ht="26" customHeight="1">
      <c r="B221" s="30" t="n"/>
      <c r="C221" s="3" t="n"/>
      <c r="D221" s="3" t="n"/>
      <c r="E221" s="3" t="n"/>
      <c r="F221" s="3" t="n"/>
      <c r="G221" s="3" t="n"/>
      <c r="H221" s="3" t="n"/>
      <c r="K221" s="18">
        <f>IF(AG221&gt;0,"O Google leu como fórmula: digite de novo com ' na frente.","")</f>
        <v/>
      </c>
      <c r="N221" s="19">
        <f>N220+IF(LEN($X$221)&gt;0,1,0)</f>
        <v/>
      </c>
      <c r="O221" s="19">
        <f>O220+IF(LEN($Y$221)&gt;0,1,0)</f>
        <v/>
      </c>
      <c r="P221" s="19">
        <f>P220+IF(LEN($Z$221)&gt;0,1,0)</f>
        <v/>
      </c>
      <c r="Q221" s="19">
        <f>Q220+IF(LEN($AA$221)&gt;0,1,0)</f>
        <v/>
      </c>
      <c r="R221" s="19">
        <f>R220+IF(LEN($AB$221)&gt;0,1,0)</f>
        <v/>
      </c>
      <c r="S221" s="19">
        <f>S220+IF(LEN($AC$221)&gt;0,1,0)</f>
        <v/>
      </c>
      <c r="T221" s="19">
        <f>T220+IF(LEN($AD$221)&gt;0,1,0)</f>
        <v/>
      </c>
      <c r="X221" s="19">
        <f>IF(ISERROR($B$221),"",IF(ISBLANK($B$221),"",$B$221))</f>
        <v/>
      </c>
      <c r="Y221" s="19">
        <f>IF(ISERROR($C$221),"",IF(ISBLANK($C$221),"",$C$221))</f>
        <v/>
      </c>
      <c r="Z221" s="19">
        <f>IF(ISERROR($D$221),"",IF(ISBLANK($D$221),"",$D$221))</f>
        <v/>
      </c>
      <c r="AA221" s="19">
        <f>IF(ISERROR($E$221),"",IF(ISBLANK($E$221),"",$E$221))</f>
        <v/>
      </c>
      <c r="AB221" s="19">
        <f>IF(ISERROR($F$221),"",IF(ISBLANK($F$221),"",$F$221))</f>
        <v/>
      </c>
      <c r="AC221" s="19">
        <f>IF(ISERROR($G$221),"",IF(ISBLANK($G$221),"",$G$221))</f>
        <v/>
      </c>
      <c r="AD221" s="19">
        <f>IF(ISERROR($H$221),"",IF(ISBLANK($H$221),"",$H$221))</f>
        <v/>
      </c>
      <c r="AG221" s="19">
        <f>ISERROR($B$221)*1+ISERROR($C$221)*1+ISERROR($D$221)*1+ISERROR($E$221)*1+ISERROR($F$221)*1+ISERROR($G$221)*1+ISERROR($H$221)*1</f>
        <v/>
      </c>
    </row>
    <row r="222" ht="26" customHeight="1">
      <c r="B222" s="31" t="n"/>
      <c r="C222" s="28" t="n"/>
      <c r="D222" s="28" t="n"/>
      <c r="E222" s="28" t="n"/>
      <c r="F222" s="28" t="n"/>
      <c r="G222" s="28" t="n"/>
      <c r="H222" s="28" t="n"/>
      <c r="K222" s="18">
        <f>IF(AG222&gt;0,"O Google leu como fórmula: digite de novo com ' na frente.","")</f>
        <v/>
      </c>
      <c r="N222" s="19">
        <f>N221+IF(LEN($X$222)&gt;0,1,0)</f>
        <v/>
      </c>
      <c r="O222" s="19">
        <f>O221+IF(LEN($Y$222)&gt;0,1,0)</f>
        <v/>
      </c>
      <c r="P222" s="19">
        <f>P221+IF(LEN($Z$222)&gt;0,1,0)</f>
        <v/>
      </c>
      <c r="Q222" s="19">
        <f>Q221+IF(LEN($AA$222)&gt;0,1,0)</f>
        <v/>
      </c>
      <c r="R222" s="19">
        <f>R221+IF(LEN($AB$222)&gt;0,1,0)</f>
        <v/>
      </c>
      <c r="S222" s="19">
        <f>S221+IF(LEN($AC$222)&gt;0,1,0)</f>
        <v/>
      </c>
      <c r="T222" s="19">
        <f>T221+IF(LEN($AD$222)&gt;0,1,0)</f>
        <v/>
      </c>
      <c r="X222" s="19">
        <f>IF(ISERROR($B$222),"",IF(ISBLANK($B$222),"",$B$222))</f>
        <v/>
      </c>
      <c r="Y222" s="19">
        <f>IF(ISERROR($C$222),"",IF(ISBLANK($C$222),"",$C$222))</f>
        <v/>
      </c>
      <c r="Z222" s="19">
        <f>IF(ISERROR($D$222),"",IF(ISBLANK($D$222),"",$D$222))</f>
        <v/>
      </c>
      <c r="AA222" s="19">
        <f>IF(ISERROR($E$222),"",IF(ISBLANK($E$222),"",$E$222))</f>
        <v/>
      </c>
      <c r="AB222" s="19">
        <f>IF(ISERROR($F$222),"",IF(ISBLANK($F$222),"",$F$222))</f>
        <v/>
      </c>
      <c r="AC222" s="19">
        <f>IF(ISERROR($G$222),"",IF(ISBLANK($G$222),"",$G$222))</f>
        <v/>
      </c>
      <c r="AD222" s="19">
        <f>IF(ISERROR($H$222),"",IF(ISBLANK($H$222),"",$H$222))</f>
        <v/>
      </c>
      <c r="AG222" s="19">
        <f>ISERROR($B$222)*1+ISERROR($C$222)*1+ISERROR($D$222)*1+ISERROR($E$222)*1+ISERROR($F$222)*1+ISERROR($G$222)*1+ISERROR($H$222)*1</f>
        <v/>
      </c>
    </row>
    <row r="223" ht="26" customHeight="1">
      <c r="B223" s="30" t="n"/>
      <c r="C223" s="3" t="n"/>
      <c r="D223" s="3" t="n"/>
      <c r="E223" s="3" t="n"/>
      <c r="F223" s="3" t="n"/>
      <c r="G223" s="3" t="n"/>
      <c r="H223" s="3" t="n"/>
      <c r="K223" s="18">
        <f>IF(AG223&gt;0,"O Google leu como fórmula: digite de novo com ' na frente.","")</f>
        <v/>
      </c>
      <c r="N223" s="19">
        <f>N222+IF(LEN($X$223)&gt;0,1,0)</f>
        <v/>
      </c>
      <c r="O223" s="19">
        <f>O222+IF(LEN($Y$223)&gt;0,1,0)</f>
        <v/>
      </c>
      <c r="P223" s="19">
        <f>P222+IF(LEN($Z$223)&gt;0,1,0)</f>
        <v/>
      </c>
      <c r="Q223" s="19">
        <f>Q222+IF(LEN($AA$223)&gt;0,1,0)</f>
        <v/>
      </c>
      <c r="R223" s="19">
        <f>R222+IF(LEN($AB$223)&gt;0,1,0)</f>
        <v/>
      </c>
      <c r="S223" s="19">
        <f>S222+IF(LEN($AC$223)&gt;0,1,0)</f>
        <v/>
      </c>
      <c r="T223" s="19">
        <f>T222+IF(LEN($AD$223)&gt;0,1,0)</f>
        <v/>
      </c>
      <c r="X223" s="19">
        <f>IF(ISERROR($B$223),"",IF(ISBLANK($B$223),"",$B$223))</f>
        <v/>
      </c>
      <c r="Y223" s="19">
        <f>IF(ISERROR($C$223),"",IF(ISBLANK($C$223),"",$C$223))</f>
        <v/>
      </c>
      <c r="Z223" s="19">
        <f>IF(ISERROR($D$223),"",IF(ISBLANK($D$223),"",$D$223))</f>
        <v/>
      </c>
      <c r="AA223" s="19">
        <f>IF(ISERROR($E$223),"",IF(ISBLANK($E$223),"",$E$223))</f>
        <v/>
      </c>
      <c r="AB223" s="19">
        <f>IF(ISERROR($F$223),"",IF(ISBLANK($F$223),"",$F$223))</f>
        <v/>
      </c>
      <c r="AC223" s="19">
        <f>IF(ISERROR($G$223),"",IF(ISBLANK($G$223),"",$G$223))</f>
        <v/>
      </c>
      <c r="AD223" s="19">
        <f>IF(ISERROR($H$223),"",IF(ISBLANK($H$223),"",$H$223))</f>
        <v/>
      </c>
      <c r="AG223" s="19">
        <f>ISERROR($B$223)*1+ISERROR($C$223)*1+ISERROR($D$223)*1+ISERROR($E$223)*1+ISERROR($F$223)*1+ISERROR($G$223)*1+ISERROR($H$223)*1</f>
        <v/>
      </c>
    </row>
    <row r="224" ht="15" customHeight="1">
      <c r="B224" s="7" t="inlineStr">
        <is>
          <t>Nome — Humano</t>
        </is>
      </c>
      <c r="C224" s="7" t="inlineStr">
        <is>
          <t>Nome — Xianzhouíta</t>
        </is>
      </c>
      <c r="D224" s="7" t="inlineStr">
        <is>
          <t>Nome — Vidyadhara</t>
        </is>
      </c>
      <c r="E224" s="7" t="inlineStr">
        <is>
          <t>Nome — Vulpes</t>
        </is>
      </c>
      <c r="F224" s="7" t="inlineStr">
        <is>
          <t>Nome — Haloviano</t>
        </is>
      </c>
      <c r="G224" s="7" t="inlineStr">
        <is>
          <t>Nome — Avginiano</t>
        </is>
      </c>
      <c r="H224" s="7" t="inlineStr">
        <is>
          <t>Nome — Intellitron</t>
        </is>
      </c>
      <c r="N224" s="19">
        <f>N223</f>
        <v/>
      </c>
      <c r="O224" s="19">
        <f>O223</f>
        <v/>
      </c>
      <c r="P224" s="19">
        <f>P223</f>
        <v/>
      </c>
      <c r="Q224" s="19">
        <f>Q223</f>
        <v/>
      </c>
      <c r="R224" s="19">
        <f>R223</f>
        <v/>
      </c>
      <c r="S224" s="19">
        <f>S223</f>
        <v/>
      </c>
      <c r="T224" s="19">
        <f>T223</f>
        <v/>
      </c>
      <c r="X224" s="19">
        <f>IF(ISERROR($B$224),"",IF(ISBLANK($B$224),"",$B$224))</f>
        <v/>
      </c>
      <c r="Y224" s="19">
        <f>IF(ISERROR($C$224),"",IF(ISBLANK($C$224),"",$C$224))</f>
        <v/>
      </c>
      <c r="Z224" s="19">
        <f>IF(ISERROR($D$224),"",IF(ISBLANK($D$224),"",$D$224))</f>
        <v/>
      </c>
      <c r="AA224" s="19">
        <f>IF(ISERROR($E$224),"",IF(ISBLANK($E$224),"",$E$224))</f>
        <v/>
      </c>
      <c r="AB224" s="19">
        <f>IF(ISERROR($F$224),"",IF(ISBLANK($F$224),"",$F$224))</f>
        <v/>
      </c>
      <c r="AC224" s="19">
        <f>IF(ISERROR($G$224),"",IF(ISBLANK($G$224),"",$G$224))</f>
        <v/>
      </c>
      <c r="AD224" s="19">
        <f>IF(ISERROR($H$224),"",IF(ISBLANK($H$224),"",$H$224))</f>
        <v/>
      </c>
    </row>
    <row r="225" ht="26" customHeight="1">
      <c r="B225" s="30" t="n"/>
      <c r="C225" s="3" t="n"/>
      <c r="D225" s="3" t="n"/>
      <c r="E225" s="3" t="n"/>
      <c r="F225" s="3" t="n"/>
      <c r="G225" s="3" t="n"/>
      <c r="H225" s="3" t="n"/>
      <c r="K225" s="18">
        <f>IF(AG225&gt;0,"O Google leu como fórmula: digite de novo com ' na frente.","")</f>
        <v/>
      </c>
      <c r="N225" s="19">
        <f>N224+IF(LEN($X$225)&gt;0,1,0)</f>
        <v/>
      </c>
      <c r="O225" s="19">
        <f>O224+IF(LEN($Y$225)&gt;0,1,0)</f>
        <v/>
      </c>
      <c r="P225" s="19">
        <f>P224+IF(LEN($Z$225)&gt;0,1,0)</f>
        <v/>
      </c>
      <c r="Q225" s="19">
        <f>Q224+IF(LEN($AA$225)&gt;0,1,0)</f>
        <v/>
      </c>
      <c r="R225" s="19">
        <f>R224+IF(LEN($AB$225)&gt;0,1,0)</f>
        <v/>
      </c>
      <c r="S225" s="19">
        <f>S224+IF(LEN($AC$225)&gt;0,1,0)</f>
        <v/>
      </c>
      <c r="T225" s="19">
        <f>T224+IF(LEN($AD$225)&gt;0,1,0)</f>
        <v/>
      </c>
      <c r="X225" s="19">
        <f>IF(ISERROR($B$225),"",IF(ISBLANK($B$225),"",$B$225))</f>
        <v/>
      </c>
      <c r="Y225" s="19">
        <f>IF(ISERROR($C$225),"",IF(ISBLANK($C$225),"",$C$225))</f>
        <v/>
      </c>
      <c r="Z225" s="19">
        <f>IF(ISERROR($D$225),"",IF(ISBLANK($D$225),"",$D$225))</f>
        <v/>
      </c>
      <c r="AA225" s="19">
        <f>IF(ISERROR($E$225),"",IF(ISBLANK($E$225),"",$E$225))</f>
        <v/>
      </c>
      <c r="AB225" s="19">
        <f>IF(ISERROR($F$225),"",IF(ISBLANK($F$225),"",$F$225))</f>
        <v/>
      </c>
      <c r="AC225" s="19">
        <f>IF(ISERROR($G$225),"",IF(ISBLANK($G$225),"",$G$225))</f>
        <v/>
      </c>
      <c r="AD225" s="19">
        <f>IF(ISERROR($H$225),"",IF(ISBLANK($H$225),"",$H$225))</f>
        <v/>
      </c>
      <c r="AG225" s="19">
        <f>ISERROR($B$225)*1+ISERROR($C$225)*1+ISERROR($D$225)*1+ISERROR($E$225)*1+ISERROR($F$225)*1+ISERROR($G$225)*1+ISERROR($H$225)*1</f>
        <v/>
      </c>
    </row>
    <row r="226" ht="26" customHeight="1">
      <c r="B226" s="31" t="n"/>
      <c r="C226" s="28" t="n"/>
      <c r="D226" s="28" t="n"/>
      <c r="E226" s="28" t="n"/>
      <c r="F226" s="28" t="n"/>
      <c r="G226" s="28" t="n"/>
      <c r="H226" s="28" t="n"/>
      <c r="K226" s="18">
        <f>IF(AG226&gt;0,"O Google leu como fórmula: digite de novo com ' na frente.","")</f>
        <v/>
      </c>
      <c r="N226" s="19">
        <f>N225+IF(LEN($X$226)&gt;0,1,0)</f>
        <v/>
      </c>
      <c r="O226" s="19">
        <f>O225+IF(LEN($Y$226)&gt;0,1,0)</f>
        <v/>
      </c>
      <c r="P226" s="19">
        <f>P225+IF(LEN($Z$226)&gt;0,1,0)</f>
        <v/>
      </c>
      <c r="Q226" s="19">
        <f>Q225+IF(LEN($AA$226)&gt;0,1,0)</f>
        <v/>
      </c>
      <c r="R226" s="19">
        <f>R225+IF(LEN($AB$226)&gt;0,1,0)</f>
        <v/>
      </c>
      <c r="S226" s="19">
        <f>S225+IF(LEN($AC$226)&gt;0,1,0)</f>
        <v/>
      </c>
      <c r="T226" s="19">
        <f>T225+IF(LEN($AD$226)&gt;0,1,0)</f>
        <v/>
      </c>
      <c r="X226" s="19">
        <f>IF(ISERROR($B$226),"",IF(ISBLANK($B$226),"",$B$226))</f>
        <v/>
      </c>
      <c r="Y226" s="19">
        <f>IF(ISERROR($C$226),"",IF(ISBLANK($C$226),"",$C$226))</f>
        <v/>
      </c>
      <c r="Z226" s="19">
        <f>IF(ISERROR($D$226),"",IF(ISBLANK($D$226),"",$D$226))</f>
        <v/>
      </c>
      <c r="AA226" s="19">
        <f>IF(ISERROR($E$226),"",IF(ISBLANK($E$226),"",$E$226))</f>
        <v/>
      </c>
      <c r="AB226" s="19">
        <f>IF(ISERROR($F$226),"",IF(ISBLANK($F$226),"",$F$226))</f>
        <v/>
      </c>
      <c r="AC226" s="19">
        <f>IF(ISERROR($G$226),"",IF(ISBLANK($G$226),"",$G$226))</f>
        <v/>
      </c>
      <c r="AD226" s="19">
        <f>IF(ISERROR($H$226),"",IF(ISBLANK($H$226),"",$H$226))</f>
        <v/>
      </c>
      <c r="AG226" s="19">
        <f>ISERROR($B$226)*1+ISERROR($C$226)*1+ISERROR($D$226)*1+ISERROR($E$226)*1+ISERROR($F$226)*1+ISERROR($G$226)*1+ISERROR($H$226)*1</f>
        <v/>
      </c>
    </row>
    <row r="227" ht="26" customHeight="1">
      <c r="B227" s="30" t="n"/>
      <c r="C227" s="3" t="n"/>
      <c r="D227" s="3" t="n"/>
      <c r="E227" s="3" t="n"/>
      <c r="F227" s="3" t="n"/>
      <c r="G227" s="3" t="n"/>
      <c r="H227" s="3" t="n"/>
      <c r="K227" s="18">
        <f>IF(AG227&gt;0,"O Google leu como fórmula: digite de novo com ' na frente.","")</f>
        <v/>
      </c>
      <c r="N227" s="19">
        <f>N226+IF(LEN($X$227)&gt;0,1,0)</f>
        <v/>
      </c>
      <c r="O227" s="19">
        <f>O226+IF(LEN($Y$227)&gt;0,1,0)</f>
        <v/>
      </c>
      <c r="P227" s="19">
        <f>P226+IF(LEN($Z$227)&gt;0,1,0)</f>
        <v/>
      </c>
      <c r="Q227" s="19">
        <f>Q226+IF(LEN($AA$227)&gt;0,1,0)</f>
        <v/>
      </c>
      <c r="R227" s="19">
        <f>R226+IF(LEN($AB$227)&gt;0,1,0)</f>
        <v/>
      </c>
      <c r="S227" s="19">
        <f>S226+IF(LEN($AC$227)&gt;0,1,0)</f>
        <v/>
      </c>
      <c r="T227" s="19">
        <f>T226+IF(LEN($AD$227)&gt;0,1,0)</f>
        <v/>
      </c>
      <c r="X227" s="19">
        <f>IF(ISERROR($B$227),"",IF(ISBLANK($B$227),"",$B$227))</f>
        <v/>
      </c>
      <c r="Y227" s="19">
        <f>IF(ISERROR($C$227),"",IF(ISBLANK($C$227),"",$C$227))</f>
        <v/>
      </c>
      <c r="Z227" s="19">
        <f>IF(ISERROR($D$227),"",IF(ISBLANK($D$227),"",$D$227))</f>
        <v/>
      </c>
      <c r="AA227" s="19">
        <f>IF(ISERROR($E$227),"",IF(ISBLANK($E$227),"",$E$227))</f>
        <v/>
      </c>
      <c r="AB227" s="19">
        <f>IF(ISERROR($F$227),"",IF(ISBLANK($F$227),"",$F$227))</f>
        <v/>
      </c>
      <c r="AC227" s="19">
        <f>IF(ISERROR($G$227),"",IF(ISBLANK($G$227),"",$G$227))</f>
        <v/>
      </c>
      <c r="AD227" s="19">
        <f>IF(ISERROR($H$227),"",IF(ISBLANK($H$227),"",$H$227))</f>
        <v/>
      </c>
      <c r="AG227" s="19">
        <f>ISERROR($B$227)*1+ISERROR($C$227)*1+ISERROR($D$227)*1+ISERROR($E$227)*1+ISERROR($F$227)*1+ISERROR($G$227)*1+ISERROR($H$227)*1</f>
        <v/>
      </c>
    </row>
    <row r="228" ht="26" customHeight="1">
      <c r="B228" s="31" t="n"/>
      <c r="C228" s="28" t="n"/>
      <c r="D228" s="28" t="n"/>
      <c r="E228" s="28" t="n"/>
      <c r="F228" s="28" t="n"/>
      <c r="G228" s="28" t="n"/>
      <c r="H228" s="28" t="n"/>
      <c r="K228" s="18">
        <f>IF(AG228&gt;0,"O Google leu como fórmula: digite de novo com ' na frente.","")</f>
        <v/>
      </c>
      <c r="N228" s="19">
        <f>N227+IF(LEN($X$228)&gt;0,1,0)</f>
        <v/>
      </c>
      <c r="O228" s="19">
        <f>O227+IF(LEN($Y$228)&gt;0,1,0)</f>
        <v/>
      </c>
      <c r="P228" s="19">
        <f>P227+IF(LEN($Z$228)&gt;0,1,0)</f>
        <v/>
      </c>
      <c r="Q228" s="19">
        <f>Q227+IF(LEN($AA$228)&gt;0,1,0)</f>
        <v/>
      </c>
      <c r="R228" s="19">
        <f>R227+IF(LEN($AB$228)&gt;0,1,0)</f>
        <v/>
      </c>
      <c r="S228" s="19">
        <f>S227+IF(LEN($AC$228)&gt;0,1,0)</f>
        <v/>
      </c>
      <c r="T228" s="19">
        <f>T227+IF(LEN($AD$228)&gt;0,1,0)</f>
        <v/>
      </c>
      <c r="X228" s="19">
        <f>IF(ISERROR($B$228),"",IF(ISBLANK($B$228),"",$B$228))</f>
        <v/>
      </c>
      <c r="Y228" s="19">
        <f>IF(ISERROR($C$228),"",IF(ISBLANK($C$228),"",$C$228))</f>
        <v/>
      </c>
      <c r="Z228" s="19">
        <f>IF(ISERROR($D$228),"",IF(ISBLANK($D$228),"",$D$228))</f>
        <v/>
      </c>
      <c r="AA228" s="19">
        <f>IF(ISERROR($E$228),"",IF(ISBLANK($E$228),"",$E$228))</f>
        <v/>
      </c>
      <c r="AB228" s="19">
        <f>IF(ISERROR($F$228),"",IF(ISBLANK($F$228),"",$F$228))</f>
        <v/>
      </c>
      <c r="AC228" s="19">
        <f>IF(ISERROR($G$228),"",IF(ISBLANK($G$228),"",$G$228))</f>
        <v/>
      </c>
      <c r="AD228" s="19">
        <f>IF(ISERROR($H$228),"",IF(ISBLANK($H$228),"",$H$228))</f>
        <v/>
      </c>
      <c r="AG228" s="19">
        <f>ISERROR($B$228)*1+ISERROR($C$228)*1+ISERROR($D$228)*1+ISERROR($E$228)*1+ISERROR($F$228)*1+ISERROR($G$228)*1+ISERROR($H$228)*1</f>
        <v/>
      </c>
    </row>
    <row r="229" ht="26" customHeight="1">
      <c r="B229" s="30" t="n"/>
      <c r="C229" s="3" t="n"/>
      <c r="D229" s="3" t="n"/>
      <c r="E229" s="3" t="n"/>
      <c r="F229" s="3" t="n"/>
      <c r="G229" s="3" t="n"/>
      <c r="H229" s="3" t="n"/>
      <c r="K229" s="18">
        <f>IF(AG229&gt;0,"O Google leu como fórmula: digite de novo com ' na frente.","")</f>
        <v/>
      </c>
      <c r="N229" s="19">
        <f>N228+IF(LEN($X$229)&gt;0,1,0)</f>
        <v/>
      </c>
      <c r="O229" s="19">
        <f>O228+IF(LEN($Y$229)&gt;0,1,0)</f>
        <v/>
      </c>
      <c r="P229" s="19">
        <f>P228+IF(LEN($Z$229)&gt;0,1,0)</f>
        <v/>
      </c>
      <c r="Q229" s="19">
        <f>Q228+IF(LEN($AA$229)&gt;0,1,0)</f>
        <v/>
      </c>
      <c r="R229" s="19">
        <f>R228+IF(LEN($AB$229)&gt;0,1,0)</f>
        <v/>
      </c>
      <c r="S229" s="19">
        <f>S228+IF(LEN($AC$229)&gt;0,1,0)</f>
        <v/>
      </c>
      <c r="T229" s="19">
        <f>T228+IF(LEN($AD$229)&gt;0,1,0)</f>
        <v/>
      </c>
      <c r="X229" s="19">
        <f>IF(ISERROR($B$229),"",IF(ISBLANK($B$229),"",$B$229))</f>
        <v/>
      </c>
      <c r="Y229" s="19">
        <f>IF(ISERROR($C$229),"",IF(ISBLANK($C$229),"",$C$229))</f>
        <v/>
      </c>
      <c r="Z229" s="19">
        <f>IF(ISERROR($D$229),"",IF(ISBLANK($D$229),"",$D$229))</f>
        <v/>
      </c>
      <c r="AA229" s="19">
        <f>IF(ISERROR($E$229),"",IF(ISBLANK($E$229),"",$E$229))</f>
        <v/>
      </c>
      <c r="AB229" s="19">
        <f>IF(ISERROR($F$229),"",IF(ISBLANK($F$229),"",$F$229))</f>
        <v/>
      </c>
      <c r="AC229" s="19">
        <f>IF(ISERROR($G$229),"",IF(ISBLANK($G$229),"",$G$229))</f>
        <v/>
      </c>
      <c r="AD229" s="19">
        <f>IF(ISERROR($H$229),"",IF(ISBLANK($H$229),"",$H$229))</f>
        <v/>
      </c>
      <c r="AG229" s="19">
        <f>ISERROR($B$229)*1+ISERROR($C$229)*1+ISERROR($D$229)*1+ISERROR($E$229)*1+ISERROR($F$229)*1+ISERROR($G$229)*1+ISERROR($H$229)*1</f>
        <v/>
      </c>
    </row>
    <row r="230" ht="26" customHeight="1">
      <c r="B230" s="31" t="n"/>
      <c r="C230" s="28" t="n"/>
      <c r="D230" s="28" t="n"/>
      <c r="E230" s="28" t="n"/>
      <c r="F230" s="28" t="n"/>
      <c r="G230" s="28" t="n"/>
      <c r="H230" s="28" t="n"/>
      <c r="K230" s="18">
        <f>IF(AG230&gt;0,"O Google leu como fórmula: digite de novo com ' na frente.","")</f>
        <v/>
      </c>
      <c r="N230" s="19">
        <f>N229+IF(LEN($X$230)&gt;0,1,0)</f>
        <v/>
      </c>
      <c r="O230" s="19">
        <f>O229+IF(LEN($Y$230)&gt;0,1,0)</f>
        <v/>
      </c>
      <c r="P230" s="19">
        <f>P229+IF(LEN($Z$230)&gt;0,1,0)</f>
        <v/>
      </c>
      <c r="Q230" s="19">
        <f>Q229+IF(LEN($AA$230)&gt;0,1,0)</f>
        <v/>
      </c>
      <c r="R230" s="19">
        <f>R229+IF(LEN($AB$230)&gt;0,1,0)</f>
        <v/>
      </c>
      <c r="S230" s="19">
        <f>S229+IF(LEN($AC$230)&gt;0,1,0)</f>
        <v/>
      </c>
      <c r="T230" s="19">
        <f>T229+IF(LEN($AD$230)&gt;0,1,0)</f>
        <v/>
      </c>
      <c r="X230" s="19">
        <f>IF(ISERROR($B$230),"",IF(ISBLANK($B$230),"",$B$230))</f>
        <v/>
      </c>
      <c r="Y230" s="19">
        <f>IF(ISERROR($C$230),"",IF(ISBLANK($C$230),"",$C$230))</f>
        <v/>
      </c>
      <c r="Z230" s="19">
        <f>IF(ISERROR($D$230),"",IF(ISBLANK($D$230),"",$D$230))</f>
        <v/>
      </c>
      <c r="AA230" s="19">
        <f>IF(ISERROR($E$230),"",IF(ISBLANK($E$230),"",$E$230))</f>
        <v/>
      </c>
      <c r="AB230" s="19">
        <f>IF(ISERROR($F$230),"",IF(ISBLANK($F$230),"",$F$230))</f>
        <v/>
      </c>
      <c r="AC230" s="19">
        <f>IF(ISERROR($G$230),"",IF(ISBLANK($G$230),"",$G$230))</f>
        <v/>
      </c>
      <c r="AD230" s="19">
        <f>IF(ISERROR($H$230),"",IF(ISBLANK($H$230),"",$H$230))</f>
        <v/>
      </c>
      <c r="AG230" s="19">
        <f>ISERROR($B$230)*1+ISERROR($C$230)*1+ISERROR($D$230)*1+ISERROR($E$230)*1+ISERROR($F$230)*1+ISERROR($G$230)*1+ISERROR($H$230)*1</f>
        <v/>
      </c>
    </row>
    <row r="231" ht="26" customHeight="1">
      <c r="B231" s="30" t="n"/>
      <c r="C231" s="3" t="n"/>
      <c r="D231" s="3" t="n"/>
      <c r="E231" s="3" t="n"/>
      <c r="F231" s="3" t="n"/>
      <c r="G231" s="3" t="n"/>
      <c r="H231" s="3" t="n"/>
      <c r="K231" s="18">
        <f>IF(AG231&gt;0,"O Google leu como fórmula: digite de novo com ' na frente.","")</f>
        <v/>
      </c>
      <c r="N231" s="19">
        <f>N230+IF(LEN($X$231)&gt;0,1,0)</f>
        <v/>
      </c>
      <c r="O231" s="19">
        <f>O230+IF(LEN($Y$231)&gt;0,1,0)</f>
        <v/>
      </c>
      <c r="P231" s="19">
        <f>P230+IF(LEN($Z$231)&gt;0,1,0)</f>
        <v/>
      </c>
      <c r="Q231" s="19">
        <f>Q230+IF(LEN($AA$231)&gt;0,1,0)</f>
        <v/>
      </c>
      <c r="R231" s="19">
        <f>R230+IF(LEN($AB$231)&gt;0,1,0)</f>
        <v/>
      </c>
      <c r="S231" s="19">
        <f>S230+IF(LEN($AC$231)&gt;0,1,0)</f>
        <v/>
      </c>
      <c r="T231" s="19">
        <f>T230+IF(LEN($AD$231)&gt;0,1,0)</f>
        <v/>
      </c>
      <c r="X231" s="19">
        <f>IF(ISERROR($B$231),"",IF(ISBLANK($B$231),"",$B$231))</f>
        <v/>
      </c>
      <c r="Y231" s="19">
        <f>IF(ISERROR($C$231),"",IF(ISBLANK($C$231),"",$C$231))</f>
        <v/>
      </c>
      <c r="Z231" s="19">
        <f>IF(ISERROR($D$231),"",IF(ISBLANK($D$231),"",$D$231))</f>
        <v/>
      </c>
      <c r="AA231" s="19">
        <f>IF(ISERROR($E$231),"",IF(ISBLANK($E$231),"",$E$231))</f>
        <v/>
      </c>
      <c r="AB231" s="19">
        <f>IF(ISERROR($F$231),"",IF(ISBLANK($F$231),"",$F$231))</f>
        <v/>
      </c>
      <c r="AC231" s="19">
        <f>IF(ISERROR($G$231),"",IF(ISBLANK($G$231),"",$G$231))</f>
        <v/>
      </c>
      <c r="AD231" s="19">
        <f>IF(ISERROR($H$231),"",IF(ISBLANK($H$231),"",$H$231))</f>
        <v/>
      </c>
      <c r="AG231" s="19">
        <f>ISERROR($B$231)*1+ISERROR($C$231)*1+ISERROR($D$231)*1+ISERROR($E$231)*1+ISERROR($F$231)*1+ISERROR($G$231)*1+ISERROR($H$231)*1</f>
        <v/>
      </c>
    </row>
    <row r="232" ht="26" customHeight="1">
      <c r="B232" s="31" t="n"/>
      <c r="C232" s="28" t="n"/>
      <c r="D232" s="28" t="n"/>
      <c r="E232" s="28" t="n"/>
      <c r="F232" s="28" t="n"/>
      <c r="G232" s="28" t="n"/>
      <c r="H232" s="28" t="n"/>
      <c r="K232" s="18">
        <f>IF(AG232&gt;0,"O Google leu como fórmula: digite de novo com ' na frente.","")</f>
        <v/>
      </c>
      <c r="N232" s="19">
        <f>N231+IF(LEN($X$232)&gt;0,1,0)</f>
        <v/>
      </c>
      <c r="O232" s="19">
        <f>O231+IF(LEN($Y$232)&gt;0,1,0)</f>
        <v/>
      </c>
      <c r="P232" s="19">
        <f>P231+IF(LEN($Z$232)&gt;0,1,0)</f>
        <v/>
      </c>
      <c r="Q232" s="19">
        <f>Q231+IF(LEN($AA$232)&gt;0,1,0)</f>
        <v/>
      </c>
      <c r="R232" s="19">
        <f>R231+IF(LEN($AB$232)&gt;0,1,0)</f>
        <v/>
      </c>
      <c r="S232" s="19">
        <f>S231+IF(LEN($AC$232)&gt;0,1,0)</f>
        <v/>
      </c>
      <c r="T232" s="19">
        <f>T231+IF(LEN($AD$232)&gt;0,1,0)</f>
        <v/>
      </c>
      <c r="X232" s="19">
        <f>IF(ISERROR($B$232),"",IF(ISBLANK($B$232),"",$B$232))</f>
        <v/>
      </c>
      <c r="Y232" s="19">
        <f>IF(ISERROR($C$232),"",IF(ISBLANK($C$232),"",$C$232))</f>
        <v/>
      </c>
      <c r="Z232" s="19">
        <f>IF(ISERROR($D$232),"",IF(ISBLANK($D$232),"",$D$232))</f>
        <v/>
      </c>
      <c r="AA232" s="19">
        <f>IF(ISERROR($E$232),"",IF(ISBLANK($E$232),"",$E$232))</f>
        <v/>
      </c>
      <c r="AB232" s="19">
        <f>IF(ISERROR($F$232),"",IF(ISBLANK($F$232),"",$F$232))</f>
        <v/>
      </c>
      <c r="AC232" s="19">
        <f>IF(ISERROR($G$232),"",IF(ISBLANK($G$232),"",$G$232))</f>
        <v/>
      </c>
      <c r="AD232" s="19">
        <f>IF(ISERROR($H$232),"",IF(ISBLANK($H$232),"",$H$232))</f>
        <v/>
      </c>
      <c r="AG232" s="19">
        <f>ISERROR($B$232)*1+ISERROR($C$232)*1+ISERROR($D$232)*1+ISERROR($E$232)*1+ISERROR($F$232)*1+ISERROR($G$232)*1+ISERROR($H$232)*1</f>
        <v/>
      </c>
    </row>
    <row r="233" ht="26" customHeight="1">
      <c r="B233" s="30" t="n"/>
      <c r="C233" s="3" t="n"/>
      <c r="D233" s="3" t="n"/>
      <c r="E233" s="3" t="n"/>
      <c r="F233" s="3" t="n"/>
      <c r="G233" s="3" t="n"/>
      <c r="H233" s="3" t="n"/>
      <c r="K233" s="18">
        <f>IF(AG233&gt;0,"O Google leu como fórmula: digite de novo com ' na frente.","")</f>
        <v/>
      </c>
      <c r="N233" s="19">
        <f>N232+IF(LEN($X$233)&gt;0,1,0)</f>
        <v/>
      </c>
      <c r="O233" s="19">
        <f>O232+IF(LEN($Y$233)&gt;0,1,0)</f>
        <v/>
      </c>
      <c r="P233" s="19">
        <f>P232+IF(LEN($Z$233)&gt;0,1,0)</f>
        <v/>
      </c>
      <c r="Q233" s="19">
        <f>Q232+IF(LEN($AA$233)&gt;0,1,0)</f>
        <v/>
      </c>
      <c r="R233" s="19">
        <f>R232+IF(LEN($AB$233)&gt;0,1,0)</f>
        <v/>
      </c>
      <c r="S233" s="19">
        <f>S232+IF(LEN($AC$233)&gt;0,1,0)</f>
        <v/>
      </c>
      <c r="T233" s="19">
        <f>T232+IF(LEN($AD$233)&gt;0,1,0)</f>
        <v/>
      </c>
      <c r="X233" s="19">
        <f>IF(ISERROR($B$233),"",IF(ISBLANK($B$233),"",$B$233))</f>
        <v/>
      </c>
      <c r="Y233" s="19">
        <f>IF(ISERROR($C$233),"",IF(ISBLANK($C$233),"",$C$233))</f>
        <v/>
      </c>
      <c r="Z233" s="19">
        <f>IF(ISERROR($D$233),"",IF(ISBLANK($D$233),"",$D$233))</f>
        <v/>
      </c>
      <c r="AA233" s="19">
        <f>IF(ISERROR($E$233),"",IF(ISBLANK($E$233),"",$E$233))</f>
        <v/>
      </c>
      <c r="AB233" s="19">
        <f>IF(ISERROR($F$233),"",IF(ISBLANK($F$233),"",$F$233))</f>
        <v/>
      </c>
      <c r="AC233" s="19">
        <f>IF(ISERROR($G$233),"",IF(ISBLANK($G$233),"",$G$233))</f>
        <v/>
      </c>
      <c r="AD233" s="19">
        <f>IF(ISERROR($H$233),"",IF(ISBLANK($H$233),"",$H$233))</f>
        <v/>
      </c>
      <c r="AG233" s="19">
        <f>ISERROR($B$233)*1+ISERROR($C$233)*1+ISERROR($D$233)*1+ISERROR($E$233)*1+ISERROR($F$233)*1+ISERROR($G$233)*1+ISERROR($H$233)*1</f>
        <v/>
      </c>
    </row>
    <row r="234"/>
    <row r="235" ht="20" customHeight="1">
      <c r="A235" s="12" t="inlineStr">
        <is>
          <t>Sobrenomes, epítetos, clãs e nomes escolhidos (05) — Sugestão da planilha — 100 vagas por lista</t>
        </is>
      </c>
    </row>
    <row r="236">
      <c r="A236" s="11" t="inlineStr">
        <is>
          <t>Apague para trocar, use as vagas vazias para ampliar. Não insira linhas: o contador corrido pularia a linha nova.</t>
        </is>
      </c>
    </row>
    <row r="237">
      <c r="A237" s="7" t="inlineStr">
        <is>
          <t>Lista</t>
        </is>
      </c>
      <c r="B237" s="7" t="inlineStr">
        <is>
          <t>Sobrenome — Humano</t>
        </is>
      </c>
      <c r="C237" s="7" t="inlineStr">
        <is>
          <t>Sobrenome — Xianzhouíta</t>
        </is>
      </c>
      <c r="D237" s="7" t="inlineStr">
        <is>
          <t>Sobrenome — Vidyadhara</t>
        </is>
      </c>
      <c r="E237" s="7" t="inlineStr">
        <is>
          <t>Sobrenome — Vulpes</t>
        </is>
      </c>
      <c r="F237" s="7" t="inlineStr">
        <is>
          <t>Sobrenome — Haloviano</t>
        </is>
      </c>
      <c r="G237" s="7" t="inlineStr">
        <is>
          <t>Sobrenome — Avginiano</t>
        </is>
      </c>
      <c r="H237" s="7" t="inlineStr">
        <is>
          <t>Sobrenome — Intellitron</t>
        </is>
      </c>
    </row>
    <row r="238" ht="26" customHeight="1">
      <c r="A238" s="8" t="inlineStr">
        <is>
          <t>Fonte</t>
        </is>
      </c>
      <c r="B238" s="13" t="inlineStr">
        <is>
          <t>Sugestão da planilha (estilo de 05, Humano)</t>
        </is>
      </c>
      <c r="C238" s="13" t="inlineStr">
        <is>
          <t>Sugestão da planilha (estilo de 05, Xianzhouíta)</t>
        </is>
      </c>
      <c r="D238" s="13" t="inlineStr">
        <is>
          <t>Sugestão da planilha (estilo de 05, Vidyadhara)</t>
        </is>
      </c>
      <c r="E238" s="13" t="inlineStr">
        <is>
          <t>Sugestão da planilha (estilo de 05, Vulpes)</t>
        </is>
      </c>
      <c r="F238" s="13" t="inlineStr">
        <is>
          <t>Sugestão da planilha (estilo de 05, Haloviano)</t>
        </is>
      </c>
      <c r="G238" s="13" t="inlineStr">
        <is>
          <t>Sugestão da planilha (estilo de 05, Avginiano)</t>
        </is>
      </c>
      <c r="H238" s="13" t="inlineStr">
        <is>
          <t>Sugestão da planilha (estilo de 05, Intellitron)</t>
        </is>
      </c>
    </row>
    <row r="239" ht="26" customHeight="1">
      <c r="A239" s="21" t="inlineStr">
        <is>
          <t>Tamanho da lista</t>
        </is>
      </c>
      <c r="B239" s="29">
        <f>N348</f>
        <v/>
      </c>
      <c r="C239" s="29">
        <f>O348</f>
        <v/>
      </c>
      <c r="D239" s="29">
        <f>P348</f>
        <v/>
      </c>
      <c r="E239" s="29">
        <f>Q348</f>
        <v/>
      </c>
      <c r="F239" s="29">
        <f>R348</f>
        <v/>
      </c>
      <c r="G239" s="29">
        <f>S348</f>
        <v/>
      </c>
      <c r="H239" s="29">
        <f>T348</f>
        <v/>
      </c>
    </row>
    <row r="240" ht="26" customHeight="1">
      <c r="A240" s="8" t="inlineStr">
        <is>
          <t>Aviso</t>
        </is>
      </c>
      <c r="B240" s="18">
        <f>IF(N348&gt;=100,"Lista cheia (100): use Minhas Tabelas para uma lista maior","")</f>
        <v/>
      </c>
      <c r="C240" s="18">
        <f>IF(O348&gt;=100,"Lista cheia (100): use Minhas Tabelas para uma lista maior","")</f>
        <v/>
      </c>
      <c r="D240" s="18">
        <f>IF(P348&gt;=100,"Lista cheia (100): use Minhas Tabelas para uma lista maior","")</f>
        <v/>
      </c>
      <c r="E240" s="18">
        <f>IF(Q348&gt;=100,"Lista cheia (100): use Minhas Tabelas para uma lista maior","")</f>
        <v/>
      </c>
      <c r="F240" s="18">
        <f>IF(R348&gt;=100,"Lista cheia (100): use Minhas Tabelas para uma lista maior","")</f>
        <v/>
      </c>
      <c r="G240" s="18">
        <f>IF(S348&gt;=100,"Lista cheia (100): use Minhas Tabelas para uma lista maior","")</f>
        <v/>
      </c>
      <c r="H240" s="18">
        <f>IF(T348&gt;=100,"Lista cheia (100): use Minhas Tabelas para uma lista maior","")</f>
        <v/>
      </c>
    </row>
    <row r="241" ht="15" customHeight="1">
      <c r="B241" s="7" t="inlineStr">
        <is>
          <t>Sobrenome — Humano</t>
        </is>
      </c>
      <c r="C241" s="7" t="inlineStr">
        <is>
          <t>Sobrenome — Xianzhouíta</t>
        </is>
      </c>
      <c r="D241" s="7" t="inlineStr">
        <is>
          <t>Sobrenome — Vidyadhara</t>
        </is>
      </c>
      <c r="E241" s="7" t="inlineStr">
        <is>
          <t>Sobrenome — Vulpes</t>
        </is>
      </c>
      <c r="F241" s="7" t="inlineStr">
        <is>
          <t>Sobrenome — Haloviano</t>
        </is>
      </c>
      <c r="G241" s="7" t="inlineStr">
        <is>
          <t>Sobrenome — Avginiano</t>
        </is>
      </c>
      <c r="H241" s="7" t="inlineStr">
        <is>
          <t>Sobrenome — Intellitron</t>
        </is>
      </c>
      <c r="N241" s="19">
        <f>0</f>
        <v/>
      </c>
      <c r="O241" s="19">
        <f>0</f>
        <v/>
      </c>
      <c r="P241" s="19">
        <f>0</f>
        <v/>
      </c>
      <c r="Q241" s="19">
        <f>0</f>
        <v/>
      </c>
      <c r="R241" s="19">
        <f>0</f>
        <v/>
      </c>
      <c r="S241" s="19">
        <f>0</f>
        <v/>
      </c>
      <c r="T241" s="19">
        <f>0</f>
        <v/>
      </c>
    </row>
    <row r="242" ht="26" customHeight="1">
      <c r="B242" s="30" t="inlineStr">
        <is>
          <t>Okonkwo-Reis</t>
        </is>
      </c>
      <c r="C242" s="3" t="inlineStr">
        <is>
          <t>Shen</t>
        </is>
      </c>
      <c r="D242" s="3" t="inlineStr">
        <is>
          <t>da Maré Funda</t>
        </is>
      </c>
      <c r="E242" s="3" t="inlineStr">
        <is>
          <t>Sete Caudas</t>
        </is>
      </c>
      <c r="F242" s="3" t="inlineStr">
        <is>
          <t>Canto da Aurora</t>
        </is>
      </c>
      <c r="G242" s="3" t="inlineStr">
        <is>
          <t>Tenda Vermelha</t>
        </is>
      </c>
      <c r="H242" s="3" t="inlineStr">
        <is>
          <t>Vigília</t>
        </is>
      </c>
      <c r="K242" s="18">
        <f>IF(AG242&gt;0,"O Google leu como fórmula: digite de novo com ' na frente.","")</f>
        <v/>
      </c>
      <c r="N242" s="19">
        <f>N241+IF(LEN($X$242)&gt;0,1,0)</f>
        <v/>
      </c>
      <c r="O242" s="19">
        <f>O241+IF(LEN($Y$242)&gt;0,1,0)</f>
        <v/>
      </c>
      <c r="P242" s="19">
        <f>P241+IF(LEN($Z$242)&gt;0,1,0)</f>
        <v/>
      </c>
      <c r="Q242" s="19">
        <f>Q241+IF(LEN($AA$242)&gt;0,1,0)</f>
        <v/>
      </c>
      <c r="R242" s="19">
        <f>R241+IF(LEN($AB$242)&gt;0,1,0)</f>
        <v/>
      </c>
      <c r="S242" s="19">
        <f>S241+IF(LEN($AC$242)&gt;0,1,0)</f>
        <v/>
      </c>
      <c r="T242" s="19">
        <f>T241+IF(LEN($AD$242)&gt;0,1,0)</f>
        <v/>
      </c>
      <c r="X242" s="19">
        <f>IF(ISERROR($B$242),"",IF(ISBLANK($B$242),"",$B$242))</f>
        <v/>
      </c>
      <c r="Y242" s="19">
        <f>IF(ISERROR($C$242),"",IF(ISBLANK($C$242),"",$C$242))</f>
        <v/>
      </c>
      <c r="Z242" s="19">
        <f>IF(ISERROR($D$242),"",IF(ISBLANK($D$242),"",$D$242))</f>
        <v/>
      </c>
      <c r="AA242" s="19">
        <f>IF(ISERROR($E$242),"",IF(ISBLANK($E$242),"",$E$242))</f>
        <v/>
      </c>
      <c r="AB242" s="19">
        <f>IF(ISERROR($F$242),"",IF(ISBLANK($F$242),"",$F$242))</f>
        <v/>
      </c>
      <c r="AC242" s="19">
        <f>IF(ISERROR($G$242),"",IF(ISBLANK($G$242),"",$G$242))</f>
        <v/>
      </c>
      <c r="AD242" s="19">
        <f>IF(ISERROR($H$242),"",IF(ISBLANK($H$242),"",$H$242))</f>
        <v/>
      </c>
      <c r="AG242" s="19">
        <f>ISERROR($B$242)*1+ISERROR($C$242)*1+ISERROR($D$242)*1+ISERROR($E$242)*1+ISERROR($F$242)*1+ISERROR($G$242)*1+ISERROR($H$242)*1</f>
        <v/>
      </c>
    </row>
    <row r="243" ht="26" customHeight="1">
      <c r="B243" s="31" t="inlineStr">
        <is>
          <t>Vasquez</t>
        </is>
      </c>
      <c r="C243" s="28" t="inlineStr">
        <is>
          <t>Lou</t>
        </is>
      </c>
      <c r="D243" s="28" t="inlineStr">
        <is>
          <t>do Recife Calado</t>
        </is>
      </c>
      <c r="E243" s="28" t="inlineStr">
        <is>
          <t>Cauda de Cobre</t>
        </is>
      </c>
      <c r="F243" s="28" t="inlineStr">
        <is>
          <t>Coro Distante</t>
        </is>
      </c>
      <c r="G243" s="28" t="inlineStr">
        <is>
          <t>Caravana do Sal</t>
        </is>
      </c>
      <c r="H243" s="28" t="inlineStr">
        <is>
          <t>Constância</t>
        </is>
      </c>
      <c r="K243" s="18">
        <f>IF(AG243&gt;0,"O Google leu como fórmula: digite de novo com ' na frente.","")</f>
        <v/>
      </c>
      <c r="N243" s="19">
        <f>N242+IF(LEN($X$243)&gt;0,1,0)</f>
        <v/>
      </c>
      <c r="O243" s="19">
        <f>O242+IF(LEN($Y$243)&gt;0,1,0)</f>
        <v/>
      </c>
      <c r="P243" s="19">
        <f>P242+IF(LEN($Z$243)&gt;0,1,0)</f>
        <v/>
      </c>
      <c r="Q243" s="19">
        <f>Q242+IF(LEN($AA$243)&gt;0,1,0)</f>
        <v/>
      </c>
      <c r="R243" s="19">
        <f>R242+IF(LEN($AB$243)&gt;0,1,0)</f>
        <v/>
      </c>
      <c r="S243" s="19">
        <f>S242+IF(LEN($AC$243)&gt;0,1,0)</f>
        <v/>
      </c>
      <c r="T243" s="19">
        <f>T242+IF(LEN($AD$243)&gt;0,1,0)</f>
        <v/>
      </c>
      <c r="X243" s="19">
        <f>IF(ISERROR($B$243),"",IF(ISBLANK($B$243),"",$B$243))</f>
        <v/>
      </c>
      <c r="Y243" s="19">
        <f>IF(ISERROR($C$243),"",IF(ISBLANK($C$243),"",$C$243))</f>
        <v/>
      </c>
      <c r="Z243" s="19">
        <f>IF(ISERROR($D$243),"",IF(ISBLANK($D$243),"",$D$243))</f>
        <v/>
      </c>
      <c r="AA243" s="19">
        <f>IF(ISERROR($E$243),"",IF(ISBLANK($E$243),"",$E$243))</f>
        <v/>
      </c>
      <c r="AB243" s="19">
        <f>IF(ISERROR($F$243),"",IF(ISBLANK($F$243),"",$F$243))</f>
        <v/>
      </c>
      <c r="AC243" s="19">
        <f>IF(ISERROR($G$243),"",IF(ISBLANK($G$243),"",$G$243))</f>
        <v/>
      </c>
      <c r="AD243" s="19">
        <f>IF(ISERROR($H$243),"",IF(ISBLANK($H$243),"",$H$243))</f>
        <v/>
      </c>
      <c r="AG243" s="19">
        <f>ISERROR($B$243)*1+ISERROR($C$243)*1+ISERROR($D$243)*1+ISERROR($E$243)*1+ISERROR($F$243)*1+ISERROR($G$243)*1+ISERROR($H$243)*1</f>
        <v/>
      </c>
    </row>
    <row r="244" ht="26" customHeight="1">
      <c r="B244" s="30" t="inlineStr">
        <is>
          <t>Lindqvist</t>
        </is>
      </c>
      <c r="C244" s="3" t="inlineStr">
        <is>
          <t>Qian</t>
        </is>
      </c>
      <c r="D244" s="3" t="inlineStr">
        <is>
          <t>da Corrente Fria</t>
        </is>
      </c>
      <c r="E244" s="3" t="inlineStr">
        <is>
          <t>Balança Fiel</t>
        </is>
      </c>
      <c r="F244" s="3" t="inlineStr">
        <is>
          <t>Nota Suspensa</t>
        </is>
      </c>
      <c r="G244" s="3" t="inlineStr">
        <is>
          <t>Trilha Cinzenta</t>
        </is>
      </c>
      <c r="H244" s="3" t="inlineStr">
        <is>
          <t>Silêncio</t>
        </is>
      </c>
      <c r="K244" s="18">
        <f>IF(AG244&gt;0,"O Google leu como fórmula: digite de novo com ' na frente.","")</f>
        <v/>
      </c>
      <c r="N244" s="19">
        <f>N243+IF(LEN($X$244)&gt;0,1,0)</f>
        <v/>
      </c>
      <c r="O244" s="19">
        <f>O243+IF(LEN($Y$244)&gt;0,1,0)</f>
        <v/>
      </c>
      <c r="P244" s="19">
        <f>P243+IF(LEN($Z$244)&gt;0,1,0)</f>
        <v/>
      </c>
      <c r="Q244" s="19">
        <f>Q243+IF(LEN($AA$244)&gt;0,1,0)</f>
        <v/>
      </c>
      <c r="R244" s="19">
        <f>R243+IF(LEN($AB$244)&gt;0,1,0)</f>
        <v/>
      </c>
      <c r="S244" s="19">
        <f>S243+IF(LEN($AC$244)&gt;0,1,0)</f>
        <v/>
      </c>
      <c r="T244" s="19">
        <f>T243+IF(LEN($AD$244)&gt;0,1,0)</f>
        <v/>
      </c>
      <c r="X244" s="19">
        <f>IF(ISERROR($B$244),"",IF(ISBLANK($B$244),"",$B$244))</f>
        <v/>
      </c>
      <c r="Y244" s="19">
        <f>IF(ISERROR($C$244),"",IF(ISBLANK($C$244),"",$C$244))</f>
        <v/>
      </c>
      <c r="Z244" s="19">
        <f>IF(ISERROR($D$244),"",IF(ISBLANK($D$244),"",$D$244))</f>
        <v/>
      </c>
      <c r="AA244" s="19">
        <f>IF(ISERROR($E$244),"",IF(ISBLANK($E$244),"",$E$244))</f>
        <v/>
      </c>
      <c r="AB244" s="19">
        <f>IF(ISERROR($F$244),"",IF(ISBLANK($F$244),"",$F$244))</f>
        <v/>
      </c>
      <c r="AC244" s="19">
        <f>IF(ISERROR($G$244),"",IF(ISBLANK($G$244),"",$G$244))</f>
        <v/>
      </c>
      <c r="AD244" s="19">
        <f>IF(ISERROR($H$244),"",IF(ISBLANK($H$244),"",$H$244))</f>
        <v/>
      </c>
      <c r="AG244" s="19">
        <f>ISERROR($B$244)*1+ISERROR($C$244)*1+ISERROR($D$244)*1+ISERROR($E$244)*1+ISERROR($F$244)*1+ISERROR($G$244)*1+ISERROR($H$244)*1</f>
        <v/>
      </c>
    </row>
    <row r="245" ht="26" customHeight="1">
      <c r="B245" s="31" t="inlineStr">
        <is>
          <t>Moraes</t>
        </is>
      </c>
      <c r="C245" s="28" t="inlineStr">
        <is>
          <t>Guo</t>
        </is>
      </c>
      <c r="D245" s="28" t="inlineStr">
        <is>
          <t>das Águas Paradas</t>
        </is>
      </c>
      <c r="E245" s="28" t="inlineStr">
        <is>
          <t>Preço Justo</t>
        </is>
      </c>
      <c r="F245" s="28" t="inlineStr">
        <is>
          <t>Hino das Asas</t>
        </is>
      </c>
      <c r="G245" s="28" t="inlineStr">
        <is>
          <t>Poeira Viva</t>
        </is>
      </c>
      <c r="H245" s="28" t="inlineStr">
        <is>
          <t>Prudência</t>
        </is>
      </c>
      <c r="K245" s="18">
        <f>IF(AG245&gt;0,"O Google leu como fórmula: digite de novo com ' na frente.","")</f>
        <v/>
      </c>
      <c r="N245" s="19">
        <f>N244+IF(LEN($X$245)&gt;0,1,0)</f>
        <v/>
      </c>
      <c r="O245" s="19">
        <f>O244+IF(LEN($Y$245)&gt;0,1,0)</f>
        <v/>
      </c>
      <c r="P245" s="19">
        <f>P244+IF(LEN($Z$245)&gt;0,1,0)</f>
        <v/>
      </c>
      <c r="Q245" s="19">
        <f>Q244+IF(LEN($AA$245)&gt;0,1,0)</f>
        <v/>
      </c>
      <c r="R245" s="19">
        <f>R244+IF(LEN($AB$245)&gt;0,1,0)</f>
        <v/>
      </c>
      <c r="S245" s="19">
        <f>S244+IF(LEN($AC$245)&gt;0,1,0)</f>
        <v/>
      </c>
      <c r="T245" s="19">
        <f>T244+IF(LEN($AD$245)&gt;0,1,0)</f>
        <v/>
      </c>
      <c r="X245" s="19">
        <f>IF(ISERROR($B$245),"",IF(ISBLANK($B$245),"",$B$245))</f>
        <v/>
      </c>
      <c r="Y245" s="19">
        <f>IF(ISERROR($C$245),"",IF(ISBLANK($C$245),"",$C$245))</f>
        <v/>
      </c>
      <c r="Z245" s="19">
        <f>IF(ISERROR($D$245),"",IF(ISBLANK($D$245),"",$D$245))</f>
        <v/>
      </c>
      <c r="AA245" s="19">
        <f>IF(ISERROR($E$245),"",IF(ISBLANK($E$245),"",$E$245))</f>
        <v/>
      </c>
      <c r="AB245" s="19">
        <f>IF(ISERROR($F$245),"",IF(ISBLANK($F$245),"",$F$245))</f>
        <v/>
      </c>
      <c r="AC245" s="19">
        <f>IF(ISERROR($G$245),"",IF(ISBLANK($G$245),"",$G$245))</f>
        <v/>
      </c>
      <c r="AD245" s="19">
        <f>IF(ISERROR($H$245),"",IF(ISBLANK($H$245),"",$H$245))</f>
        <v/>
      </c>
      <c r="AG245" s="19">
        <f>ISERROR($B$245)*1+ISERROR($C$245)*1+ISERROR($D$245)*1+ISERROR($E$245)*1+ISERROR($F$245)*1+ISERROR($G$245)*1+ISERROR($H$245)*1</f>
        <v/>
      </c>
    </row>
    <row r="246" ht="26" customHeight="1">
      <c r="B246" s="30" t="inlineStr">
        <is>
          <t>Tanaka-Oduya</t>
        </is>
      </c>
      <c r="C246" s="3" t="inlineStr">
        <is>
          <t>Cen</t>
        </is>
      </c>
      <c r="D246" s="3" t="inlineStr">
        <is>
          <t>do Abismo Azul</t>
        </is>
      </c>
      <c r="E246" s="3" t="inlineStr">
        <is>
          <t>Moeda Dobrada</t>
        </is>
      </c>
      <c r="F246" s="3" t="inlineStr">
        <is>
          <t>Balada Lenta</t>
        </is>
      </c>
      <c r="G246" s="3" t="inlineStr">
        <is>
          <t>Fogueira Sem Chão</t>
        </is>
      </c>
      <c r="H246" s="3" t="inlineStr">
        <is>
          <t>Aurora</t>
        </is>
      </c>
      <c r="K246" s="18">
        <f>IF(AG246&gt;0,"O Google leu como fórmula: digite de novo com ' na frente.","")</f>
        <v/>
      </c>
      <c r="N246" s="19">
        <f>N245+IF(LEN($X$246)&gt;0,1,0)</f>
        <v/>
      </c>
      <c r="O246" s="19">
        <f>O245+IF(LEN($Y$246)&gt;0,1,0)</f>
        <v/>
      </c>
      <c r="P246" s="19">
        <f>P245+IF(LEN($Z$246)&gt;0,1,0)</f>
        <v/>
      </c>
      <c r="Q246" s="19">
        <f>Q245+IF(LEN($AA$246)&gt;0,1,0)</f>
        <v/>
      </c>
      <c r="R246" s="19">
        <f>R245+IF(LEN($AB$246)&gt;0,1,0)</f>
        <v/>
      </c>
      <c r="S246" s="19">
        <f>S245+IF(LEN($AC$246)&gt;0,1,0)</f>
        <v/>
      </c>
      <c r="T246" s="19">
        <f>T245+IF(LEN($AD$246)&gt;0,1,0)</f>
        <v/>
      </c>
      <c r="X246" s="19">
        <f>IF(ISERROR($B$246),"",IF(ISBLANK($B$246),"",$B$246))</f>
        <v/>
      </c>
      <c r="Y246" s="19">
        <f>IF(ISERROR($C$246),"",IF(ISBLANK($C$246),"",$C$246))</f>
        <v/>
      </c>
      <c r="Z246" s="19">
        <f>IF(ISERROR($D$246),"",IF(ISBLANK($D$246),"",$D$246))</f>
        <v/>
      </c>
      <c r="AA246" s="19">
        <f>IF(ISERROR($E$246),"",IF(ISBLANK($E$246),"",$E$246))</f>
        <v/>
      </c>
      <c r="AB246" s="19">
        <f>IF(ISERROR($F$246),"",IF(ISBLANK($F$246),"",$F$246))</f>
        <v/>
      </c>
      <c r="AC246" s="19">
        <f>IF(ISERROR($G$246),"",IF(ISBLANK($G$246),"",$G$246))</f>
        <v/>
      </c>
      <c r="AD246" s="19">
        <f>IF(ISERROR($H$246),"",IF(ISBLANK($H$246),"",$H$246))</f>
        <v/>
      </c>
      <c r="AG246" s="19">
        <f>ISERROR($B$246)*1+ISERROR($C$246)*1+ISERROR($D$246)*1+ISERROR($E$246)*1+ISERROR($F$246)*1+ISERROR($G$246)*1+ISERROR($H$246)*1</f>
        <v/>
      </c>
    </row>
    <row r="247" ht="26" customHeight="1">
      <c r="B247" s="31" t="inlineStr">
        <is>
          <t>Brandão</t>
        </is>
      </c>
      <c r="C247" s="28" t="inlineStr">
        <is>
          <t>Pei</t>
        </is>
      </c>
      <c r="D247" s="28" t="inlineStr">
        <is>
          <t>da Espuma Antiga</t>
        </is>
      </c>
      <c r="E247" s="28" t="inlineStr">
        <is>
          <t>Cauda Ruiva</t>
        </is>
      </c>
      <c r="F247" s="28" t="inlineStr">
        <is>
          <t>Refrão de Prata</t>
        </is>
      </c>
      <c r="G247" s="28" t="inlineStr">
        <is>
          <t>Estrada Longa</t>
        </is>
      </c>
      <c r="H247" s="28" t="inlineStr">
        <is>
          <t>Engrenagem</t>
        </is>
      </c>
      <c r="K247" s="18">
        <f>IF(AG247&gt;0,"O Google leu como fórmula: digite de novo com ' na frente.","")</f>
        <v/>
      </c>
      <c r="N247" s="19">
        <f>N246+IF(LEN($X$247)&gt;0,1,0)</f>
        <v/>
      </c>
      <c r="O247" s="19">
        <f>O246+IF(LEN($Y$247)&gt;0,1,0)</f>
        <v/>
      </c>
      <c r="P247" s="19">
        <f>P246+IF(LEN($Z$247)&gt;0,1,0)</f>
        <v/>
      </c>
      <c r="Q247" s="19">
        <f>Q246+IF(LEN($AA$247)&gt;0,1,0)</f>
        <v/>
      </c>
      <c r="R247" s="19">
        <f>R246+IF(LEN($AB$247)&gt;0,1,0)</f>
        <v/>
      </c>
      <c r="S247" s="19">
        <f>S246+IF(LEN($AC$247)&gt;0,1,0)</f>
        <v/>
      </c>
      <c r="T247" s="19">
        <f>T246+IF(LEN($AD$247)&gt;0,1,0)</f>
        <v/>
      </c>
      <c r="X247" s="19">
        <f>IF(ISERROR($B$247),"",IF(ISBLANK($B$247),"",$B$247))</f>
        <v/>
      </c>
      <c r="Y247" s="19">
        <f>IF(ISERROR($C$247),"",IF(ISBLANK($C$247),"",$C$247))</f>
        <v/>
      </c>
      <c r="Z247" s="19">
        <f>IF(ISERROR($D$247),"",IF(ISBLANK($D$247),"",$D$247))</f>
        <v/>
      </c>
      <c r="AA247" s="19">
        <f>IF(ISERROR($E$247),"",IF(ISBLANK($E$247),"",$E$247))</f>
        <v/>
      </c>
      <c r="AB247" s="19">
        <f>IF(ISERROR($F$247),"",IF(ISBLANK($F$247),"",$F$247))</f>
        <v/>
      </c>
      <c r="AC247" s="19">
        <f>IF(ISERROR($G$247),"",IF(ISBLANK($G$247),"",$G$247))</f>
        <v/>
      </c>
      <c r="AD247" s="19">
        <f>IF(ISERROR($H$247),"",IF(ISBLANK($H$247),"",$H$247))</f>
        <v/>
      </c>
      <c r="AG247" s="19">
        <f>ISERROR($B$247)*1+ISERROR($C$247)*1+ISERROR($D$247)*1+ISERROR($E$247)*1+ISERROR($F$247)*1+ISERROR($G$247)*1+ISERROR($H$247)*1</f>
        <v/>
      </c>
    </row>
    <row r="248" ht="26" customHeight="1">
      <c r="B248" s="30" t="inlineStr">
        <is>
          <t>Kowalczyk</t>
        </is>
      </c>
      <c r="C248" s="3" t="inlineStr">
        <is>
          <t>Xu</t>
        </is>
      </c>
      <c r="D248" s="3" t="inlineStr">
        <is>
          <t>do Poço de Pérolas</t>
        </is>
      </c>
      <c r="E248" s="3" t="inlineStr">
        <is>
          <t>Pelo de Prata</t>
        </is>
      </c>
      <c r="F248" s="3" t="inlineStr">
        <is>
          <t>Voz do Halo</t>
        </is>
      </c>
      <c r="G248" s="3" t="inlineStr">
        <is>
          <t>Rebanho de Estrelas</t>
        </is>
      </c>
      <c r="H248" s="3" t="inlineStr">
        <is>
          <t>Lembrança</t>
        </is>
      </c>
      <c r="K248" s="18">
        <f>IF(AG248&gt;0,"O Google leu como fórmula: digite de novo com ' na frente.","")</f>
        <v/>
      </c>
      <c r="N248" s="19">
        <f>N247+IF(LEN($X$248)&gt;0,1,0)</f>
        <v/>
      </c>
      <c r="O248" s="19">
        <f>O247+IF(LEN($Y$248)&gt;0,1,0)</f>
        <v/>
      </c>
      <c r="P248" s="19">
        <f>P247+IF(LEN($Z$248)&gt;0,1,0)</f>
        <v/>
      </c>
      <c r="Q248" s="19">
        <f>Q247+IF(LEN($AA$248)&gt;0,1,0)</f>
        <v/>
      </c>
      <c r="R248" s="19">
        <f>R247+IF(LEN($AB$248)&gt;0,1,0)</f>
        <v/>
      </c>
      <c r="S248" s="19">
        <f>S247+IF(LEN($AC$248)&gt;0,1,0)</f>
        <v/>
      </c>
      <c r="T248" s="19">
        <f>T247+IF(LEN($AD$248)&gt;0,1,0)</f>
        <v/>
      </c>
      <c r="X248" s="19">
        <f>IF(ISERROR($B$248),"",IF(ISBLANK($B$248),"",$B$248))</f>
        <v/>
      </c>
      <c r="Y248" s="19">
        <f>IF(ISERROR($C$248),"",IF(ISBLANK($C$248),"",$C$248))</f>
        <v/>
      </c>
      <c r="Z248" s="19">
        <f>IF(ISERROR($D$248),"",IF(ISBLANK($D$248),"",$D$248))</f>
        <v/>
      </c>
      <c r="AA248" s="19">
        <f>IF(ISERROR($E$248),"",IF(ISBLANK($E$248),"",$E$248))</f>
        <v/>
      </c>
      <c r="AB248" s="19">
        <f>IF(ISERROR($F$248),"",IF(ISBLANK($F$248),"",$F$248))</f>
        <v/>
      </c>
      <c r="AC248" s="19">
        <f>IF(ISERROR($G$248),"",IF(ISBLANK($G$248),"",$G$248))</f>
        <v/>
      </c>
      <c r="AD248" s="19">
        <f>IF(ISERROR($H$248),"",IF(ISBLANK($H$248),"",$H$248))</f>
        <v/>
      </c>
      <c r="AG248" s="19">
        <f>ISERROR($B$248)*1+ISERROR($C$248)*1+ISERROR($D$248)*1+ISERROR($E$248)*1+ISERROR($F$248)*1+ISERROR($G$248)*1+ISERROR($H$248)*1</f>
        <v/>
      </c>
    </row>
    <row r="249" ht="26" customHeight="1">
      <c r="B249" s="31" t="inlineStr">
        <is>
          <t>Haddad</t>
        </is>
      </c>
      <c r="C249" s="28" t="inlineStr">
        <is>
          <t>Tang</t>
        </is>
      </c>
      <c r="D249" s="28" t="inlineStr">
        <is>
          <t>da Baía Sem Nome</t>
        </is>
      </c>
      <c r="E249" s="28" t="inlineStr">
        <is>
          <t>Bolsa Funda</t>
        </is>
      </c>
      <c r="F249" s="28" t="inlineStr">
        <is>
          <t>Acorde Aberto</t>
        </is>
      </c>
      <c r="G249" s="28" t="inlineStr">
        <is>
          <t>Vento de Passagem</t>
        </is>
      </c>
      <c r="H249" s="28" t="inlineStr">
        <is>
          <t>Sereno</t>
        </is>
      </c>
      <c r="K249" s="18">
        <f>IF(AG249&gt;0,"O Google leu como fórmula: digite de novo com ' na frente.","")</f>
        <v/>
      </c>
      <c r="N249" s="19">
        <f>N248+IF(LEN($X$249)&gt;0,1,0)</f>
        <v/>
      </c>
      <c r="O249" s="19">
        <f>O248+IF(LEN($Y$249)&gt;0,1,0)</f>
        <v/>
      </c>
      <c r="P249" s="19">
        <f>P248+IF(LEN($Z$249)&gt;0,1,0)</f>
        <v/>
      </c>
      <c r="Q249" s="19">
        <f>Q248+IF(LEN($AA$249)&gt;0,1,0)</f>
        <v/>
      </c>
      <c r="R249" s="19">
        <f>R248+IF(LEN($AB$249)&gt;0,1,0)</f>
        <v/>
      </c>
      <c r="S249" s="19">
        <f>S248+IF(LEN($AC$249)&gt;0,1,0)</f>
        <v/>
      </c>
      <c r="T249" s="19">
        <f>T248+IF(LEN($AD$249)&gt;0,1,0)</f>
        <v/>
      </c>
      <c r="X249" s="19">
        <f>IF(ISERROR($B$249),"",IF(ISBLANK($B$249),"",$B$249))</f>
        <v/>
      </c>
      <c r="Y249" s="19">
        <f>IF(ISERROR($C$249),"",IF(ISBLANK($C$249),"",$C$249))</f>
        <v/>
      </c>
      <c r="Z249" s="19">
        <f>IF(ISERROR($D$249),"",IF(ISBLANK($D$249),"",$D$249))</f>
        <v/>
      </c>
      <c r="AA249" s="19">
        <f>IF(ISERROR($E$249),"",IF(ISBLANK($E$249),"",$E$249))</f>
        <v/>
      </c>
      <c r="AB249" s="19">
        <f>IF(ISERROR($F$249),"",IF(ISBLANK($F$249),"",$F$249))</f>
        <v/>
      </c>
      <c r="AC249" s="19">
        <f>IF(ISERROR($G$249),"",IF(ISBLANK($G$249),"",$G$249))</f>
        <v/>
      </c>
      <c r="AD249" s="19">
        <f>IF(ISERROR($H$249),"",IF(ISBLANK($H$249),"",$H$249))</f>
        <v/>
      </c>
      <c r="AG249" s="19">
        <f>ISERROR($B$249)*1+ISERROR($C$249)*1+ISERROR($D$249)*1+ISERROR($E$249)*1+ISERROR($F$249)*1+ISERROR($G$249)*1+ISERROR($H$249)*1</f>
        <v/>
      </c>
    </row>
    <row r="250" ht="26" customHeight="1">
      <c r="B250" s="30" t="inlineStr">
        <is>
          <t>Fonseca</t>
        </is>
      </c>
      <c r="C250" s="3" t="inlineStr">
        <is>
          <t>Zou</t>
        </is>
      </c>
      <c r="D250" s="3" t="inlineStr">
        <is>
          <t>da Onda Quebrada</t>
        </is>
      </c>
      <c r="E250" s="3" t="inlineStr">
        <is>
          <t>Conta Certa</t>
        </is>
      </c>
      <c r="F250" s="3" t="inlineStr">
        <is>
          <t>Cantiga do Vento</t>
        </is>
      </c>
      <c r="G250" s="3" t="inlineStr">
        <is>
          <t>Último Oásis</t>
        </is>
      </c>
      <c r="H250" s="3" t="inlineStr">
        <is>
          <t>Cuidado</t>
        </is>
      </c>
      <c r="K250" s="18">
        <f>IF(AG250&gt;0,"O Google leu como fórmula: digite de novo com ' na frente.","")</f>
        <v/>
      </c>
      <c r="N250" s="19">
        <f>N249+IF(LEN($X$250)&gt;0,1,0)</f>
        <v/>
      </c>
      <c r="O250" s="19">
        <f>O249+IF(LEN($Y$250)&gt;0,1,0)</f>
        <v/>
      </c>
      <c r="P250" s="19">
        <f>P249+IF(LEN($Z$250)&gt;0,1,0)</f>
        <v/>
      </c>
      <c r="Q250" s="19">
        <f>Q249+IF(LEN($AA$250)&gt;0,1,0)</f>
        <v/>
      </c>
      <c r="R250" s="19">
        <f>R249+IF(LEN($AB$250)&gt;0,1,0)</f>
        <v/>
      </c>
      <c r="S250" s="19">
        <f>S249+IF(LEN($AC$250)&gt;0,1,0)</f>
        <v/>
      </c>
      <c r="T250" s="19">
        <f>T249+IF(LEN($AD$250)&gt;0,1,0)</f>
        <v/>
      </c>
      <c r="X250" s="19">
        <f>IF(ISERROR($B$250),"",IF(ISBLANK($B$250),"",$B$250))</f>
        <v/>
      </c>
      <c r="Y250" s="19">
        <f>IF(ISERROR($C$250),"",IF(ISBLANK($C$250),"",$C$250))</f>
        <v/>
      </c>
      <c r="Z250" s="19">
        <f>IF(ISERROR($D$250),"",IF(ISBLANK($D$250),"",$D$250))</f>
        <v/>
      </c>
      <c r="AA250" s="19">
        <f>IF(ISERROR($E$250),"",IF(ISBLANK($E$250),"",$E$250))</f>
        <v/>
      </c>
      <c r="AB250" s="19">
        <f>IF(ISERROR($F$250),"",IF(ISBLANK($F$250),"",$F$250))</f>
        <v/>
      </c>
      <c r="AC250" s="19">
        <f>IF(ISERROR($G$250),"",IF(ISBLANK($G$250),"",$G$250))</f>
        <v/>
      </c>
      <c r="AD250" s="19">
        <f>IF(ISERROR($H$250),"",IF(ISBLANK($H$250),"",$H$250))</f>
        <v/>
      </c>
      <c r="AG250" s="19">
        <f>ISERROR($B$250)*1+ISERROR($C$250)*1+ISERROR($D$250)*1+ISERROR($E$250)*1+ISERROR($F$250)*1+ISERROR($G$250)*1+ISERROR($H$250)*1</f>
        <v/>
      </c>
    </row>
    <row r="251" ht="26" customHeight="1">
      <c r="B251" s="31" t="inlineStr">
        <is>
          <t>Achterberg</t>
        </is>
      </c>
      <c r="C251" s="28" t="inlineStr">
        <is>
          <t>Kong</t>
        </is>
      </c>
      <c r="D251" s="28" t="inlineStr">
        <is>
          <t>do Leito de Coral</t>
        </is>
      </c>
      <c r="E251" s="28" t="inlineStr">
        <is>
          <t>Feira Longa</t>
        </is>
      </c>
      <c r="F251" s="28" t="inlineStr">
        <is>
          <t>Prelúdio Azul</t>
        </is>
      </c>
      <c r="G251" s="28" t="inlineStr">
        <is>
          <t>Pegada Funda</t>
        </is>
      </c>
      <c r="H251" s="28" t="inlineStr">
        <is>
          <t>Persistência</t>
        </is>
      </c>
      <c r="K251" s="18">
        <f>IF(AG251&gt;0,"O Google leu como fórmula: digite de novo com ' na frente.","")</f>
        <v/>
      </c>
      <c r="N251" s="19">
        <f>N250+IF(LEN($X$251)&gt;0,1,0)</f>
        <v/>
      </c>
      <c r="O251" s="19">
        <f>O250+IF(LEN($Y$251)&gt;0,1,0)</f>
        <v/>
      </c>
      <c r="P251" s="19">
        <f>P250+IF(LEN($Z$251)&gt;0,1,0)</f>
        <v/>
      </c>
      <c r="Q251" s="19">
        <f>Q250+IF(LEN($AA$251)&gt;0,1,0)</f>
        <v/>
      </c>
      <c r="R251" s="19">
        <f>R250+IF(LEN($AB$251)&gt;0,1,0)</f>
        <v/>
      </c>
      <c r="S251" s="19">
        <f>S250+IF(LEN($AC$251)&gt;0,1,0)</f>
        <v/>
      </c>
      <c r="T251" s="19">
        <f>T250+IF(LEN($AD$251)&gt;0,1,0)</f>
        <v/>
      </c>
      <c r="X251" s="19">
        <f>IF(ISERROR($B$251),"",IF(ISBLANK($B$251),"",$B$251))</f>
        <v/>
      </c>
      <c r="Y251" s="19">
        <f>IF(ISERROR($C$251),"",IF(ISBLANK($C$251),"",$C$251))</f>
        <v/>
      </c>
      <c r="Z251" s="19">
        <f>IF(ISERROR($D$251),"",IF(ISBLANK($D$251),"",$D$251))</f>
        <v/>
      </c>
      <c r="AA251" s="19">
        <f>IF(ISERROR($E$251),"",IF(ISBLANK($E$251),"",$E$251))</f>
        <v/>
      </c>
      <c r="AB251" s="19">
        <f>IF(ISERROR($F$251),"",IF(ISBLANK($F$251),"",$F$251))</f>
        <v/>
      </c>
      <c r="AC251" s="19">
        <f>IF(ISERROR($G$251),"",IF(ISBLANK($G$251),"",$G$251))</f>
        <v/>
      </c>
      <c r="AD251" s="19">
        <f>IF(ISERROR($H$251),"",IF(ISBLANK($H$251),"",$H$251))</f>
        <v/>
      </c>
      <c r="AG251" s="19">
        <f>ISERROR($B$251)*1+ISERROR($C$251)*1+ISERROR($D$251)*1+ISERROR($E$251)*1+ISERROR($F$251)*1+ISERROR($G$251)*1+ISERROR($H$251)*1</f>
        <v/>
      </c>
    </row>
    <row r="252" ht="26" customHeight="1">
      <c r="B252" s="30" t="inlineStr">
        <is>
          <t>Nakamura</t>
        </is>
      </c>
      <c r="C252" s="3" t="inlineStr">
        <is>
          <t>Shi</t>
        </is>
      </c>
      <c r="D252" s="3" t="inlineStr">
        <is>
          <t>da Névoa Salgada</t>
        </is>
      </c>
      <c r="E252" s="3" t="inlineStr">
        <is>
          <t>Selo de Âmbar</t>
        </is>
      </c>
      <c r="F252" s="3" t="inlineStr">
        <is>
          <t>Canção de Ninar</t>
        </is>
      </c>
      <c r="G252" s="3" t="inlineStr">
        <is>
          <t>Lona Remendada</t>
        </is>
      </c>
      <c r="H252" s="3" t="inlineStr">
        <is>
          <t>Origem</t>
        </is>
      </c>
      <c r="K252" s="18">
        <f>IF(AG252&gt;0,"O Google leu como fórmula: digite de novo com ' na frente.","")</f>
        <v/>
      </c>
      <c r="N252" s="19">
        <f>N251+IF(LEN($X$252)&gt;0,1,0)</f>
        <v/>
      </c>
      <c r="O252" s="19">
        <f>O251+IF(LEN($Y$252)&gt;0,1,0)</f>
        <v/>
      </c>
      <c r="P252" s="19">
        <f>P251+IF(LEN($Z$252)&gt;0,1,0)</f>
        <v/>
      </c>
      <c r="Q252" s="19">
        <f>Q251+IF(LEN($AA$252)&gt;0,1,0)</f>
        <v/>
      </c>
      <c r="R252" s="19">
        <f>R251+IF(LEN($AB$252)&gt;0,1,0)</f>
        <v/>
      </c>
      <c r="S252" s="19">
        <f>S251+IF(LEN($AC$252)&gt;0,1,0)</f>
        <v/>
      </c>
      <c r="T252" s="19">
        <f>T251+IF(LEN($AD$252)&gt;0,1,0)</f>
        <v/>
      </c>
      <c r="X252" s="19">
        <f>IF(ISERROR($B$252),"",IF(ISBLANK($B$252),"",$B$252))</f>
        <v/>
      </c>
      <c r="Y252" s="19">
        <f>IF(ISERROR($C$252),"",IF(ISBLANK($C$252),"",$C$252))</f>
        <v/>
      </c>
      <c r="Z252" s="19">
        <f>IF(ISERROR($D$252),"",IF(ISBLANK($D$252),"",$D$252))</f>
        <v/>
      </c>
      <c r="AA252" s="19">
        <f>IF(ISERROR($E$252),"",IF(ISBLANK($E$252),"",$E$252))</f>
        <v/>
      </c>
      <c r="AB252" s="19">
        <f>IF(ISERROR($F$252),"",IF(ISBLANK($F$252),"",$F$252))</f>
        <v/>
      </c>
      <c r="AC252" s="19">
        <f>IF(ISERROR($G$252),"",IF(ISBLANK($G$252),"",$G$252))</f>
        <v/>
      </c>
      <c r="AD252" s="19">
        <f>IF(ISERROR($H$252),"",IF(ISBLANK($H$252),"",$H$252))</f>
        <v/>
      </c>
      <c r="AG252" s="19">
        <f>ISERROR($B$252)*1+ISERROR($C$252)*1+ISERROR($D$252)*1+ISERROR($E$252)*1+ISERROR($F$252)*1+ISERROR($G$252)*1+ISERROR($H$252)*1</f>
        <v/>
      </c>
    </row>
    <row r="253" ht="26" customHeight="1">
      <c r="B253" s="31" t="inlineStr">
        <is>
          <t>Sorensen</t>
        </is>
      </c>
      <c r="C253" s="28" t="inlineStr">
        <is>
          <t>Feng</t>
        </is>
      </c>
      <c r="D253" s="28" t="inlineStr">
        <is>
          <t>do Farol Afundado</t>
        </is>
      </c>
      <c r="E253" s="28" t="inlineStr">
        <is>
          <t>Cauda Partida</t>
        </is>
      </c>
      <c r="F253" s="28" t="inlineStr">
        <is>
          <t>Eco Sereno</t>
        </is>
      </c>
      <c r="G253" s="28" t="inlineStr">
        <is>
          <t>Roda Quebrada</t>
        </is>
      </c>
      <c r="H253" s="28" t="inlineStr">
        <is>
          <t>Bússola</t>
        </is>
      </c>
      <c r="K253" s="18">
        <f>IF(AG253&gt;0,"O Google leu como fórmula: digite de novo com ' na frente.","")</f>
        <v/>
      </c>
      <c r="N253" s="19">
        <f>N252+IF(LEN($X$253)&gt;0,1,0)</f>
        <v/>
      </c>
      <c r="O253" s="19">
        <f>O252+IF(LEN($Y$253)&gt;0,1,0)</f>
        <v/>
      </c>
      <c r="P253" s="19">
        <f>P252+IF(LEN($Z$253)&gt;0,1,0)</f>
        <v/>
      </c>
      <c r="Q253" s="19">
        <f>Q252+IF(LEN($AA$253)&gt;0,1,0)</f>
        <v/>
      </c>
      <c r="R253" s="19">
        <f>R252+IF(LEN($AB$253)&gt;0,1,0)</f>
        <v/>
      </c>
      <c r="S253" s="19">
        <f>S252+IF(LEN($AC$253)&gt;0,1,0)</f>
        <v/>
      </c>
      <c r="T253" s="19">
        <f>T252+IF(LEN($AD$253)&gt;0,1,0)</f>
        <v/>
      </c>
      <c r="X253" s="19">
        <f>IF(ISERROR($B$253),"",IF(ISBLANK($B$253),"",$B$253))</f>
        <v/>
      </c>
      <c r="Y253" s="19">
        <f>IF(ISERROR($C$253),"",IF(ISBLANK($C$253),"",$C$253))</f>
        <v/>
      </c>
      <c r="Z253" s="19">
        <f>IF(ISERROR($D$253),"",IF(ISBLANK($D$253),"",$D$253))</f>
        <v/>
      </c>
      <c r="AA253" s="19">
        <f>IF(ISERROR($E$253),"",IF(ISBLANK($E$253),"",$E$253))</f>
        <v/>
      </c>
      <c r="AB253" s="19">
        <f>IF(ISERROR($F$253),"",IF(ISBLANK($F$253),"",$F$253))</f>
        <v/>
      </c>
      <c r="AC253" s="19">
        <f>IF(ISERROR($G$253),"",IF(ISBLANK($G$253),"",$G$253))</f>
        <v/>
      </c>
      <c r="AD253" s="19">
        <f>IF(ISERROR($H$253),"",IF(ISBLANK($H$253),"",$H$253))</f>
        <v/>
      </c>
      <c r="AG253" s="19">
        <f>ISERROR($B$253)*1+ISERROR($C$253)*1+ISERROR($D$253)*1+ISERROR($E$253)*1+ISERROR($F$253)*1+ISERROR($G$253)*1+ISERROR($H$253)*1</f>
        <v/>
      </c>
    </row>
    <row r="254" ht="26" customHeight="1">
      <c r="B254" s="30" t="inlineStr">
        <is>
          <t>Albuquerque</t>
        </is>
      </c>
      <c r="C254" s="3" t="inlineStr">
        <is>
          <t>Wei</t>
        </is>
      </c>
      <c r="D254" s="3" t="inlineStr">
        <is>
          <t>da Maré Vazante</t>
        </is>
      </c>
      <c r="E254" s="3" t="inlineStr">
        <is>
          <t>Três Contratos</t>
        </is>
      </c>
      <c r="F254" s="3" t="inlineStr">
        <is>
          <t>Melodia Quebrada</t>
        </is>
      </c>
      <c r="G254" s="3" t="inlineStr">
        <is>
          <t>Dunas Altas</t>
        </is>
      </c>
      <c r="H254" s="3" t="inlineStr">
        <is>
          <t>Resposta</t>
        </is>
      </c>
      <c r="K254" s="18">
        <f>IF(AG254&gt;0,"O Google leu como fórmula: digite de novo com ' na frente.","")</f>
        <v/>
      </c>
      <c r="N254" s="19">
        <f>N253+IF(LEN($X$254)&gt;0,1,0)</f>
        <v/>
      </c>
      <c r="O254" s="19">
        <f>O253+IF(LEN($Y$254)&gt;0,1,0)</f>
        <v/>
      </c>
      <c r="P254" s="19">
        <f>P253+IF(LEN($Z$254)&gt;0,1,0)</f>
        <v/>
      </c>
      <c r="Q254" s="19">
        <f>Q253+IF(LEN($AA$254)&gt;0,1,0)</f>
        <v/>
      </c>
      <c r="R254" s="19">
        <f>R253+IF(LEN($AB$254)&gt;0,1,0)</f>
        <v/>
      </c>
      <c r="S254" s="19">
        <f>S253+IF(LEN($AC$254)&gt;0,1,0)</f>
        <v/>
      </c>
      <c r="T254" s="19">
        <f>T253+IF(LEN($AD$254)&gt;0,1,0)</f>
        <v/>
      </c>
      <c r="X254" s="19">
        <f>IF(ISERROR($B$254),"",IF(ISBLANK($B$254),"",$B$254))</f>
        <v/>
      </c>
      <c r="Y254" s="19">
        <f>IF(ISERROR($C$254),"",IF(ISBLANK($C$254),"",$C$254))</f>
        <v/>
      </c>
      <c r="Z254" s="19">
        <f>IF(ISERROR($D$254),"",IF(ISBLANK($D$254),"",$D$254))</f>
        <v/>
      </c>
      <c r="AA254" s="19">
        <f>IF(ISERROR($E$254),"",IF(ISBLANK($E$254),"",$E$254))</f>
        <v/>
      </c>
      <c r="AB254" s="19">
        <f>IF(ISERROR($F$254),"",IF(ISBLANK($F$254),"",$F$254))</f>
        <v/>
      </c>
      <c r="AC254" s="19">
        <f>IF(ISERROR($G$254),"",IF(ISBLANK($G$254),"",$G$254))</f>
        <v/>
      </c>
      <c r="AD254" s="19">
        <f>IF(ISERROR($H$254),"",IF(ISBLANK($H$254),"",$H$254))</f>
        <v/>
      </c>
      <c r="AG254" s="19">
        <f>ISERROR($B$254)*1+ISERROR($C$254)*1+ISERROR($D$254)*1+ISERROR($E$254)*1+ISERROR($F$254)*1+ISERROR($G$254)*1+ISERROR($H$254)*1</f>
        <v/>
      </c>
    </row>
    <row r="255" ht="15" customHeight="1">
      <c r="B255" s="7" t="inlineStr">
        <is>
          <t>Sobrenome — Humano</t>
        </is>
      </c>
      <c r="C255" s="7" t="inlineStr">
        <is>
          <t>Sobrenome — Xianzhouíta</t>
        </is>
      </c>
      <c r="D255" s="7" t="inlineStr">
        <is>
          <t>Sobrenome — Vidyadhara</t>
        </is>
      </c>
      <c r="E255" s="7" t="inlineStr">
        <is>
          <t>Sobrenome — Vulpes</t>
        </is>
      </c>
      <c r="F255" s="7" t="inlineStr">
        <is>
          <t>Sobrenome — Haloviano</t>
        </is>
      </c>
      <c r="G255" s="7" t="inlineStr">
        <is>
          <t>Sobrenome — Avginiano</t>
        </is>
      </c>
      <c r="H255" s="7" t="inlineStr">
        <is>
          <t>Sobrenome — Intellitron</t>
        </is>
      </c>
      <c r="N255" s="19">
        <f>N254</f>
        <v/>
      </c>
      <c r="O255" s="19">
        <f>O254</f>
        <v/>
      </c>
      <c r="P255" s="19">
        <f>P254</f>
        <v/>
      </c>
      <c r="Q255" s="19">
        <f>Q254</f>
        <v/>
      </c>
      <c r="R255" s="19">
        <f>R254</f>
        <v/>
      </c>
      <c r="S255" s="19">
        <f>S254</f>
        <v/>
      </c>
      <c r="T255" s="19">
        <f>T254</f>
        <v/>
      </c>
      <c r="X255" s="19">
        <f>IF(ISERROR($B$255),"",IF(ISBLANK($B$255),"",$B$255))</f>
        <v/>
      </c>
      <c r="Y255" s="19">
        <f>IF(ISERROR($C$255),"",IF(ISBLANK($C$255),"",$C$255))</f>
        <v/>
      </c>
      <c r="Z255" s="19">
        <f>IF(ISERROR($D$255),"",IF(ISBLANK($D$255),"",$D$255))</f>
        <v/>
      </c>
      <c r="AA255" s="19">
        <f>IF(ISERROR($E$255),"",IF(ISBLANK($E$255),"",$E$255))</f>
        <v/>
      </c>
      <c r="AB255" s="19">
        <f>IF(ISERROR($F$255),"",IF(ISBLANK($F$255),"",$F$255))</f>
        <v/>
      </c>
      <c r="AC255" s="19">
        <f>IF(ISERROR($G$255),"",IF(ISBLANK($G$255),"",$G$255))</f>
        <v/>
      </c>
      <c r="AD255" s="19">
        <f>IF(ISERROR($H$255),"",IF(ISBLANK($H$255),"",$H$255))</f>
        <v/>
      </c>
    </row>
    <row r="256" ht="26" customHeight="1">
      <c r="B256" s="30" t="inlineStr">
        <is>
          <t>Mbeki</t>
        </is>
      </c>
      <c r="C256" s="3" t="inlineStr">
        <is>
          <t>Hua</t>
        </is>
      </c>
      <c r="D256" s="3" t="inlineStr">
        <is>
          <t>das Escamas de Prata</t>
        </is>
      </c>
      <c r="E256" s="3" t="inlineStr">
        <is>
          <t>Lanterna do Cais</t>
        </is>
      </c>
      <c r="F256" s="3" t="inlineStr">
        <is>
          <t>Ária da Manhã</t>
        </is>
      </c>
      <c r="G256" s="3" t="inlineStr">
        <is>
          <t>Cinza Errante</t>
        </is>
      </c>
      <c r="H256" s="3" t="inlineStr">
        <is>
          <t>Ternura</t>
        </is>
      </c>
      <c r="K256" s="18">
        <f>IF(AG256&gt;0,"O Google leu como fórmula: digite de novo com ' na frente.","")</f>
        <v/>
      </c>
      <c r="N256" s="19">
        <f>N255+IF(LEN($X$256)&gt;0,1,0)</f>
        <v/>
      </c>
      <c r="O256" s="19">
        <f>O255+IF(LEN($Y$256)&gt;0,1,0)</f>
        <v/>
      </c>
      <c r="P256" s="19">
        <f>P255+IF(LEN($Z$256)&gt;0,1,0)</f>
        <v/>
      </c>
      <c r="Q256" s="19">
        <f>Q255+IF(LEN($AA$256)&gt;0,1,0)</f>
        <v/>
      </c>
      <c r="R256" s="19">
        <f>R255+IF(LEN($AB$256)&gt;0,1,0)</f>
        <v/>
      </c>
      <c r="S256" s="19">
        <f>S255+IF(LEN($AC$256)&gt;0,1,0)</f>
        <v/>
      </c>
      <c r="T256" s="19">
        <f>T255+IF(LEN($AD$256)&gt;0,1,0)</f>
        <v/>
      </c>
      <c r="X256" s="19">
        <f>IF(ISERROR($B$256),"",IF(ISBLANK($B$256),"",$B$256))</f>
        <v/>
      </c>
      <c r="Y256" s="19">
        <f>IF(ISERROR($C$256),"",IF(ISBLANK($C$256),"",$C$256))</f>
        <v/>
      </c>
      <c r="Z256" s="19">
        <f>IF(ISERROR($D$256),"",IF(ISBLANK($D$256),"",$D$256))</f>
        <v/>
      </c>
      <c r="AA256" s="19">
        <f>IF(ISERROR($E$256),"",IF(ISBLANK($E$256),"",$E$256))</f>
        <v/>
      </c>
      <c r="AB256" s="19">
        <f>IF(ISERROR($F$256),"",IF(ISBLANK($F$256),"",$F$256))</f>
        <v/>
      </c>
      <c r="AC256" s="19">
        <f>IF(ISERROR($G$256),"",IF(ISBLANK($G$256),"",$G$256))</f>
        <v/>
      </c>
      <c r="AD256" s="19">
        <f>IF(ISERROR($H$256),"",IF(ISBLANK($H$256),"",$H$256))</f>
        <v/>
      </c>
      <c r="AG256" s="19">
        <f>ISERROR($B$256)*1+ISERROR($C$256)*1+ISERROR($D$256)*1+ISERROR($E$256)*1+ISERROR($F$256)*1+ISERROR($G$256)*1+ISERROR($H$256)*1</f>
        <v/>
      </c>
    </row>
    <row r="257" ht="26" customHeight="1">
      <c r="B257" s="31" t="inlineStr">
        <is>
          <t>Petrov</t>
        </is>
      </c>
      <c r="C257" s="28" t="inlineStr">
        <is>
          <t>Jiang</t>
        </is>
      </c>
      <c r="D257" s="28" t="inlineStr">
        <is>
          <t>do Mar de Dentro</t>
        </is>
      </c>
      <c r="E257" s="28" t="inlineStr">
        <is>
          <t>Palavra Doce</t>
        </is>
      </c>
      <c r="F257" s="28" t="inlineStr">
        <is>
          <t>Toada Antiga</t>
        </is>
      </c>
      <c r="G257" s="28" t="inlineStr">
        <is>
          <t>Sem Porto</t>
        </is>
      </c>
      <c r="H257" s="28" t="inlineStr">
        <is>
          <t>Clemência</t>
        </is>
      </c>
      <c r="K257" s="18">
        <f>IF(AG257&gt;0,"O Google leu como fórmula: digite de novo com ' na frente.","")</f>
        <v/>
      </c>
      <c r="N257" s="19">
        <f>N256+IF(LEN($X$257)&gt;0,1,0)</f>
        <v/>
      </c>
      <c r="O257" s="19">
        <f>O256+IF(LEN($Y$257)&gt;0,1,0)</f>
        <v/>
      </c>
      <c r="P257" s="19">
        <f>P256+IF(LEN($Z$257)&gt;0,1,0)</f>
        <v/>
      </c>
      <c r="Q257" s="19">
        <f>Q256+IF(LEN($AA$257)&gt;0,1,0)</f>
        <v/>
      </c>
      <c r="R257" s="19">
        <f>R256+IF(LEN($AB$257)&gt;0,1,0)</f>
        <v/>
      </c>
      <c r="S257" s="19">
        <f>S256+IF(LEN($AC$257)&gt;0,1,0)</f>
        <v/>
      </c>
      <c r="T257" s="19">
        <f>T256+IF(LEN($AD$257)&gt;0,1,0)</f>
        <v/>
      </c>
      <c r="X257" s="19">
        <f>IF(ISERROR($B$257),"",IF(ISBLANK($B$257),"",$B$257))</f>
        <v/>
      </c>
      <c r="Y257" s="19">
        <f>IF(ISERROR($C$257),"",IF(ISBLANK($C$257),"",$C$257))</f>
        <v/>
      </c>
      <c r="Z257" s="19">
        <f>IF(ISERROR($D$257),"",IF(ISBLANK($D$257),"",$D$257))</f>
        <v/>
      </c>
      <c r="AA257" s="19">
        <f>IF(ISERROR($E$257),"",IF(ISBLANK($E$257),"",$E$257))</f>
        <v/>
      </c>
      <c r="AB257" s="19">
        <f>IF(ISERROR($F$257),"",IF(ISBLANK($F$257),"",$F$257))</f>
        <v/>
      </c>
      <c r="AC257" s="19">
        <f>IF(ISERROR($G$257),"",IF(ISBLANK($G$257),"",$G$257))</f>
        <v/>
      </c>
      <c r="AD257" s="19">
        <f>IF(ISERROR($H$257),"",IF(ISBLANK($H$257),"",$H$257))</f>
        <v/>
      </c>
      <c r="AG257" s="19">
        <f>ISERROR($B$257)*1+ISERROR($C$257)*1+ISERROR($D$257)*1+ISERROR($E$257)*1+ISERROR($F$257)*1+ISERROR($G$257)*1+ISERROR($H$257)*1</f>
        <v/>
      </c>
    </row>
    <row r="258" ht="26" customHeight="1">
      <c r="B258" s="30" t="inlineStr">
        <is>
          <t>Castellanos</t>
        </is>
      </c>
      <c r="C258" s="3" t="inlineStr">
        <is>
          <t>Yao</t>
        </is>
      </c>
      <c r="D258" s="3" t="inlineStr">
        <is>
          <t>da Fonte Submersa</t>
        </is>
      </c>
      <c r="E258" s="3" t="inlineStr">
        <is>
          <t>Faro Fino</t>
        </is>
      </c>
      <c r="F258" s="3" t="inlineStr">
        <is>
          <t>Harpa Silenciosa</t>
        </is>
      </c>
      <c r="G258" s="3" t="inlineStr">
        <is>
          <t>Ponte de Corda</t>
        </is>
      </c>
      <c r="H258" s="3" t="inlineStr">
        <is>
          <t>Horizonte</t>
        </is>
      </c>
      <c r="K258" s="18">
        <f>IF(AG258&gt;0,"O Google leu como fórmula: digite de novo com ' na frente.","")</f>
        <v/>
      </c>
      <c r="N258" s="19">
        <f>N257+IF(LEN($X$258)&gt;0,1,0)</f>
        <v/>
      </c>
      <c r="O258" s="19">
        <f>O257+IF(LEN($Y$258)&gt;0,1,0)</f>
        <v/>
      </c>
      <c r="P258" s="19">
        <f>P257+IF(LEN($Z$258)&gt;0,1,0)</f>
        <v/>
      </c>
      <c r="Q258" s="19">
        <f>Q257+IF(LEN($AA$258)&gt;0,1,0)</f>
        <v/>
      </c>
      <c r="R258" s="19">
        <f>R257+IF(LEN($AB$258)&gt;0,1,0)</f>
        <v/>
      </c>
      <c r="S258" s="19">
        <f>S257+IF(LEN($AC$258)&gt;0,1,0)</f>
        <v/>
      </c>
      <c r="T258" s="19">
        <f>T257+IF(LEN($AD$258)&gt;0,1,0)</f>
        <v/>
      </c>
      <c r="X258" s="19">
        <f>IF(ISERROR($B$258),"",IF(ISBLANK($B$258),"",$B$258))</f>
        <v/>
      </c>
      <c r="Y258" s="19">
        <f>IF(ISERROR($C$258),"",IF(ISBLANK($C$258),"",$C$258))</f>
        <v/>
      </c>
      <c r="Z258" s="19">
        <f>IF(ISERROR($D$258),"",IF(ISBLANK($D$258),"",$D$258))</f>
        <v/>
      </c>
      <c r="AA258" s="19">
        <f>IF(ISERROR($E$258),"",IF(ISBLANK($E$258),"",$E$258))</f>
        <v/>
      </c>
      <c r="AB258" s="19">
        <f>IF(ISERROR($F$258),"",IF(ISBLANK($F$258),"",$F$258))</f>
        <v/>
      </c>
      <c r="AC258" s="19">
        <f>IF(ISERROR($G$258),"",IF(ISBLANK($G$258),"",$G$258))</f>
        <v/>
      </c>
      <c r="AD258" s="19">
        <f>IF(ISERROR($H$258),"",IF(ISBLANK($H$258),"",$H$258))</f>
        <v/>
      </c>
      <c r="AG258" s="19">
        <f>ISERROR($B$258)*1+ISERROR($C$258)*1+ISERROR($D$258)*1+ISERROR($E$258)*1+ISERROR($F$258)*1+ISERROR($G$258)*1+ISERROR($H$258)*1</f>
        <v/>
      </c>
    </row>
    <row r="259" ht="26" customHeight="1">
      <c r="B259" s="31" t="inlineStr">
        <is>
          <t>Iwu</t>
        </is>
      </c>
      <c r="C259" s="28" t="inlineStr">
        <is>
          <t>Ning</t>
        </is>
      </c>
      <c r="D259" s="28" t="inlineStr">
        <is>
          <t>do Redemoinho Lento</t>
        </is>
      </c>
      <c r="E259" s="28" t="inlineStr">
        <is>
          <t>Caravana Lenta</t>
        </is>
      </c>
      <c r="F259" s="28" t="inlineStr">
        <is>
          <t>Verso Final</t>
        </is>
      </c>
      <c r="G259" s="28" t="inlineStr">
        <is>
          <t>Fronteira Aberta</t>
        </is>
      </c>
      <c r="H259" s="28" t="inlineStr">
        <is>
          <t>Faísca</t>
        </is>
      </c>
      <c r="K259" s="18">
        <f>IF(AG259&gt;0,"O Google leu como fórmula: digite de novo com ' na frente.","")</f>
        <v/>
      </c>
      <c r="N259" s="19">
        <f>N258+IF(LEN($X$259)&gt;0,1,0)</f>
        <v/>
      </c>
      <c r="O259" s="19">
        <f>O258+IF(LEN($Y$259)&gt;0,1,0)</f>
        <v/>
      </c>
      <c r="P259" s="19">
        <f>P258+IF(LEN($Z$259)&gt;0,1,0)</f>
        <v/>
      </c>
      <c r="Q259" s="19">
        <f>Q258+IF(LEN($AA$259)&gt;0,1,0)</f>
        <v/>
      </c>
      <c r="R259" s="19">
        <f>R258+IF(LEN($AB$259)&gt;0,1,0)</f>
        <v/>
      </c>
      <c r="S259" s="19">
        <f>S258+IF(LEN($AC$259)&gt;0,1,0)</f>
        <v/>
      </c>
      <c r="T259" s="19">
        <f>T258+IF(LEN($AD$259)&gt;0,1,0)</f>
        <v/>
      </c>
      <c r="X259" s="19">
        <f>IF(ISERROR($B$259),"",IF(ISBLANK($B$259),"",$B$259))</f>
        <v/>
      </c>
      <c r="Y259" s="19">
        <f>IF(ISERROR($C$259),"",IF(ISBLANK($C$259),"",$C$259))</f>
        <v/>
      </c>
      <c r="Z259" s="19">
        <f>IF(ISERROR($D$259),"",IF(ISBLANK($D$259),"",$D$259))</f>
        <v/>
      </c>
      <c r="AA259" s="19">
        <f>IF(ISERROR($E$259),"",IF(ISBLANK($E$259),"",$E$259))</f>
        <v/>
      </c>
      <c r="AB259" s="19">
        <f>IF(ISERROR($F$259),"",IF(ISBLANK($F$259),"",$F$259))</f>
        <v/>
      </c>
      <c r="AC259" s="19">
        <f>IF(ISERROR($G$259),"",IF(ISBLANK($G$259),"",$G$259))</f>
        <v/>
      </c>
      <c r="AD259" s="19">
        <f>IF(ISERROR($H$259),"",IF(ISBLANK($H$259),"",$H$259))</f>
        <v/>
      </c>
      <c r="AG259" s="19">
        <f>ISERROR($B$259)*1+ISERROR($C$259)*1+ISERROR($D$259)*1+ISERROR($E$259)*1+ISERROR($F$259)*1+ISERROR($G$259)*1+ISERROR($H$259)*1</f>
        <v/>
      </c>
    </row>
    <row r="260" ht="26" customHeight="1">
      <c r="B260" s="30" t="inlineStr">
        <is>
          <t>Halvorsen</t>
        </is>
      </c>
      <c r="C260" s="3" t="inlineStr">
        <is>
          <t>Qu</t>
        </is>
      </c>
      <c r="D260" s="3" t="inlineStr">
        <is>
          <t>da Concha Partida</t>
        </is>
      </c>
      <c r="E260" s="3" t="inlineStr">
        <is>
          <t>Cauda Branca</t>
        </is>
      </c>
      <c r="F260" s="3" t="inlineStr">
        <is>
          <t>Coral das Luzes</t>
        </is>
      </c>
      <c r="G260" s="3" t="inlineStr">
        <is>
          <t>Chão Emprestado</t>
        </is>
      </c>
      <c r="H260" s="3" t="inlineStr">
        <is>
          <t>Medida</t>
        </is>
      </c>
      <c r="K260" s="18">
        <f>IF(AG260&gt;0,"O Google leu como fórmula: digite de novo com ' na frente.","")</f>
        <v/>
      </c>
      <c r="N260" s="19">
        <f>N259+IF(LEN($X$260)&gt;0,1,0)</f>
        <v/>
      </c>
      <c r="O260" s="19">
        <f>O259+IF(LEN($Y$260)&gt;0,1,0)</f>
        <v/>
      </c>
      <c r="P260" s="19">
        <f>P259+IF(LEN($Z$260)&gt;0,1,0)</f>
        <v/>
      </c>
      <c r="Q260" s="19">
        <f>Q259+IF(LEN($AA$260)&gt;0,1,0)</f>
        <v/>
      </c>
      <c r="R260" s="19">
        <f>R259+IF(LEN($AB$260)&gt;0,1,0)</f>
        <v/>
      </c>
      <c r="S260" s="19">
        <f>S259+IF(LEN($AC$260)&gt;0,1,0)</f>
        <v/>
      </c>
      <c r="T260" s="19">
        <f>T259+IF(LEN($AD$260)&gt;0,1,0)</f>
        <v/>
      </c>
      <c r="X260" s="19">
        <f>IF(ISERROR($B$260),"",IF(ISBLANK($B$260),"",$B$260))</f>
        <v/>
      </c>
      <c r="Y260" s="19">
        <f>IF(ISERROR($C$260),"",IF(ISBLANK($C$260),"",$C$260))</f>
        <v/>
      </c>
      <c r="Z260" s="19">
        <f>IF(ISERROR($D$260),"",IF(ISBLANK($D$260),"",$D$260))</f>
        <v/>
      </c>
      <c r="AA260" s="19">
        <f>IF(ISERROR($E$260),"",IF(ISBLANK($E$260),"",$E$260))</f>
        <v/>
      </c>
      <c r="AB260" s="19">
        <f>IF(ISERROR($F$260),"",IF(ISBLANK($F$260),"",$F$260))</f>
        <v/>
      </c>
      <c r="AC260" s="19">
        <f>IF(ISERROR($G$260),"",IF(ISBLANK($G$260),"",$G$260))</f>
        <v/>
      </c>
      <c r="AD260" s="19">
        <f>IF(ISERROR($H$260),"",IF(ISBLANK($H$260),"",$H$260))</f>
        <v/>
      </c>
      <c r="AG260" s="19">
        <f>ISERROR($B$260)*1+ISERROR($C$260)*1+ISERROR($D$260)*1+ISERROR($E$260)*1+ISERROR($F$260)*1+ISERROR($G$260)*1+ISERROR($H$260)*1</f>
        <v/>
      </c>
    </row>
    <row r="261" ht="26" customHeight="1">
      <c r="B261" s="31" t="inlineStr">
        <is>
          <t>Quaresma</t>
        </is>
      </c>
      <c r="C261" s="28" t="inlineStr">
        <is>
          <t>Rong</t>
        </is>
      </c>
      <c r="D261" s="28" t="inlineStr">
        <is>
          <t>das Profundezas Mansas</t>
        </is>
      </c>
      <c r="E261" s="28" t="inlineStr">
        <is>
          <t>Juro Baixo</t>
        </is>
      </c>
      <c r="F261" s="28" t="inlineStr">
        <is>
          <t>Sonata Breve</t>
        </is>
      </c>
      <c r="G261" s="28" t="inlineStr">
        <is>
          <t>Mapa Rasgado</t>
        </is>
      </c>
      <c r="H261" s="28" t="inlineStr">
        <is>
          <t>Âncora</t>
        </is>
      </c>
      <c r="K261" s="18">
        <f>IF(AG261&gt;0,"O Google leu como fórmula: digite de novo com ' na frente.","")</f>
        <v/>
      </c>
      <c r="N261" s="19">
        <f>N260+IF(LEN($X$261)&gt;0,1,0)</f>
        <v/>
      </c>
      <c r="O261" s="19">
        <f>O260+IF(LEN($Y$261)&gt;0,1,0)</f>
        <v/>
      </c>
      <c r="P261" s="19">
        <f>P260+IF(LEN($Z$261)&gt;0,1,0)</f>
        <v/>
      </c>
      <c r="Q261" s="19">
        <f>Q260+IF(LEN($AA$261)&gt;0,1,0)</f>
        <v/>
      </c>
      <c r="R261" s="19">
        <f>R260+IF(LEN($AB$261)&gt;0,1,0)</f>
        <v/>
      </c>
      <c r="S261" s="19">
        <f>S260+IF(LEN($AC$261)&gt;0,1,0)</f>
        <v/>
      </c>
      <c r="T261" s="19">
        <f>T260+IF(LEN($AD$261)&gt;0,1,0)</f>
        <v/>
      </c>
      <c r="X261" s="19">
        <f>IF(ISERROR($B$261),"",IF(ISBLANK($B$261),"",$B$261))</f>
        <v/>
      </c>
      <c r="Y261" s="19">
        <f>IF(ISERROR($C$261),"",IF(ISBLANK($C$261),"",$C$261))</f>
        <v/>
      </c>
      <c r="Z261" s="19">
        <f>IF(ISERROR($D$261),"",IF(ISBLANK($D$261),"",$D$261))</f>
        <v/>
      </c>
      <c r="AA261" s="19">
        <f>IF(ISERROR($E$261),"",IF(ISBLANK($E$261),"",$E$261))</f>
        <v/>
      </c>
      <c r="AB261" s="19">
        <f>IF(ISERROR($F$261),"",IF(ISBLANK($F$261),"",$F$261))</f>
        <v/>
      </c>
      <c r="AC261" s="19">
        <f>IF(ISERROR($G$261),"",IF(ISBLANK($G$261),"",$G$261))</f>
        <v/>
      </c>
      <c r="AD261" s="19">
        <f>IF(ISERROR($H$261),"",IF(ISBLANK($H$261),"",$H$261))</f>
        <v/>
      </c>
      <c r="AG261" s="19">
        <f>ISERROR($B$261)*1+ISERROR($C$261)*1+ISERROR($D$261)*1+ISERROR($E$261)*1+ISERROR($F$261)*1+ISERROR($G$261)*1+ISERROR($H$261)*1</f>
        <v/>
      </c>
    </row>
    <row r="262" ht="26" customHeight="1">
      <c r="B262" s="30" t="inlineStr">
        <is>
          <t>Delacroix</t>
        </is>
      </c>
      <c r="C262" s="3" t="inlineStr">
        <is>
          <t>Xiang</t>
        </is>
      </c>
      <c r="D262" s="3" t="inlineStr">
        <is>
          <t>do Estreito Velho</t>
        </is>
      </c>
      <c r="E262" s="3" t="inlineStr">
        <is>
          <t>Troca Rápida</t>
        </is>
      </c>
      <c r="F262" s="3" t="inlineStr">
        <is>
          <t>Cadência Doce</t>
        </is>
      </c>
      <c r="G262" s="3" t="inlineStr">
        <is>
          <t>Tenda de Couro</t>
        </is>
      </c>
      <c r="H262" s="3" t="inlineStr">
        <is>
          <t>Promessa</t>
        </is>
      </c>
      <c r="K262" s="18">
        <f>IF(AG262&gt;0,"O Google leu como fórmula: digite de novo com ' na frente.","")</f>
        <v/>
      </c>
      <c r="N262" s="19">
        <f>N261+IF(LEN($X$262)&gt;0,1,0)</f>
        <v/>
      </c>
      <c r="O262" s="19">
        <f>O261+IF(LEN($Y$262)&gt;0,1,0)</f>
        <v/>
      </c>
      <c r="P262" s="19">
        <f>P261+IF(LEN($Z$262)&gt;0,1,0)</f>
        <v/>
      </c>
      <c r="Q262" s="19">
        <f>Q261+IF(LEN($AA$262)&gt;0,1,0)</f>
        <v/>
      </c>
      <c r="R262" s="19">
        <f>R261+IF(LEN($AB$262)&gt;0,1,0)</f>
        <v/>
      </c>
      <c r="S262" s="19">
        <f>S261+IF(LEN($AC$262)&gt;0,1,0)</f>
        <v/>
      </c>
      <c r="T262" s="19">
        <f>T261+IF(LEN($AD$262)&gt;0,1,0)</f>
        <v/>
      </c>
      <c r="X262" s="19">
        <f>IF(ISERROR($B$262),"",IF(ISBLANK($B$262),"",$B$262))</f>
        <v/>
      </c>
      <c r="Y262" s="19">
        <f>IF(ISERROR($C$262),"",IF(ISBLANK($C$262),"",$C$262))</f>
        <v/>
      </c>
      <c r="Z262" s="19">
        <f>IF(ISERROR($D$262),"",IF(ISBLANK($D$262),"",$D$262))</f>
        <v/>
      </c>
      <c r="AA262" s="19">
        <f>IF(ISERROR($E$262),"",IF(ISBLANK($E$262),"",$E$262))</f>
        <v/>
      </c>
      <c r="AB262" s="19">
        <f>IF(ISERROR($F$262),"",IF(ISBLANK($F$262),"",$F$262))</f>
        <v/>
      </c>
      <c r="AC262" s="19">
        <f>IF(ISERROR($G$262),"",IF(ISBLANK($G$262),"",$G$262))</f>
        <v/>
      </c>
      <c r="AD262" s="19">
        <f>IF(ISERROR($H$262),"",IF(ISBLANK($H$262),"",$H$262))</f>
        <v/>
      </c>
      <c r="AG262" s="19">
        <f>ISERROR($B$262)*1+ISERROR($C$262)*1+ISERROR($D$262)*1+ISERROR($E$262)*1+ISERROR($F$262)*1+ISERROR($G$262)*1+ISERROR($H$262)*1</f>
        <v/>
      </c>
    </row>
    <row r="263" ht="26" customHeight="1">
      <c r="B263" s="31" t="inlineStr">
        <is>
          <t>Ferraz</t>
        </is>
      </c>
      <c r="C263" s="28" t="inlineStr">
        <is>
          <t>Zeng</t>
        </is>
      </c>
      <c r="D263" s="28" t="inlineStr">
        <is>
          <t>da Lua sobre a Água</t>
        </is>
      </c>
      <c r="E263" s="28" t="inlineStr">
        <is>
          <t>Orelha Atenta</t>
        </is>
      </c>
      <c r="F263" s="28" t="inlineStr">
        <is>
          <t>Serenata Longa</t>
        </is>
      </c>
      <c r="G263" s="28" t="inlineStr">
        <is>
          <t>Brasa Guardada</t>
        </is>
      </c>
      <c r="H263" s="28" t="inlineStr">
        <is>
          <t>Teimosia</t>
        </is>
      </c>
      <c r="K263" s="18">
        <f>IF(AG263&gt;0,"O Google leu como fórmula: digite de novo com ' na frente.","")</f>
        <v/>
      </c>
      <c r="N263" s="19">
        <f>N262+IF(LEN($X$263)&gt;0,1,0)</f>
        <v/>
      </c>
      <c r="O263" s="19">
        <f>O262+IF(LEN($Y$263)&gt;0,1,0)</f>
        <v/>
      </c>
      <c r="P263" s="19">
        <f>P262+IF(LEN($Z$263)&gt;0,1,0)</f>
        <v/>
      </c>
      <c r="Q263" s="19">
        <f>Q262+IF(LEN($AA$263)&gt;0,1,0)</f>
        <v/>
      </c>
      <c r="R263" s="19">
        <f>R262+IF(LEN($AB$263)&gt;0,1,0)</f>
        <v/>
      </c>
      <c r="S263" s="19">
        <f>S262+IF(LEN($AC$263)&gt;0,1,0)</f>
        <v/>
      </c>
      <c r="T263" s="19">
        <f>T262+IF(LEN($AD$263)&gt;0,1,0)</f>
        <v/>
      </c>
      <c r="X263" s="19">
        <f>IF(ISERROR($B$263),"",IF(ISBLANK($B$263),"",$B$263))</f>
        <v/>
      </c>
      <c r="Y263" s="19">
        <f>IF(ISERROR($C$263),"",IF(ISBLANK($C$263),"",$C$263))</f>
        <v/>
      </c>
      <c r="Z263" s="19">
        <f>IF(ISERROR($D$263),"",IF(ISBLANK($D$263),"",$D$263))</f>
        <v/>
      </c>
      <c r="AA263" s="19">
        <f>IF(ISERROR($E$263),"",IF(ISBLANK($E$263),"",$E$263))</f>
        <v/>
      </c>
      <c r="AB263" s="19">
        <f>IF(ISERROR($F$263),"",IF(ISBLANK($F$263),"",$F$263))</f>
        <v/>
      </c>
      <c r="AC263" s="19">
        <f>IF(ISERROR($G$263),"",IF(ISBLANK($G$263),"",$G$263))</f>
        <v/>
      </c>
      <c r="AD263" s="19">
        <f>IF(ISERROR($H$263),"",IF(ISBLANK($H$263),"",$H$263))</f>
        <v/>
      </c>
      <c r="AG263" s="19">
        <f>ISERROR($B$263)*1+ISERROR($C$263)*1+ISERROR($D$263)*1+ISERROR($E$263)*1+ISERROR($F$263)*1+ISERROR($G$263)*1+ISERROR($H$263)*1</f>
        <v/>
      </c>
    </row>
    <row r="264" ht="26" customHeight="1">
      <c r="B264" s="30" t="inlineStr">
        <is>
          <t>Oyelaran</t>
        </is>
      </c>
      <c r="C264" s="3" t="inlineStr">
        <is>
          <t>Mu</t>
        </is>
      </c>
      <c r="D264" s="3" t="inlineStr">
        <is>
          <t>da Chuva de Sal</t>
        </is>
      </c>
      <c r="E264" s="3" t="inlineStr">
        <is>
          <t>Balcão Antigo</t>
        </is>
      </c>
      <c r="F264" s="3" t="inlineStr">
        <is>
          <t>Nota Alta</t>
        </is>
      </c>
      <c r="G264" s="3" t="inlineStr">
        <is>
          <t>Passo Leve</t>
        </is>
      </c>
      <c r="H264" s="3" t="inlineStr">
        <is>
          <t>Inverno</t>
        </is>
      </c>
      <c r="K264" s="18">
        <f>IF(AG264&gt;0,"O Google leu como fórmula: digite de novo com ' na frente.","")</f>
        <v/>
      </c>
      <c r="N264" s="19">
        <f>N263+IF(LEN($X$264)&gt;0,1,0)</f>
        <v/>
      </c>
      <c r="O264" s="19">
        <f>O263+IF(LEN($Y$264)&gt;0,1,0)</f>
        <v/>
      </c>
      <c r="P264" s="19">
        <f>P263+IF(LEN($Z$264)&gt;0,1,0)</f>
        <v/>
      </c>
      <c r="Q264" s="19">
        <f>Q263+IF(LEN($AA$264)&gt;0,1,0)</f>
        <v/>
      </c>
      <c r="R264" s="19">
        <f>R263+IF(LEN($AB$264)&gt;0,1,0)</f>
        <v/>
      </c>
      <c r="S264" s="19">
        <f>S263+IF(LEN($AC$264)&gt;0,1,0)</f>
        <v/>
      </c>
      <c r="T264" s="19">
        <f>T263+IF(LEN($AD$264)&gt;0,1,0)</f>
        <v/>
      </c>
      <c r="X264" s="19">
        <f>IF(ISERROR($B$264),"",IF(ISBLANK($B$264),"",$B$264))</f>
        <v/>
      </c>
      <c r="Y264" s="19">
        <f>IF(ISERROR($C$264),"",IF(ISBLANK($C$264),"",$C$264))</f>
        <v/>
      </c>
      <c r="Z264" s="19">
        <f>IF(ISERROR($D$264),"",IF(ISBLANK($D$264),"",$D$264))</f>
        <v/>
      </c>
      <c r="AA264" s="19">
        <f>IF(ISERROR($E$264),"",IF(ISBLANK($E$264),"",$E$264))</f>
        <v/>
      </c>
      <c r="AB264" s="19">
        <f>IF(ISERROR($F$264),"",IF(ISBLANK($F$264),"",$F$264))</f>
        <v/>
      </c>
      <c r="AC264" s="19">
        <f>IF(ISERROR($G$264),"",IF(ISBLANK($G$264),"",$G$264))</f>
        <v/>
      </c>
      <c r="AD264" s="19">
        <f>IF(ISERROR($H$264),"",IF(ISBLANK($H$264),"",$H$264))</f>
        <v/>
      </c>
      <c r="AG264" s="19">
        <f>ISERROR($B$264)*1+ISERROR($C$264)*1+ISERROR($D$264)*1+ISERROR($E$264)*1+ISERROR($F$264)*1+ISERROR($G$264)*1+ISERROR($H$264)*1</f>
        <v/>
      </c>
    </row>
    <row r="265" ht="26" customHeight="1">
      <c r="B265" s="31" t="inlineStr">
        <is>
          <t>Varga</t>
        </is>
      </c>
      <c r="C265" s="28" t="inlineStr">
        <is>
          <t>Dou</t>
        </is>
      </c>
      <c r="D265" s="28" t="inlineStr">
        <is>
          <t>do Lago Sem Fundo</t>
        </is>
      </c>
      <c r="E265" s="28" t="inlineStr">
        <is>
          <t>Leilão da Lua</t>
        </is>
      </c>
      <c r="F265" s="28" t="inlineStr">
        <is>
          <t>Canto Sem Fim</t>
        </is>
      </c>
      <c r="G265" s="28" t="inlineStr">
        <is>
          <t>Céu Aberto</t>
        </is>
      </c>
      <c r="H265" s="28" t="inlineStr">
        <is>
          <t>Coerência</t>
        </is>
      </c>
      <c r="K265" s="18">
        <f>IF(AG265&gt;0,"O Google leu como fórmula: digite de novo com ' na frente.","")</f>
        <v/>
      </c>
      <c r="N265" s="19">
        <f>N264+IF(LEN($X$265)&gt;0,1,0)</f>
        <v/>
      </c>
      <c r="O265" s="19">
        <f>O264+IF(LEN($Y$265)&gt;0,1,0)</f>
        <v/>
      </c>
      <c r="P265" s="19">
        <f>P264+IF(LEN($Z$265)&gt;0,1,0)</f>
        <v/>
      </c>
      <c r="Q265" s="19">
        <f>Q264+IF(LEN($AA$265)&gt;0,1,0)</f>
        <v/>
      </c>
      <c r="R265" s="19">
        <f>R264+IF(LEN($AB$265)&gt;0,1,0)</f>
        <v/>
      </c>
      <c r="S265" s="19">
        <f>S264+IF(LEN($AC$265)&gt;0,1,0)</f>
        <v/>
      </c>
      <c r="T265" s="19">
        <f>T264+IF(LEN($AD$265)&gt;0,1,0)</f>
        <v/>
      </c>
      <c r="X265" s="19">
        <f>IF(ISERROR($B$265),"",IF(ISBLANK($B$265),"",$B$265))</f>
        <v/>
      </c>
      <c r="Y265" s="19">
        <f>IF(ISERROR($C$265),"",IF(ISBLANK($C$265),"",$C$265))</f>
        <v/>
      </c>
      <c r="Z265" s="19">
        <f>IF(ISERROR($D$265),"",IF(ISBLANK($D$265),"",$D$265))</f>
        <v/>
      </c>
      <c r="AA265" s="19">
        <f>IF(ISERROR($E$265),"",IF(ISBLANK($E$265),"",$E$265))</f>
        <v/>
      </c>
      <c r="AB265" s="19">
        <f>IF(ISERROR($F$265),"",IF(ISBLANK($F$265),"",$F$265))</f>
        <v/>
      </c>
      <c r="AC265" s="19">
        <f>IF(ISERROR($G$265),"",IF(ISBLANK($G$265),"",$G$265))</f>
        <v/>
      </c>
      <c r="AD265" s="19">
        <f>IF(ISERROR($H$265),"",IF(ISBLANK($H$265),"",$H$265))</f>
        <v/>
      </c>
      <c r="AG265" s="19">
        <f>ISERROR($B$265)*1+ISERROR($C$265)*1+ISERROR($D$265)*1+ISERROR($E$265)*1+ISERROR($F$265)*1+ISERROR($G$265)*1+ISERROR($H$265)*1</f>
        <v/>
      </c>
    </row>
    <row r="266" ht="26" customHeight="1">
      <c r="B266" s="30" t="inlineStr">
        <is>
          <t>Montenegro</t>
        </is>
      </c>
      <c r="C266" s="3" t="inlineStr">
        <is>
          <t>Ke</t>
        </is>
      </c>
      <c r="D266" s="3" t="inlineStr">
        <is>
          <t>da Corrente Quente</t>
        </is>
      </c>
      <c r="E266" s="3" t="inlineStr">
        <is>
          <t>Cauda de Fumaça</t>
        </is>
      </c>
      <c r="F266" s="3" t="inlineStr">
        <is>
          <t>Abertura Dourada</t>
        </is>
      </c>
      <c r="G266" s="3" t="inlineStr">
        <is>
          <t>Rota Esquecida</t>
        </is>
      </c>
      <c r="H266" s="3" t="inlineStr">
        <is>
          <t>Gentileza</t>
        </is>
      </c>
      <c r="K266" s="18">
        <f>IF(AG266&gt;0,"O Google leu como fórmula: digite de novo com ' na frente.","")</f>
        <v/>
      </c>
      <c r="N266" s="19">
        <f>N265+IF(LEN($X$266)&gt;0,1,0)</f>
        <v/>
      </c>
      <c r="O266" s="19">
        <f>O265+IF(LEN($Y$266)&gt;0,1,0)</f>
        <v/>
      </c>
      <c r="P266" s="19">
        <f>P265+IF(LEN($Z$266)&gt;0,1,0)</f>
        <v/>
      </c>
      <c r="Q266" s="19">
        <f>Q265+IF(LEN($AA$266)&gt;0,1,0)</f>
        <v/>
      </c>
      <c r="R266" s="19">
        <f>R265+IF(LEN($AB$266)&gt;0,1,0)</f>
        <v/>
      </c>
      <c r="S266" s="19">
        <f>S265+IF(LEN($AC$266)&gt;0,1,0)</f>
        <v/>
      </c>
      <c r="T266" s="19">
        <f>T265+IF(LEN($AD$266)&gt;0,1,0)</f>
        <v/>
      </c>
      <c r="X266" s="19">
        <f>IF(ISERROR($B$266),"",IF(ISBLANK($B$266),"",$B$266))</f>
        <v/>
      </c>
      <c r="Y266" s="19">
        <f>IF(ISERROR($C$266),"",IF(ISBLANK($C$266),"",$C$266))</f>
        <v/>
      </c>
      <c r="Z266" s="19">
        <f>IF(ISERROR($D$266),"",IF(ISBLANK($D$266),"",$D$266))</f>
        <v/>
      </c>
      <c r="AA266" s="19">
        <f>IF(ISERROR($E$266),"",IF(ISBLANK($E$266),"",$E$266))</f>
        <v/>
      </c>
      <c r="AB266" s="19">
        <f>IF(ISERROR($F$266),"",IF(ISBLANK($F$266),"",$F$266))</f>
        <v/>
      </c>
      <c r="AC266" s="19">
        <f>IF(ISERROR($G$266),"",IF(ISBLANK($G$266),"",$G$266))</f>
        <v/>
      </c>
      <c r="AD266" s="19">
        <f>IF(ISERROR($H$266),"",IF(ISBLANK($H$266),"",$H$266))</f>
        <v/>
      </c>
      <c r="AG266" s="19">
        <f>ISERROR($B$266)*1+ISERROR($C$266)*1+ISERROR($D$266)*1+ISERROR($E$266)*1+ISERROR($F$266)*1+ISERROR($G$266)*1+ISERROR($H$266)*1</f>
        <v/>
      </c>
    </row>
    <row r="267" ht="26" customHeight="1">
      <c r="B267" s="31" t="inlineStr">
        <is>
          <t>Szabo</t>
        </is>
      </c>
      <c r="C267" s="28" t="inlineStr">
        <is>
          <t>Ji</t>
        </is>
      </c>
      <c r="D267" s="28" t="inlineStr">
        <is>
          <t>das Ilhas Caídas</t>
        </is>
      </c>
      <c r="E267" s="28" t="inlineStr">
        <is>
          <t>Peso Honesto</t>
        </is>
      </c>
      <c r="F267" s="28" t="inlineStr">
        <is>
          <t>Refrão Perdido</t>
        </is>
      </c>
      <c r="G267" s="28" t="inlineStr">
        <is>
          <t>Água Contada</t>
        </is>
      </c>
      <c r="H267" s="28" t="inlineStr">
        <is>
          <t>Atenção</t>
        </is>
      </c>
      <c r="K267" s="18">
        <f>IF(AG267&gt;0,"O Google leu como fórmula: digite de novo com ' na frente.","")</f>
        <v/>
      </c>
      <c r="N267" s="19">
        <f>N266+IF(LEN($X$267)&gt;0,1,0)</f>
        <v/>
      </c>
      <c r="O267" s="19">
        <f>O266+IF(LEN($Y$267)&gt;0,1,0)</f>
        <v/>
      </c>
      <c r="P267" s="19">
        <f>P266+IF(LEN($Z$267)&gt;0,1,0)</f>
        <v/>
      </c>
      <c r="Q267" s="19">
        <f>Q266+IF(LEN($AA$267)&gt;0,1,0)</f>
        <v/>
      </c>
      <c r="R267" s="19">
        <f>R266+IF(LEN($AB$267)&gt;0,1,0)</f>
        <v/>
      </c>
      <c r="S267" s="19">
        <f>S266+IF(LEN($AC$267)&gt;0,1,0)</f>
        <v/>
      </c>
      <c r="T267" s="19">
        <f>T266+IF(LEN($AD$267)&gt;0,1,0)</f>
        <v/>
      </c>
      <c r="X267" s="19">
        <f>IF(ISERROR($B$267),"",IF(ISBLANK($B$267),"",$B$267))</f>
        <v/>
      </c>
      <c r="Y267" s="19">
        <f>IF(ISERROR($C$267),"",IF(ISBLANK($C$267),"",$C$267))</f>
        <v/>
      </c>
      <c r="Z267" s="19">
        <f>IF(ISERROR($D$267),"",IF(ISBLANK($D$267),"",$D$267))</f>
        <v/>
      </c>
      <c r="AA267" s="19">
        <f>IF(ISERROR($E$267),"",IF(ISBLANK($E$267),"",$E$267))</f>
        <v/>
      </c>
      <c r="AB267" s="19">
        <f>IF(ISERROR($F$267),"",IF(ISBLANK($F$267),"",$F$267))</f>
        <v/>
      </c>
      <c r="AC267" s="19">
        <f>IF(ISERROR($G$267),"",IF(ISBLANK($G$267),"",$G$267))</f>
        <v/>
      </c>
      <c r="AD267" s="19">
        <f>IF(ISERROR($H$267),"",IF(ISBLANK($H$267),"",$H$267))</f>
        <v/>
      </c>
      <c r="AG267" s="19">
        <f>ISERROR($B$267)*1+ISERROR($C$267)*1+ISERROR($D$267)*1+ISERROR($E$267)*1+ISERROR($F$267)*1+ISERROR($G$267)*1+ISERROR($H$267)*1</f>
        <v/>
      </c>
    </row>
    <row r="268" ht="26" customHeight="1">
      <c r="B268" s="30" t="inlineStr">
        <is>
          <t>Rocha</t>
        </is>
      </c>
      <c r="C268" s="3" t="inlineStr">
        <is>
          <t>Tao</t>
        </is>
      </c>
      <c r="D268" s="3" t="inlineStr">
        <is>
          <t>do Cardume Dourado</t>
        </is>
      </c>
      <c r="E268" s="3" t="inlineStr">
        <is>
          <t>Conchas Contadas</t>
        </is>
      </c>
      <c r="F268" s="3" t="inlineStr">
        <is>
          <t>Hino do Sono</t>
        </is>
      </c>
      <c r="G268" s="3" t="inlineStr">
        <is>
          <t>Pedra Carregada</t>
        </is>
      </c>
      <c r="H268" s="3" t="inlineStr">
        <is>
          <t>Retorno</t>
        </is>
      </c>
      <c r="K268" s="18">
        <f>IF(AG268&gt;0,"O Google leu como fórmula: digite de novo com ' na frente.","")</f>
        <v/>
      </c>
      <c r="N268" s="19">
        <f>N267+IF(LEN($X$268)&gt;0,1,0)</f>
        <v/>
      </c>
      <c r="O268" s="19">
        <f>O267+IF(LEN($Y$268)&gt;0,1,0)</f>
        <v/>
      </c>
      <c r="P268" s="19">
        <f>P267+IF(LEN($Z$268)&gt;0,1,0)</f>
        <v/>
      </c>
      <c r="Q268" s="19">
        <f>Q267+IF(LEN($AA$268)&gt;0,1,0)</f>
        <v/>
      </c>
      <c r="R268" s="19">
        <f>R267+IF(LEN($AB$268)&gt;0,1,0)</f>
        <v/>
      </c>
      <c r="S268" s="19">
        <f>S267+IF(LEN($AC$268)&gt;0,1,0)</f>
        <v/>
      </c>
      <c r="T268" s="19">
        <f>T267+IF(LEN($AD$268)&gt;0,1,0)</f>
        <v/>
      </c>
      <c r="X268" s="19">
        <f>IF(ISERROR($B$268),"",IF(ISBLANK($B$268),"",$B$268))</f>
        <v/>
      </c>
      <c r="Y268" s="19">
        <f>IF(ISERROR($C$268),"",IF(ISBLANK($C$268),"",$C$268))</f>
        <v/>
      </c>
      <c r="Z268" s="19">
        <f>IF(ISERROR($D$268),"",IF(ISBLANK($D$268),"",$D$268))</f>
        <v/>
      </c>
      <c r="AA268" s="19">
        <f>IF(ISERROR($E$268),"",IF(ISBLANK($E$268),"",$E$268))</f>
        <v/>
      </c>
      <c r="AB268" s="19">
        <f>IF(ISERROR($F$268),"",IF(ISBLANK($F$268),"",$F$268))</f>
        <v/>
      </c>
      <c r="AC268" s="19">
        <f>IF(ISERROR($G$268),"",IF(ISBLANK($G$268),"",$G$268))</f>
        <v/>
      </c>
      <c r="AD268" s="19">
        <f>IF(ISERROR($H$268),"",IF(ISBLANK($H$268),"",$H$268))</f>
        <v/>
      </c>
      <c r="AG268" s="19">
        <f>ISERROR($B$268)*1+ISERROR($C$268)*1+ISERROR($D$268)*1+ISERROR($E$268)*1+ISERROR($F$268)*1+ISERROR($G$268)*1+ISERROR($H$268)*1</f>
        <v/>
      </c>
    </row>
    <row r="269" ht="15" customHeight="1">
      <c r="B269" s="7" t="inlineStr">
        <is>
          <t>Sobrenome — Humano</t>
        </is>
      </c>
      <c r="C269" s="7" t="inlineStr">
        <is>
          <t>Sobrenome — Xianzhouíta</t>
        </is>
      </c>
      <c r="D269" s="7" t="inlineStr">
        <is>
          <t>Sobrenome — Vidyadhara</t>
        </is>
      </c>
      <c r="E269" s="7" t="inlineStr">
        <is>
          <t>Sobrenome — Vulpes</t>
        </is>
      </c>
      <c r="F269" s="7" t="inlineStr">
        <is>
          <t>Sobrenome — Haloviano</t>
        </is>
      </c>
      <c r="G269" s="7" t="inlineStr">
        <is>
          <t>Sobrenome — Avginiano</t>
        </is>
      </c>
      <c r="H269" s="7" t="inlineStr">
        <is>
          <t>Sobrenome — Intellitron</t>
        </is>
      </c>
      <c r="N269" s="19">
        <f>N268</f>
        <v/>
      </c>
      <c r="O269" s="19">
        <f>O268</f>
        <v/>
      </c>
      <c r="P269" s="19">
        <f>P268</f>
        <v/>
      </c>
      <c r="Q269" s="19">
        <f>Q268</f>
        <v/>
      </c>
      <c r="R269" s="19">
        <f>R268</f>
        <v/>
      </c>
      <c r="S269" s="19">
        <f>S268</f>
        <v/>
      </c>
      <c r="T269" s="19">
        <f>T268</f>
        <v/>
      </c>
      <c r="X269" s="19">
        <f>IF(ISERROR($B$269),"",IF(ISBLANK($B$269),"",$B$269))</f>
        <v/>
      </c>
      <c r="Y269" s="19">
        <f>IF(ISERROR($C$269),"",IF(ISBLANK($C$269),"",$C$269))</f>
        <v/>
      </c>
      <c r="Z269" s="19">
        <f>IF(ISERROR($D$269),"",IF(ISBLANK($D$269),"",$D$269))</f>
        <v/>
      </c>
      <c r="AA269" s="19">
        <f>IF(ISERROR($E$269),"",IF(ISBLANK($E$269),"",$E$269))</f>
        <v/>
      </c>
      <c r="AB269" s="19">
        <f>IF(ISERROR($F$269),"",IF(ISBLANK($F$269),"",$F$269))</f>
        <v/>
      </c>
      <c r="AC269" s="19">
        <f>IF(ISERROR($G$269),"",IF(ISBLANK($G$269),"",$G$269))</f>
        <v/>
      </c>
      <c r="AD269" s="19">
        <f>IF(ISERROR($H$269),"",IF(ISBLANK($H$269),"",$H$269))</f>
        <v/>
      </c>
    </row>
    <row r="270" ht="26" customHeight="1">
      <c r="B270" s="30" t="inlineStr">
        <is>
          <t>Abernathy</t>
        </is>
      </c>
      <c r="C270" s="3" t="inlineStr">
        <is>
          <t>Ou</t>
        </is>
      </c>
      <c r="D270" s="3" t="inlineStr">
        <is>
          <t>da Água que Lembra</t>
        </is>
      </c>
      <c r="E270" s="3" t="inlineStr">
        <is>
          <t>Lucro Paciente</t>
        </is>
      </c>
      <c r="F270" s="3" t="inlineStr">
        <is>
          <t>Cantiga de Roda</t>
        </is>
      </c>
      <c r="G270" s="3" t="inlineStr">
        <is>
          <t>Sol Poente</t>
        </is>
      </c>
      <c r="H270" s="3" t="inlineStr">
        <is>
          <t>Calma</t>
        </is>
      </c>
      <c r="K270" s="18">
        <f>IF(AG270&gt;0,"O Google leu como fórmula: digite de novo com ' na frente.","")</f>
        <v/>
      </c>
      <c r="N270" s="19">
        <f>N269+IF(LEN($X$270)&gt;0,1,0)</f>
        <v/>
      </c>
      <c r="O270" s="19">
        <f>O269+IF(LEN($Y$270)&gt;0,1,0)</f>
        <v/>
      </c>
      <c r="P270" s="19">
        <f>P269+IF(LEN($Z$270)&gt;0,1,0)</f>
        <v/>
      </c>
      <c r="Q270" s="19">
        <f>Q269+IF(LEN($AA$270)&gt;0,1,0)</f>
        <v/>
      </c>
      <c r="R270" s="19">
        <f>R269+IF(LEN($AB$270)&gt;0,1,0)</f>
        <v/>
      </c>
      <c r="S270" s="19">
        <f>S269+IF(LEN($AC$270)&gt;0,1,0)</f>
        <v/>
      </c>
      <c r="T270" s="19">
        <f>T269+IF(LEN($AD$270)&gt;0,1,0)</f>
        <v/>
      </c>
      <c r="X270" s="19">
        <f>IF(ISERROR($B$270),"",IF(ISBLANK($B$270),"",$B$270))</f>
        <v/>
      </c>
      <c r="Y270" s="19">
        <f>IF(ISERROR($C$270),"",IF(ISBLANK($C$270),"",$C$270))</f>
        <v/>
      </c>
      <c r="Z270" s="19">
        <f>IF(ISERROR($D$270),"",IF(ISBLANK($D$270),"",$D$270))</f>
        <v/>
      </c>
      <c r="AA270" s="19">
        <f>IF(ISERROR($E$270),"",IF(ISBLANK($E$270),"",$E$270))</f>
        <v/>
      </c>
      <c r="AB270" s="19">
        <f>IF(ISERROR($F$270),"",IF(ISBLANK($F$270),"",$F$270))</f>
        <v/>
      </c>
      <c r="AC270" s="19">
        <f>IF(ISERROR($G$270),"",IF(ISBLANK($G$270),"",$G$270))</f>
        <v/>
      </c>
      <c r="AD270" s="19">
        <f>IF(ISERROR($H$270),"",IF(ISBLANK($H$270),"",$H$270))</f>
        <v/>
      </c>
      <c r="AG270" s="19">
        <f>ISERROR($B$270)*1+ISERROR($C$270)*1+ISERROR($D$270)*1+ISERROR($E$270)*1+ISERROR($F$270)*1+ISERROR($G$270)*1+ISERROR($H$270)*1</f>
        <v/>
      </c>
    </row>
    <row r="271" ht="26" customHeight="1">
      <c r="B271" s="31" t="inlineStr">
        <is>
          <t>Kaur</t>
        </is>
      </c>
      <c r="C271" s="28" t="inlineStr">
        <is>
          <t>Bian</t>
        </is>
      </c>
      <c r="D271" s="28" t="inlineStr">
        <is>
          <t>do Rio que Volta</t>
        </is>
      </c>
      <c r="E271" s="28" t="inlineStr">
        <is>
          <t>Fio de Ouro</t>
        </is>
      </c>
      <c r="F271" s="28" t="inlineStr">
        <is>
          <t>Coro das Marés</t>
        </is>
      </c>
      <c r="G271" s="28" t="inlineStr">
        <is>
          <t>Bússola Torta</t>
        </is>
      </c>
      <c r="H271" s="28" t="inlineStr">
        <is>
          <t>Curiosidade</t>
        </is>
      </c>
      <c r="K271" s="18">
        <f>IF(AG271&gt;0,"O Google leu como fórmula: digite de novo com ' na frente.","")</f>
        <v/>
      </c>
      <c r="N271" s="19">
        <f>N270+IF(LEN($X$271)&gt;0,1,0)</f>
        <v/>
      </c>
      <c r="O271" s="19">
        <f>O270+IF(LEN($Y$271)&gt;0,1,0)</f>
        <v/>
      </c>
      <c r="P271" s="19">
        <f>P270+IF(LEN($Z$271)&gt;0,1,0)</f>
        <v/>
      </c>
      <c r="Q271" s="19">
        <f>Q270+IF(LEN($AA$271)&gt;0,1,0)</f>
        <v/>
      </c>
      <c r="R271" s="19">
        <f>R270+IF(LEN($AB$271)&gt;0,1,0)</f>
        <v/>
      </c>
      <c r="S271" s="19">
        <f>S270+IF(LEN($AC$271)&gt;0,1,0)</f>
        <v/>
      </c>
      <c r="T271" s="19">
        <f>T270+IF(LEN($AD$271)&gt;0,1,0)</f>
        <v/>
      </c>
      <c r="X271" s="19">
        <f>IF(ISERROR($B$271),"",IF(ISBLANK($B$271),"",$B$271))</f>
        <v/>
      </c>
      <c r="Y271" s="19">
        <f>IF(ISERROR($C$271),"",IF(ISBLANK($C$271),"",$C$271))</f>
        <v/>
      </c>
      <c r="Z271" s="19">
        <f>IF(ISERROR($D$271),"",IF(ISBLANK($D$271),"",$D$271))</f>
        <v/>
      </c>
      <c r="AA271" s="19">
        <f>IF(ISERROR($E$271),"",IF(ISBLANK($E$271),"",$E$271))</f>
        <v/>
      </c>
      <c r="AB271" s="19">
        <f>IF(ISERROR($F$271),"",IF(ISBLANK($F$271),"",$F$271))</f>
        <v/>
      </c>
      <c r="AC271" s="19">
        <f>IF(ISERROR($G$271),"",IF(ISBLANK($G$271),"",$G$271))</f>
        <v/>
      </c>
      <c r="AD271" s="19">
        <f>IF(ISERROR($H$271),"",IF(ISBLANK($H$271),"",$H$271))</f>
        <v/>
      </c>
      <c r="AG271" s="19">
        <f>ISERROR($B$271)*1+ISERROR($C$271)*1+ISERROR($D$271)*1+ISERROR($E$271)*1+ISERROR($F$271)*1+ISERROR($G$271)*1+ISERROR($H$271)*1</f>
        <v/>
      </c>
    </row>
    <row r="272" ht="26" customHeight="1">
      <c r="B272" s="30" t="inlineStr">
        <is>
          <t>Lisboa</t>
        </is>
      </c>
      <c r="C272" s="3" t="inlineStr">
        <is>
          <t>Gong</t>
        </is>
      </c>
      <c r="D272" s="3" t="inlineStr">
        <is>
          <t>da Maré Cheia</t>
        </is>
      </c>
      <c r="E272" s="3" t="inlineStr">
        <is>
          <t>Nove Recibos</t>
        </is>
      </c>
      <c r="F272" s="3" t="inlineStr">
        <is>
          <t>Acorde Menor</t>
        </is>
      </c>
      <c r="G272" s="3" t="inlineStr">
        <is>
          <t>Noite Fria</t>
        </is>
      </c>
      <c r="H272" s="3" t="inlineStr">
        <is>
          <t>Esperança</t>
        </is>
      </c>
      <c r="K272" s="18">
        <f>IF(AG272&gt;0,"O Google leu como fórmula: digite de novo com ' na frente.","")</f>
        <v/>
      </c>
      <c r="N272" s="19">
        <f>N271+IF(LEN($X$272)&gt;0,1,0)</f>
        <v/>
      </c>
      <c r="O272" s="19">
        <f>O271+IF(LEN($Y$272)&gt;0,1,0)</f>
        <v/>
      </c>
      <c r="P272" s="19">
        <f>P271+IF(LEN($Z$272)&gt;0,1,0)</f>
        <v/>
      </c>
      <c r="Q272" s="19">
        <f>Q271+IF(LEN($AA$272)&gt;0,1,0)</f>
        <v/>
      </c>
      <c r="R272" s="19">
        <f>R271+IF(LEN($AB$272)&gt;0,1,0)</f>
        <v/>
      </c>
      <c r="S272" s="19">
        <f>S271+IF(LEN($AC$272)&gt;0,1,0)</f>
        <v/>
      </c>
      <c r="T272" s="19">
        <f>T271+IF(LEN($AD$272)&gt;0,1,0)</f>
        <v/>
      </c>
      <c r="X272" s="19">
        <f>IF(ISERROR($B$272),"",IF(ISBLANK($B$272),"",$B$272))</f>
        <v/>
      </c>
      <c r="Y272" s="19">
        <f>IF(ISERROR($C$272),"",IF(ISBLANK($C$272),"",$C$272))</f>
        <v/>
      </c>
      <c r="Z272" s="19">
        <f>IF(ISERROR($D$272),"",IF(ISBLANK($D$272),"",$D$272))</f>
        <v/>
      </c>
      <c r="AA272" s="19">
        <f>IF(ISERROR($E$272),"",IF(ISBLANK($E$272),"",$E$272))</f>
        <v/>
      </c>
      <c r="AB272" s="19">
        <f>IF(ISERROR($F$272),"",IF(ISBLANK($F$272),"",$F$272))</f>
        <v/>
      </c>
      <c r="AC272" s="19">
        <f>IF(ISERROR($G$272),"",IF(ISBLANK($G$272),"",$G$272))</f>
        <v/>
      </c>
      <c r="AD272" s="19">
        <f>IF(ISERROR($H$272),"",IF(ISBLANK($H$272),"",$H$272))</f>
        <v/>
      </c>
      <c r="AG272" s="19">
        <f>ISERROR($B$272)*1+ISERROR($C$272)*1+ISERROR($D$272)*1+ISERROR($E$272)*1+ISERROR($F$272)*1+ISERROR($G$272)*1+ISERROR($H$272)*1</f>
        <v/>
      </c>
    </row>
    <row r="273" ht="26" customHeight="1">
      <c r="B273" s="31" t="inlineStr">
        <is>
          <t>Ostrowski</t>
        </is>
      </c>
      <c r="C273" s="28" t="inlineStr">
        <is>
          <t>Zhuo</t>
        </is>
      </c>
      <c r="D273" s="28" t="inlineStr">
        <is>
          <t>das Algas Altas</t>
        </is>
      </c>
      <c r="E273" s="28" t="inlineStr">
        <is>
          <t>Cauda Inquieta</t>
        </is>
      </c>
      <c r="F273" s="28" t="inlineStr">
        <is>
          <t>Canção do Retorno</t>
        </is>
      </c>
      <c r="G273" s="28" t="inlineStr">
        <is>
          <t>Muitos Portos</t>
        </is>
      </c>
      <c r="H273" s="28" t="inlineStr">
        <is>
          <t>Fôlego</t>
        </is>
      </c>
      <c r="K273" s="18">
        <f>IF(AG273&gt;0,"O Google leu como fórmula: digite de novo com ' na frente.","")</f>
        <v/>
      </c>
      <c r="N273" s="19">
        <f>N272+IF(LEN($X$273)&gt;0,1,0)</f>
        <v/>
      </c>
      <c r="O273" s="19">
        <f>O272+IF(LEN($Y$273)&gt;0,1,0)</f>
        <v/>
      </c>
      <c r="P273" s="19">
        <f>P272+IF(LEN($Z$273)&gt;0,1,0)</f>
        <v/>
      </c>
      <c r="Q273" s="19">
        <f>Q272+IF(LEN($AA$273)&gt;0,1,0)</f>
        <v/>
      </c>
      <c r="R273" s="19">
        <f>R272+IF(LEN($AB$273)&gt;0,1,0)</f>
        <v/>
      </c>
      <c r="S273" s="19">
        <f>S272+IF(LEN($AC$273)&gt;0,1,0)</f>
        <v/>
      </c>
      <c r="T273" s="19">
        <f>T272+IF(LEN($AD$273)&gt;0,1,0)</f>
        <v/>
      </c>
      <c r="X273" s="19">
        <f>IF(ISERROR($B$273),"",IF(ISBLANK($B$273),"",$B$273))</f>
        <v/>
      </c>
      <c r="Y273" s="19">
        <f>IF(ISERROR($C$273),"",IF(ISBLANK($C$273),"",$C$273))</f>
        <v/>
      </c>
      <c r="Z273" s="19">
        <f>IF(ISERROR($D$273),"",IF(ISBLANK($D$273),"",$D$273))</f>
        <v/>
      </c>
      <c r="AA273" s="19">
        <f>IF(ISERROR($E$273),"",IF(ISBLANK($E$273),"",$E$273))</f>
        <v/>
      </c>
      <c r="AB273" s="19">
        <f>IF(ISERROR($F$273),"",IF(ISBLANK($F$273),"",$F$273))</f>
        <v/>
      </c>
      <c r="AC273" s="19">
        <f>IF(ISERROR($G$273),"",IF(ISBLANK($G$273),"",$G$273))</f>
        <v/>
      </c>
      <c r="AD273" s="19">
        <f>IF(ISERROR($H$273),"",IF(ISBLANK($H$273),"",$H$273))</f>
        <v/>
      </c>
      <c r="AG273" s="19">
        <f>ISERROR($B$273)*1+ISERROR($C$273)*1+ISERROR($D$273)*1+ISERROR($E$273)*1+ISERROR($F$273)*1+ISERROR($G$273)*1+ISERROR($H$273)*1</f>
        <v/>
      </c>
    </row>
    <row r="274" ht="26" customHeight="1">
      <c r="B274" s="30" t="inlineStr">
        <is>
          <t>Duarte-Kim</t>
        </is>
      </c>
      <c r="C274" s="3" t="inlineStr">
        <is>
          <t>Cui</t>
        </is>
      </c>
      <c r="D274" s="3" t="n"/>
      <c r="E274" s="3" t="n"/>
      <c r="F274" s="3" t="n"/>
      <c r="G274" s="3" t="n"/>
      <c r="H274" s="3" t="n"/>
      <c r="K274" s="18">
        <f>IF(AG274&gt;0,"O Google leu como fórmula: digite de novo com ' na frente.","")</f>
        <v/>
      </c>
      <c r="N274" s="19">
        <f>N273+IF(LEN($X$274)&gt;0,1,0)</f>
        <v/>
      </c>
      <c r="O274" s="19">
        <f>O273+IF(LEN($Y$274)&gt;0,1,0)</f>
        <v/>
      </c>
      <c r="P274" s="19">
        <f>P273+IF(LEN($Z$274)&gt;0,1,0)</f>
        <v/>
      </c>
      <c r="Q274" s="19">
        <f>Q273+IF(LEN($AA$274)&gt;0,1,0)</f>
        <v/>
      </c>
      <c r="R274" s="19">
        <f>R273+IF(LEN($AB$274)&gt;0,1,0)</f>
        <v/>
      </c>
      <c r="S274" s="19">
        <f>S273+IF(LEN($AC$274)&gt;0,1,0)</f>
        <v/>
      </c>
      <c r="T274" s="19">
        <f>T273+IF(LEN($AD$274)&gt;0,1,0)</f>
        <v/>
      </c>
      <c r="X274" s="19">
        <f>IF(ISERROR($B$274),"",IF(ISBLANK($B$274),"",$B$274))</f>
        <v/>
      </c>
      <c r="Y274" s="19">
        <f>IF(ISERROR($C$274),"",IF(ISBLANK($C$274),"",$C$274))</f>
        <v/>
      </c>
      <c r="Z274" s="19">
        <f>IF(ISERROR($D$274),"",IF(ISBLANK($D$274),"",$D$274))</f>
        <v/>
      </c>
      <c r="AA274" s="19">
        <f>IF(ISERROR($E$274),"",IF(ISBLANK($E$274),"",$E$274))</f>
        <v/>
      </c>
      <c r="AB274" s="19">
        <f>IF(ISERROR($F$274),"",IF(ISBLANK($F$274),"",$F$274))</f>
        <v/>
      </c>
      <c r="AC274" s="19">
        <f>IF(ISERROR($G$274),"",IF(ISBLANK($G$274),"",$G$274))</f>
        <v/>
      </c>
      <c r="AD274" s="19">
        <f>IF(ISERROR($H$274),"",IF(ISBLANK($H$274),"",$H$274))</f>
        <v/>
      </c>
      <c r="AG274" s="19">
        <f>ISERROR($B$274)*1+ISERROR($C$274)*1+ISERROR($D$274)*1+ISERROR($E$274)*1+ISERROR($F$274)*1+ISERROR($G$274)*1+ISERROR($H$274)*1</f>
        <v/>
      </c>
    </row>
    <row r="275" ht="26" customHeight="1">
      <c r="B275" s="31" t="n"/>
      <c r="C275" s="28" t="inlineStr">
        <is>
          <t>Gao</t>
        </is>
      </c>
      <c r="D275" s="28" t="n"/>
      <c r="E275" s="28" t="n"/>
      <c r="F275" s="28" t="n"/>
      <c r="G275" s="28" t="n"/>
      <c r="H275" s="28" t="n"/>
      <c r="K275" s="18">
        <f>IF(AG275&gt;0,"O Google leu como fórmula: digite de novo com ' na frente.","")</f>
        <v/>
      </c>
      <c r="N275" s="19">
        <f>N274+IF(LEN($X$275)&gt;0,1,0)</f>
        <v/>
      </c>
      <c r="O275" s="19">
        <f>O274+IF(LEN($Y$275)&gt;0,1,0)</f>
        <v/>
      </c>
      <c r="P275" s="19">
        <f>P274+IF(LEN($Z$275)&gt;0,1,0)</f>
        <v/>
      </c>
      <c r="Q275" s="19">
        <f>Q274+IF(LEN($AA$275)&gt;0,1,0)</f>
        <v/>
      </c>
      <c r="R275" s="19">
        <f>R274+IF(LEN($AB$275)&gt;0,1,0)</f>
        <v/>
      </c>
      <c r="S275" s="19">
        <f>S274+IF(LEN($AC$275)&gt;0,1,0)</f>
        <v/>
      </c>
      <c r="T275" s="19">
        <f>T274+IF(LEN($AD$275)&gt;0,1,0)</f>
        <v/>
      </c>
      <c r="X275" s="19">
        <f>IF(ISERROR($B$275),"",IF(ISBLANK($B$275),"",$B$275))</f>
        <v/>
      </c>
      <c r="Y275" s="19">
        <f>IF(ISERROR($C$275),"",IF(ISBLANK($C$275),"",$C$275))</f>
        <v/>
      </c>
      <c r="Z275" s="19">
        <f>IF(ISERROR($D$275),"",IF(ISBLANK($D$275),"",$D$275))</f>
        <v/>
      </c>
      <c r="AA275" s="19">
        <f>IF(ISERROR($E$275),"",IF(ISBLANK($E$275),"",$E$275))</f>
        <v/>
      </c>
      <c r="AB275" s="19">
        <f>IF(ISERROR($F$275),"",IF(ISBLANK($F$275),"",$F$275))</f>
        <v/>
      </c>
      <c r="AC275" s="19">
        <f>IF(ISERROR($G$275),"",IF(ISBLANK($G$275),"",$G$275))</f>
        <v/>
      </c>
      <c r="AD275" s="19">
        <f>IF(ISERROR($H$275),"",IF(ISBLANK($H$275),"",$H$275))</f>
        <v/>
      </c>
      <c r="AG275" s="19">
        <f>ISERROR($B$275)*1+ISERROR($C$275)*1+ISERROR($D$275)*1+ISERROR($E$275)*1+ISERROR($F$275)*1+ISERROR($G$275)*1+ISERROR($H$275)*1</f>
        <v/>
      </c>
    </row>
    <row r="276" ht="26" customHeight="1">
      <c r="B276" s="30" t="n"/>
      <c r="C276" s="3" t="n"/>
      <c r="D276" s="3" t="n"/>
      <c r="E276" s="3" t="n"/>
      <c r="F276" s="3" t="n"/>
      <c r="G276" s="3" t="n"/>
      <c r="H276" s="3" t="n"/>
      <c r="K276" s="18">
        <f>IF(AG276&gt;0,"O Google leu como fórmula: digite de novo com ' na frente.","")</f>
        <v/>
      </c>
      <c r="N276" s="19">
        <f>N275+IF(LEN($X$276)&gt;0,1,0)</f>
        <v/>
      </c>
      <c r="O276" s="19">
        <f>O275+IF(LEN($Y$276)&gt;0,1,0)</f>
        <v/>
      </c>
      <c r="P276" s="19">
        <f>P275+IF(LEN($Z$276)&gt;0,1,0)</f>
        <v/>
      </c>
      <c r="Q276" s="19">
        <f>Q275+IF(LEN($AA$276)&gt;0,1,0)</f>
        <v/>
      </c>
      <c r="R276" s="19">
        <f>R275+IF(LEN($AB$276)&gt;0,1,0)</f>
        <v/>
      </c>
      <c r="S276" s="19">
        <f>S275+IF(LEN($AC$276)&gt;0,1,0)</f>
        <v/>
      </c>
      <c r="T276" s="19">
        <f>T275+IF(LEN($AD$276)&gt;0,1,0)</f>
        <v/>
      </c>
      <c r="X276" s="19">
        <f>IF(ISERROR($B$276),"",IF(ISBLANK($B$276),"",$B$276))</f>
        <v/>
      </c>
      <c r="Y276" s="19">
        <f>IF(ISERROR($C$276),"",IF(ISBLANK($C$276),"",$C$276))</f>
        <v/>
      </c>
      <c r="Z276" s="19">
        <f>IF(ISERROR($D$276),"",IF(ISBLANK($D$276),"",$D$276))</f>
        <v/>
      </c>
      <c r="AA276" s="19">
        <f>IF(ISERROR($E$276),"",IF(ISBLANK($E$276),"",$E$276))</f>
        <v/>
      </c>
      <c r="AB276" s="19">
        <f>IF(ISERROR($F$276),"",IF(ISBLANK($F$276),"",$F$276))</f>
        <v/>
      </c>
      <c r="AC276" s="19">
        <f>IF(ISERROR($G$276),"",IF(ISBLANK($G$276),"",$G$276))</f>
        <v/>
      </c>
      <c r="AD276" s="19">
        <f>IF(ISERROR($H$276),"",IF(ISBLANK($H$276),"",$H$276))</f>
        <v/>
      </c>
      <c r="AG276" s="19">
        <f>ISERROR($B$276)*1+ISERROR($C$276)*1+ISERROR($D$276)*1+ISERROR($E$276)*1+ISERROR($F$276)*1+ISERROR($G$276)*1+ISERROR($H$276)*1</f>
        <v/>
      </c>
    </row>
    <row r="277" ht="26" customHeight="1">
      <c r="B277" s="31" t="n"/>
      <c r="C277" s="28" t="n"/>
      <c r="D277" s="28" t="n"/>
      <c r="E277" s="28" t="n"/>
      <c r="F277" s="28" t="n"/>
      <c r="G277" s="28" t="n"/>
      <c r="H277" s="28" t="n"/>
      <c r="K277" s="18">
        <f>IF(AG277&gt;0,"O Google leu como fórmula: digite de novo com ' na frente.","")</f>
        <v/>
      </c>
      <c r="N277" s="19">
        <f>N276+IF(LEN($X$277)&gt;0,1,0)</f>
        <v/>
      </c>
      <c r="O277" s="19">
        <f>O276+IF(LEN($Y$277)&gt;0,1,0)</f>
        <v/>
      </c>
      <c r="P277" s="19">
        <f>P276+IF(LEN($Z$277)&gt;0,1,0)</f>
        <v/>
      </c>
      <c r="Q277" s="19">
        <f>Q276+IF(LEN($AA$277)&gt;0,1,0)</f>
        <v/>
      </c>
      <c r="R277" s="19">
        <f>R276+IF(LEN($AB$277)&gt;0,1,0)</f>
        <v/>
      </c>
      <c r="S277" s="19">
        <f>S276+IF(LEN($AC$277)&gt;0,1,0)</f>
        <v/>
      </c>
      <c r="T277" s="19">
        <f>T276+IF(LEN($AD$277)&gt;0,1,0)</f>
        <v/>
      </c>
      <c r="X277" s="19">
        <f>IF(ISERROR($B$277),"",IF(ISBLANK($B$277),"",$B$277))</f>
        <v/>
      </c>
      <c r="Y277" s="19">
        <f>IF(ISERROR($C$277),"",IF(ISBLANK($C$277),"",$C$277))</f>
        <v/>
      </c>
      <c r="Z277" s="19">
        <f>IF(ISERROR($D$277),"",IF(ISBLANK($D$277),"",$D$277))</f>
        <v/>
      </c>
      <c r="AA277" s="19">
        <f>IF(ISERROR($E$277),"",IF(ISBLANK($E$277),"",$E$277))</f>
        <v/>
      </c>
      <c r="AB277" s="19">
        <f>IF(ISERROR($F$277),"",IF(ISBLANK($F$277),"",$F$277))</f>
        <v/>
      </c>
      <c r="AC277" s="19">
        <f>IF(ISERROR($G$277),"",IF(ISBLANK($G$277),"",$G$277))</f>
        <v/>
      </c>
      <c r="AD277" s="19">
        <f>IF(ISERROR($H$277),"",IF(ISBLANK($H$277),"",$H$277))</f>
        <v/>
      </c>
      <c r="AG277" s="19">
        <f>ISERROR($B$277)*1+ISERROR($C$277)*1+ISERROR($D$277)*1+ISERROR($E$277)*1+ISERROR($F$277)*1+ISERROR($G$277)*1+ISERROR($H$277)*1</f>
        <v/>
      </c>
    </row>
    <row r="278" ht="26" customHeight="1">
      <c r="B278" s="30" t="n"/>
      <c r="C278" s="3" t="n"/>
      <c r="D278" s="3" t="n"/>
      <c r="E278" s="3" t="n"/>
      <c r="F278" s="3" t="n"/>
      <c r="G278" s="3" t="n"/>
      <c r="H278" s="3" t="n"/>
      <c r="K278" s="18">
        <f>IF(AG278&gt;0,"O Google leu como fórmula: digite de novo com ' na frente.","")</f>
        <v/>
      </c>
      <c r="N278" s="19">
        <f>N277+IF(LEN($X$278)&gt;0,1,0)</f>
        <v/>
      </c>
      <c r="O278" s="19">
        <f>O277+IF(LEN($Y$278)&gt;0,1,0)</f>
        <v/>
      </c>
      <c r="P278" s="19">
        <f>P277+IF(LEN($Z$278)&gt;0,1,0)</f>
        <v/>
      </c>
      <c r="Q278" s="19">
        <f>Q277+IF(LEN($AA$278)&gt;0,1,0)</f>
        <v/>
      </c>
      <c r="R278" s="19">
        <f>R277+IF(LEN($AB$278)&gt;0,1,0)</f>
        <v/>
      </c>
      <c r="S278" s="19">
        <f>S277+IF(LEN($AC$278)&gt;0,1,0)</f>
        <v/>
      </c>
      <c r="T278" s="19">
        <f>T277+IF(LEN($AD$278)&gt;0,1,0)</f>
        <v/>
      </c>
      <c r="X278" s="19">
        <f>IF(ISERROR($B$278),"",IF(ISBLANK($B$278),"",$B$278))</f>
        <v/>
      </c>
      <c r="Y278" s="19">
        <f>IF(ISERROR($C$278),"",IF(ISBLANK($C$278),"",$C$278))</f>
        <v/>
      </c>
      <c r="Z278" s="19">
        <f>IF(ISERROR($D$278),"",IF(ISBLANK($D$278),"",$D$278))</f>
        <v/>
      </c>
      <c r="AA278" s="19">
        <f>IF(ISERROR($E$278),"",IF(ISBLANK($E$278),"",$E$278))</f>
        <v/>
      </c>
      <c r="AB278" s="19">
        <f>IF(ISERROR($F$278),"",IF(ISBLANK($F$278),"",$F$278))</f>
        <v/>
      </c>
      <c r="AC278" s="19">
        <f>IF(ISERROR($G$278),"",IF(ISBLANK($G$278),"",$G$278))</f>
        <v/>
      </c>
      <c r="AD278" s="19">
        <f>IF(ISERROR($H$278),"",IF(ISBLANK($H$278),"",$H$278))</f>
        <v/>
      </c>
      <c r="AG278" s="19">
        <f>ISERROR($B$278)*1+ISERROR($C$278)*1+ISERROR($D$278)*1+ISERROR($E$278)*1+ISERROR($F$278)*1+ISERROR($G$278)*1+ISERROR($H$278)*1</f>
        <v/>
      </c>
    </row>
    <row r="279" ht="26" customHeight="1">
      <c r="B279" s="31" t="n"/>
      <c r="C279" s="28" t="n"/>
      <c r="D279" s="28" t="n"/>
      <c r="E279" s="28" t="n"/>
      <c r="F279" s="28" t="n"/>
      <c r="G279" s="28" t="n"/>
      <c r="H279" s="28" t="n"/>
      <c r="K279" s="18">
        <f>IF(AG279&gt;0,"O Google leu como fórmula: digite de novo com ' na frente.","")</f>
        <v/>
      </c>
      <c r="N279" s="19">
        <f>N278+IF(LEN($X$279)&gt;0,1,0)</f>
        <v/>
      </c>
      <c r="O279" s="19">
        <f>O278+IF(LEN($Y$279)&gt;0,1,0)</f>
        <v/>
      </c>
      <c r="P279" s="19">
        <f>P278+IF(LEN($Z$279)&gt;0,1,0)</f>
        <v/>
      </c>
      <c r="Q279" s="19">
        <f>Q278+IF(LEN($AA$279)&gt;0,1,0)</f>
        <v/>
      </c>
      <c r="R279" s="19">
        <f>R278+IF(LEN($AB$279)&gt;0,1,0)</f>
        <v/>
      </c>
      <c r="S279" s="19">
        <f>S278+IF(LEN($AC$279)&gt;0,1,0)</f>
        <v/>
      </c>
      <c r="T279" s="19">
        <f>T278+IF(LEN($AD$279)&gt;0,1,0)</f>
        <v/>
      </c>
      <c r="X279" s="19">
        <f>IF(ISERROR($B$279),"",IF(ISBLANK($B$279),"",$B$279))</f>
        <v/>
      </c>
      <c r="Y279" s="19">
        <f>IF(ISERROR($C$279),"",IF(ISBLANK($C$279),"",$C$279))</f>
        <v/>
      </c>
      <c r="Z279" s="19">
        <f>IF(ISERROR($D$279),"",IF(ISBLANK($D$279),"",$D$279))</f>
        <v/>
      </c>
      <c r="AA279" s="19">
        <f>IF(ISERROR($E$279),"",IF(ISBLANK($E$279),"",$E$279))</f>
        <v/>
      </c>
      <c r="AB279" s="19">
        <f>IF(ISERROR($F$279),"",IF(ISBLANK($F$279),"",$F$279))</f>
        <v/>
      </c>
      <c r="AC279" s="19">
        <f>IF(ISERROR($G$279),"",IF(ISBLANK($G$279),"",$G$279))</f>
        <v/>
      </c>
      <c r="AD279" s="19">
        <f>IF(ISERROR($H$279),"",IF(ISBLANK($H$279),"",$H$279))</f>
        <v/>
      </c>
      <c r="AG279" s="19">
        <f>ISERROR($B$279)*1+ISERROR($C$279)*1+ISERROR($D$279)*1+ISERROR($E$279)*1+ISERROR($F$279)*1+ISERROR($G$279)*1+ISERROR($H$279)*1</f>
        <v/>
      </c>
    </row>
    <row r="280" ht="26" customHeight="1">
      <c r="B280" s="30" t="n"/>
      <c r="C280" s="3" t="n"/>
      <c r="D280" s="3" t="n"/>
      <c r="E280" s="3" t="n"/>
      <c r="F280" s="3" t="n"/>
      <c r="G280" s="3" t="n"/>
      <c r="H280" s="3" t="n"/>
      <c r="K280" s="18">
        <f>IF(AG280&gt;0,"O Google leu como fórmula: digite de novo com ' na frente.","")</f>
        <v/>
      </c>
      <c r="N280" s="19">
        <f>N279+IF(LEN($X$280)&gt;0,1,0)</f>
        <v/>
      </c>
      <c r="O280" s="19">
        <f>O279+IF(LEN($Y$280)&gt;0,1,0)</f>
        <v/>
      </c>
      <c r="P280" s="19">
        <f>P279+IF(LEN($Z$280)&gt;0,1,0)</f>
        <v/>
      </c>
      <c r="Q280" s="19">
        <f>Q279+IF(LEN($AA$280)&gt;0,1,0)</f>
        <v/>
      </c>
      <c r="R280" s="19">
        <f>R279+IF(LEN($AB$280)&gt;0,1,0)</f>
        <v/>
      </c>
      <c r="S280" s="19">
        <f>S279+IF(LEN($AC$280)&gt;0,1,0)</f>
        <v/>
      </c>
      <c r="T280" s="19">
        <f>T279+IF(LEN($AD$280)&gt;0,1,0)</f>
        <v/>
      </c>
      <c r="X280" s="19">
        <f>IF(ISERROR($B$280),"",IF(ISBLANK($B$280),"",$B$280))</f>
        <v/>
      </c>
      <c r="Y280" s="19">
        <f>IF(ISERROR($C$280),"",IF(ISBLANK($C$280),"",$C$280))</f>
        <v/>
      </c>
      <c r="Z280" s="19">
        <f>IF(ISERROR($D$280),"",IF(ISBLANK($D$280),"",$D$280))</f>
        <v/>
      </c>
      <c r="AA280" s="19">
        <f>IF(ISERROR($E$280),"",IF(ISBLANK($E$280),"",$E$280))</f>
        <v/>
      </c>
      <c r="AB280" s="19">
        <f>IF(ISERROR($F$280),"",IF(ISBLANK($F$280),"",$F$280))</f>
        <v/>
      </c>
      <c r="AC280" s="19">
        <f>IF(ISERROR($G$280),"",IF(ISBLANK($G$280),"",$G$280))</f>
        <v/>
      </c>
      <c r="AD280" s="19">
        <f>IF(ISERROR($H$280),"",IF(ISBLANK($H$280),"",$H$280))</f>
        <v/>
      </c>
      <c r="AG280" s="19">
        <f>ISERROR($B$280)*1+ISERROR($C$280)*1+ISERROR($D$280)*1+ISERROR($E$280)*1+ISERROR($F$280)*1+ISERROR($G$280)*1+ISERROR($H$280)*1</f>
        <v/>
      </c>
    </row>
    <row r="281" ht="26" customHeight="1">
      <c r="B281" s="31" t="n"/>
      <c r="C281" s="28" t="n"/>
      <c r="D281" s="28" t="n"/>
      <c r="E281" s="28" t="n"/>
      <c r="F281" s="28" t="n"/>
      <c r="G281" s="28" t="n"/>
      <c r="H281" s="28" t="n"/>
      <c r="K281" s="18">
        <f>IF(AG281&gt;0,"O Google leu como fórmula: digite de novo com ' na frente.","")</f>
        <v/>
      </c>
      <c r="N281" s="19">
        <f>N280+IF(LEN($X$281)&gt;0,1,0)</f>
        <v/>
      </c>
      <c r="O281" s="19">
        <f>O280+IF(LEN($Y$281)&gt;0,1,0)</f>
        <v/>
      </c>
      <c r="P281" s="19">
        <f>P280+IF(LEN($Z$281)&gt;0,1,0)</f>
        <v/>
      </c>
      <c r="Q281" s="19">
        <f>Q280+IF(LEN($AA$281)&gt;0,1,0)</f>
        <v/>
      </c>
      <c r="R281" s="19">
        <f>R280+IF(LEN($AB$281)&gt;0,1,0)</f>
        <v/>
      </c>
      <c r="S281" s="19">
        <f>S280+IF(LEN($AC$281)&gt;0,1,0)</f>
        <v/>
      </c>
      <c r="T281" s="19">
        <f>T280+IF(LEN($AD$281)&gt;0,1,0)</f>
        <v/>
      </c>
      <c r="X281" s="19">
        <f>IF(ISERROR($B$281),"",IF(ISBLANK($B$281),"",$B$281))</f>
        <v/>
      </c>
      <c r="Y281" s="19">
        <f>IF(ISERROR($C$281),"",IF(ISBLANK($C$281),"",$C$281))</f>
        <v/>
      </c>
      <c r="Z281" s="19">
        <f>IF(ISERROR($D$281),"",IF(ISBLANK($D$281),"",$D$281))</f>
        <v/>
      </c>
      <c r="AA281" s="19">
        <f>IF(ISERROR($E$281),"",IF(ISBLANK($E$281),"",$E$281))</f>
        <v/>
      </c>
      <c r="AB281" s="19">
        <f>IF(ISERROR($F$281),"",IF(ISBLANK($F$281),"",$F$281))</f>
        <v/>
      </c>
      <c r="AC281" s="19">
        <f>IF(ISERROR($G$281),"",IF(ISBLANK($G$281),"",$G$281))</f>
        <v/>
      </c>
      <c r="AD281" s="19">
        <f>IF(ISERROR($H$281),"",IF(ISBLANK($H$281),"",$H$281))</f>
        <v/>
      </c>
      <c r="AG281" s="19">
        <f>ISERROR($B$281)*1+ISERROR($C$281)*1+ISERROR($D$281)*1+ISERROR($E$281)*1+ISERROR($F$281)*1+ISERROR($G$281)*1+ISERROR($H$281)*1</f>
        <v/>
      </c>
    </row>
    <row r="282" ht="26" customHeight="1">
      <c r="B282" s="30" t="n"/>
      <c r="C282" s="3" t="n"/>
      <c r="D282" s="3" t="n"/>
      <c r="E282" s="3" t="n"/>
      <c r="F282" s="3" t="n"/>
      <c r="G282" s="3" t="n"/>
      <c r="H282" s="3" t="n"/>
      <c r="K282" s="18">
        <f>IF(AG282&gt;0,"O Google leu como fórmula: digite de novo com ' na frente.","")</f>
        <v/>
      </c>
      <c r="N282" s="19">
        <f>N281+IF(LEN($X$282)&gt;0,1,0)</f>
        <v/>
      </c>
      <c r="O282" s="19">
        <f>O281+IF(LEN($Y$282)&gt;0,1,0)</f>
        <v/>
      </c>
      <c r="P282" s="19">
        <f>P281+IF(LEN($Z$282)&gt;0,1,0)</f>
        <v/>
      </c>
      <c r="Q282" s="19">
        <f>Q281+IF(LEN($AA$282)&gt;0,1,0)</f>
        <v/>
      </c>
      <c r="R282" s="19">
        <f>R281+IF(LEN($AB$282)&gt;0,1,0)</f>
        <v/>
      </c>
      <c r="S282" s="19">
        <f>S281+IF(LEN($AC$282)&gt;0,1,0)</f>
        <v/>
      </c>
      <c r="T282" s="19">
        <f>T281+IF(LEN($AD$282)&gt;0,1,0)</f>
        <v/>
      </c>
      <c r="X282" s="19">
        <f>IF(ISERROR($B$282),"",IF(ISBLANK($B$282),"",$B$282))</f>
        <v/>
      </c>
      <c r="Y282" s="19">
        <f>IF(ISERROR($C$282),"",IF(ISBLANK($C$282),"",$C$282))</f>
        <v/>
      </c>
      <c r="Z282" s="19">
        <f>IF(ISERROR($D$282),"",IF(ISBLANK($D$282),"",$D$282))</f>
        <v/>
      </c>
      <c r="AA282" s="19">
        <f>IF(ISERROR($E$282),"",IF(ISBLANK($E$282),"",$E$282))</f>
        <v/>
      </c>
      <c r="AB282" s="19">
        <f>IF(ISERROR($F$282),"",IF(ISBLANK($F$282),"",$F$282))</f>
        <v/>
      </c>
      <c r="AC282" s="19">
        <f>IF(ISERROR($G$282),"",IF(ISBLANK($G$282),"",$G$282))</f>
        <v/>
      </c>
      <c r="AD282" s="19">
        <f>IF(ISERROR($H$282),"",IF(ISBLANK($H$282),"",$H$282))</f>
        <v/>
      </c>
      <c r="AG282" s="19">
        <f>ISERROR($B$282)*1+ISERROR($C$282)*1+ISERROR($D$282)*1+ISERROR($E$282)*1+ISERROR($F$282)*1+ISERROR($G$282)*1+ISERROR($H$282)*1</f>
        <v/>
      </c>
    </row>
    <row r="283" ht="15" customHeight="1">
      <c r="B283" s="7" t="inlineStr">
        <is>
          <t>Sobrenome — Humano</t>
        </is>
      </c>
      <c r="C283" s="7" t="inlineStr">
        <is>
          <t>Sobrenome — Xianzhouíta</t>
        </is>
      </c>
      <c r="D283" s="7" t="inlineStr">
        <is>
          <t>Sobrenome — Vidyadhara</t>
        </is>
      </c>
      <c r="E283" s="7" t="inlineStr">
        <is>
          <t>Sobrenome — Vulpes</t>
        </is>
      </c>
      <c r="F283" s="7" t="inlineStr">
        <is>
          <t>Sobrenome — Haloviano</t>
        </is>
      </c>
      <c r="G283" s="7" t="inlineStr">
        <is>
          <t>Sobrenome — Avginiano</t>
        </is>
      </c>
      <c r="H283" s="7" t="inlineStr">
        <is>
          <t>Sobrenome — Intellitron</t>
        </is>
      </c>
      <c r="N283" s="19">
        <f>N282</f>
        <v/>
      </c>
      <c r="O283" s="19">
        <f>O282</f>
        <v/>
      </c>
      <c r="P283" s="19">
        <f>P282</f>
        <v/>
      </c>
      <c r="Q283" s="19">
        <f>Q282</f>
        <v/>
      </c>
      <c r="R283" s="19">
        <f>R282</f>
        <v/>
      </c>
      <c r="S283" s="19">
        <f>S282</f>
        <v/>
      </c>
      <c r="T283" s="19">
        <f>T282</f>
        <v/>
      </c>
      <c r="X283" s="19">
        <f>IF(ISERROR($B$283),"",IF(ISBLANK($B$283),"",$B$283))</f>
        <v/>
      </c>
      <c r="Y283" s="19">
        <f>IF(ISERROR($C$283),"",IF(ISBLANK($C$283),"",$C$283))</f>
        <v/>
      </c>
      <c r="Z283" s="19">
        <f>IF(ISERROR($D$283),"",IF(ISBLANK($D$283),"",$D$283))</f>
        <v/>
      </c>
      <c r="AA283" s="19">
        <f>IF(ISERROR($E$283),"",IF(ISBLANK($E$283),"",$E$283))</f>
        <v/>
      </c>
      <c r="AB283" s="19">
        <f>IF(ISERROR($F$283),"",IF(ISBLANK($F$283),"",$F$283))</f>
        <v/>
      </c>
      <c r="AC283" s="19">
        <f>IF(ISERROR($G$283),"",IF(ISBLANK($G$283),"",$G$283))</f>
        <v/>
      </c>
      <c r="AD283" s="19">
        <f>IF(ISERROR($H$283),"",IF(ISBLANK($H$283),"",$H$283))</f>
        <v/>
      </c>
    </row>
    <row r="284" ht="26" customHeight="1">
      <c r="B284" s="30" t="n"/>
      <c r="C284" s="3" t="n"/>
      <c r="D284" s="3" t="n"/>
      <c r="E284" s="3" t="n"/>
      <c r="F284" s="3" t="n"/>
      <c r="G284" s="3" t="n"/>
      <c r="H284" s="3" t="n"/>
      <c r="K284" s="18">
        <f>IF(AG284&gt;0,"O Google leu como fórmula: digite de novo com ' na frente.","")</f>
        <v/>
      </c>
      <c r="N284" s="19">
        <f>N283+IF(LEN($X$284)&gt;0,1,0)</f>
        <v/>
      </c>
      <c r="O284" s="19">
        <f>O283+IF(LEN($Y$284)&gt;0,1,0)</f>
        <v/>
      </c>
      <c r="P284" s="19">
        <f>P283+IF(LEN($Z$284)&gt;0,1,0)</f>
        <v/>
      </c>
      <c r="Q284" s="19">
        <f>Q283+IF(LEN($AA$284)&gt;0,1,0)</f>
        <v/>
      </c>
      <c r="R284" s="19">
        <f>R283+IF(LEN($AB$284)&gt;0,1,0)</f>
        <v/>
      </c>
      <c r="S284" s="19">
        <f>S283+IF(LEN($AC$284)&gt;0,1,0)</f>
        <v/>
      </c>
      <c r="T284" s="19">
        <f>T283+IF(LEN($AD$284)&gt;0,1,0)</f>
        <v/>
      </c>
      <c r="X284" s="19">
        <f>IF(ISERROR($B$284),"",IF(ISBLANK($B$284),"",$B$284))</f>
        <v/>
      </c>
      <c r="Y284" s="19">
        <f>IF(ISERROR($C$284),"",IF(ISBLANK($C$284),"",$C$284))</f>
        <v/>
      </c>
      <c r="Z284" s="19">
        <f>IF(ISERROR($D$284),"",IF(ISBLANK($D$284),"",$D$284))</f>
        <v/>
      </c>
      <c r="AA284" s="19">
        <f>IF(ISERROR($E$284),"",IF(ISBLANK($E$284),"",$E$284))</f>
        <v/>
      </c>
      <c r="AB284" s="19">
        <f>IF(ISERROR($F$284),"",IF(ISBLANK($F$284),"",$F$284))</f>
        <v/>
      </c>
      <c r="AC284" s="19">
        <f>IF(ISERROR($G$284),"",IF(ISBLANK($G$284),"",$G$284))</f>
        <v/>
      </c>
      <c r="AD284" s="19">
        <f>IF(ISERROR($H$284),"",IF(ISBLANK($H$284),"",$H$284))</f>
        <v/>
      </c>
      <c r="AG284" s="19">
        <f>ISERROR($B$284)*1+ISERROR($C$284)*1+ISERROR($D$284)*1+ISERROR($E$284)*1+ISERROR($F$284)*1+ISERROR($G$284)*1+ISERROR($H$284)*1</f>
        <v/>
      </c>
    </row>
    <row r="285" ht="26" customHeight="1">
      <c r="B285" s="31" t="n"/>
      <c r="C285" s="28" t="n"/>
      <c r="D285" s="28" t="n"/>
      <c r="E285" s="28" t="n"/>
      <c r="F285" s="28" t="n"/>
      <c r="G285" s="28" t="n"/>
      <c r="H285" s="28" t="n"/>
      <c r="K285" s="18">
        <f>IF(AG285&gt;0,"O Google leu como fórmula: digite de novo com ' na frente.","")</f>
        <v/>
      </c>
      <c r="N285" s="19">
        <f>N284+IF(LEN($X$285)&gt;0,1,0)</f>
        <v/>
      </c>
      <c r="O285" s="19">
        <f>O284+IF(LEN($Y$285)&gt;0,1,0)</f>
        <v/>
      </c>
      <c r="P285" s="19">
        <f>P284+IF(LEN($Z$285)&gt;0,1,0)</f>
        <v/>
      </c>
      <c r="Q285" s="19">
        <f>Q284+IF(LEN($AA$285)&gt;0,1,0)</f>
        <v/>
      </c>
      <c r="R285" s="19">
        <f>R284+IF(LEN($AB$285)&gt;0,1,0)</f>
        <v/>
      </c>
      <c r="S285" s="19">
        <f>S284+IF(LEN($AC$285)&gt;0,1,0)</f>
        <v/>
      </c>
      <c r="T285" s="19">
        <f>T284+IF(LEN($AD$285)&gt;0,1,0)</f>
        <v/>
      </c>
      <c r="X285" s="19">
        <f>IF(ISERROR($B$285),"",IF(ISBLANK($B$285),"",$B$285))</f>
        <v/>
      </c>
      <c r="Y285" s="19">
        <f>IF(ISERROR($C$285),"",IF(ISBLANK($C$285),"",$C$285))</f>
        <v/>
      </c>
      <c r="Z285" s="19">
        <f>IF(ISERROR($D$285),"",IF(ISBLANK($D$285),"",$D$285))</f>
        <v/>
      </c>
      <c r="AA285" s="19">
        <f>IF(ISERROR($E$285),"",IF(ISBLANK($E$285),"",$E$285))</f>
        <v/>
      </c>
      <c r="AB285" s="19">
        <f>IF(ISERROR($F$285),"",IF(ISBLANK($F$285),"",$F$285))</f>
        <v/>
      </c>
      <c r="AC285" s="19">
        <f>IF(ISERROR($G$285),"",IF(ISBLANK($G$285),"",$G$285))</f>
        <v/>
      </c>
      <c r="AD285" s="19">
        <f>IF(ISERROR($H$285),"",IF(ISBLANK($H$285),"",$H$285))</f>
        <v/>
      </c>
      <c r="AG285" s="19">
        <f>ISERROR($B$285)*1+ISERROR($C$285)*1+ISERROR($D$285)*1+ISERROR($E$285)*1+ISERROR($F$285)*1+ISERROR($G$285)*1+ISERROR($H$285)*1</f>
        <v/>
      </c>
    </row>
    <row r="286" ht="26" customHeight="1">
      <c r="B286" s="30" t="n"/>
      <c r="C286" s="3" t="n"/>
      <c r="D286" s="3" t="n"/>
      <c r="E286" s="3" t="n"/>
      <c r="F286" s="3" t="n"/>
      <c r="G286" s="3" t="n"/>
      <c r="H286" s="3" t="n"/>
      <c r="K286" s="18">
        <f>IF(AG286&gt;0,"O Google leu como fórmula: digite de novo com ' na frente.","")</f>
        <v/>
      </c>
      <c r="N286" s="19">
        <f>N285+IF(LEN($X$286)&gt;0,1,0)</f>
        <v/>
      </c>
      <c r="O286" s="19">
        <f>O285+IF(LEN($Y$286)&gt;0,1,0)</f>
        <v/>
      </c>
      <c r="P286" s="19">
        <f>P285+IF(LEN($Z$286)&gt;0,1,0)</f>
        <v/>
      </c>
      <c r="Q286" s="19">
        <f>Q285+IF(LEN($AA$286)&gt;0,1,0)</f>
        <v/>
      </c>
      <c r="R286" s="19">
        <f>R285+IF(LEN($AB$286)&gt;0,1,0)</f>
        <v/>
      </c>
      <c r="S286" s="19">
        <f>S285+IF(LEN($AC$286)&gt;0,1,0)</f>
        <v/>
      </c>
      <c r="T286" s="19">
        <f>T285+IF(LEN($AD$286)&gt;0,1,0)</f>
        <v/>
      </c>
      <c r="X286" s="19">
        <f>IF(ISERROR($B$286),"",IF(ISBLANK($B$286),"",$B$286))</f>
        <v/>
      </c>
      <c r="Y286" s="19">
        <f>IF(ISERROR($C$286),"",IF(ISBLANK($C$286),"",$C$286))</f>
        <v/>
      </c>
      <c r="Z286" s="19">
        <f>IF(ISERROR($D$286),"",IF(ISBLANK($D$286),"",$D$286))</f>
        <v/>
      </c>
      <c r="AA286" s="19">
        <f>IF(ISERROR($E$286),"",IF(ISBLANK($E$286),"",$E$286))</f>
        <v/>
      </c>
      <c r="AB286" s="19">
        <f>IF(ISERROR($F$286),"",IF(ISBLANK($F$286),"",$F$286))</f>
        <v/>
      </c>
      <c r="AC286" s="19">
        <f>IF(ISERROR($G$286),"",IF(ISBLANK($G$286),"",$G$286))</f>
        <v/>
      </c>
      <c r="AD286" s="19">
        <f>IF(ISERROR($H$286),"",IF(ISBLANK($H$286),"",$H$286))</f>
        <v/>
      </c>
      <c r="AG286" s="19">
        <f>ISERROR($B$286)*1+ISERROR($C$286)*1+ISERROR($D$286)*1+ISERROR($E$286)*1+ISERROR($F$286)*1+ISERROR($G$286)*1+ISERROR($H$286)*1</f>
        <v/>
      </c>
    </row>
    <row r="287" ht="26" customHeight="1">
      <c r="B287" s="31" t="n"/>
      <c r="C287" s="28" t="n"/>
      <c r="D287" s="28" t="n"/>
      <c r="E287" s="28" t="n"/>
      <c r="F287" s="28" t="n"/>
      <c r="G287" s="28" t="n"/>
      <c r="H287" s="28" t="n"/>
      <c r="K287" s="18">
        <f>IF(AG287&gt;0,"O Google leu como fórmula: digite de novo com ' na frente.","")</f>
        <v/>
      </c>
      <c r="N287" s="19">
        <f>N286+IF(LEN($X$287)&gt;0,1,0)</f>
        <v/>
      </c>
      <c r="O287" s="19">
        <f>O286+IF(LEN($Y$287)&gt;0,1,0)</f>
        <v/>
      </c>
      <c r="P287" s="19">
        <f>P286+IF(LEN($Z$287)&gt;0,1,0)</f>
        <v/>
      </c>
      <c r="Q287" s="19">
        <f>Q286+IF(LEN($AA$287)&gt;0,1,0)</f>
        <v/>
      </c>
      <c r="R287" s="19">
        <f>R286+IF(LEN($AB$287)&gt;0,1,0)</f>
        <v/>
      </c>
      <c r="S287" s="19">
        <f>S286+IF(LEN($AC$287)&gt;0,1,0)</f>
        <v/>
      </c>
      <c r="T287" s="19">
        <f>T286+IF(LEN($AD$287)&gt;0,1,0)</f>
        <v/>
      </c>
      <c r="X287" s="19">
        <f>IF(ISERROR($B$287),"",IF(ISBLANK($B$287),"",$B$287))</f>
        <v/>
      </c>
      <c r="Y287" s="19">
        <f>IF(ISERROR($C$287),"",IF(ISBLANK($C$287),"",$C$287))</f>
        <v/>
      </c>
      <c r="Z287" s="19">
        <f>IF(ISERROR($D$287),"",IF(ISBLANK($D$287),"",$D$287))</f>
        <v/>
      </c>
      <c r="AA287" s="19">
        <f>IF(ISERROR($E$287),"",IF(ISBLANK($E$287),"",$E$287))</f>
        <v/>
      </c>
      <c r="AB287" s="19">
        <f>IF(ISERROR($F$287),"",IF(ISBLANK($F$287),"",$F$287))</f>
        <v/>
      </c>
      <c r="AC287" s="19">
        <f>IF(ISERROR($G$287),"",IF(ISBLANK($G$287),"",$G$287))</f>
        <v/>
      </c>
      <c r="AD287" s="19">
        <f>IF(ISERROR($H$287),"",IF(ISBLANK($H$287),"",$H$287))</f>
        <v/>
      </c>
      <c r="AG287" s="19">
        <f>ISERROR($B$287)*1+ISERROR($C$287)*1+ISERROR($D$287)*1+ISERROR($E$287)*1+ISERROR($F$287)*1+ISERROR($G$287)*1+ISERROR($H$287)*1</f>
        <v/>
      </c>
    </row>
    <row r="288" ht="26" customHeight="1">
      <c r="B288" s="30" t="n"/>
      <c r="C288" s="3" t="n"/>
      <c r="D288" s="3" t="n"/>
      <c r="E288" s="3" t="n"/>
      <c r="F288" s="3" t="n"/>
      <c r="G288" s="3" t="n"/>
      <c r="H288" s="3" t="n"/>
      <c r="K288" s="18">
        <f>IF(AG288&gt;0,"O Google leu como fórmula: digite de novo com ' na frente.","")</f>
        <v/>
      </c>
      <c r="N288" s="19">
        <f>N287+IF(LEN($X$288)&gt;0,1,0)</f>
        <v/>
      </c>
      <c r="O288" s="19">
        <f>O287+IF(LEN($Y$288)&gt;0,1,0)</f>
        <v/>
      </c>
      <c r="P288" s="19">
        <f>P287+IF(LEN($Z$288)&gt;0,1,0)</f>
        <v/>
      </c>
      <c r="Q288" s="19">
        <f>Q287+IF(LEN($AA$288)&gt;0,1,0)</f>
        <v/>
      </c>
      <c r="R288" s="19">
        <f>R287+IF(LEN($AB$288)&gt;0,1,0)</f>
        <v/>
      </c>
      <c r="S288" s="19">
        <f>S287+IF(LEN($AC$288)&gt;0,1,0)</f>
        <v/>
      </c>
      <c r="T288" s="19">
        <f>T287+IF(LEN($AD$288)&gt;0,1,0)</f>
        <v/>
      </c>
      <c r="X288" s="19">
        <f>IF(ISERROR($B$288),"",IF(ISBLANK($B$288),"",$B$288))</f>
        <v/>
      </c>
      <c r="Y288" s="19">
        <f>IF(ISERROR($C$288),"",IF(ISBLANK($C$288),"",$C$288))</f>
        <v/>
      </c>
      <c r="Z288" s="19">
        <f>IF(ISERROR($D$288),"",IF(ISBLANK($D$288),"",$D$288))</f>
        <v/>
      </c>
      <c r="AA288" s="19">
        <f>IF(ISERROR($E$288),"",IF(ISBLANK($E$288),"",$E$288))</f>
        <v/>
      </c>
      <c r="AB288" s="19">
        <f>IF(ISERROR($F$288),"",IF(ISBLANK($F$288),"",$F$288))</f>
        <v/>
      </c>
      <c r="AC288" s="19">
        <f>IF(ISERROR($G$288),"",IF(ISBLANK($G$288),"",$G$288))</f>
        <v/>
      </c>
      <c r="AD288" s="19">
        <f>IF(ISERROR($H$288),"",IF(ISBLANK($H$288),"",$H$288))</f>
        <v/>
      </c>
      <c r="AG288" s="19">
        <f>ISERROR($B$288)*1+ISERROR($C$288)*1+ISERROR($D$288)*1+ISERROR($E$288)*1+ISERROR($F$288)*1+ISERROR($G$288)*1+ISERROR($H$288)*1</f>
        <v/>
      </c>
    </row>
    <row r="289" ht="26" customHeight="1">
      <c r="B289" s="31" t="n"/>
      <c r="C289" s="28" t="n"/>
      <c r="D289" s="28" t="n"/>
      <c r="E289" s="28" t="n"/>
      <c r="F289" s="28" t="n"/>
      <c r="G289" s="28" t="n"/>
      <c r="H289" s="28" t="n"/>
      <c r="K289" s="18">
        <f>IF(AG289&gt;0,"O Google leu como fórmula: digite de novo com ' na frente.","")</f>
        <v/>
      </c>
      <c r="N289" s="19">
        <f>N288+IF(LEN($X$289)&gt;0,1,0)</f>
        <v/>
      </c>
      <c r="O289" s="19">
        <f>O288+IF(LEN($Y$289)&gt;0,1,0)</f>
        <v/>
      </c>
      <c r="P289" s="19">
        <f>P288+IF(LEN($Z$289)&gt;0,1,0)</f>
        <v/>
      </c>
      <c r="Q289" s="19">
        <f>Q288+IF(LEN($AA$289)&gt;0,1,0)</f>
        <v/>
      </c>
      <c r="R289" s="19">
        <f>R288+IF(LEN($AB$289)&gt;0,1,0)</f>
        <v/>
      </c>
      <c r="S289" s="19">
        <f>S288+IF(LEN($AC$289)&gt;0,1,0)</f>
        <v/>
      </c>
      <c r="T289" s="19">
        <f>T288+IF(LEN($AD$289)&gt;0,1,0)</f>
        <v/>
      </c>
      <c r="X289" s="19">
        <f>IF(ISERROR($B$289),"",IF(ISBLANK($B$289),"",$B$289))</f>
        <v/>
      </c>
      <c r="Y289" s="19">
        <f>IF(ISERROR($C$289),"",IF(ISBLANK($C$289),"",$C$289))</f>
        <v/>
      </c>
      <c r="Z289" s="19">
        <f>IF(ISERROR($D$289),"",IF(ISBLANK($D$289),"",$D$289))</f>
        <v/>
      </c>
      <c r="AA289" s="19">
        <f>IF(ISERROR($E$289),"",IF(ISBLANK($E$289),"",$E$289))</f>
        <v/>
      </c>
      <c r="AB289" s="19">
        <f>IF(ISERROR($F$289),"",IF(ISBLANK($F$289),"",$F$289))</f>
        <v/>
      </c>
      <c r="AC289" s="19">
        <f>IF(ISERROR($G$289),"",IF(ISBLANK($G$289),"",$G$289))</f>
        <v/>
      </c>
      <c r="AD289" s="19">
        <f>IF(ISERROR($H$289),"",IF(ISBLANK($H$289),"",$H$289))</f>
        <v/>
      </c>
      <c r="AG289" s="19">
        <f>ISERROR($B$289)*1+ISERROR($C$289)*1+ISERROR($D$289)*1+ISERROR($E$289)*1+ISERROR($F$289)*1+ISERROR($G$289)*1+ISERROR($H$289)*1</f>
        <v/>
      </c>
    </row>
    <row r="290" ht="26" customHeight="1">
      <c r="B290" s="30" t="n"/>
      <c r="C290" s="3" t="n"/>
      <c r="D290" s="3" t="n"/>
      <c r="E290" s="3" t="n"/>
      <c r="F290" s="3" t="n"/>
      <c r="G290" s="3" t="n"/>
      <c r="H290" s="3" t="n"/>
      <c r="K290" s="18">
        <f>IF(AG290&gt;0,"O Google leu como fórmula: digite de novo com ' na frente.","")</f>
        <v/>
      </c>
      <c r="N290" s="19">
        <f>N289+IF(LEN($X$290)&gt;0,1,0)</f>
        <v/>
      </c>
      <c r="O290" s="19">
        <f>O289+IF(LEN($Y$290)&gt;0,1,0)</f>
        <v/>
      </c>
      <c r="P290" s="19">
        <f>P289+IF(LEN($Z$290)&gt;0,1,0)</f>
        <v/>
      </c>
      <c r="Q290" s="19">
        <f>Q289+IF(LEN($AA$290)&gt;0,1,0)</f>
        <v/>
      </c>
      <c r="R290" s="19">
        <f>R289+IF(LEN($AB$290)&gt;0,1,0)</f>
        <v/>
      </c>
      <c r="S290" s="19">
        <f>S289+IF(LEN($AC$290)&gt;0,1,0)</f>
        <v/>
      </c>
      <c r="T290" s="19">
        <f>T289+IF(LEN($AD$290)&gt;0,1,0)</f>
        <v/>
      </c>
      <c r="X290" s="19">
        <f>IF(ISERROR($B$290),"",IF(ISBLANK($B$290),"",$B$290))</f>
        <v/>
      </c>
      <c r="Y290" s="19">
        <f>IF(ISERROR($C$290),"",IF(ISBLANK($C$290),"",$C$290))</f>
        <v/>
      </c>
      <c r="Z290" s="19">
        <f>IF(ISERROR($D$290),"",IF(ISBLANK($D$290),"",$D$290))</f>
        <v/>
      </c>
      <c r="AA290" s="19">
        <f>IF(ISERROR($E$290),"",IF(ISBLANK($E$290),"",$E$290))</f>
        <v/>
      </c>
      <c r="AB290" s="19">
        <f>IF(ISERROR($F$290),"",IF(ISBLANK($F$290),"",$F$290))</f>
        <v/>
      </c>
      <c r="AC290" s="19">
        <f>IF(ISERROR($G$290),"",IF(ISBLANK($G$290),"",$G$290))</f>
        <v/>
      </c>
      <c r="AD290" s="19">
        <f>IF(ISERROR($H$290),"",IF(ISBLANK($H$290),"",$H$290))</f>
        <v/>
      </c>
      <c r="AG290" s="19">
        <f>ISERROR($B$290)*1+ISERROR($C$290)*1+ISERROR($D$290)*1+ISERROR($E$290)*1+ISERROR($F$290)*1+ISERROR($G$290)*1+ISERROR($H$290)*1</f>
        <v/>
      </c>
    </row>
    <row r="291" ht="26" customHeight="1">
      <c r="B291" s="31" t="n"/>
      <c r="C291" s="28" t="n"/>
      <c r="D291" s="28" t="n"/>
      <c r="E291" s="28" t="n"/>
      <c r="F291" s="28" t="n"/>
      <c r="G291" s="28" t="n"/>
      <c r="H291" s="28" t="n"/>
      <c r="K291" s="18">
        <f>IF(AG291&gt;0,"O Google leu como fórmula: digite de novo com ' na frente.","")</f>
        <v/>
      </c>
      <c r="N291" s="19">
        <f>N290+IF(LEN($X$291)&gt;0,1,0)</f>
        <v/>
      </c>
      <c r="O291" s="19">
        <f>O290+IF(LEN($Y$291)&gt;0,1,0)</f>
        <v/>
      </c>
      <c r="P291" s="19">
        <f>P290+IF(LEN($Z$291)&gt;0,1,0)</f>
        <v/>
      </c>
      <c r="Q291" s="19">
        <f>Q290+IF(LEN($AA$291)&gt;0,1,0)</f>
        <v/>
      </c>
      <c r="R291" s="19">
        <f>R290+IF(LEN($AB$291)&gt;0,1,0)</f>
        <v/>
      </c>
      <c r="S291" s="19">
        <f>S290+IF(LEN($AC$291)&gt;0,1,0)</f>
        <v/>
      </c>
      <c r="T291" s="19">
        <f>T290+IF(LEN($AD$291)&gt;0,1,0)</f>
        <v/>
      </c>
      <c r="X291" s="19">
        <f>IF(ISERROR($B$291),"",IF(ISBLANK($B$291),"",$B$291))</f>
        <v/>
      </c>
      <c r="Y291" s="19">
        <f>IF(ISERROR($C$291),"",IF(ISBLANK($C$291),"",$C$291))</f>
        <v/>
      </c>
      <c r="Z291" s="19">
        <f>IF(ISERROR($D$291),"",IF(ISBLANK($D$291),"",$D$291))</f>
        <v/>
      </c>
      <c r="AA291" s="19">
        <f>IF(ISERROR($E$291),"",IF(ISBLANK($E$291),"",$E$291))</f>
        <v/>
      </c>
      <c r="AB291" s="19">
        <f>IF(ISERROR($F$291),"",IF(ISBLANK($F$291),"",$F$291))</f>
        <v/>
      </c>
      <c r="AC291" s="19">
        <f>IF(ISERROR($G$291),"",IF(ISBLANK($G$291),"",$G$291))</f>
        <v/>
      </c>
      <c r="AD291" s="19">
        <f>IF(ISERROR($H$291),"",IF(ISBLANK($H$291),"",$H$291))</f>
        <v/>
      </c>
      <c r="AG291" s="19">
        <f>ISERROR($B$291)*1+ISERROR($C$291)*1+ISERROR($D$291)*1+ISERROR($E$291)*1+ISERROR($F$291)*1+ISERROR($G$291)*1+ISERROR($H$291)*1</f>
        <v/>
      </c>
    </row>
    <row r="292" ht="26" customHeight="1">
      <c r="B292" s="30" t="n"/>
      <c r="C292" s="3" t="n"/>
      <c r="D292" s="3" t="n"/>
      <c r="E292" s="3" t="n"/>
      <c r="F292" s="3" t="n"/>
      <c r="G292" s="3" t="n"/>
      <c r="H292" s="3" t="n"/>
      <c r="K292" s="18">
        <f>IF(AG292&gt;0,"O Google leu como fórmula: digite de novo com ' na frente.","")</f>
        <v/>
      </c>
      <c r="N292" s="19">
        <f>N291+IF(LEN($X$292)&gt;0,1,0)</f>
        <v/>
      </c>
      <c r="O292" s="19">
        <f>O291+IF(LEN($Y$292)&gt;0,1,0)</f>
        <v/>
      </c>
      <c r="P292" s="19">
        <f>P291+IF(LEN($Z$292)&gt;0,1,0)</f>
        <v/>
      </c>
      <c r="Q292" s="19">
        <f>Q291+IF(LEN($AA$292)&gt;0,1,0)</f>
        <v/>
      </c>
      <c r="R292" s="19">
        <f>R291+IF(LEN($AB$292)&gt;0,1,0)</f>
        <v/>
      </c>
      <c r="S292" s="19">
        <f>S291+IF(LEN($AC$292)&gt;0,1,0)</f>
        <v/>
      </c>
      <c r="T292" s="19">
        <f>T291+IF(LEN($AD$292)&gt;0,1,0)</f>
        <v/>
      </c>
      <c r="X292" s="19">
        <f>IF(ISERROR($B$292),"",IF(ISBLANK($B$292),"",$B$292))</f>
        <v/>
      </c>
      <c r="Y292" s="19">
        <f>IF(ISERROR($C$292),"",IF(ISBLANK($C$292),"",$C$292))</f>
        <v/>
      </c>
      <c r="Z292" s="19">
        <f>IF(ISERROR($D$292),"",IF(ISBLANK($D$292),"",$D$292))</f>
        <v/>
      </c>
      <c r="AA292" s="19">
        <f>IF(ISERROR($E$292),"",IF(ISBLANK($E$292),"",$E$292))</f>
        <v/>
      </c>
      <c r="AB292" s="19">
        <f>IF(ISERROR($F$292),"",IF(ISBLANK($F$292),"",$F$292))</f>
        <v/>
      </c>
      <c r="AC292" s="19">
        <f>IF(ISERROR($G$292),"",IF(ISBLANK($G$292),"",$G$292))</f>
        <v/>
      </c>
      <c r="AD292" s="19">
        <f>IF(ISERROR($H$292),"",IF(ISBLANK($H$292),"",$H$292))</f>
        <v/>
      </c>
      <c r="AG292" s="19">
        <f>ISERROR($B$292)*1+ISERROR($C$292)*1+ISERROR($D$292)*1+ISERROR($E$292)*1+ISERROR($F$292)*1+ISERROR($G$292)*1+ISERROR($H$292)*1</f>
        <v/>
      </c>
    </row>
    <row r="293" ht="26" customHeight="1">
      <c r="B293" s="31" t="n"/>
      <c r="C293" s="28" t="n"/>
      <c r="D293" s="28" t="n"/>
      <c r="E293" s="28" t="n"/>
      <c r="F293" s="28" t="n"/>
      <c r="G293" s="28" t="n"/>
      <c r="H293" s="28" t="n"/>
      <c r="K293" s="18">
        <f>IF(AG293&gt;0,"O Google leu como fórmula: digite de novo com ' na frente.","")</f>
        <v/>
      </c>
      <c r="N293" s="19">
        <f>N292+IF(LEN($X$293)&gt;0,1,0)</f>
        <v/>
      </c>
      <c r="O293" s="19">
        <f>O292+IF(LEN($Y$293)&gt;0,1,0)</f>
        <v/>
      </c>
      <c r="P293" s="19">
        <f>P292+IF(LEN($Z$293)&gt;0,1,0)</f>
        <v/>
      </c>
      <c r="Q293" s="19">
        <f>Q292+IF(LEN($AA$293)&gt;0,1,0)</f>
        <v/>
      </c>
      <c r="R293" s="19">
        <f>R292+IF(LEN($AB$293)&gt;0,1,0)</f>
        <v/>
      </c>
      <c r="S293" s="19">
        <f>S292+IF(LEN($AC$293)&gt;0,1,0)</f>
        <v/>
      </c>
      <c r="T293" s="19">
        <f>T292+IF(LEN($AD$293)&gt;0,1,0)</f>
        <v/>
      </c>
      <c r="X293" s="19">
        <f>IF(ISERROR($B$293),"",IF(ISBLANK($B$293),"",$B$293))</f>
        <v/>
      </c>
      <c r="Y293" s="19">
        <f>IF(ISERROR($C$293),"",IF(ISBLANK($C$293),"",$C$293))</f>
        <v/>
      </c>
      <c r="Z293" s="19">
        <f>IF(ISERROR($D$293),"",IF(ISBLANK($D$293),"",$D$293))</f>
        <v/>
      </c>
      <c r="AA293" s="19">
        <f>IF(ISERROR($E$293),"",IF(ISBLANK($E$293),"",$E$293))</f>
        <v/>
      </c>
      <c r="AB293" s="19">
        <f>IF(ISERROR($F$293),"",IF(ISBLANK($F$293),"",$F$293))</f>
        <v/>
      </c>
      <c r="AC293" s="19">
        <f>IF(ISERROR($G$293),"",IF(ISBLANK($G$293),"",$G$293))</f>
        <v/>
      </c>
      <c r="AD293" s="19">
        <f>IF(ISERROR($H$293),"",IF(ISBLANK($H$293),"",$H$293))</f>
        <v/>
      </c>
      <c r="AG293" s="19">
        <f>ISERROR($B$293)*1+ISERROR($C$293)*1+ISERROR($D$293)*1+ISERROR($E$293)*1+ISERROR($F$293)*1+ISERROR($G$293)*1+ISERROR($H$293)*1</f>
        <v/>
      </c>
    </row>
    <row r="294" ht="26" customHeight="1">
      <c r="B294" s="30" t="n"/>
      <c r="C294" s="3" t="n"/>
      <c r="D294" s="3" t="n"/>
      <c r="E294" s="3" t="n"/>
      <c r="F294" s="3" t="n"/>
      <c r="G294" s="3" t="n"/>
      <c r="H294" s="3" t="n"/>
      <c r="K294" s="18">
        <f>IF(AG294&gt;0,"O Google leu como fórmula: digite de novo com ' na frente.","")</f>
        <v/>
      </c>
      <c r="N294" s="19">
        <f>N293+IF(LEN($X$294)&gt;0,1,0)</f>
        <v/>
      </c>
      <c r="O294" s="19">
        <f>O293+IF(LEN($Y$294)&gt;0,1,0)</f>
        <v/>
      </c>
      <c r="P294" s="19">
        <f>P293+IF(LEN($Z$294)&gt;0,1,0)</f>
        <v/>
      </c>
      <c r="Q294" s="19">
        <f>Q293+IF(LEN($AA$294)&gt;0,1,0)</f>
        <v/>
      </c>
      <c r="R294" s="19">
        <f>R293+IF(LEN($AB$294)&gt;0,1,0)</f>
        <v/>
      </c>
      <c r="S294" s="19">
        <f>S293+IF(LEN($AC$294)&gt;0,1,0)</f>
        <v/>
      </c>
      <c r="T294" s="19">
        <f>T293+IF(LEN($AD$294)&gt;0,1,0)</f>
        <v/>
      </c>
      <c r="X294" s="19">
        <f>IF(ISERROR($B$294),"",IF(ISBLANK($B$294),"",$B$294))</f>
        <v/>
      </c>
      <c r="Y294" s="19">
        <f>IF(ISERROR($C$294),"",IF(ISBLANK($C$294),"",$C$294))</f>
        <v/>
      </c>
      <c r="Z294" s="19">
        <f>IF(ISERROR($D$294),"",IF(ISBLANK($D$294),"",$D$294))</f>
        <v/>
      </c>
      <c r="AA294" s="19">
        <f>IF(ISERROR($E$294),"",IF(ISBLANK($E$294),"",$E$294))</f>
        <v/>
      </c>
      <c r="AB294" s="19">
        <f>IF(ISERROR($F$294),"",IF(ISBLANK($F$294),"",$F$294))</f>
        <v/>
      </c>
      <c r="AC294" s="19">
        <f>IF(ISERROR($G$294),"",IF(ISBLANK($G$294),"",$G$294))</f>
        <v/>
      </c>
      <c r="AD294" s="19">
        <f>IF(ISERROR($H$294),"",IF(ISBLANK($H$294),"",$H$294))</f>
        <v/>
      </c>
      <c r="AG294" s="19">
        <f>ISERROR($B$294)*1+ISERROR($C$294)*1+ISERROR($D$294)*1+ISERROR($E$294)*1+ISERROR($F$294)*1+ISERROR($G$294)*1+ISERROR($H$294)*1</f>
        <v/>
      </c>
    </row>
    <row r="295" ht="26" customHeight="1">
      <c r="B295" s="31" t="n"/>
      <c r="C295" s="28" t="n"/>
      <c r="D295" s="28" t="n"/>
      <c r="E295" s="28" t="n"/>
      <c r="F295" s="28" t="n"/>
      <c r="G295" s="28" t="n"/>
      <c r="H295" s="28" t="n"/>
      <c r="K295" s="18">
        <f>IF(AG295&gt;0,"O Google leu como fórmula: digite de novo com ' na frente.","")</f>
        <v/>
      </c>
      <c r="N295" s="19">
        <f>N294+IF(LEN($X$295)&gt;0,1,0)</f>
        <v/>
      </c>
      <c r="O295" s="19">
        <f>O294+IF(LEN($Y$295)&gt;0,1,0)</f>
        <v/>
      </c>
      <c r="P295" s="19">
        <f>P294+IF(LEN($Z$295)&gt;0,1,0)</f>
        <v/>
      </c>
      <c r="Q295" s="19">
        <f>Q294+IF(LEN($AA$295)&gt;0,1,0)</f>
        <v/>
      </c>
      <c r="R295" s="19">
        <f>R294+IF(LEN($AB$295)&gt;0,1,0)</f>
        <v/>
      </c>
      <c r="S295" s="19">
        <f>S294+IF(LEN($AC$295)&gt;0,1,0)</f>
        <v/>
      </c>
      <c r="T295" s="19">
        <f>T294+IF(LEN($AD$295)&gt;0,1,0)</f>
        <v/>
      </c>
      <c r="X295" s="19">
        <f>IF(ISERROR($B$295),"",IF(ISBLANK($B$295),"",$B$295))</f>
        <v/>
      </c>
      <c r="Y295" s="19">
        <f>IF(ISERROR($C$295),"",IF(ISBLANK($C$295),"",$C$295))</f>
        <v/>
      </c>
      <c r="Z295" s="19">
        <f>IF(ISERROR($D$295),"",IF(ISBLANK($D$295),"",$D$295))</f>
        <v/>
      </c>
      <c r="AA295" s="19">
        <f>IF(ISERROR($E$295),"",IF(ISBLANK($E$295),"",$E$295))</f>
        <v/>
      </c>
      <c r="AB295" s="19">
        <f>IF(ISERROR($F$295),"",IF(ISBLANK($F$295),"",$F$295))</f>
        <v/>
      </c>
      <c r="AC295" s="19">
        <f>IF(ISERROR($G$295),"",IF(ISBLANK($G$295),"",$G$295))</f>
        <v/>
      </c>
      <c r="AD295" s="19">
        <f>IF(ISERROR($H$295),"",IF(ISBLANK($H$295),"",$H$295))</f>
        <v/>
      </c>
      <c r="AG295" s="19">
        <f>ISERROR($B$295)*1+ISERROR($C$295)*1+ISERROR($D$295)*1+ISERROR($E$295)*1+ISERROR($F$295)*1+ISERROR($G$295)*1+ISERROR($H$295)*1</f>
        <v/>
      </c>
    </row>
    <row r="296" ht="26" customHeight="1">
      <c r="B296" s="30" t="n"/>
      <c r="C296" s="3" t="n"/>
      <c r="D296" s="3" t="n"/>
      <c r="E296" s="3" t="n"/>
      <c r="F296" s="3" t="n"/>
      <c r="G296" s="3" t="n"/>
      <c r="H296" s="3" t="n"/>
      <c r="K296" s="18">
        <f>IF(AG296&gt;0,"O Google leu como fórmula: digite de novo com ' na frente.","")</f>
        <v/>
      </c>
      <c r="N296" s="19">
        <f>N295+IF(LEN($X$296)&gt;0,1,0)</f>
        <v/>
      </c>
      <c r="O296" s="19">
        <f>O295+IF(LEN($Y$296)&gt;0,1,0)</f>
        <v/>
      </c>
      <c r="P296" s="19">
        <f>P295+IF(LEN($Z$296)&gt;0,1,0)</f>
        <v/>
      </c>
      <c r="Q296" s="19">
        <f>Q295+IF(LEN($AA$296)&gt;0,1,0)</f>
        <v/>
      </c>
      <c r="R296" s="19">
        <f>R295+IF(LEN($AB$296)&gt;0,1,0)</f>
        <v/>
      </c>
      <c r="S296" s="19">
        <f>S295+IF(LEN($AC$296)&gt;0,1,0)</f>
        <v/>
      </c>
      <c r="T296" s="19">
        <f>T295+IF(LEN($AD$296)&gt;0,1,0)</f>
        <v/>
      </c>
      <c r="X296" s="19">
        <f>IF(ISERROR($B$296),"",IF(ISBLANK($B$296),"",$B$296))</f>
        <v/>
      </c>
      <c r="Y296" s="19">
        <f>IF(ISERROR($C$296),"",IF(ISBLANK($C$296),"",$C$296))</f>
        <v/>
      </c>
      <c r="Z296" s="19">
        <f>IF(ISERROR($D$296),"",IF(ISBLANK($D$296),"",$D$296))</f>
        <v/>
      </c>
      <c r="AA296" s="19">
        <f>IF(ISERROR($E$296),"",IF(ISBLANK($E$296),"",$E$296))</f>
        <v/>
      </c>
      <c r="AB296" s="19">
        <f>IF(ISERROR($F$296),"",IF(ISBLANK($F$296),"",$F$296))</f>
        <v/>
      </c>
      <c r="AC296" s="19">
        <f>IF(ISERROR($G$296),"",IF(ISBLANK($G$296),"",$G$296))</f>
        <v/>
      </c>
      <c r="AD296" s="19">
        <f>IF(ISERROR($H$296),"",IF(ISBLANK($H$296),"",$H$296))</f>
        <v/>
      </c>
      <c r="AG296" s="19">
        <f>ISERROR($B$296)*1+ISERROR($C$296)*1+ISERROR($D$296)*1+ISERROR($E$296)*1+ISERROR($F$296)*1+ISERROR($G$296)*1+ISERROR($H$296)*1</f>
        <v/>
      </c>
    </row>
    <row r="297" ht="15" customHeight="1">
      <c r="B297" s="7" t="inlineStr">
        <is>
          <t>Sobrenome — Humano</t>
        </is>
      </c>
      <c r="C297" s="7" t="inlineStr">
        <is>
          <t>Sobrenome — Xianzhouíta</t>
        </is>
      </c>
      <c r="D297" s="7" t="inlineStr">
        <is>
          <t>Sobrenome — Vidyadhara</t>
        </is>
      </c>
      <c r="E297" s="7" t="inlineStr">
        <is>
          <t>Sobrenome — Vulpes</t>
        </is>
      </c>
      <c r="F297" s="7" t="inlineStr">
        <is>
          <t>Sobrenome — Haloviano</t>
        </is>
      </c>
      <c r="G297" s="7" t="inlineStr">
        <is>
          <t>Sobrenome — Avginiano</t>
        </is>
      </c>
      <c r="H297" s="7" t="inlineStr">
        <is>
          <t>Sobrenome — Intellitron</t>
        </is>
      </c>
      <c r="N297" s="19">
        <f>N296</f>
        <v/>
      </c>
      <c r="O297" s="19">
        <f>O296</f>
        <v/>
      </c>
      <c r="P297" s="19">
        <f>P296</f>
        <v/>
      </c>
      <c r="Q297" s="19">
        <f>Q296</f>
        <v/>
      </c>
      <c r="R297" s="19">
        <f>R296</f>
        <v/>
      </c>
      <c r="S297" s="19">
        <f>S296</f>
        <v/>
      </c>
      <c r="T297" s="19">
        <f>T296</f>
        <v/>
      </c>
      <c r="X297" s="19">
        <f>IF(ISERROR($B$297),"",IF(ISBLANK($B$297),"",$B$297))</f>
        <v/>
      </c>
      <c r="Y297" s="19">
        <f>IF(ISERROR($C$297),"",IF(ISBLANK($C$297),"",$C$297))</f>
        <v/>
      </c>
      <c r="Z297" s="19">
        <f>IF(ISERROR($D$297),"",IF(ISBLANK($D$297),"",$D$297))</f>
        <v/>
      </c>
      <c r="AA297" s="19">
        <f>IF(ISERROR($E$297),"",IF(ISBLANK($E$297),"",$E$297))</f>
        <v/>
      </c>
      <c r="AB297" s="19">
        <f>IF(ISERROR($F$297),"",IF(ISBLANK($F$297),"",$F$297))</f>
        <v/>
      </c>
      <c r="AC297" s="19">
        <f>IF(ISERROR($G$297),"",IF(ISBLANK($G$297),"",$G$297))</f>
        <v/>
      </c>
      <c r="AD297" s="19">
        <f>IF(ISERROR($H$297),"",IF(ISBLANK($H$297),"",$H$297))</f>
        <v/>
      </c>
    </row>
    <row r="298" ht="26" customHeight="1">
      <c r="B298" s="30" t="n"/>
      <c r="C298" s="3" t="n"/>
      <c r="D298" s="3" t="n"/>
      <c r="E298" s="3" t="n"/>
      <c r="F298" s="3" t="n"/>
      <c r="G298" s="3" t="n"/>
      <c r="H298" s="3" t="n"/>
      <c r="K298" s="18">
        <f>IF(AG298&gt;0,"O Google leu como fórmula: digite de novo com ' na frente.","")</f>
        <v/>
      </c>
      <c r="N298" s="19">
        <f>N297+IF(LEN($X$298)&gt;0,1,0)</f>
        <v/>
      </c>
      <c r="O298" s="19">
        <f>O297+IF(LEN($Y$298)&gt;0,1,0)</f>
        <v/>
      </c>
      <c r="P298" s="19">
        <f>P297+IF(LEN($Z$298)&gt;0,1,0)</f>
        <v/>
      </c>
      <c r="Q298" s="19">
        <f>Q297+IF(LEN($AA$298)&gt;0,1,0)</f>
        <v/>
      </c>
      <c r="R298" s="19">
        <f>R297+IF(LEN($AB$298)&gt;0,1,0)</f>
        <v/>
      </c>
      <c r="S298" s="19">
        <f>S297+IF(LEN($AC$298)&gt;0,1,0)</f>
        <v/>
      </c>
      <c r="T298" s="19">
        <f>T297+IF(LEN($AD$298)&gt;0,1,0)</f>
        <v/>
      </c>
      <c r="X298" s="19">
        <f>IF(ISERROR($B$298),"",IF(ISBLANK($B$298),"",$B$298))</f>
        <v/>
      </c>
      <c r="Y298" s="19">
        <f>IF(ISERROR($C$298),"",IF(ISBLANK($C$298),"",$C$298))</f>
        <v/>
      </c>
      <c r="Z298" s="19">
        <f>IF(ISERROR($D$298),"",IF(ISBLANK($D$298),"",$D$298))</f>
        <v/>
      </c>
      <c r="AA298" s="19">
        <f>IF(ISERROR($E$298),"",IF(ISBLANK($E$298),"",$E$298))</f>
        <v/>
      </c>
      <c r="AB298" s="19">
        <f>IF(ISERROR($F$298),"",IF(ISBLANK($F$298),"",$F$298))</f>
        <v/>
      </c>
      <c r="AC298" s="19">
        <f>IF(ISERROR($G$298),"",IF(ISBLANK($G$298),"",$G$298))</f>
        <v/>
      </c>
      <c r="AD298" s="19">
        <f>IF(ISERROR($H$298),"",IF(ISBLANK($H$298),"",$H$298))</f>
        <v/>
      </c>
      <c r="AG298" s="19">
        <f>ISERROR($B$298)*1+ISERROR($C$298)*1+ISERROR($D$298)*1+ISERROR($E$298)*1+ISERROR($F$298)*1+ISERROR($G$298)*1+ISERROR($H$298)*1</f>
        <v/>
      </c>
    </row>
    <row r="299" ht="26" customHeight="1">
      <c r="B299" s="31" t="n"/>
      <c r="C299" s="28" t="n"/>
      <c r="D299" s="28" t="n"/>
      <c r="E299" s="28" t="n"/>
      <c r="F299" s="28" t="n"/>
      <c r="G299" s="28" t="n"/>
      <c r="H299" s="28" t="n"/>
      <c r="K299" s="18">
        <f>IF(AG299&gt;0,"O Google leu como fórmula: digite de novo com ' na frente.","")</f>
        <v/>
      </c>
      <c r="N299" s="19">
        <f>N298+IF(LEN($X$299)&gt;0,1,0)</f>
        <v/>
      </c>
      <c r="O299" s="19">
        <f>O298+IF(LEN($Y$299)&gt;0,1,0)</f>
        <v/>
      </c>
      <c r="P299" s="19">
        <f>P298+IF(LEN($Z$299)&gt;0,1,0)</f>
        <v/>
      </c>
      <c r="Q299" s="19">
        <f>Q298+IF(LEN($AA$299)&gt;0,1,0)</f>
        <v/>
      </c>
      <c r="R299" s="19">
        <f>R298+IF(LEN($AB$299)&gt;0,1,0)</f>
        <v/>
      </c>
      <c r="S299" s="19">
        <f>S298+IF(LEN($AC$299)&gt;0,1,0)</f>
        <v/>
      </c>
      <c r="T299" s="19">
        <f>T298+IF(LEN($AD$299)&gt;0,1,0)</f>
        <v/>
      </c>
      <c r="X299" s="19">
        <f>IF(ISERROR($B$299),"",IF(ISBLANK($B$299),"",$B$299))</f>
        <v/>
      </c>
      <c r="Y299" s="19">
        <f>IF(ISERROR($C$299),"",IF(ISBLANK($C$299),"",$C$299))</f>
        <v/>
      </c>
      <c r="Z299" s="19">
        <f>IF(ISERROR($D$299),"",IF(ISBLANK($D$299),"",$D$299))</f>
        <v/>
      </c>
      <c r="AA299" s="19">
        <f>IF(ISERROR($E$299),"",IF(ISBLANK($E$299),"",$E$299))</f>
        <v/>
      </c>
      <c r="AB299" s="19">
        <f>IF(ISERROR($F$299),"",IF(ISBLANK($F$299),"",$F$299))</f>
        <v/>
      </c>
      <c r="AC299" s="19">
        <f>IF(ISERROR($G$299),"",IF(ISBLANK($G$299),"",$G$299))</f>
        <v/>
      </c>
      <c r="AD299" s="19">
        <f>IF(ISERROR($H$299),"",IF(ISBLANK($H$299),"",$H$299))</f>
        <v/>
      </c>
      <c r="AG299" s="19">
        <f>ISERROR($B$299)*1+ISERROR($C$299)*1+ISERROR($D$299)*1+ISERROR($E$299)*1+ISERROR($F$299)*1+ISERROR($G$299)*1+ISERROR($H$299)*1</f>
        <v/>
      </c>
    </row>
    <row r="300" ht="26" customHeight="1">
      <c r="B300" s="30" t="n"/>
      <c r="C300" s="3" t="n"/>
      <c r="D300" s="3" t="n"/>
      <c r="E300" s="3" t="n"/>
      <c r="F300" s="3" t="n"/>
      <c r="G300" s="3" t="n"/>
      <c r="H300" s="3" t="n"/>
      <c r="K300" s="18">
        <f>IF(AG300&gt;0,"O Google leu como fórmula: digite de novo com ' na frente.","")</f>
        <v/>
      </c>
      <c r="N300" s="19">
        <f>N299+IF(LEN($X$300)&gt;0,1,0)</f>
        <v/>
      </c>
      <c r="O300" s="19">
        <f>O299+IF(LEN($Y$300)&gt;0,1,0)</f>
        <v/>
      </c>
      <c r="P300" s="19">
        <f>P299+IF(LEN($Z$300)&gt;0,1,0)</f>
        <v/>
      </c>
      <c r="Q300" s="19">
        <f>Q299+IF(LEN($AA$300)&gt;0,1,0)</f>
        <v/>
      </c>
      <c r="R300" s="19">
        <f>R299+IF(LEN($AB$300)&gt;0,1,0)</f>
        <v/>
      </c>
      <c r="S300" s="19">
        <f>S299+IF(LEN($AC$300)&gt;0,1,0)</f>
        <v/>
      </c>
      <c r="T300" s="19">
        <f>T299+IF(LEN($AD$300)&gt;0,1,0)</f>
        <v/>
      </c>
      <c r="X300" s="19">
        <f>IF(ISERROR($B$300),"",IF(ISBLANK($B$300),"",$B$300))</f>
        <v/>
      </c>
      <c r="Y300" s="19">
        <f>IF(ISERROR($C$300),"",IF(ISBLANK($C$300),"",$C$300))</f>
        <v/>
      </c>
      <c r="Z300" s="19">
        <f>IF(ISERROR($D$300),"",IF(ISBLANK($D$300),"",$D$300))</f>
        <v/>
      </c>
      <c r="AA300" s="19">
        <f>IF(ISERROR($E$300),"",IF(ISBLANK($E$300),"",$E$300))</f>
        <v/>
      </c>
      <c r="AB300" s="19">
        <f>IF(ISERROR($F$300),"",IF(ISBLANK($F$300),"",$F$300))</f>
        <v/>
      </c>
      <c r="AC300" s="19">
        <f>IF(ISERROR($G$300),"",IF(ISBLANK($G$300),"",$G$300))</f>
        <v/>
      </c>
      <c r="AD300" s="19">
        <f>IF(ISERROR($H$300),"",IF(ISBLANK($H$300),"",$H$300))</f>
        <v/>
      </c>
      <c r="AG300" s="19">
        <f>ISERROR($B$300)*1+ISERROR($C$300)*1+ISERROR($D$300)*1+ISERROR($E$300)*1+ISERROR($F$300)*1+ISERROR($G$300)*1+ISERROR($H$300)*1</f>
        <v/>
      </c>
    </row>
    <row r="301" ht="26" customHeight="1">
      <c r="B301" s="31" t="n"/>
      <c r="C301" s="28" t="n"/>
      <c r="D301" s="28" t="n"/>
      <c r="E301" s="28" t="n"/>
      <c r="F301" s="28" t="n"/>
      <c r="G301" s="28" t="n"/>
      <c r="H301" s="28" t="n"/>
      <c r="K301" s="18">
        <f>IF(AG301&gt;0,"O Google leu como fórmula: digite de novo com ' na frente.","")</f>
        <v/>
      </c>
      <c r="N301" s="19">
        <f>N300+IF(LEN($X$301)&gt;0,1,0)</f>
        <v/>
      </c>
      <c r="O301" s="19">
        <f>O300+IF(LEN($Y$301)&gt;0,1,0)</f>
        <v/>
      </c>
      <c r="P301" s="19">
        <f>P300+IF(LEN($Z$301)&gt;0,1,0)</f>
        <v/>
      </c>
      <c r="Q301" s="19">
        <f>Q300+IF(LEN($AA$301)&gt;0,1,0)</f>
        <v/>
      </c>
      <c r="R301" s="19">
        <f>R300+IF(LEN($AB$301)&gt;0,1,0)</f>
        <v/>
      </c>
      <c r="S301" s="19">
        <f>S300+IF(LEN($AC$301)&gt;0,1,0)</f>
        <v/>
      </c>
      <c r="T301" s="19">
        <f>T300+IF(LEN($AD$301)&gt;0,1,0)</f>
        <v/>
      </c>
      <c r="X301" s="19">
        <f>IF(ISERROR($B$301),"",IF(ISBLANK($B$301),"",$B$301))</f>
        <v/>
      </c>
      <c r="Y301" s="19">
        <f>IF(ISERROR($C$301),"",IF(ISBLANK($C$301),"",$C$301))</f>
        <v/>
      </c>
      <c r="Z301" s="19">
        <f>IF(ISERROR($D$301),"",IF(ISBLANK($D$301),"",$D$301))</f>
        <v/>
      </c>
      <c r="AA301" s="19">
        <f>IF(ISERROR($E$301),"",IF(ISBLANK($E$301),"",$E$301))</f>
        <v/>
      </c>
      <c r="AB301" s="19">
        <f>IF(ISERROR($F$301),"",IF(ISBLANK($F$301),"",$F$301))</f>
        <v/>
      </c>
      <c r="AC301" s="19">
        <f>IF(ISERROR($G$301),"",IF(ISBLANK($G$301),"",$G$301))</f>
        <v/>
      </c>
      <c r="AD301" s="19">
        <f>IF(ISERROR($H$301),"",IF(ISBLANK($H$301),"",$H$301))</f>
        <v/>
      </c>
      <c r="AG301" s="19">
        <f>ISERROR($B$301)*1+ISERROR($C$301)*1+ISERROR($D$301)*1+ISERROR($E$301)*1+ISERROR($F$301)*1+ISERROR($G$301)*1+ISERROR($H$301)*1</f>
        <v/>
      </c>
    </row>
    <row r="302" ht="26" customHeight="1">
      <c r="B302" s="30" t="n"/>
      <c r="C302" s="3" t="n"/>
      <c r="D302" s="3" t="n"/>
      <c r="E302" s="3" t="n"/>
      <c r="F302" s="3" t="n"/>
      <c r="G302" s="3" t="n"/>
      <c r="H302" s="3" t="n"/>
      <c r="K302" s="18">
        <f>IF(AG302&gt;0,"O Google leu como fórmula: digite de novo com ' na frente.","")</f>
        <v/>
      </c>
      <c r="N302" s="19">
        <f>N301+IF(LEN($X$302)&gt;0,1,0)</f>
        <v/>
      </c>
      <c r="O302" s="19">
        <f>O301+IF(LEN($Y$302)&gt;0,1,0)</f>
        <v/>
      </c>
      <c r="P302" s="19">
        <f>P301+IF(LEN($Z$302)&gt;0,1,0)</f>
        <v/>
      </c>
      <c r="Q302" s="19">
        <f>Q301+IF(LEN($AA$302)&gt;0,1,0)</f>
        <v/>
      </c>
      <c r="R302" s="19">
        <f>R301+IF(LEN($AB$302)&gt;0,1,0)</f>
        <v/>
      </c>
      <c r="S302" s="19">
        <f>S301+IF(LEN($AC$302)&gt;0,1,0)</f>
        <v/>
      </c>
      <c r="T302" s="19">
        <f>T301+IF(LEN($AD$302)&gt;0,1,0)</f>
        <v/>
      </c>
      <c r="X302" s="19">
        <f>IF(ISERROR($B$302),"",IF(ISBLANK($B$302),"",$B$302))</f>
        <v/>
      </c>
      <c r="Y302" s="19">
        <f>IF(ISERROR($C$302),"",IF(ISBLANK($C$302),"",$C$302))</f>
        <v/>
      </c>
      <c r="Z302" s="19">
        <f>IF(ISERROR($D$302),"",IF(ISBLANK($D$302),"",$D$302))</f>
        <v/>
      </c>
      <c r="AA302" s="19">
        <f>IF(ISERROR($E$302),"",IF(ISBLANK($E$302),"",$E$302))</f>
        <v/>
      </c>
      <c r="AB302" s="19">
        <f>IF(ISERROR($F$302),"",IF(ISBLANK($F$302),"",$F$302))</f>
        <v/>
      </c>
      <c r="AC302" s="19">
        <f>IF(ISERROR($G$302),"",IF(ISBLANK($G$302),"",$G$302))</f>
        <v/>
      </c>
      <c r="AD302" s="19">
        <f>IF(ISERROR($H$302),"",IF(ISBLANK($H$302),"",$H$302))</f>
        <v/>
      </c>
      <c r="AG302" s="19">
        <f>ISERROR($B$302)*1+ISERROR($C$302)*1+ISERROR($D$302)*1+ISERROR($E$302)*1+ISERROR($F$302)*1+ISERROR($G$302)*1+ISERROR($H$302)*1</f>
        <v/>
      </c>
    </row>
    <row r="303" ht="26" customHeight="1">
      <c r="B303" s="31" t="n"/>
      <c r="C303" s="28" t="n"/>
      <c r="D303" s="28" t="n"/>
      <c r="E303" s="28" t="n"/>
      <c r="F303" s="28" t="n"/>
      <c r="G303" s="28" t="n"/>
      <c r="H303" s="28" t="n"/>
      <c r="K303" s="18">
        <f>IF(AG303&gt;0,"O Google leu como fórmula: digite de novo com ' na frente.","")</f>
        <v/>
      </c>
      <c r="N303" s="19">
        <f>N302+IF(LEN($X$303)&gt;0,1,0)</f>
        <v/>
      </c>
      <c r="O303" s="19">
        <f>O302+IF(LEN($Y$303)&gt;0,1,0)</f>
        <v/>
      </c>
      <c r="P303" s="19">
        <f>P302+IF(LEN($Z$303)&gt;0,1,0)</f>
        <v/>
      </c>
      <c r="Q303" s="19">
        <f>Q302+IF(LEN($AA$303)&gt;0,1,0)</f>
        <v/>
      </c>
      <c r="R303" s="19">
        <f>R302+IF(LEN($AB$303)&gt;0,1,0)</f>
        <v/>
      </c>
      <c r="S303" s="19">
        <f>S302+IF(LEN($AC$303)&gt;0,1,0)</f>
        <v/>
      </c>
      <c r="T303" s="19">
        <f>T302+IF(LEN($AD$303)&gt;0,1,0)</f>
        <v/>
      </c>
      <c r="X303" s="19">
        <f>IF(ISERROR($B$303),"",IF(ISBLANK($B$303),"",$B$303))</f>
        <v/>
      </c>
      <c r="Y303" s="19">
        <f>IF(ISERROR($C$303),"",IF(ISBLANK($C$303),"",$C$303))</f>
        <v/>
      </c>
      <c r="Z303" s="19">
        <f>IF(ISERROR($D$303),"",IF(ISBLANK($D$303),"",$D$303))</f>
        <v/>
      </c>
      <c r="AA303" s="19">
        <f>IF(ISERROR($E$303),"",IF(ISBLANK($E$303),"",$E$303))</f>
        <v/>
      </c>
      <c r="AB303" s="19">
        <f>IF(ISERROR($F$303),"",IF(ISBLANK($F$303),"",$F$303))</f>
        <v/>
      </c>
      <c r="AC303" s="19">
        <f>IF(ISERROR($G$303),"",IF(ISBLANK($G$303),"",$G$303))</f>
        <v/>
      </c>
      <c r="AD303" s="19">
        <f>IF(ISERROR($H$303),"",IF(ISBLANK($H$303),"",$H$303))</f>
        <v/>
      </c>
      <c r="AG303" s="19">
        <f>ISERROR($B$303)*1+ISERROR($C$303)*1+ISERROR($D$303)*1+ISERROR($E$303)*1+ISERROR($F$303)*1+ISERROR($G$303)*1+ISERROR($H$303)*1</f>
        <v/>
      </c>
    </row>
    <row r="304" ht="26" customHeight="1">
      <c r="B304" s="30" t="n"/>
      <c r="C304" s="3" t="n"/>
      <c r="D304" s="3" t="n"/>
      <c r="E304" s="3" t="n"/>
      <c r="F304" s="3" t="n"/>
      <c r="G304" s="3" t="n"/>
      <c r="H304" s="3" t="n"/>
      <c r="K304" s="18">
        <f>IF(AG304&gt;0,"O Google leu como fórmula: digite de novo com ' na frente.","")</f>
        <v/>
      </c>
      <c r="N304" s="19">
        <f>N303+IF(LEN($X$304)&gt;0,1,0)</f>
        <v/>
      </c>
      <c r="O304" s="19">
        <f>O303+IF(LEN($Y$304)&gt;0,1,0)</f>
        <v/>
      </c>
      <c r="P304" s="19">
        <f>P303+IF(LEN($Z$304)&gt;0,1,0)</f>
        <v/>
      </c>
      <c r="Q304" s="19">
        <f>Q303+IF(LEN($AA$304)&gt;0,1,0)</f>
        <v/>
      </c>
      <c r="R304" s="19">
        <f>R303+IF(LEN($AB$304)&gt;0,1,0)</f>
        <v/>
      </c>
      <c r="S304" s="19">
        <f>S303+IF(LEN($AC$304)&gt;0,1,0)</f>
        <v/>
      </c>
      <c r="T304" s="19">
        <f>T303+IF(LEN($AD$304)&gt;0,1,0)</f>
        <v/>
      </c>
      <c r="X304" s="19">
        <f>IF(ISERROR($B$304),"",IF(ISBLANK($B$304),"",$B$304))</f>
        <v/>
      </c>
      <c r="Y304" s="19">
        <f>IF(ISERROR($C$304),"",IF(ISBLANK($C$304),"",$C$304))</f>
        <v/>
      </c>
      <c r="Z304" s="19">
        <f>IF(ISERROR($D$304),"",IF(ISBLANK($D$304),"",$D$304))</f>
        <v/>
      </c>
      <c r="AA304" s="19">
        <f>IF(ISERROR($E$304),"",IF(ISBLANK($E$304),"",$E$304))</f>
        <v/>
      </c>
      <c r="AB304" s="19">
        <f>IF(ISERROR($F$304),"",IF(ISBLANK($F$304),"",$F$304))</f>
        <v/>
      </c>
      <c r="AC304" s="19">
        <f>IF(ISERROR($G$304),"",IF(ISBLANK($G$304),"",$G$304))</f>
        <v/>
      </c>
      <c r="AD304" s="19">
        <f>IF(ISERROR($H$304),"",IF(ISBLANK($H$304),"",$H$304))</f>
        <v/>
      </c>
      <c r="AG304" s="19">
        <f>ISERROR($B$304)*1+ISERROR($C$304)*1+ISERROR($D$304)*1+ISERROR($E$304)*1+ISERROR($F$304)*1+ISERROR($G$304)*1+ISERROR($H$304)*1</f>
        <v/>
      </c>
    </row>
    <row r="305" ht="26" customHeight="1">
      <c r="B305" s="31" t="n"/>
      <c r="C305" s="28" t="n"/>
      <c r="D305" s="28" t="n"/>
      <c r="E305" s="28" t="n"/>
      <c r="F305" s="28" t="n"/>
      <c r="G305" s="28" t="n"/>
      <c r="H305" s="28" t="n"/>
      <c r="K305" s="18">
        <f>IF(AG305&gt;0,"O Google leu como fórmula: digite de novo com ' na frente.","")</f>
        <v/>
      </c>
      <c r="N305" s="19">
        <f>N304+IF(LEN($X$305)&gt;0,1,0)</f>
        <v/>
      </c>
      <c r="O305" s="19">
        <f>O304+IF(LEN($Y$305)&gt;0,1,0)</f>
        <v/>
      </c>
      <c r="P305" s="19">
        <f>P304+IF(LEN($Z$305)&gt;0,1,0)</f>
        <v/>
      </c>
      <c r="Q305" s="19">
        <f>Q304+IF(LEN($AA$305)&gt;0,1,0)</f>
        <v/>
      </c>
      <c r="R305" s="19">
        <f>R304+IF(LEN($AB$305)&gt;0,1,0)</f>
        <v/>
      </c>
      <c r="S305" s="19">
        <f>S304+IF(LEN($AC$305)&gt;0,1,0)</f>
        <v/>
      </c>
      <c r="T305" s="19">
        <f>T304+IF(LEN($AD$305)&gt;0,1,0)</f>
        <v/>
      </c>
      <c r="X305" s="19">
        <f>IF(ISERROR($B$305),"",IF(ISBLANK($B$305),"",$B$305))</f>
        <v/>
      </c>
      <c r="Y305" s="19">
        <f>IF(ISERROR($C$305),"",IF(ISBLANK($C$305),"",$C$305))</f>
        <v/>
      </c>
      <c r="Z305" s="19">
        <f>IF(ISERROR($D$305),"",IF(ISBLANK($D$305),"",$D$305))</f>
        <v/>
      </c>
      <c r="AA305" s="19">
        <f>IF(ISERROR($E$305),"",IF(ISBLANK($E$305),"",$E$305))</f>
        <v/>
      </c>
      <c r="AB305" s="19">
        <f>IF(ISERROR($F$305),"",IF(ISBLANK($F$305),"",$F$305))</f>
        <v/>
      </c>
      <c r="AC305" s="19">
        <f>IF(ISERROR($G$305),"",IF(ISBLANK($G$305),"",$G$305))</f>
        <v/>
      </c>
      <c r="AD305" s="19">
        <f>IF(ISERROR($H$305),"",IF(ISBLANK($H$305),"",$H$305))</f>
        <v/>
      </c>
      <c r="AG305" s="19">
        <f>ISERROR($B$305)*1+ISERROR($C$305)*1+ISERROR($D$305)*1+ISERROR($E$305)*1+ISERROR($F$305)*1+ISERROR($G$305)*1+ISERROR($H$305)*1</f>
        <v/>
      </c>
    </row>
    <row r="306" ht="26" customHeight="1">
      <c r="B306" s="30" t="n"/>
      <c r="C306" s="3" t="n"/>
      <c r="D306" s="3" t="n"/>
      <c r="E306" s="3" t="n"/>
      <c r="F306" s="3" t="n"/>
      <c r="G306" s="3" t="n"/>
      <c r="H306" s="3" t="n"/>
      <c r="K306" s="18">
        <f>IF(AG306&gt;0,"O Google leu como fórmula: digite de novo com ' na frente.","")</f>
        <v/>
      </c>
      <c r="N306" s="19">
        <f>N305+IF(LEN($X$306)&gt;0,1,0)</f>
        <v/>
      </c>
      <c r="O306" s="19">
        <f>O305+IF(LEN($Y$306)&gt;0,1,0)</f>
        <v/>
      </c>
      <c r="P306" s="19">
        <f>P305+IF(LEN($Z$306)&gt;0,1,0)</f>
        <v/>
      </c>
      <c r="Q306" s="19">
        <f>Q305+IF(LEN($AA$306)&gt;0,1,0)</f>
        <v/>
      </c>
      <c r="R306" s="19">
        <f>R305+IF(LEN($AB$306)&gt;0,1,0)</f>
        <v/>
      </c>
      <c r="S306" s="19">
        <f>S305+IF(LEN($AC$306)&gt;0,1,0)</f>
        <v/>
      </c>
      <c r="T306" s="19">
        <f>T305+IF(LEN($AD$306)&gt;0,1,0)</f>
        <v/>
      </c>
      <c r="X306" s="19">
        <f>IF(ISERROR($B$306),"",IF(ISBLANK($B$306),"",$B$306))</f>
        <v/>
      </c>
      <c r="Y306" s="19">
        <f>IF(ISERROR($C$306),"",IF(ISBLANK($C$306),"",$C$306))</f>
        <v/>
      </c>
      <c r="Z306" s="19">
        <f>IF(ISERROR($D$306),"",IF(ISBLANK($D$306),"",$D$306))</f>
        <v/>
      </c>
      <c r="AA306" s="19">
        <f>IF(ISERROR($E$306),"",IF(ISBLANK($E$306),"",$E$306))</f>
        <v/>
      </c>
      <c r="AB306" s="19">
        <f>IF(ISERROR($F$306),"",IF(ISBLANK($F$306),"",$F$306))</f>
        <v/>
      </c>
      <c r="AC306" s="19">
        <f>IF(ISERROR($G$306),"",IF(ISBLANK($G$306),"",$G$306))</f>
        <v/>
      </c>
      <c r="AD306" s="19">
        <f>IF(ISERROR($H$306),"",IF(ISBLANK($H$306),"",$H$306))</f>
        <v/>
      </c>
      <c r="AG306" s="19">
        <f>ISERROR($B$306)*1+ISERROR($C$306)*1+ISERROR($D$306)*1+ISERROR($E$306)*1+ISERROR($F$306)*1+ISERROR($G$306)*1+ISERROR($H$306)*1</f>
        <v/>
      </c>
    </row>
    <row r="307" ht="26" customHeight="1">
      <c r="B307" s="31" t="n"/>
      <c r="C307" s="28" t="n"/>
      <c r="D307" s="28" t="n"/>
      <c r="E307" s="28" t="n"/>
      <c r="F307" s="28" t="n"/>
      <c r="G307" s="28" t="n"/>
      <c r="H307" s="28" t="n"/>
      <c r="K307" s="18">
        <f>IF(AG307&gt;0,"O Google leu como fórmula: digite de novo com ' na frente.","")</f>
        <v/>
      </c>
      <c r="N307" s="19">
        <f>N306+IF(LEN($X$307)&gt;0,1,0)</f>
        <v/>
      </c>
      <c r="O307" s="19">
        <f>O306+IF(LEN($Y$307)&gt;0,1,0)</f>
        <v/>
      </c>
      <c r="P307" s="19">
        <f>P306+IF(LEN($Z$307)&gt;0,1,0)</f>
        <v/>
      </c>
      <c r="Q307" s="19">
        <f>Q306+IF(LEN($AA$307)&gt;0,1,0)</f>
        <v/>
      </c>
      <c r="R307" s="19">
        <f>R306+IF(LEN($AB$307)&gt;0,1,0)</f>
        <v/>
      </c>
      <c r="S307" s="19">
        <f>S306+IF(LEN($AC$307)&gt;0,1,0)</f>
        <v/>
      </c>
      <c r="T307" s="19">
        <f>T306+IF(LEN($AD$307)&gt;0,1,0)</f>
        <v/>
      </c>
      <c r="X307" s="19">
        <f>IF(ISERROR($B$307),"",IF(ISBLANK($B$307),"",$B$307))</f>
        <v/>
      </c>
      <c r="Y307" s="19">
        <f>IF(ISERROR($C$307),"",IF(ISBLANK($C$307),"",$C$307))</f>
        <v/>
      </c>
      <c r="Z307" s="19">
        <f>IF(ISERROR($D$307),"",IF(ISBLANK($D$307),"",$D$307))</f>
        <v/>
      </c>
      <c r="AA307" s="19">
        <f>IF(ISERROR($E$307),"",IF(ISBLANK($E$307),"",$E$307))</f>
        <v/>
      </c>
      <c r="AB307" s="19">
        <f>IF(ISERROR($F$307),"",IF(ISBLANK($F$307),"",$F$307))</f>
        <v/>
      </c>
      <c r="AC307" s="19">
        <f>IF(ISERROR($G$307),"",IF(ISBLANK($G$307),"",$G$307))</f>
        <v/>
      </c>
      <c r="AD307" s="19">
        <f>IF(ISERROR($H$307),"",IF(ISBLANK($H$307),"",$H$307))</f>
        <v/>
      </c>
      <c r="AG307" s="19">
        <f>ISERROR($B$307)*1+ISERROR($C$307)*1+ISERROR($D$307)*1+ISERROR($E$307)*1+ISERROR($F$307)*1+ISERROR($G$307)*1+ISERROR($H$307)*1</f>
        <v/>
      </c>
    </row>
    <row r="308" ht="26" customHeight="1">
      <c r="B308" s="30" t="n"/>
      <c r="C308" s="3" t="n"/>
      <c r="D308" s="3" t="n"/>
      <c r="E308" s="3" t="n"/>
      <c r="F308" s="3" t="n"/>
      <c r="G308" s="3" t="n"/>
      <c r="H308" s="3" t="n"/>
      <c r="K308" s="18">
        <f>IF(AG308&gt;0,"O Google leu como fórmula: digite de novo com ' na frente.","")</f>
        <v/>
      </c>
      <c r="N308" s="19">
        <f>N307+IF(LEN($X$308)&gt;0,1,0)</f>
        <v/>
      </c>
      <c r="O308" s="19">
        <f>O307+IF(LEN($Y$308)&gt;0,1,0)</f>
        <v/>
      </c>
      <c r="P308" s="19">
        <f>P307+IF(LEN($Z$308)&gt;0,1,0)</f>
        <v/>
      </c>
      <c r="Q308" s="19">
        <f>Q307+IF(LEN($AA$308)&gt;0,1,0)</f>
        <v/>
      </c>
      <c r="R308" s="19">
        <f>R307+IF(LEN($AB$308)&gt;0,1,0)</f>
        <v/>
      </c>
      <c r="S308" s="19">
        <f>S307+IF(LEN($AC$308)&gt;0,1,0)</f>
        <v/>
      </c>
      <c r="T308" s="19">
        <f>T307+IF(LEN($AD$308)&gt;0,1,0)</f>
        <v/>
      </c>
      <c r="X308" s="19">
        <f>IF(ISERROR($B$308),"",IF(ISBLANK($B$308),"",$B$308))</f>
        <v/>
      </c>
      <c r="Y308" s="19">
        <f>IF(ISERROR($C$308),"",IF(ISBLANK($C$308),"",$C$308))</f>
        <v/>
      </c>
      <c r="Z308" s="19">
        <f>IF(ISERROR($D$308),"",IF(ISBLANK($D$308),"",$D$308))</f>
        <v/>
      </c>
      <c r="AA308" s="19">
        <f>IF(ISERROR($E$308),"",IF(ISBLANK($E$308),"",$E$308))</f>
        <v/>
      </c>
      <c r="AB308" s="19">
        <f>IF(ISERROR($F$308),"",IF(ISBLANK($F$308),"",$F$308))</f>
        <v/>
      </c>
      <c r="AC308" s="19">
        <f>IF(ISERROR($G$308),"",IF(ISBLANK($G$308),"",$G$308))</f>
        <v/>
      </c>
      <c r="AD308" s="19">
        <f>IF(ISERROR($H$308),"",IF(ISBLANK($H$308),"",$H$308))</f>
        <v/>
      </c>
      <c r="AG308" s="19">
        <f>ISERROR($B$308)*1+ISERROR($C$308)*1+ISERROR($D$308)*1+ISERROR($E$308)*1+ISERROR($F$308)*1+ISERROR($G$308)*1+ISERROR($H$308)*1</f>
        <v/>
      </c>
    </row>
    <row r="309" ht="26" customHeight="1">
      <c r="B309" s="31" t="n"/>
      <c r="C309" s="28" t="n"/>
      <c r="D309" s="28" t="n"/>
      <c r="E309" s="28" t="n"/>
      <c r="F309" s="28" t="n"/>
      <c r="G309" s="28" t="n"/>
      <c r="H309" s="28" t="n"/>
      <c r="K309" s="18">
        <f>IF(AG309&gt;0,"O Google leu como fórmula: digite de novo com ' na frente.","")</f>
        <v/>
      </c>
      <c r="N309" s="19">
        <f>N308+IF(LEN($X$309)&gt;0,1,0)</f>
        <v/>
      </c>
      <c r="O309" s="19">
        <f>O308+IF(LEN($Y$309)&gt;0,1,0)</f>
        <v/>
      </c>
      <c r="P309" s="19">
        <f>P308+IF(LEN($Z$309)&gt;0,1,0)</f>
        <v/>
      </c>
      <c r="Q309" s="19">
        <f>Q308+IF(LEN($AA$309)&gt;0,1,0)</f>
        <v/>
      </c>
      <c r="R309" s="19">
        <f>R308+IF(LEN($AB$309)&gt;0,1,0)</f>
        <v/>
      </c>
      <c r="S309" s="19">
        <f>S308+IF(LEN($AC$309)&gt;0,1,0)</f>
        <v/>
      </c>
      <c r="T309" s="19">
        <f>T308+IF(LEN($AD$309)&gt;0,1,0)</f>
        <v/>
      </c>
      <c r="X309" s="19">
        <f>IF(ISERROR($B$309),"",IF(ISBLANK($B$309),"",$B$309))</f>
        <v/>
      </c>
      <c r="Y309" s="19">
        <f>IF(ISERROR($C$309),"",IF(ISBLANK($C$309),"",$C$309))</f>
        <v/>
      </c>
      <c r="Z309" s="19">
        <f>IF(ISERROR($D$309),"",IF(ISBLANK($D$309),"",$D$309))</f>
        <v/>
      </c>
      <c r="AA309" s="19">
        <f>IF(ISERROR($E$309),"",IF(ISBLANK($E$309),"",$E$309))</f>
        <v/>
      </c>
      <c r="AB309" s="19">
        <f>IF(ISERROR($F$309),"",IF(ISBLANK($F$309),"",$F$309))</f>
        <v/>
      </c>
      <c r="AC309" s="19">
        <f>IF(ISERROR($G$309),"",IF(ISBLANK($G$309),"",$G$309))</f>
        <v/>
      </c>
      <c r="AD309" s="19">
        <f>IF(ISERROR($H$309),"",IF(ISBLANK($H$309),"",$H$309))</f>
        <v/>
      </c>
      <c r="AG309" s="19">
        <f>ISERROR($B$309)*1+ISERROR($C$309)*1+ISERROR($D$309)*1+ISERROR($E$309)*1+ISERROR($F$309)*1+ISERROR($G$309)*1+ISERROR($H$309)*1</f>
        <v/>
      </c>
    </row>
    <row r="310" ht="26" customHeight="1">
      <c r="B310" s="30" t="n"/>
      <c r="C310" s="3" t="n"/>
      <c r="D310" s="3" t="n"/>
      <c r="E310" s="3" t="n"/>
      <c r="F310" s="3" t="n"/>
      <c r="G310" s="3" t="n"/>
      <c r="H310" s="3" t="n"/>
      <c r="K310" s="18">
        <f>IF(AG310&gt;0,"O Google leu como fórmula: digite de novo com ' na frente.","")</f>
        <v/>
      </c>
      <c r="N310" s="19">
        <f>N309+IF(LEN($X$310)&gt;0,1,0)</f>
        <v/>
      </c>
      <c r="O310" s="19">
        <f>O309+IF(LEN($Y$310)&gt;0,1,0)</f>
        <v/>
      </c>
      <c r="P310" s="19">
        <f>P309+IF(LEN($Z$310)&gt;0,1,0)</f>
        <v/>
      </c>
      <c r="Q310" s="19">
        <f>Q309+IF(LEN($AA$310)&gt;0,1,0)</f>
        <v/>
      </c>
      <c r="R310" s="19">
        <f>R309+IF(LEN($AB$310)&gt;0,1,0)</f>
        <v/>
      </c>
      <c r="S310" s="19">
        <f>S309+IF(LEN($AC$310)&gt;0,1,0)</f>
        <v/>
      </c>
      <c r="T310" s="19">
        <f>T309+IF(LEN($AD$310)&gt;0,1,0)</f>
        <v/>
      </c>
      <c r="X310" s="19">
        <f>IF(ISERROR($B$310),"",IF(ISBLANK($B$310),"",$B$310))</f>
        <v/>
      </c>
      <c r="Y310" s="19">
        <f>IF(ISERROR($C$310),"",IF(ISBLANK($C$310),"",$C$310))</f>
        <v/>
      </c>
      <c r="Z310" s="19">
        <f>IF(ISERROR($D$310),"",IF(ISBLANK($D$310),"",$D$310))</f>
        <v/>
      </c>
      <c r="AA310" s="19">
        <f>IF(ISERROR($E$310),"",IF(ISBLANK($E$310),"",$E$310))</f>
        <v/>
      </c>
      <c r="AB310" s="19">
        <f>IF(ISERROR($F$310),"",IF(ISBLANK($F$310),"",$F$310))</f>
        <v/>
      </c>
      <c r="AC310" s="19">
        <f>IF(ISERROR($G$310),"",IF(ISBLANK($G$310),"",$G$310))</f>
        <v/>
      </c>
      <c r="AD310" s="19">
        <f>IF(ISERROR($H$310),"",IF(ISBLANK($H$310),"",$H$310))</f>
        <v/>
      </c>
      <c r="AG310" s="19">
        <f>ISERROR($B$310)*1+ISERROR($C$310)*1+ISERROR($D$310)*1+ISERROR($E$310)*1+ISERROR($F$310)*1+ISERROR($G$310)*1+ISERROR($H$310)*1</f>
        <v/>
      </c>
    </row>
    <row r="311" ht="15" customHeight="1">
      <c r="B311" s="7" t="inlineStr">
        <is>
          <t>Sobrenome — Humano</t>
        </is>
      </c>
      <c r="C311" s="7" t="inlineStr">
        <is>
          <t>Sobrenome — Xianzhouíta</t>
        </is>
      </c>
      <c r="D311" s="7" t="inlineStr">
        <is>
          <t>Sobrenome — Vidyadhara</t>
        </is>
      </c>
      <c r="E311" s="7" t="inlineStr">
        <is>
          <t>Sobrenome — Vulpes</t>
        </is>
      </c>
      <c r="F311" s="7" t="inlineStr">
        <is>
          <t>Sobrenome — Haloviano</t>
        </is>
      </c>
      <c r="G311" s="7" t="inlineStr">
        <is>
          <t>Sobrenome — Avginiano</t>
        </is>
      </c>
      <c r="H311" s="7" t="inlineStr">
        <is>
          <t>Sobrenome — Intellitron</t>
        </is>
      </c>
      <c r="N311" s="19">
        <f>N310</f>
        <v/>
      </c>
      <c r="O311" s="19">
        <f>O310</f>
        <v/>
      </c>
      <c r="P311" s="19">
        <f>P310</f>
        <v/>
      </c>
      <c r="Q311" s="19">
        <f>Q310</f>
        <v/>
      </c>
      <c r="R311" s="19">
        <f>R310</f>
        <v/>
      </c>
      <c r="S311" s="19">
        <f>S310</f>
        <v/>
      </c>
      <c r="T311" s="19">
        <f>T310</f>
        <v/>
      </c>
      <c r="X311" s="19">
        <f>IF(ISERROR($B$311),"",IF(ISBLANK($B$311),"",$B$311))</f>
        <v/>
      </c>
      <c r="Y311" s="19">
        <f>IF(ISERROR($C$311),"",IF(ISBLANK($C$311),"",$C$311))</f>
        <v/>
      </c>
      <c r="Z311" s="19">
        <f>IF(ISERROR($D$311),"",IF(ISBLANK($D$311),"",$D$311))</f>
        <v/>
      </c>
      <c r="AA311" s="19">
        <f>IF(ISERROR($E$311),"",IF(ISBLANK($E$311),"",$E$311))</f>
        <v/>
      </c>
      <c r="AB311" s="19">
        <f>IF(ISERROR($F$311),"",IF(ISBLANK($F$311),"",$F$311))</f>
        <v/>
      </c>
      <c r="AC311" s="19">
        <f>IF(ISERROR($G$311),"",IF(ISBLANK($G$311),"",$G$311))</f>
        <v/>
      </c>
      <c r="AD311" s="19">
        <f>IF(ISERROR($H$311),"",IF(ISBLANK($H$311),"",$H$311))</f>
        <v/>
      </c>
    </row>
    <row r="312" ht="26" customHeight="1">
      <c r="B312" s="30" t="n"/>
      <c r="C312" s="3" t="n"/>
      <c r="D312" s="3" t="n"/>
      <c r="E312" s="3" t="n"/>
      <c r="F312" s="3" t="n"/>
      <c r="G312" s="3" t="n"/>
      <c r="H312" s="3" t="n"/>
      <c r="K312" s="18">
        <f>IF(AG312&gt;0,"O Google leu como fórmula: digite de novo com ' na frente.","")</f>
        <v/>
      </c>
      <c r="N312" s="19">
        <f>N311+IF(LEN($X$312)&gt;0,1,0)</f>
        <v/>
      </c>
      <c r="O312" s="19">
        <f>O311+IF(LEN($Y$312)&gt;0,1,0)</f>
        <v/>
      </c>
      <c r="P312" s="19">
        <f>P311+IF(LEN($Z$312)&gt;0,1,0)</f>
        <v/>
      </c>
      <c r="Q312" s="19">
        <f>Q311+IF(LEN($AA$312)&gt;0,1,0)</f>
        <v/>
      </c>
      <c r="R312" s="19">
        <f>R311+IF(LEN($AB$312)&gt;0,1,0)</f>
        <v/>
      </c>
      <c r="S312" s="19">
        <f>S311+IF(LEN($AC$312)&gt;0,1,0)</f>
        <v/>
      </c>
      <c r="T312" s="19">
        <f>T311+IF(LEN($AD$312)&gt;0,1,0)</f>
        <v/>
      </c>
      <c r="X312" s="19">
        <f>IF(ISERROR($B$312),"",IF(ISBLANK($B$312),"",$B$312))</f>
        <v/>
      </c>
      <c r="Y312" s="19">
        <f>IF(ISERROR($C$312),"",IF(ISBLANK($C$312),"",$C$312))</f>
        <v/>
      </c>
      <c r="Z312" s="19">
        <f>IF(ISERROR($D$312),"",IF(ISBLANK($D$312),"",$D$312))</f>
        <v/>
      </c>
      <c r="AA312" s="19">
        <f>IF(ISERROR($E$312),"",IF(ISBLANK($E$312),"",$E$312))</f>
        <v/>
      </c>
      <c r="AB312" s="19">
        <f>IF(ISERROR($F$312),"",IF(ISBLANK($F$312),"",$F$312))</f>
        <v/>
      </c>
      <c r="AC312" s="19">
        <f>IF(ISERROR($G$312),"",IF(ISBLANK($G$312),"",$G$312))</f>
        <v/>
      </c>
      <c r="AD312" s="19">
        <f>IF(ISERROR($H$312),"",IF(ISBLANK($H$312),"",$H$312))</f>
        <v/>
      </c>
      <c r="AG312" s="19">
        <f>ISERROR($B$312)*1+ISERROR($C$312)*1+ISERROR($D$312)*1+ISERROR($E$312)*1+ISERROR($F$312)*1+ISERROR($G$312)*1+ISERROR($H$312)*1</f>
        <v/>
      </c>
    </row>
    <row r="313" ht="26" customHeight="1">
      <c r="B313" s="31" t="n"/>
      <c r="C313" s="28" t="n"/>
      <c r="D313" s="28" t="n"/>
      <c r="E313" s="28" t="n"/>
      <c r="F313" s="28" t="n"/>
      <c r="G313" s="28" t="n"/>
      <c r="H313" s="28" t="n"/>
      <c r="K313" s="18">
        <f>IF(AG313&gt;0,"O Google leu como fórmula: digite de novo com ' na frente.","")</f>
        <v/>
      </c>
      <c r="N313" s="19">
        <f>N312+IF(LEN($X$313)&gt;0,1,0)</f>
        <v/>
      </c>
      <c r="O313" s="19">
        <f>O312+IF(LEN($Y$313)&gt;0,1,0)</f>
        <v/>
      </c>
      <c r="P313" s="19">
        <f>P312+IF(LEN($Z$313)&gt;0,1,0)</f>
        <v/>
      </c>
      <c r="Q313" s="19">
        <f>Q312+IF(LEN($AA$313)&gt;0,1,0)</f>
        <v/>
      </c>
      <c r="R313" s="19">
        <f>R312+IF(LEN($AB$313)&gt;0,1,0)</f>
        <v/>
      </c>
      <c r="S313" s="19">
        <f>S312+IF(LEN($AC$313)&gt;0,1,0)</f>
        <v/>
      </c>
      <c r="T313" s="19">
        <f>T312+IF(LEN($AD$313)&gt;0,1,0)</f>
        <v/>
      </c>
      <c r="X313" s="19">
        <f>IF(ISERROR($B$313),"",IF(ISBLANK($B$313),"",$B$313))</f>
        <v/>
      </c>
      <c r="Y313" s="19">
        <f>IF(ISERROR($C$313),"",IF(ISBLANK($C$313),"",$C$313))</f>
        <v/>
      </c>
      <c r="Z313" s="19">
        <f>IF(ISERROR($D$313),"",IF(ISBLANK($D$313),"",$D$313))</f>
        <v/>
      </c>
      <c r="AA313" s="19">
        <f>IF(ISERROR($E$313),"",IF(ISBLANK($E$313),"",$E$313))</f>
        <v/>
      </c>
      <c r="AB313" s="19">
        <f>IF(ISERROR($F$313),"",IF(ISBLANK($F$313),"",$F$313))</f>
        <v/>
      </c>
      <c r="AC313" s="19">
        <f>IF(ISERROR($G$313),"",IF(ISBLANK($G$313),"",$G$313))</f>
        <v/>
      </c>
      <c r="AD313" s="19">
        <f>IF(ISERROR($H$313),"",IF(ISBLANK($H$313),"",$H$313))</f>
        <v/>
      </c>
      <c r="AG313" s="19">
        <f>ISERROR($B$313)*1+ISERROR($C$313)*1+ISERROR($D$313)*1+ISERROR($E$313)*1+ISERROR($F$313)*1+ISERROR($G$313)*1+ISERROR($H$313)*1</f>
        <v/>
      </c>
    </row>
    <row r="314" ht="26" customHeight="1">
      <c r="B314" s="30" t="n"/>
      <c r="C314" s="3" t="n"/>
      <c r="D314" s="3" t="n"/>
      <c r="E314" s="3" t="n"/>
      <c r="F314" s="3" t="n"/>
      <c r="G314" s="3" t="n"/>
      <c r="H314" s="3" t="n"/>
      <c r="K314" s="18">
        <f>IF(AG314&gt;0,"O Google leu como fórmula: digite de novo com ' na frente.","")</f>
        <v/>
      </c>
      <c r="N314" s="19">
        <f>N313+IF(LEN($X$314)&gt;0,1,0)</f>
        <v/>
      </c>
      <c r="O314" s="19">
        <f>O313+IF(LEN($Y$314)&gt;0,1,0)</f>
        <v/>
      </c>
      <c r="P314" s="19">
        <f>P313+IF(LEN($Z$314)&gt;0,1,0)</f>
        <v/>
      </c>
      <c r="Q314" s="19">
        <f>Q313+IF(LEN($AA$314)&gt;0,1,0)</f>
        <v/>
      </c>
      <c r="R314" s="19">
        <f>R313+IF(LEN($AB$314)&gt;0,1,0)</f>
        <v/>
      </c>
      <c r="S314" s="19">
        <f>S313+IF(LEN($AC$314)&gt;0,1,0)</f>
        <v/>
      </c>
      <c r="T314" s="19">
        <f>T313+IF(LEN($AD$314)&gt;0,1,0)</f>
        <v/>
      </c>
      <c r="X314" s="19">
        <f>IF(ISERROR($B$314),"",IF(ISBLANK($B$314),"",$B$314))</f>
        <v/>
      </c>
      <c r="Y314" s="19">
        <f>IF(ISERROR($C$314),"",IF(ISBLANK($C$314),"",$C$314))</f>
        <v/>
      </c>
      <c r="Z314" s="19">
        <f>IF(ISERROR($D$314),"",IF(ISBLANK($D$314),"",$D$314))</f>
        <v/>
      </c>
      <c r="AA314" s="19">
        <f>IF(ISERROR($E$314),"",IF(ISBLANK($E$314),"",$E$314))</f>
        <v/>
      </c>
      <c r="AB314" s="19">
        <f>IF(ISERROR($F$314),"",IF(ISBLANK($F$314),"",$F$314))</f>
        <v/>
      </c>
      <c r="AC314" s="19">
        <f>IF(ISERROR($G$314),"",IF(ISBLANK($G$314),"",$G$314))</f>
        <v/>
      </c>
      <c r="AD314" s="19">
        <f>IF(ISERROR($H$314),"",IF(ISBLANK($H$314),"",$H$314))</f>
        <v/>
      </c>
      <c r="AG314" s="19">
        <f>ISERROR($B$314)*1+ISERROR($C$314)*1+ISERROR($D$314)*1+ISERROR($E$314)*1+ISERROR($F$314)*1+ISERROR($G$314)*1+ISERROR($H$314)*1</f>
        <v/>
      </c>
    </row>
    <row r="315" ht="26" customHeight="1">
      <c r="B315" s="31" t="n"/>
      <c r="C315" s="28" t="n"/>
      <c r="D315" s="28" t="n"/>
      <c r="E315" s="28" t="n"/>
      <c r="F315" s="28" t="n"/>
      <c r="G315" s="28" t="n"/>
      <c r="H315" s="28" t="n"/>
      <c r="K315" s="18">
        <f>IF(AG315&gt;0,"O Google leu como fórmula: digite de novo com ' na frente.","")</f>
        <v/>
      </c>
      <c r="N315" s="19">
        <f>N314+IF(LEN($X$315)&gt;0,1,0)</f>
        <v/>
      </c>
      <c r="O315" s="19">
        <f>O314+IF(LEN($Y$315)&gt;0,1,0)</f>
        <v/>
      </c>
      <c r="P315" s="19">
        <f>P314+IF(LEN($Z$315)&gt;0,1,0)</f>
        <v/>
      </c>
      <c r="Q315" s="19">
        <f>Q314+IF(LEN($AA$315)&gt;0,1,0)</f>
        <v/>
      </c>
      <c r="R315" s="19">
        <f>R314+IF(LEN($AB$315)&gt;0,1,0)</f>
        <v/>
      </c>
      <c r="S315" s="19">
        <f>S314+IF(LEN($AC$315)&gt;0,1,0)</f>
        <v/>
      </c>
      <c r="T315" s="19">
        <f>T314+IF(LEN($AD$315)&gt;0,1,0)</f>
        <v/>
      </c>
      <c r="X315" s="19">
        <f>IF(ISERROR($B$315),"",IF(ISBLANK($B$315),"",$B$315))</f>
        <v/>
      </c>
      <c r="Y315" s="19">
        <f>IF(ISERROR($C$315),"",IF(ISBLANK($C$315),"",$C$315))</f>
        <v/>
      </c>
      <c r="Z315" s="19">
        <f>IF(ISERROR($D$315),"",IF(ISBLANK($D$315),"",$D$315))</f>
        <v/>
      </c>
      <c r="AA315" s="19">
        <f>IF(ISERROR($E$315),"",IF(ISBLANK($E$315),"",$E$315))</f>
        <v/>
      </c>
      <c r="AB315" s="19">
        <f>IF(ISERROR($F$315),"",IF(ISBLANK($F$315),"",$F$315))</f>
        <v/>
      </c>
      <c r="AC315" s="19">
        <f>IF(ISERROR($G$315),"",IF(ISBLANK($G$315),"",$G$315))</f>
        <v/>
      </c>
      <c r="AD315" s="19">
        <f>IF(ISERROR($H$315),"",IF(ISBLANK($H$315),"",$H$315))</f>
        <v/>
      </c>
      <c r="AG315" s="19">
        <f>ISERROR($B$315)*1+ISERROR($C$315)*1+ISERROR($D$315)*1+ISERROR($E$315)*1+ISERROR($F$315)*1+ISERROR($G$315)*1+ISERROR($H$315)*1</f>
        <v/>
      </c>
    </row>
    <row r="316" ht="26" customHeight="1">
      <c r="B316" s="30" t="n"/>
      <c r="C316" s="3" t="n"/>
      <c r="D316" s="3" t="n"/>
      <c r="E316" s="3" t="n"/>
      <c r="F316" s="3" t="n"/>
      <c r="G316" s="3" t="n"/>
      <c r="H316" s="3" t="n"/>
      <c r="K316" s="18">
        <f>IF(AG316&gt;0,"O Google leu como fórmula: digite de novo com ' na frente.","")</f>
        <v/>
      </c>
      <c r="N316" s="19">
        <f>N315+IF(LEN($X$316)&gt;0,1,0)</f>
        <v/>
      </c>
      <c r="O316" s="19">
        <f>O315+IF(LEN($Y$316)&gt;0,1,0)</f>
        <v/>
      </c>
      <c r="P316" s="19">
        <f>P315+IF(LEN($Z$316)&gt;0,1,0)</f>
        <v/>
      </c>
      <c r="Q316" s="19">
        <f>Q315+IF(LEN($AA$316)&gt;0,1,0)</f>
        <v/>
      </c>
      <c r="R316" s="19">
        <f>R315+IF(LEN($AB$316)&gt;0,1,0)</f>
        <v/>
      </c>
      <c r="S316" s="19">
        <f>S315+IF(LEN($AC$316)&gt;0,1,0)</f>
        <v/>
      </c>
      <c r="T316" s="19">
        <f>T315+IF(LEN($AD$316)&gt;0,1,0)</f>
        <v/>
      </c>
      <c r="X316" s="19">
        <f>IF(ISERROR($B$316),"",IF(ISBLANK($B$316),"",$B$316))</f>
        <v/>
      </c>
      <c r="Y316" s="19">
        <f>IF(ISERROR($C$316),"",IF(ISBLANK($C$316),"",$C$316))</f>
        <v/>
      </c>
      <c r="Z316" s="19">
        <f>IF(ISERROR($D$316),"",IF(ISBLANK($D$316),"",$D$316))</f>
        <v/>
      </c>
      <c r="AA316" s="19">
        <f>IF(ISERROR($E$316),"",IF(ISBLANK($E$316),"",$E$316))</f>
        <v/>
      </c>
      <c r="AB316" s="19">
        <f>IF(ISERROR($F$316),"",IF(ISBLANK($F$316),"",$F$316))</f>
        <v/>
      </c>
      <c r="AC316" s="19">
        <f>IF(ISERROR($G$316),"",IF(ISBLANK($G$316),"",$G$316))</f>
        <v/>
      </c>
      <c r="AD316" s="19">
        <f>IF(ISERROR($H$316),"",IF(ISBLANK($H$316),"",$H$316))</f>
        <v/>
      </c>
      <c r="AG316" s="19">
        <f>ISERROR($B$316)*1+ISERROR($C$316)*1+ISERROR($D$316)*1+ISERROR($E$316)*1+ISERROR($F$316)*1+ISERROR($G$316)*1+ISERROR($H$316)*1</f>
        <v/>
      </c>
    </row>
    <row r="317" ht="26" customHeight="1">
      <c r="B317" s="31" t="n"/>
      <c r="C317" s="28" t="n"/>
      <c r="D317" s="28" t="n"/>
      <c r="E317" s="28" t="n"/>
      <c r="F317" s="28" t="n"/>
      <c r="G317" s="28" t="n"/>
      <c r="H317" s="28" t="n"/>
      <c r="K317" s="18">
        <f>IF(AG317&gt;0,"O Google leu como fórmula: digite de novo com ' na frente.","")</f>
        <v/>
      </c>
      <c r="N317" s="19">
        <f>N316+IF(LEN($X$317)&gt;0,1,0)</f>
        <v/>
      </c>
      <c r="O317" s="19">
        <f>O316+IF(LEN($Y$317)&gt;0,1,0)</f>
        <v/>
      </c>
      <c r="P317" s="19">
        <f>P316+IF(LEN($Z$317)&gt;0,1,0)</f>
        <v/>
      </c>
      <c r="Q317" s="19">
        <f>Q316+IF(LEN($AA$317)&gt;0,1,0)</f>
        <v/>
      </c>
      <c r="R317" s="19">
        <f>R316+IF(LEN($AB$317)&gt;0,1,0)</f>
        <v/>
      </c>
      <c r="S317" s="19">
        <f>S316+IF(LEN($AC$317)&gt;0,1,0)</f>
        <v/>
      </c>
      <c r="T317" s="19">
        <f>T316+IF(LEN($AD$317)&gt;0,1,0)</f>
        <v/>
      </c>
      <c r="X317" s="19">
        <f>IF(ISERROR($B$317),"",IF(ISBLANK($B$317),"",$B$317))</f>
        <v/>
      </c>
      <c r="Y317" s="19">
        <f>IF(ISERROR($C$317),"",IF(ISBLANK($C$317),"",$C$317))</f>
        <v/>
      </c>
      <c r="Z317" s="19">
        <f>IF(ISERROR($D$317),"",IF(ISBLANK($D$317),"",$D$317))</f>
        <v/>
      </c>
      <c r="AA317" s="19">
        <f>IF(ISERROR($E$317),"",IF(ISBLANK($E$317),"",$E$317))</f>
        <v/>
      </c>
      <c r="AB317" s="19">
        <f>IF(ISERROR($F$317),"",IF(ISBLANK($F$317),"",$F$317))</f>
        <v/>
      </c>
      <c r="AC317" s="19">
        <f>IF(ISERROR($G$317),"",IF(ISBLANK($G$317),"",$G$317))</f>
        <v/>
      </c>
      <c r="AD317" s="19">
        <f>IF(ISERROR($H$317),"",IF(ISBLANK($H$317),"",$H$317))</f>
        <v/>
      </c>
      <c r="AG317" s="19">
        <f>ISERROR($B$317)*1+ISERROR($C$317)*1+ISERROR($D$317)*1+ISERROR($E$317)*1+ISERROR($F$317)*1+ISERROR($G$317)*1+ISERROR($H$317)*1</f>
        <v/>
      </c>
    </row>
    <row r="318" ht="26" customHeight="1">
      <c r="B318" s="30" t="n"/>
      <c r="C318" s="3" t="n"/>
      <c r="D318" s="3" t="n"/>
      <c r="E318" s="3" t="n"/>
      <c r="F318" s="3" t="n"/>
      <c r="G318" s="3" t="n"/>
      <c r="H318" s="3" t="n"/>
      <c r="K318" s="18">
        <f>IF(AG318&gt;0,"O Google leu como fórmula: digite de novo com ' na frente.","")</f>
        <v/>
      </c>
      <c r="N318" s="19">
        <f>N317+IF(LEN($X$318)&gt;0,1,0)</f>
        <v/>
      </c>
      <c r="O318" s="19">
        <f>O317+IF(LEN($Y$318)&gt;0,1,0)</f>
        <v/>
      </c>
      <c r="P318" s="19">
        <f>P317+IF(LEN($Z$318)&gt;0,1,0)</f>
        <v/>
      </c>
      <c r="Q318" s="19">
        <f>Q317+IF(LEN($AA$318)&gt;0,1,0)</f>
        <v/>
      </c>
      <c r="R318" s="19">
        <f>R317+IF(LEN($AB$318)&gt;0,1,0)</f>
        <v/>
      </c>
      <c r="S318" s="19">
        <f>S317+IF(LEN($AC$318)&gt;0,1,0)</f>
        <v/>
      </c>
      <c r="T318" s="19">
        <f>T317+IF(LEN($AD$318)&gt;0,1,0)</f>
        <v/>
      </c>
      <c r="X318" s="19">
        <f>IF(ISERROR($B$318),"",IF(ISBLANK($B$318),"",$B$318))</f>
        <v/>
      </c>
      <c r="Y318" s="19">
        <f>IF(ISERROR($C$318),"",IF(ISBLANK($C$318),"",$C$318))</f>
        <v/>
      </c>
      <c r="Z318" s="19">
        <f>IF(ISERROR($D$318),"",IF(ISBLANK($D$318),"",$D$318))</f>
        <v/>
      </c>
      <c r="AA318" s="19">
        <f>IF(ISERROR($E$318),"",IF(ISBLANK($E$318),"",$E$318))</f>
        <v/>
      </c>
      <c r="AB318" s="19">
        <f>IF(ISERROR($F$318),"",IF(ISBLANK($F$318),"",$F$318))</f>
        <v/>
      </c>
      <c r="AC318" s="19">
        <f>IF(ISERROR($G$318),"",IF(ISBLANK($G$318),"",$G$318))</f>
        <v/>
      </c>
      <c r="AD318" s="19">
        <f>IF(ISERROR($H$318),"",IF(ISBLANK($H$318),"",$H$318))</f>
        <v/>
      </c>
      <c r="AG318" s="19">
        <f>ISERROR($B$318)*1+ISERROR($C$318)*1+ISERROR($D$318)*1+ISERROR($E$318)*1+ISERROR($F$318)*1+ISERROR($G$318)*1+ISERROR($H$318)*1</f>
        <v/>
      </c>
    </row>
    <row r="319" ht="26" customHeight="1">
      <c r="B319" s="31" t="n"/>
      <c r="C319" s="28" t="n"/>
      <c r="D319" s="28" t="n"/>
      <c r="E319" s="28" t="n"/>
      <c r="F319" s="28" t="n"/>
      <c r="G319" s="28" t="n"/>
      <c r="H319" s="28" t="n"/>
      <c r="K319" s="18">
        <f>IF(AG319&gt;0,"O Google leu como fórmula: digite de novo com ' na frente.","")</f>
        <v/>
      </c>
      <c r="N319" s="19">
        <f>N318+IF(LEN($X$319)&gt;0,1,0)</f>
        <v/>
      </c>
      <c r="O319" s="19">
        <f>O318+IF(LEN($Y$319)&gt;0,1,0)</f>
        <v/>
      </c>
      <c r="P319" s="19">
        <f>P318+IF(LEN($Z$319)&gt;0,1,0)</f>
        <v/>
      </c>
      <c r="Q319" s="19">
        <f>Q318+IF(LEN($AA$319)&gt;0,1,0)</f>
        <v/>
      </c>
      <c r="R319" s="19">
        <f>R318+IF(LEN($AB$319)&gt;0,1,0)</f>
        <v/>
      </c>
      <c r="S319" s="19">
        <f>S318+IF(LEN($AC$319)&gt;0,1,0)</f>
        <v/>
      </c>
      <c r="T319" s="19">
        <f>T318+IF(LEN($AD$319)&gt;0,1,0)</f>
        <v/>
      </c>
      <c r="X319" s="19">
        <f>IF(ISERROR($B$319),"",IF(ISBLANK($B$319),"",$B$319))</f>
        <v/>
      </c>
      <c r="Y319" s="19">
        <f>IF(ISERROR($C$319),"",IF(ISBLANK($C$319),"",$C$319))</f>
        <v/>
      </c>
      <c r="Z319" s="19">
        <f>IF(ISERROR($D$319),"",IF(ISBLANK($D$319),"",$D$319))</f>
        <v/>
      </c>
      <c r="AA319" s="19">
        <f>IF(ISERROR($E$319),"",IF(ISBLANK($E$319),"",$E$319))</f>
        <v/>
      </c>
      <c r="AB319" s="19">
        <f>IF(ISERROR($F$319),"",IF(ISBLANK($F$319),"",$F$319))</f>
        <v/>
      </c>
      <c r="AC319" s="19">
        <f>IF(ISERROR($G$319),"",IF(ISBLANK($G$319),"",$G$319))</f>
        <v/>
      </c>
      <c r="AD319" s="19">
        <f>IF(ISERROR($H$319),"",IF(ISBLANK($H$319),"",$H$319))</f>
        <v/>
      </c>
      <c r="AG319" s="19">
        <f>ISERROR($B$319)*1+ISERROR($C$319)*1+ISERROR($D$319)*1+ISERROR($E$319)*1+ISERROR($F$319)*1+ISERROR($G$319)*1+ISERROR($H$319)*1</f>
        <v/>
      </c>
    </row>
    <row r="320" ht="26" customHeight="1">
      <c r="B320" s="30" t="n"/>
      <c r="C320" s="3" t="n"/>
      <c r="D320" s="3" t="n"/>
      <c r="E320" s="3" t="n"/>
      <c r="F320" s="3" t="n"/>
      <c r="G320" s="3" t="n"/>
      <c r="H320" s="3" t="n"/>
      <c r="K320" s="18">
        <f>IF(AG320&gt;0,"O Google leu como fórmula: digite de novo com ' na frente.","")</f>
        <v/>
      </c>
      <c r="N320" s="19">
        <f>N319+IF(LEN($X$320)&gt;0,1,0)</f>
        <v/>
      </c>
      <c r="O320" s="19">
        <f>O319+IF(LEN($Y$320)&gt;0,1,0)</f>
        <v/>
      </c>
      <c r="P320" s="19">
        <f>P319+IF(LEN($Z$320)&gt;0,1,0)</f>
        <v/>
      </c>
      <c r="Q320" s="19">
        <f>Q319+IF(LEN($AA$320)&gt;0,1,0)</f>
        <v/>
      </c>
      <c r="R320" s="19">
        <f>R319+IF(LEN($AB$320)&gt;0,1,0)</f>
        <v/>
      </c>
      <c r="S320" s="19">
        <f>S319+IF(LEN($AC$320)&gt;0,1,0)</f>
        <v/>
      </c>
      <c r="T320" s="19">
        <f>T319+IF(LEN($AD$320)&gt;0,1,0)</f>
        <v/>
      </c>
      <c r="X320" s="19">
        <f>IF(ISERROR($B$320),"",IF(ISBLANK($B$320),"",$B$320))</f>
        <v/>
      </c>
      <c r="Y320" s="19">
        <f>IF(ISERROR($C$320),"",IF(ISBLANK($C$320),"",$C$320))</f>
        <v/>
      </c>
      <c r="Z320" s="19">
        <f>IF(ISERROR($D$320),"",IF(ISBLANK($D$320),"",$D$320))</f>
        <v/>
      </c>
      <c r="AA320" s="19">
        <f>IF(ISERROR($E$320),"",IF(ISBLANK($E$320),"",$E$320))</f>
        <v/>
      </c>
      <c r="AB320" s="19">
        <f>IF(ISERROR($F$320),"",IF(ISBLANK($F$320),"",$F$320))</f>
        <v/>
      </c>
      <c r="AC320" s="19">
        <f>IF(ISERROR($G$320),"",IF(ISBLANK($G$320),"",$G$320))</f>
        <v/>
      </c>
      <c r="AD320" s="19">
        <f>IF(ISERROR($H$320),"",IF(ISBLANK($H$320),"",$H$320))</f>
        <v/>
      </c>
      <c r="AG320" s="19">
        <f>ISERROR($B$320)*1+ISERROR($C$320)*1+ISERROR($D$320)*1+ISERROR($E$320)*1+ISERROR($F$320)*1+ISERROR($G$320)*1+ISERROR($H$320)*1</f>
        <v/>
      </c>
    </row>
    <row r="321" ht="26" customHeight="1">
      <c r="B321" s="31" t="n"/>
      <c r="C321" s="28" t="n"/>
      <c r="D321" s="28" t="n"/>
      <c r="E321" s="28" t="n"/>
      <c r="F321" s="28" t="n"/>
      <c r="G321" s="28" t="n"/>
      <c r="H321" s="28" t="n"/>
      <c r="K321" s="18">
        <f>IF(AG321&gt;0,"O Google leu como fórmula: digite de novo com ' na frente.","")</f>
        <v/>
      </c>
      <c r="N321" s="19">
        <f>N320+IF(LEN($X$321)&gt;0,1,0)</f>
        <v/>
      </c>
      <c r="O321" s="19">
        <f>O320+IF(LEN($Y$321)&gt;0,1,0)</f>
        <v/>
      </c>
      <c r="P321" s="19">
        <f>P320+IF(LEN($Z$321)&gt;0,1,0)</f>
        <v/>
      </c>
      <c r="Q321" s="19">
        <f>Q320+IF(LEN($AA$321)&gt;0,1,0)</f>
        <v/>
      </c>
      <c r="R321" s="19">
        <f>R320+IF(LEN($AB$321)&gt;0,1,0)</f>
        <v/>
      </c>
      <c r="S321" s="19">
        <f>S320+IF(LEN($AC$321)&gt;0,1,0)</f>
        <v/>
      </c>
      <c r="T321" s="19">
        <f>T320+IF(LEN($AD$321)&gt;0,1,0)</f>
        <v/>
      </c>
      <c r="X321" s="19">
        <f>IF(ISERROR($B$321),"",IF(ISBLANK($B$321),"",$B$321))</f>
        <v/>
      </c>
      <c r="Y321" s="19">
        <f>IF(ISERROR($C$321),"",IF(ISBLANK($C$321),"",$C$321))</f>
        <v/>
      </c>
      <c r="Z321" s="19">
        <f>IF(ISERROR($D$321),"",IF(ISBLANK($D$321),"",$D$321))</f>
        <v/>
      </c>
      <c r="AA321" s="19">
        <f>IF(ISERROR($E$321),"",IF(ISBLANK($E$321),"",$E$321))</f>
        <v/>
      </c>
      <c r="AB321" s="19">
        <f>IF(ISERROR($F$321),"",IF(ISBLANK($F$321),"",$F$321))</f>
        <v/>
      </c>
      <c r="AC321" s="19">
        <f>IF(ISERROR($G$321),"",IF(ISBLANK($G$321),"",$G$321))</f>
        <v/>
      </c>
      <c r="AD321" s="19">
        <f>IF(ISERROR($H$321),"",IF(ISBLANK($H$321),"",$H$321))</f>
        <v/>
      </c>
      <c r="AG321" s="19">
        <f>ISERROR($B$321)*1+ISERROR($C$321)*1+ISERROR($D$321)*1+ISERROR($E$321)*1+ISERROR($F$321)*1+ISERROR($G$321)*1+ISERROR($H$321)*1</f>
        <v/>
      </c>
    </row>
    <row r="322" ht="26" customHeight="1">
      <c r="B322" s="30" t="n"/>
      <c r="C322" s="3" t="n"/>
      <c r="D322" s="3" t="n"/>
      <c r="E322" s="3" t="n"/>
      <c r="F322" s="3" t="n"/>
      <c r="G322" s="3" t="n"/>
      <c r="H322" s="3" t="n"/>
      <c r="K322" s="18">
        <f>IF(AG322&gt;0,"O Google leu como fórmula: digite de novo com ' na frente.","")</f>
        <v/>
      </c>
      <c r="N322" s="19">
        <f>N321+IF(LEN($X$322)&gt;0,1,0)</f>
        <v/>
      </c>
      <c r="O322" s="19">
        <f>O321+IF(LEN($Y$322)&gt;0,1,0)</f>
        <v/>
      </c>
      <c r="P322" s="19">
        <f>P321+IF(LEN($Z$322)&gt;0,1,0)</f>
        <v/>
      </c>
      <c r="Q322" s="19">
        <f>Q321+IF(LEN($AA$322)&gt;0,1,0)</f>
        <v/>
      </c>
      <c r="R322" s="19">
        <f>R321+IF(LEN($AB$322)&gt;0,1,0)</f>
        <v/>
      </c>
      <c r="S322" s="19">
        <f>S321+IF(LEN($AC$322)&gt;0,1,0)</f>
        <v/>
      </c>
      <c r="T322" s="19">
        <f>T321+IF(LEN($AD$322)&gt;0,1,0)</f>
        <v/>
      </c>
      <c r="X322" s="19">
        <f>IF(ISERROR($B$322),"",IF(ISBLANK($B$322),"",$B$322))</f>
        <v/>
      </c>
      <c r="Y322" s="19">
        <f>IF(ISERROR($C$322),"",IF(ISBLANK($C$322),"",$C$322))</f>
        <v/>
      </c>
      <c r="Z322" s="19">
        <f>IF(ISERROR($D$322),"",IF(ISBLANK($D$322),"",$D$322))</f>
        <v/>
      </c>
      <c r="AA322" s="19">
        <f>IF(ISERROR($E$322),"",IF(ISBLANK($E$322),"",$E$322))</f>
        <v/>
      </c>
      <c r="AB322" s="19">
        <f>IF(ISERROR($F$322),"",IF(ISBLANK($F$322),"",$F$322))</f>
        <v/>
      </c>
      <c r="AC322" s="19">
        <f>IF(ISERROR($G$322),"",IF(ISBLANK($G$322),"",$G$322))</f>
        <v/>
      </c>
      <c r="AD322" s="19">
        <f>IF(ISERROR($H$322),"",IF(ISBLANK($H$322),"",$H$322))</f>
        <v/>
      </c>
      <c r="AG322" s="19">
        <f>ISERROR($B$322)*1+ISERROR($C$322)*1+ISERROR($D$322)*1+ISERROR($E$322)*1+ISERROR($F$322)*1+ISERROR($G$322)*1+ISERROR($H$322)*1</f>
        <v/>
      </c>
    </row>
    <row r="323" ht="26" customHeight="1">
      <c r="B323" s="31" t="n"/>
      <c r="C323" s="28" t="n"/>
      <c r="D323" s="28" t="n"/>
      <c r="E323" s="28" t="n"/>
      <c r="F323" s="28" t="n"/>
      <c r="G323" s="28" t="n"/>
      <c r="H323" s="28" t="n"/>
      <c r="K323" s="18">
        <f>IF(AG323&gt;0,"O Google leu como fórmula: digite de novo com ' na frente.","")</f>
        <v/>
      </c>
      <c r="N323" s="19">
        <f>N322+IF(LEN($X$323)&gt;0,1,0)</f>
        <v/>
      </c>
      <c r="O323" s="19">
        <f>O322+IF(LEN($Y$323)&gt;0,1,0)</f>
        <v/>
      </c>
      <c r="P323" s="19">
        <f>P322+IF(LEN($Z$323)&gt;0,1,0)</f>
        <v/>
      </c>
      <c r="Q323" s="19">
        <f>Q322+IF(LEN($AA$323)&gt;0,1,0)</f>
        <v/>
      </c>
      <c r="R323" s="19">
        <f>R322+IF(LEN($AB$323)&gt;0,1,0)</f>
        <v/>
      </c>
      <c r="S323" s="19">
        <f>S322+IF(LEN($AC$323)&gt;0,1,0)</f>
        <v/>
      </c>
      <c r="T323" s="19">
        <f>T322+IF(LEN($AD$323)&gt;0,1,0)</f>
        <v/>
      </c>
      <c r="X323" s="19">
        <f>IF(ISERROR($B$323),"",IF(ISBLANK($B$323),"",$B$323))</f>
        <v/>
      </c>
      <c r="Y323" s="19">
        <f>IF(ISERROR($C$323),"",IF(ISBLANK($C$323),"",$C$323))</f>
        <v/>
      </c>
      <c r="Z323" s="19">
        <f>IF(ISERROR($D$323),"",IF(ISBLANK($D$323),"",$D$323))</f>
        <v/>
      </c>
      <c r="AA323" s="19">
        <f>IF(ISERROR($E$323),"",IF(ISBLANK($E$323),"",$E$323))</f>
        <v/>
      </c>
      <c r="AB323" s="19">
        <f>IF(ISERROR($F$323),"",IF(ISBLANK($F$323),"",$F$323))</f>
        <v/>
      </c>
      <c r="AC323" s="19">
        <f>IF(ISERROR($G$323),"",IF(ISBLANK($G$323),"",$G$323))</f>
        <v/>
      </c>
      <c r="AD323" s="19">
        <f>IF(ISERROR($H$323),"",IF(ISBLANK($H$323),"",$H$323))</f>
        <v/>
      </c>
      <c r="AG323" s="19">
        <f>ISERROR($B$323)*1+ISERROR($C$323)*1+ISERROR($D$323)*1+ISERROR($E$323)*1+ISERROR($F$323)*1+ISERROR($G$323)*1+ISERROR($H$323)*1</f>
        <v/>
      </c>
    </row>
    <row r="324" ht="26" customHeight="1">
      <c r="B324" s="30" t="n"/>
      <c r="C324" s="3" t="n"/>
      <c r="D324" s="3" t="n"/>
      <c r="E324" s="3" t="n"/>
      <c r="F324" s="3" t="n"/>
      <c r="G324" s="3" t="n"/>
      <c r="H324" s="3" t="n"/>
      <c r="K324" s="18">
        <f>IF(AG324&gt;0,"O Google leu como fórmula: digite de novo com ' na frente.","")</f>
        <v/>
      </c>
      <c r="N324" s="19">
        <f>N323+IF(LEN($X$324)&gt;0,1,0)</f>
        <v/>
      </c>
      <c r="O324" s="19">
        <f>O323+IF(LEN($Y$324)&gt;0,1,0)</f>
        <v/>
      </c>
      <c r="P324" s="19">
        <f>P323+IF(LEN($Z$324)&gt;0,1,0)</f>
        <v/>
      </c>
      <c r="Q324" s="19">
        <f>Q323+IF(LEN($AA$324)&gt;0,1,0)</f>
        <v/>
      </c>
      <c r="R324" s="19">
        <f>R323+IF(LEN($AB$324)&gt;0,1,0)</f>
        <v/>
      </c>
      <c r="S324" s="19">
        <f>S323+IF(LEN($AC$324)&gt;0,1,0)</f>
        <v/>
      </c>
      <c r="T324" s="19">
        <f>T323+IF(LEN($AD$324)&gt;0,1,0)</f>
        <v/>
      </c>
      <c r="X324" s="19">
        <f>IF(ISERROR($B$324),"",IF(ISBLANK($B$324),"",$B$324))</f>
        <v/>
      </c>
      <c r="Y324" s="19">
        <f>IF(ISERROR($C$324),"",IF(ISBLANK($C$324),"",$C$324))</f>
        <v/>
      </c>
      <c r="Z324" s="19">
        <f>IF(ISERROR($D$324),"",IF(ISBLANK($D$324),"",$D$324))</f>
        <v/>
      </c>
      <c r="AA324" s="19">
        <f>IF(ISERROR($E$324),"",IF(ISBLANK($E$324),"",$E$324))</f>
        <v/>
      </c>
      <c r="AB324" s="19">
        <f>IF(ISERROR($F$324),"",IF(ISBLANK($F$324),"",$F$324))</f>
        <v/>
      </c>
      <c r="AC324" s="19">
        <f>IF(ISERROR($G$324),"",IF(ISBLANK($G$324),"",$G$324))</f>
        <v/>
      </c>
      <c r="AD324" s="19">
        <f>IF(ISERROR($H$324),"",IF(ISBLANK($H$324),"",$H$324))</f>
        <v/>
      </c>
      <c r="AG324" s="19">
        <f>ISERROR($B$324)*1+ISERROR($C$324)*1+ISERROR($D$324)*1+ISERROR($E$324)*1+ISERROR($F$324)*1+ISERROR($G$324)*1+ISERROR($H$324)*1</f>
        <v/>
      </c>
    </row>
    <row r="325" ht="15" customHeight="1">
      <c r="B325" s="7" t="inlineStr">
        <is>
          <t>Sobrenome — Humano</t>
        </is>
      </c>
      <c r="C325" s="7" t="inlineStr">
        <is>
          <t>Sobrenome — Xianzhouíta</t>
        </is>
      </c>
      <c r="D325" s="7" t="inlineStr">
        <is>
          <t>Sobrenome — Vidyadhara</t>
        </is>
      </c>
      <c r="E325" s="7" t="inlineStr">
        <is>
          <t>Sobrenome — Vulpes</t>
        </is>
      </c>
      <c r="F325" s="7" t="inlineStr">
        <is>
          <t>Sobrenome — Haloviano</t>
        </is>
      </c>
      <c r="G325" s="7" t="inlineStr">
        <is>
          <t>Sobrenome — Avginiano</t>
        </is>
      </c>
      <c r="H325" s="7" t="inlineStr">
        <is>
          <t>Sobrenome — Intellitron</t>
        </is>
      </c>
      <c r="N325" s="19">
        <f>N324</f>
        <v/>
      </c>
      <c r="O325" s="19">
        <f>O324</f>
        <v/>
      </c>
      <c r="P325" s="19">
        <f>P324</f>
        <v/>
      </c>
      <c r="Q325" s="19">
        <f>Q324</f>
        <v/>
      </c>
      <c r="R325" s="19">
        <f>R324</f>
        <v/>
      </c>
      <c r="S325" s="19">
        <f>S324</f>
        <v/>
      </c>
      <c r="T325" s="19">
        <f>T324</f>
        <v/>
      </c>
      <c r="X325" s="19">
        <f>IF(ISERROR($B$325),"",IF(ISBLANK($B$325),"",$B$325))</f>
        <v/>
      </c>
      <c r="Y325" s="19">
        <f>IF(ISERROR($C$325),"",IF(ISBLANK($C$325),"",$C$325))</f>
        <v/>
      </c>
      <c r="Z325" s="19">
        <f>IF(ISERROR($D$325),"",IF(ISBLANK($D$325),"",$D$325))</f>
        <v/>
      </c>
      <c r="AA325" s="19">
        <f>IF(ISERROR($E$325),"",IF(ISBLANK($E$325),"",$E$325))</f>
        <v/>
      </c>
      <c r="AB325" s="19">
        <f>IF(ISERROR($F$325),"",IF(ISBLANK($F$325),"",$F$325))</f>
        <v/>
      </c>
      <c r="AC325" s="19">
        <f>IF(ISERROR($G$325),"",IF(ISBLANK($G$325),"",$G$325))</f>
        <v/>
      </c>
      <c r="AD325" s="19">
        <f>IF(ISERROR($H$325),"",IF(ISBLANK($H$325),"",$H$325))</f>
        <v/>
      </c>
    </row>
    <row r="326" ht="26" customHeight="1">
      <c r="B326" s="30" t="n"/>
      <c r="C326" s="3" t="n"/>
      <c r="D326" s="3" t="n"/>
      <c r="E326" s="3" t="n"/>
      <c r="F326" s="3" t="n"/>
      <c r="G326" s="3" t="n"/>
      <c r="H326" s="3" t="n"/>
      <c r="K326" s="18">
        <f>IF(AG326&gt;0,"O Google leu como fórmula: digite de novo com ' na frente.","")</f>
        <v/>
      </c>
      <c r="N326" s="19">
        <f>N325+IF(LEN($X$326)&gt;0,1,0)</f>
        <v/>
      </c>
      <c r="O326" s="19">
        <f>O325+IF(LEN($Y$326)&gt;0,1,0)</f>
        <v/>
      </c>
      <c r="P326" s="19">
        <f>P325+IF(LEN($Z$326)&gt;0,1,0)</f>
        <v/>
      </c>
      <c r="Q326" s="19">
        <f>Q325+IF(LEN($AA$326)&gt;0,1,0)</f>
        <v/>
      </c>
      <c r="R326" s="19">
        <f>R325+IF(LEN($AB$326)&gt;0,1,0)</f>
        <v/>
      </c>
      <c r="S326" s="19">
        <f>S325+IF(LEN($AC$326)&gt;0,1,0)</f>
        <v/>
      </c>
      <c r="T326" s="19">
        <f>T325+IF(LEN($AD$326)&gt;0,1,0)</f>
        <v/>
      </c>
      <c r="X326" s="19">
        <f>IF(ISERROR($B$326),"",IF(ISBLANK($B$326),"",$B$326))</f>
        <v/>
      </c>
      <c r="Y326" s="19">
        <f>IF(ISERROR($C$326),"",IF(ISBLANK($C$326),"",$C$326))</f>
        <v/>
      </c>
      <c r="Z326" s="19">
        <f>IF(ISERROR($D$326),"",IF(ISBLANK($D$326),"",$D$326))</f>
        <v/>
      </c>
      <c r="AA326" s="19">
        <f>IF(ISERROR($E$326),"",IF(ISBLANK($E$326),"",$E$326))</f>
        <v/>
      </c>
      <c r="AB326" s="19">
        <f>IF(ISERROR($F$326),"",IF(ISBLANK($F$326),"",$F$326))</f>
        <v/>
      </c>
      <c r="AC326" s="19">
        <f>IF(ISERROR($G$326),"",IF(ISBLANK($G$326),"",$G$326))</f>
        <v/>
      </c>
      <c r="AD326" s="19">
        <f>IF(ISERROR($H$326),"",IF(ISBLANK($H$326),"",$H$326))</f>
        <v/>
      </c>
      <c r="AG326" s="19">
        <f>ISERROR($B$326)*1+ISERROR($C$326)*1+ISERROR($D$326)*1+ISERROR($E$326)*1+ISERROR($F$326)*1+ISERROR($G$326)*1+ISERROR($H$326)*1</f>
        <v/>
      </c>
    </row>
    <row r="327" ht="26" customHeight="1">
      <c r="B327" s="31" t="n"/>
      <c r="C327" s="28" t="n"/>
      <c r="D327" s="28" t="n"/>
      <c r="E327" s="28" t="n"/>
      <c r="F327" s="28" t="n"/>
      <c r="G327" s="28" t="n"/>
      <c r="H327" s="28" t="n"/>
      <c r="K327" s="18">
        <f>IF(AG327&gt;0,"O Google leu como fórmula: digite de novo com ' na frente.","")</f>
        <v/>
      </c>
      <c r="N327" s="19">
        <f>N326+IF(LEN($X$327)&gt;0,1,0)</f>
        <v/>
      </c>
      <c r="O327" s="19">
        <f>O326+IF(LEN($Y$327)&gt;0,1,0)</f>
        <v/>
      </c>
      <c r="P327" s="19">
        <f>P326+IF(LEN($Z$327)&gt;0,1,0)</f>
        <v/>
      </c>
      <c r="Q327" s="19">
        <f>Q326+IF(LEN($AA$327)&gt;0,1,0)</f>
        <v/>
      </c>
      <c r="R327" s="19">
        <f>R326+IF(LEN($AB$327)&gt;0,1,0)</f>
        <v/>
      </c>
      <c r="S327" s="19">
        <f>S326+IF(LEN($AC$327)&gt;0,1,0)</f>
        <v/>
      </c>
      <c r="T327" s="19">
        <f>T326+IF(LEN($AD$327)&gt;0,1,0)</f>
        <v/>
      </c>
      <c r="X327" s="19">
        <f>IF(ISERROR($B$327),"",IF(ISBLANK($B$327),"",$B$327))</f>
        <v/>
      </c>
      <c r="Y327" s="19">
        <f>IF(ISERROR($C$327),"",IF(ISBLANK($C$327),"",$C$327))</f>
        <v/>
      </c>
      <c r="Z327" s="19">
        <f>IF(ISERROR($D$327),"",IF(ISBLANK($D$327),"",$D$327))</f>
        <v/>
      </c>
      <c r="AA327" s="19">
        <f>IF(ISERROR($E$327),"",IF(ISBLANK($E$327),"",$E$327))</f>
        <v/>
      </c>
      <c r="AB327" s="19">
        <f>IF(ISERROR($F$327),"",IF(ISBLANK($F$327),"",$F$327))</f>
        <v/>
      </c>
      <c r="AC327" s="19">
        <f>IF(ISERROR($G$327),"",IF(ISBLANK($G$327),"",$G$327))</f>
        <v/>
      </c>
      <c r="AD327" s="19">
        <f>IF(ISERROR($H$327),"",IF(ISBLANK($H$327),"",$H$327))</f>
        <v/>
      </c>
      <c r="AG327" s="19">
        <f>ISERROR($B$327)*1+ISERROR($C$327)*1+ISERROR($D$327)*1+ISERROR($E$327)*1+ISERROR($F$327)*1+ISERROR($G$327)*1+ISERROR($H$327)*1</f>
        <v/>
      </c>
    </row>
    <row r="328" ht="26" customHeight="1">
      <c r="B328" s="30" t="n"/>
      <c r="C328" s="3" t="n"/>
      <c r="D328" s="3" t="n"/>
      <c r="E328" s="3" t="n"/>
      <c r="F328" s="3" t="n"/>
      <c r="G328" s="3" t="n"/>
      <c r="H328" s="3" t="n"/>
      <c r="K328" s="18">
        <f>IF(AG328&gt;0,"O Google leu como fórmula: digite de novo com ' na frente.","")</f>
        <v/>
      </c>
      <c r="N328" s="19">
        <f>N327+IF(LEN($X$328)&gt;0,1,0)</f>
        <v/>
      </c>
      <c r="O328" s="19">
        <f>O327+IF(LEN($Y$328)&gt;0,1,0)</f>
        <v/>
      </c>
      <c r="P328" s="19">
        <f>P327+IF(LEN($Z$328)&gt;0,1,0)</f>
        <v/>
      </c>
      <c r="Q328" s="19">
        <f>Q327+IF(LEN($AA$328)&gt;0,1,0)</f>
        <v/>
      </c>
      <c r="R328" s="19">
        <f>R327+IF(LEN($AB$328)&gt;0,1,0)</f>
        <v/>
      </c>
      <c r="S328" s="19">
        <f>S327+IF(LEN($AC$328)&gt;0,1,0)</f>
        <v/>
      </c>
      <c r="T328" s="19">
        <f>T327+IF(LEN($AD$328)&gt;0,1,0)</f>
        <v/>
      </c>
      <c r="X328" s="19">
        <f>IF(ISERROR($B$328),"",IF(ISBLANK($B$328),"",$B$328))</f>
        <v/>
      </c>
      <c r="Y328" s="19">
        <f>IF(ISERROR($C$328),"",IF(ISBLANK($C$328),"",$C$328))</f>
        <v/>
      </c>
      <c r="Z328" s="19">
        <f>IF(ISERROR($D$328),"",IF(ISBLANK($D$328),"",$D$328))</f>
        <v/>
      </c>
      <c r="AA328" s="19">
        <f>IF(ISERROR($E$328),"",IF(ISBLANK($E$328),"",$E$328))</f>
        <v/>
      </c>
      <c r="AB328" s="19">
        <f>IF(ISERROR($F$328),"",IF(ISBLANK($F$328),"",$F$328))</f>
        <v/>
      </c>
      <c r="AC328" s="19">
        <f>IF(ISERROR($G$328),"",IF(ISBLANK($G$328),"",$G$328))</f>
        <v/>
      </c>
      <c r="AD328" s="19">
        <f>IF(ISERROR($H$328),"",IF(ISBLANK($H$328),"",$H$328))</f>
        <v/>
      </c>
      <c r="AG328" s="19">
        <f>ISERROR($B$328)*1+ISERROR($C$328)*1+ISERROR($D$328)*1+ISERROR($E$328)*1+ISERROR($F$328)*1+ISERROR($G$328)*1+ISERROR($H$328)*1</f>
        <v/>
      </c>
    </row>
    <row r="329" ht="26" customHeight="1">
      <c r="B329" s="31" t="n"/>
      <c r="C329" s="28" t="n"/>
      <c r="D329" s="28" t="n"/>
      <c r="E329" s="28" t="n"/>
      <c r="F329" s="28" t="n"/>
      <c r="G329" s="28" t="n"/>
      <c r="H329" s="28" t="n"/>
      <c r="K329" s="18">
        <f>IF(AG329&gt;0,"O Google leu como fórmula: digite de novo com ' na frente.","")</f>
        <v/>
      </c>
      <c r="N329" s="19">
        <f>N328+IF(LEN($X$329)&gt;0,1,0)</f>
        <v/>
      </c>
      <c r="O329" s="19">
        <f>O328+IF(LEN($Y$329)&gt;0,1,0)</f>
        <v/>
      </c>
      <c r="P329" s="19">
        <f>P328+IF(LEN($Z$329)&gt;0,1,0)</f>
        <v/>
      </c>
      <c r="Q329" s="19">
        <f>Q328+IF(LEN($AA$329)&gt;0,1,0)</f>
        <v/>
      </c>
      <c r="R329" s="19">
        <f>R328+IF(LEN($AB$329)&gt;0,1,0)</f>
        <v/>
      </c>
      <c r="S329" s="19">
        <f>S328+IF(LEN($AC$329)&gt;0,1,0)</f>
        <v/>
      </c>
      <c r="T329" s="19">
        <f>T328+IF(LEN($AD$329)&gt;0,1,0)</f>
        <v/>
      </c>
      <c r="X329" s="19">
        <f>IF(ISERROR($B$329),"",IF(ISBLANK($B$329),"",$B$329))</f>
        <v/>
      </c>
      <c r="Y329" s="19">
        <f>IF(ISERROR($C$329),"",IF(ISBLANK($C$329),"",$C$329))</f>
        <v/>
      </c>
      <c r="Z329" s="19">
        <f>IF(ISERROR($D$329),"",IF(ISBLANK($D$329),"",$D$329))</f>
        <v/>
      </c>
      <c r="AA329" s="19">
        <f>IF(ISERROR($E$329),"",IF(ISBLANK($E$329),"",$E$329))</f>
        <v/>
      </c>
      <c r="AB329" s="19">
        <f>IF(ISERROR($F$329),"",IF(ISBLANK($F$329),"",$F$329))</f>
        <v/>
      </c>
      <c r="AC329" s="19">
        <f>IF(ISERROR($G$329),"",IF(ISBLANK($G$329),"",$G$329))</f>
        <v/>
      </c>
      <c r="AD329" s="19">
        <f>IF(ISERROR($H$329),"",IF(ISBLANK($H$329),"",$H$329))</f>
        <v/>
      </c>
      <c r="AG329" s="19">
        <f>ISERROR($B$329)*1+ISERROR($C$329)*1+ISERROR($D$329)*1+ISERROR($E$329)*1+ISERROR($F$329)*1+ISERROR($G$329)*1+ISERROR($H$329)*1</f>
        <v/>
      </c>
    </row>
    <row r="330" ht="26" customHeight="1">
      <c r="B330" s="30" t="n"/>
      <c r="C330" s="3" t="n"/>
      <c r="D330" s="3" t="n"/>
      <c r="E330" s="3" t="n"/>
      <c r="F330" s="3" t="n"/>
      <c r="G330" s="3" t="n"/>
      <c r="H330" s="3" t="n"/>
      <c r="K330" s="18">
        <f>IF(AG330&gt;0,"O Google leu como fórmula: digite de novo com ' na frente.","")</f>
        <v/>
      </c>
      <c r="N330" s="19">
        <f>N329+IF(LEN($X$330)&gt;0,1,0)</f>
        <v/>
      </c>
      <c r="O330" s="19">
        <f>O329+IF(LEN($Y$330)&gt;0,1,0)</f>
        <v/>
      </c>
      <c r="P330" s="19">
        <f>P329+IF(LEN($Z$330)&gt;0,1,0)</f>
        <v/>
      </c>
      <c r="Q330" s="19">
        <f>Q329+IF(LEN($AA$330)&gt;0,1,0)</f>
        <v/>
      </c>
      <c r="R330" s="19">
        <f>R329+IF(LEN($AB$330)&gt;0,1,0)</f>
        <v/>
      </c>
      <c r="S330" s="19">
        <f>S329+IF(LEN($AC$330)&gt;0,1,0)</f>
        <v/>
      </c>
      <c r="T330" s="19">
        <f>T329+IF(LEN($AD$330)&gt;0,1,0)</f>
        <v/>
      </c>
      <c r="X330" s="19">
        <f>IF(ISERROR($B$330),"",IF(ISBLANK($B$330),"",$B$330))</f>
        <v/>
      </c>
      <c r="Y330" s="19">
        <f>IF(ISERROR($C$330),"",IF(ISBLANK($C$330),"",$C$330))</f>
        <v/>
      </c>
      <c r="Z330" s="19">
        <f>IF(ISERROR($D$330),"",IF(ISBLANK($D$330),"",$D$330))</f>
        <v/>
      </c>
      <c r="AA330" s="19">
        <f>IF(ISERROR($E$330),"",IF(ISBLANK($E$330),"",$E$330))</f>
        <v/>
      </c>
      <c r="AB330" s="19">
        <f>IF(ISERROR($F$330),"",IF(ISBLANK($F$330),"",$F$330))</f>
        <v/>
      </c>
      <c r="AC330" s="19">
        <f>IF(ISERROR($G$330),"",IF(ISBLANK($G$330),"",$G$330))</f>
        <v/>
      </c>
      <c r="AD330" s="19">
        <f>IF(ISERROR($H$330),"",IF(ISBLANK($H$330),"",$H$330))</f>
        <v/>
      </c>
      <c r="AG330" s="19">
        <f>ISERROR($B$330)*1+ISERROR($C$330)*1+ISERROR($D$330)*1+ISERROR($E$330)*1+ISERROR($F$330)*1+ISERROR($G$330)*1+ISERROR($H$330)*1</f>
        <v/>
      </c>
    </row>
    <row r="331" ht="26" customHeight="1">
      <c r="B331" s="31" t="n"/>
      <c r="C331" s="28" t="n"/>
      <c r="D331" s="28" t="n"/>
      <c r="E331" s="28" t="n"/>
      <c r="F331" s="28" t="n"/>
      <c r="G331" s="28" t="n"/>
      <c r="H331" s="28" t="n"/>
      <c r="K331" s="18">
        <f>IF(AG331&gt;0,"O Google leu como fórmula: digite de novo com ' na frente.","")</f>
        <v/>
      </c>
      <c r="N331" s="19">
        <f>N330+IF(LEN($X$331)&gt;0,1,0)</f>
        <v/>
      </c>
      <c r="O331" s="19">
        <f>O330+IF(LEN($Y$331)&gt;0,1,0)</f>
        <v/>
      </c>
      <c r="P331" s="19">
        <f>P330+IF(LEN($Z$331)&gt;0,1,0)</f>
        <v/>
      </c>
      <c r="Q331" s="19">
        <f>Q330+IF(LEN($AA$331)&gt;0,1,0)</f>
        <v/>
      </c>
      <c r="R331" s="19">
        <f>R330+IF(LEN($AB$331)&gt;0,1,0)</f>
        <v/>
      </c>
      <c r="S331" s="19">
        <f>S330+IF(LEN($AC$331)&gt;0,1,0)</f>
        <v/>
      </c>
      <c r="T331" s="19">
        <f>T330+IF(LEN($AD$331)&gt;0,1,0)</f>
        <v/>
      </c>
      <c r="X331" s="19">
        <f>IF(ISERROR($B$331),"",IF(ISBLANK($B$331),"",$B$331))</f>
        <v/>
      </c>
      <c r="Y331" s="19">
        <f>IF(ISERROR($C$331),"",IF(ISBLANK($C$331),"",$C$331))</f>
        <v/>
      </c>
      <c r="Z331" s="19">
        <f>IF(ISERROR($D$331),"",IF(ISBLANK($D$331),"",$D$331))</f>
        <v/>
      </c>
      <c r="AA331" s="19">
        <f>IF(ISERROR($E$331),"",IF(ISBLANK($E$331),"",$E$331))</f>
        <v/>
      </c>
      <c r="AB331" s="19">
        <f>IF(ISERROR($F$331),"",IF(ISBLANK($F$331),"",$F$331))</f>
        <v/>
      </c>
      <c r="AC331" s="19">
        <f>IF(ISERROR($G$331),"",IF(ISBLANK($G$331),"",$G$331))</f>
        <v/>
      </c>
      <c r="AD331" s="19">
        <f>IF(ISERROR($H$331),"",IF(ISBLANK($H$331),"",$H$331))</f>
        <v/>
      </c>
      <c r="AG331" s="19">
        <f>ISERROR($B$331)*1+ISERROR($C$331)*1+ISERROR($D$331)*1+ISERROR($E$331)*1+ISERROR($F$331)*1+ISERROR($G$331)*1+ISERROR($H$331)*1</f>
        <v/>
      </c>
    </row>
    <row r="332" ht="26" customHeight="1">
      <c r="B332" s="30" t="n"/>
      <c r="C332" s="3" t="n"/>
      <c r="D332" s="3" t="n"/>
      <c r="E332" s="3" t="n"/>
      <c r="F332" s="3" t="n"/>
      <c r="G332" s="3" t="n"/>
      <c r="H332" s="3" t="n"/>
      <c r="K332" s="18">
        <f>IF(AG332&gt;0,"O Google leu como fórmula: digite de novo com ' na frente.","")</f>
        <v/>
      </c>
      <c r="N332" s="19">
        <f>N331+IF(LEN($X$332)&gt;0,1,0)</f>
        <v/>
      </c>
      <c r="O332" s="19">
        <f>O331+IF(LEN($Y$332)&gt;0,1,0)</f>
        <v/>
      </c>
      <c r="P332" s="19">
        <f>P331+IF(LEN($Z$332)&gt;0,1,0)</f>
        <v/>
      </c>
      <c r="Q332" s="19">
        <f>Q331+IF(LEN($AA$332)&gt;0,1,0)</f>
        <v/>
      </c>
      <c r="R332" s="19">
        <f>R331+IF(LEN($AB$332)&gt;0,1,0)</f>
        <v/>
      </c>
      <c r="S332" s="19">
        <f>S331+IF(LEN($AC$332)&gt;0,1,0)</f>
        <v/>
      </c>
      <c r="T332" s="19">
        <f>T331+IF(LEN($AD$332)&gt;0,1,0)</f>
        <v/>
      </c>
      <c r="X332" s="19">
        <f>IF(ISERROR($B$332),"",IF(ISBLANK($B$332),"",$B$332))</f>
        <v/>
      </c>
      <c r="Y332" s="19">
        <f>IF(ISERROR($C$332),"",IF(ISBLANK($C$332),"",$C$332))</f>
        <v/>
      </c>
      <c r="Z332" s="19">
        <f>IF(ISERROR($D$332),"",IF(ISBLANK($D$332),"",$D$332))</f>
        <v/>
      </c>
      <c r="AA332" s="19">
        <f>IF(ISERROR($E$332),"",IF(ISBLANK($E$332),"",$E$332))</f>
        <v/>
      </c>
      <c r="AB332" s="19">
        <f>IF(ISERROR($F$332),"",IF(ISBLANK($F$332),"",$F$332))</f>
        <v/>
      </c>
      <c r="AC332" s="19">
        <f>IF(ISERROR($G$332),"",IF(ISBLANK($G$332),"",$G$332))</f>
        <v/>
      </c>
      <c r="AD332" s="19">
        <f>IF(ISERROR($H$332),"",IF(ISBLANK($H$332),"",$H$332))</f>
        <v/>
      </c>
      <c r="AG332" s="19">
        <f>ISERROR($B$332)*1+ISERROR($C$332)*1+ISERROR($D$332)*1+ISERROR($E$332)*1+ISERROR($F$332)*1+ISERROR($G$332)*1+ISERROR($H$332)*1</f>
        <v/>
      </c>
    </row>
    <row r="333" ht="26" customHeight="1">
      <c r="B333" s="31" t="n"/>
      <c r="C333" s="28" t="n"/>
      <c r="D333" s="28" t="n"/>
      <c r="E333" s="28" t="n"/>
      <c r="F333" s="28" t="n"/>
      <c r="G333" s="28" t="n"/>
      <c r="H333" s="28" t="n"/>
      <c r="K333" s="18">
        <f>IF(AG333&gt;0,"O Google leu como fórmula: digite de novo com ' na frente.","")</f>
        <v/>
      </c>
      <c r="N333" s="19">
        <f>N332+IF(LEN($X$333)&gt;0,1,0)</f>
        <v/>
      </c>
      <c r="O333" s="19">
        <f>O332+IF(LEN($Y$333)&gt;0,1,0)</f>
        <v/>
      </c>
      <c r="P333" s="19">
        <f>P332+IF(LEN($Z$333)&gt;0,1,0)</f>
        <v/>
      </c>
      <c r="Q333" s="19">
        <f>Q332+IF(LEN($AA$333)&gt;0,1,0)</f>
        <v/>
      </c>
      <c r="R333" s="19">
        <f>R332+IF(LEN($AB$333)&gt;0,1,0)</f>
        <v/>
      </c>
      <c r="S333" s="19">
        <f>S332+IF(LEN($AC$333)&gt;0,1,0)</f>
        <v/>
      </c>
      <c r="T333" s="19">
        <f>T332+IF(LEN($AD$333)&gt;0,1,0)</f>
        <v/>
      </c>
      <c r="X333" s="19">
        <f>IF(ISERROR($B$333),"",IF(ISBLANK($B$333),"",$B$333))</f>
        <v/>
      </c>
      <c r="Y333" s="19">
        <f>IF(ISERROR($C$333),"",IF(ISBLANK($C$333),"",$C$333))</f>
        <v/>
      </c>
      <c r="Z333" s="19">
        <f>IF(ISERROR($D$333),"",IF(ISBLANK($D$333),"",$D$333))</f>
        <v/>
      </c>
      <c r="AA333" s="19">
        <f>IF(ISERROR($E$333),"",IF(ISBLANK($E$333),"",$E$333))</f>
        <v/>
      </c>
      <c r="AB333" s="19">
        <f>IF(ISERROR($F$333),"",IF(ISBLANK($F$333),"",$F$333))</f>
        <v/>
      </c>
      <c r="AC333" s="19">
        <f>IF(ISERROR($G$333),"",IF(ISBLANK($G$333),"",$G$333))</f>
        <v/>
      </c>
      <c r="AD333" s="19">
        <f>IF(ISERROR($H$333),"",IF(ISBLANK($H$333),"",$H$333))</f>
        <v/>
      </c>
      <c r="AG333" s="19">
        <f>ISERROR($B$333)*1+ISERROR($C$333)*1+ISERROR($D$333)*1+ISERROR($E$333)*1+ISERROR($F$333)*1+ISERROR($G$333)*1+ISERROR($H$333)*1</f>
        <v/>
      </c>
    </row>
    <row r="334" ht="26" customHeight="1">
      <c r="B334" s="30" t="n"/>
      <c r="C334" s="3" t="n"/>
      <c r="D334" s="3" t="n"/>
      <c r="E334" s="3" t="n"/>
      <c r="F334" s="3" t="n"/>
      <c r="G334" s="3" t="n"/>
      <c r="H334" s="3" t="n"/>
      <c r="K334" s="18">
        <f>IF(AG334&gt;0,"O Google leu como fórmula: digite de novo com ' na frente.","")</f>
        <v/>
      </c>
      <c r="N334" s="19">
        <f>N333+IF(LEN($X$334)&gt;0,1,0)</f>
        <v/>
      </c>
      <c r="O334" s="19">
        <f>O333+IF(LEN($Y$334)&gt;0,1,0)</f>
        <v/>
      </c>
      <c r="P334" s="19">
        <f>P333+IF(LEN($Z$334)&gt;0,1,0)</f>
        <v/>
      </c>
      <c r="Q334" s="19">
        <f>Q333+IF(LEN($AA$334)&gt;0,1,0)</f>
        <v/>
      </c>
      <c r="R334" s="19">
        <f>R333+IF(LEN($AB$334)&gt;0,1,0)</f>
        <v/>
      </c>
      <c r="S334" s="19">
        <f>S333+IF(LEN($AC$334)&gt;0,1,0)</f>
        <v/>
      </c>
      <c r="T334" s="19">
        <f>T333+IF(LEN($AD$334)&gt;0,1,0)</f>
        <v/>
      </c>
      <c r="X334" s="19">
        <f>IF(ISERROR($B$334),"",IF(ISBLANK($B$334),"",$B$334))</f>
        <v/>
      </c>
      <c r="Y334" s="19">
        <f>IF(ISERROR($C$334),"",IF(ISBLANK($C$334),"",$C$334))</f>
        <v/>
      </c>
      <c r="Z334" s="19">
        <f>IF(ISERROR($D$334),"",IF(ISBLANK($D$334),"",$D$334))</f>
        <v/>
      </c>
      <c r="AA334" s="19">
        <f>IF(ISERROR($E$334),"",IF(ISBLANK($E$334),"",$E$334))</f>
        <v/>
      </c>
      <c r="AB334" s="19">
        <f>IF(ISERROR($F$334),"",IF(ISBLANK($F$334),"",$F$334))</f>
        <v/>
      </c>
      <c r="AC334" s="19">
        <f>IF(ISERROR($G$334),"",IF(ISBLANK($G$334),"",$G$334))</f>
        <v/>
      </c>
      <c r="AD334" s="19">
        <f>IF(ISERROR($H$334),"",IF(ISBLANK($H$334),"",$H$334))</f>
        <v/>
      </c>
      <c r="AG334" s="19">
        <f>ISERROR($B$334)*1+ISERROR($C$334)*1+ISERROR($D$334)*1+ISERROR($E$334)*1+ISERROR($F$334)*1+ISERROR($G$334)*1+ISERROR($H$334)*1</f>
        <v/>
      </c>
    </row>
    <row r="335" ht="26" customHeight="1">
      <c r="B335" s="31" t="n"/>
      <c r="C335" s="28" t="n"/>
      <c r="D335" s="28" t="n"/>
      <c r="E335" s="28" t="n"/>
      <c r="F335" s="28" t="n"/>
      <c r="G335" s="28" t="n"/>
      <c r="H335" s="28" t="n"/>
      <c r="K335" s="18">
        <f>IF(AG335&gt;0,"O Google leu como fórmula: digite de novo com ' na frente.","")</f>
        <v/>
      </c>
      <c r="N335" s="19">
        <f>N334+IF(LEN($X$335)&gt;0,1,0)</f>
        <v/>
      </c>
      <c r="O335" s="19">
        <f>O334+IF(LEN($Y$335)&gt;0,1,0)</f>
        <v/>
      </c>
      <c r="P335" s="19">
        <f>P334+IF(LEN($Z$335)&gt;0,1,0)</f>
        <v/>
      </c>
      <c r="Q335" s="19">
        <f>Q334+IF(LEN($AA$335)&gt;0,1,0)</f>
        <v/>
      </c>
      <c r="R335" s="19">
        <f>R334+IF(LEN($AB$335)&gt;0,1,0)</f>
        <v/>
      </c>
      <c r="S335" s="19">
        <f>S334+IF(LEN($AC$335)&gt;0,1,0)</f>
        <v/>
      </c>
      <c r="T335" s="19">
        <f>T334+IF(LEN($AD$335)&gt;0,1,0)</f>
        <v/>
      </c>
      <c r="X335" s="19">
        <f>IF(ISERROR($B$335),"",IF(ISBLANK($B$335),"",$B$335))</f>
        <v/>
      </c>
      <c r="Y335" s="19">
        <f>IF(ISERROR($C$335),"",IF(ISBLANK($C$335),"",$C$335))</f>
        <v/>
      </c>
      <c r="Z335" s="19">
        <f>IF(ISERROR($D$335),"",IF(ISBLANK($D$335),"",$D$335))</f>
        <v/>
      </c>
      <c r="AA335" s="19">
        <f>IF(ISERROR($E$335),"",IF(ISBLANK($E$335),"",$E$335))</f>
        <v/>
      </c>
      <c r="AB335" s="19">
        <f>IF(ISERROR($F$335),"",IF(ISBLANK($F$335),"",$F$335))</f>
        <v/>
      </c>
      <c r="AC335" s="19">
        <f>IF(ISERROR($G$335),"",IF(ISBLANK($G$335),"",$G$335))</f>
        <v/>
      </c>
      <c r="AD335" s="19">
        <f>IF(ISERROR($H$335),"",IF(ISBLANK($H$335),"",$H$335))</f>
        <v/>
      </c>
      <c r="AG335" s="19">
        <f>ISERROR($B$335)*1+ISERROR($C$335)*1+ISERROR($D$335)*1+ISERROR($E$335)*1+ISERROR($F$335)*1+ISERROR($G$335)*1+ISERROR($H$335)*1</f>
        <v/>
      </c>
    </row>
    <row r="336" ht="26" customHeight="1">
      <c r="B336" s="30" t="n"/>
      <c r="C336" s="3" t="n"/>
      <c r="D336" s="3" t="n"/>
      <c r="E336" s="3" t="n"/>
      <c r="F336" s="3" t="n"/>
      <c r="G336" s="3" t="n"/>
      <c r="H336" s="3" t="n"/>
      <c r="K336" s="18">
        <f>IF(AG336&gt;0,"O Google leu como fórmula: digite de novo com ' na frente.","")</f>
        <v/>
      </c>
      <c r="N336" s="19">
        <f>N335+IF(LEN($X$336)&gt;0,1,0)</f>
        <v/>
      </c>
      <c r="O336" s="19">
        <f>O335+IF(LEN($Y$336)&gt;0,1,0)</f>
        <v/>
      </c>
      <c r="P336" s="19">
        <f>P335+IF(LEN($Z$336)&gt;0,1,0)</f>
        <v/>
      </c>
      <c r="Q336" s="19">
        <f>Q335+IF(LEN($AA$336)&gt;0,1,0)</f>
        <v/>
      </c>
      <c r="R336" s="19">
        <f>R335+IF(LEN($AB$336)&gt;0,1,0)</f>
        <v/>
      </c>
      <c r="S336" s="19">
        <f>S335+IF(LEN($AC$336)&gt;0,1,0)</f>
        <v/>
      </c>
      <c r="T336" s="19">
        <f>T335+IF(LEN($AD$336)&gt;0,1,0)</f>
        <v/>
      </c>
      <c r="X336" s="19">
        <f>IF(ISERROR($B$336),"",IF(ISBLANK($B$336),"",$B$336))</f>
        <v/>
      </c>
      <c r="Y336" s="19">
        <f>IF(ISERROR($C$336),"",IF(ISBLANK($C$336),"",$C$336))</f>
        <v/>
      </c>
      <c r="Z336" s="19">
        <f>IF(ISERROR($D$336),"",IF(ISBLANK($D$336),"",$D$336))</f>
        <v/>
      </c>
      <c r="AA336" s="19">
        <f>IF(ISERROR($E$336),"",IF(ISBLANK($E$336),"",$E$336))</f>
        <v/>
      </c>
      <c r="AB336" s="19">
        <f>IF(ISERROR($F$336),"",IF(ISBLANK($F$336),"",$F$336))</f>
        <v/>
      </c>
      <c r="AC336" s="19">
        <f>IF(ISERROR($G$336),"",IF(ISBLANK($G$336),"",$G$336))</f>
        <v/>
      </c>
      <c r="AD336" s="19">
        <f>IF(ISERROR($H$336),"",IF(ISBLANK($H$336),"",$H$336))</f>
        <v/>
      </c>
      <c r="AG336" s="19">
        <f>ISERROR($B$336)*1+ISERROR($C$336)*1+ISERROR($D$336)*1+ISERROR($E$336)*1+ISERROR($F$336)*1+ISERROR($G$336)*1+ISERROR($H$336)*1</f>
        <v/>
      </c>
    </row>
    <row r="337" ht="26" customHeight="1">
      <c r="B337" s="31" t="n"/>
      <c r="C337" s="28" t="n"/>
      <c r="D337" s="28" t="n"/>
      <c r="E337" s="28" t="n"/>
      <c r="F337" s="28" t="n"/>
      <c r="G337" s="28" t="n"/>
      <c r="H337" s="28" t="n"/>
      <c r="K337" s="18">
        <f>IF(AG337&gt;0,"O Google leu como fórmula: digite de novo com ' na frente.","")</f>
        <v/>
      </c>
      <c r="N337" s="19">
        <f>N336+IF(LEN($X$337)&gt;0,1,0)</f>
        <v/>
      </c>
      <c r="O337" s="19">
        <f>O336+IF(LEN($Y$337)&gt;0,1,0)</f>
        <v/>
      </c>
      <c r="P337" s="19">
        <f>P336+IF(LEN($Z$337)&gt;0,1,0)</f>
        <v/>
      </c>
      <c r="Q337" s="19">
        <f>Q336+IF(LEN($AA$337)&gt;0,1,0)</f>
        <v/>
      </c>
      <c r="R337" s="19">
        <f>R336+IF(LEN($AB$337)&gt;0,1,0)</f>
        <v/>
      </c>
      <c r="S337" s="19">
        <f>S336+IF(LEN($AC$337)&gt;0,1,0)</f>
        <v/>
      </c>
      <c r="T337" s="19">
        <f>T336+IF(LEN($AD$337)&gt;0,1,0)</f>
        <v/>
      </c>
      <c r="X337" s="19">
        <f>IF(ISERROR($B$337),"",IF(ISBLANK($B$337),"",$B$337))</f>
        <v/>
      </c>
      <c r="Y337" s="19">
        <f>IF(ISERROR($C$337),"",IF(ISBLANK($C$337),"",$C$337))</f>
        <v/>
      </c>
      <c r="Z337" s="19">
        <f>IF(ISERROR($D$337),"",IF(ISBLANK($D$337),"",$D$337))</f>
        <v/>
      </c>
      <c r="AA337" s="19">
        <f>IF(ISERROR($E$337),"",IF(ISBLANK($E$337),"",$E$337))</f>
        <v/>
      </c>
      <c r="AB337" s="19">
        <f>IF(ISERROR($F$337),"",IF(ISBLANK($F$337),"",$F$337))</f>
        <v/>
      </c>
      <c r="AC337" s="19">
        <f>IF(ISERROR($G$337),"",IF(ISBLANK($G$337),"",$G$337))</f>
        <v/>
      </c>
      <c r="AD337" s="19">
        <f>IF(ISERROR($H$337),"",IF(ISBLANK($H$337),"",$H$337))</f>
        <v/>
      </c>
      <c r="AG337" s="19">
        <f>ISERROR($B$337)*1+ISERROR($C$337)*1+ISERROR($D$337)*1+ISERROR($E$337)*1+ISERROR($F$337)*1+ISERROR($G$337)*1+ISERROR($H$337)*1</f>
        <v/>
      </c>
    </row>
    <row r="338" ht="26" customHeight="1">
      <c r="B338" s="30" t="n"/>
      <c r="C338" s="3" t="n"/>
      <c r="D338" s="3" t="n"/>
      <c r="E338" s="3" t="n"/>
      <c r="F338" s="3" t="n"/>
      <c r="G338" s="3" t="n"/>
      <c r="H338" s="3" t="n"/>
      <c r="K338" s="18">
        <f>IF(AG338&gt;0,"O Google leu como fórmula: digite de novo com ' na frente.","")</f>
        <v/>
      </c>
      <c r="N338" s="19">
        <f>N337+IF(LEN($X$338)&gt;0,1,0)</f>
        <v/>
      </c>
      <c r="O338" s="19">
        <f>O337+IF(LEN($Y$338)&gt;0,1,0)</f>
        <v/>
      </c>
      <c r="P338" s="19">
        <f>P337+IF(LEN($Z$338)&gt;0,1,0)</f>
        <v/>
      </c>
      <c r="Q338" s="19">
        <f>Q337+IF(LEN($AA$338)&gt;0,1,0)</f>
        <v/>
      </c>
      <c r="R338" s="19">
        <f>R337+IF(LEN($AB$338)&gt;0,1,0)</f>
        <v/>
      </c>
      <c r="S338" s="19">
        <f>S337+IF(LEN($AC$338)&gt;0,1,0)</f>
        <v/>
      </c>
      <c r="T338" s="19">
        <f>T337+IF(LEN($AD$338)&gt;0,1,0)</f>
        <v/>
      </c>
      <c r="X338" s="19">
        <f>IF(ISERROR($B$338),"",IF(ISBLANK($B$338),"",$B$338))</f>
        <v/>
      </c>
      <c r="Y338" s="19">
        <f>IF(ISERROR($C$338),"",IF(ISBLANK($C$338),"",$C$338))</f>
        <v/>
      </c>
      <c r="Z338" s="19">
        <f>IF(ISERROR($D$338),"",IF(ISBLANK($D$338),"",$D$338))</f>
        <v/>
      </c>
      <c r="AA338" s="19">
        <f>IF(ISERROR($E$338),"",IF(ISBLANK($E$338),"",$E$338))</f>
        <v/>
      </c>
      <c r="AB338" s="19">
        <f>IF(ISERROR($F$338),"",IF(ISBLANK($F$338),"",$F$338))</f>
        <v/>
      </c>
      <c r="AC338" s="19">
        <f>IF(ISERROR($G$338),"",IF(ISBLANK($G$338),"",$G$338))</f>
        <v/>
      </c>
      <c r="AD338" s="19">
        <f>IF(ISERROR($H$338),"",IF(ISBLANK($H$338),"",$H$338))</f>
        <v/>
      </c>
      <c r="AG338" s="19">
        <f>ISERROR($B$338)*1+ISERROR($C$338)*1+ISERROR($D$338)*1+ISERROR($E$338)*1+ISERROR($F$338)*1+ISERROR($G$338)*1+ISERROR($H$338)*1</f>
        <v/>
      </c>
    </row>
    <row r="339" ht="15" customHeight="1">
      <c r="B339" s="7" t="inlineStr">
        <is>
          <t>Sobrenome — Humano</t>
        </is>
      </c>
      <c r="C339" s="7" t="inlineStr">
        <is>
          <t>Sobrenome — Xianzhouíta</t>
        </is>
      </c>
      <c r="D339" s="7" t="inlineStr">
        <is>
          <t>Sobrenome — Vidyadhara</t>
        </is>
      </c>
      <c r="E339" s="7" t="inlineStr">
        <is>
          <t>Sobrenome — Vulpes</t>
        </is>
      </c>
      <c r="F339" s="7" t="inlineStr">
        <is>
          <t>Sobrenome — Haloviano</t>
        </is>
      </c>
      <c r="G339" s="7" t="inlineStr">
        <is>
          <t>Sobrenome — Avginiano</t>
        </is>
      </c>
      <c r="H339" s="7" t="inlineStr">
        <is>
          <t>Sobrenome — Intellitron</t>
        </is>
      </c>
      <c r="N339" s="19">
        <f>N338</f>
        <v/>
      </c>
      <c r="O339" s="19">
        <f>O338</f>
        <v/>
      </c>
      <c r="P339" s="19">
        <f>P338</f>
        <v/>
      </c>
      <c r="Q339" s="19">
        <f>Q338</f>
        <v/>
      </c>
      <c r="R339" s="19">
        <f>R338</f>
        <v/>
      </c>
      <c r="S339" s="19">
        <f>S338</f>
        <v/>
      </c>
      <c r="T339" s="19">
        <f>T338</f>
        <v/>
      </c>
      <c r="X339" s="19">
        <f>IF(ISERROR($B$339),"",IF(ISBLANK($B$339),"",$B$339))</f>
        <v/>
      </c>
      <c r="Y339" s="19">
        <f>IF(ISERROR($C$339),"",IF(ISBLANK($C$339),"",$C$339))</f>
        <v/>
      </c>
      <c r="Z339" s="19">
        <f>IF(ISERROR($D$339),"",IF(ISBLANK($D$339),"",$D$339))</f>
        <v/>
      </c>
      <c r="AA339" s="19">
        <f>IF(ISERROR($E$339),"",IF(ISBLANK($E$339),"",$E$339))</f>
        <v/>
      </c>
      <c r="AB339" s="19">
        <f>IF(ISERROR($F$339),"",IF(ISBLANK($F$339),"",$F$339))</f>
        <v/>
      </c>
      <c r="AC339" s="19">
        <f>IF(ISERROR($G$339),"",IF(ISBLANK($G$339),"",$G$339))</f>
        <v/>
      </c>
      <c r="AD339" s="19">
        <f>IF(ISERROR($H$339),"",IF(ISBLANK($H$339),"",$H$339))</f>
        <v/>
      </c>
    </row>
    <row r="340" ht="26" customHeight="1">
      <c r="B340" s="30" t="n"/>
      <c r="C340" s="3" t="n"/>
      <c r="D340" s="3" t="n"/>
      <c r="E340" s="3" t="n"/>
      <c r="F340" s="3" t="n"/>
      <c r="G340" s="3" t="n"/>
      <c r="H340" s="3" t="n"/>
      <c r="K340" s="18">
        <f>IF(AG340&gt;0,"O Google leu como fórmula: digite de novo com ' na frente.","")</f>
        <v/>
      </c>
      <c r="N340" s="19">
        <f>N339+IF(LEN($X$340)&gt;0,1,0)</f>
        <v/>
      </c>
      <c r="O340" s="19">
        <f>O339+IF(LEN($Y$340)&gt;0,1,0)</f>
        <v/>
      </c>
      <c r="P340" s="19">
        <f>P339+IF(LEN($Z$340)&gt;0,1,0)</f>
        <v/>
      </c>
      <c r="Q340" s="19">
        <f>Q339+IF(LEN($AA$340)&gt;0,1,0)</f>
        <v/>
      </c>
      <c r="R340" s="19">
        <f>R339+IF(LEN($AB$340)&gt;0,1,0)</f>
        <v/>
      </c>
      <c r="S340" s="19">
        <f>S339+IF(LEN($AC$340)&gt;0,1,0)</f>
        <v/>
      </c>
      <c r="T340" s="19">
        <f>T339+IF(LEN($AD$340)&gt;0,1,0)</f>
        <v/>
      </c>
      <c r="X340" s="19">
        <f>IF(ISERROR($B$340),"",IF(ISBLANK($B$340),"",$B$340))</f>
        <v/>
      </c>
      <c r="Y340" s="19">
        <f>IF(ISERROR($C$340),"",IF(ISBLANK($C$340),"",$C$340))</f>
        <v/>
      </c>
      <c r="Z340" s="19">
        <f>IF(ISERROR($D$340),"",IF(ISBLANK($D$340),"",$D$340))</f>
        <v/>
      </c>
      <c r="AA340" s="19">
        <f>IF(ISERROR($E$340),"",IF(ISBLANK($E$340),"",$E$340))</f>
        <v/>
      </c>
      <c r="AB340" s="19">
        <f>IF(ISERROR($F$340),"",IF(ISBLANK($F$340),"",$F$340))</f>
        <v/>
      </c>
      <c r="AC340" s="19">
        <f>IF(ISERROR($G$340),"",IF(ISBLANK($G$340),"",$G$340))</f>
        <v/>
      </c>
      <c r="AD340" s="19">
        <f>IF(ISERROR($H$340),"",IF(ISBLANK($H$340),"",$H$340))</f>
        <v/>
      </c>
      <c r="AG340" s="19">
        <f>ISERROR($B$340)*1+ISERROR($C$340)*1+ISERROR($D$340)*1+ISERROR($E$340)*1+ISERROR($F$340)*1+ISERROR($G$340)*1+ISERROR($H$340)*1</f>
        <v/>
      </c>
    </row>
    <row r="341" ht="26" customHeight="1">
      <c r="B341" s="31" t="n"/>
      <c r="C341" s="28" t="n"/>
      <c r="D341" s="28" t="n"/>
      <c r="E341" s="28" t="n"/>
      <c r="F341" s="28" t="n"/>
      <c r="G341" s="28" t="n"/>
      <c r="H341" s="28" t="n"/>
      <c r="K341" s="18">
        <f>IF(AG341&gt;0,"O Google leu como fórmula: digite de novo com ' na frente.","")</f>
        <v/>
      </c>
      <c r="N341" s="19">
        <f>N340+IF(LEN($X$341)&gt;0,1,0)</f>
        <v/>
      </c>
      <c r="O341" s="19">
        <f>O340+IF(LEN($Y$341)&gt;0,1,0)</f>
        <v/>
      </c>
      <c r="P341" s="19">
        <f>P340+IF(LEN($Z$341)&gt;0,1,0)</f>
        <v/>
      </c>
      <c r="Q341" s="19">
        <f>Q340+IF(LEN($AA$341)&gt;0,1,0)</f>
        <v/>
      </c>
      <c r="R341" s="19">
        <f>R340+IF(LEN($AB$341)&gt;0,1,0)</f>
        <v/>
      </c>
      <c r="S341" s="19">
        <f>S340+IF(LEN($AC$341)&gt;0,1,0)</f>
        <v/>
      </c>
      <c r="T341" s="19">
        <f>T340+IF(LEN($AD$341)&gt;0,1,0)</f>
        <v/>
      </c>
      <c r="X341" s="19">
        <f>IF(ISERROR($B$341),"",IF(ISBLANK($B$341),"",$B$341))</f>
        <v/>
      </c>
      <c r="Y341" s="19">
        <f>IF(ISERROR($C$341),"",IF(ISBLANK($C$341),"",$C$341))</f>
        <v/>
      </c>
      <c r="Z341" s="19">
        <f>IF(ISERROR($D$341),"",IF(ISBLANK($D$341),"",$D$341))</f>
        <v/>
      </c>
      <c r="AA341" s="19">
        <f>IF(ISERROR($E$341),"",IF(ISBLANK($E$341),"",$E$341))</f>
        <v/>
      </c>
      <c r="AB341" s="19">
        <f>IF(ISERROR($F$341),"",IF(ISBLANK($F$341),"",$F$341))</f>
        <v/>
      </c>
      <c r="AC341" s="19">
        <f>IF(ISERROR($G$341),"",IF(ISBLANK($G$341),"",$G$341))</f>
        <v/>
      </c>
      <c r="AD341" s="19">
        <f>IF(ISERROR($H$341),"",IF(ISBLANK($H$341),"",$H$341))</f>
        <v/>
      </c>
      <c r="AG341" s="19">
        <f>ISERROR($B$341)*1+ISERROR($C$341)*1+ISERROR($D$341)*1+ISERROR($E$341)*1+ISERROR($F$341)*1+ISERROR($G$341)*1+ISERROR($H$341)*1</f>
        <v/>
      </c>
    </row>
    <row r="342" ht="26" customHeight="1">
      <c r="B342" s="30" t="n"/>
      <c r="C342" s="3" t="n"/>
      <c r="D342" s="3" t="n"/>
      <c r="E342" s="3" t="n"/>
      <c r="F342" s="3" t="n"/>
      <c r="G342" s="3" t="n"/>
      <c r="H342" s="3" t="n"/>
      <c r="K342" s="18">
        <f>IF(AG342&gt;0,"O Google leu como fórmula: digite de novo com ' na frente.","")</f>
        <v/>
      </c>
      <c r="N342" s="19">
        <f>N341+IF(LEN($X$342)&gt;0,1,0)</f>
        <v/>
      </c>
      <c r="O342" s="19">
        <f>O341+IF(LEN($Y$342)&gt;0,1,0)</f>
        <v/>
      </c>
      <c r="P342" s="19">
        <f>P341+IF(LEN($Z$342)&gt;0,1,0)</f>
        <v/>
      </c>
      <c r="Q342" s="19">
        <f>Q341+IF(LEN($AA$342)&gt;0,1,0)</f>
        <v/>
      </c>
      <c r="R342" s="19">
        <f>R341+IF(LEN($AB$342)&gt;0,1,0)</f>
        <v/>
      </c>
      <c r="S342" s="19">
        <f>S341+IF(LEN($AC$342)&gt;0,1,0)</f>
        <v/>
      </c>
      <c r="T342" s="19">
        <f>T341+IF(LEN($AD$342)&gt;0,1,0)</f>
        <v/>
      </c>
      <c r="X342" s="19">
        <f>IF(ISERROR($B$342),"",IF(ISBLANK($B$342),"",$B$342))</f>
        <v/>
      </c>
      <c r="Y342" s="19">
        <f>IF(ISERROR($C$342),"",IF(ISBLANK($C$342),"",$C$342))</f>
        <v/>
      </c>
      <c r="Z342" s="19">
        <f>IF(ISERROR($D$342),"",IF(ISBLANK($D$342),"",$D$342))</f>
        <v/>
      </c>
      <c r="AA342" s="19">
        <f>IF(ISERROR($E$342),"",IF(ISBLANK($E$342),"",$E$342))</f>
        <v/>
      </c>
      <c r="AB342" s="19">
        <f>IF(ISERROR($F$342),"",IF(ISBLANK($F$342),"",$F$342))</f>
        <v/>
      </c>
      <c r="AC342" s="19">
        <f>IF(ISERROR($G$342),"",IF(ISBLANK($G$342),"",$G$342))</f>
        <v/>
      </c>
      <c r="AD342" s="19">
        <f>IF(ISERROR($H$342),"",IF(ISBLANK($H$342),"",$H$342))</f>
        <v/>
      </c>
      <c r="AG342" s="19">
        <f>ISERROR($B$342)*1+ISERROR($C$342)*1+ISERROR($D$342)*1+ISERROR($E$342)*1+ISERROR($F$342)*1+ISERROR($G$342)*1+ISERROR($H$342)*1</f>
        <v/>
      </c>
    </row>
    <row r="343" ht="26" customHeight="1">
      <c r="B343" s="31" t="n"/>
      <c r="C343" s="28" t="n"/>
      <c r="D343" s="28" t="n"/>
      <c r="E343" s="28" t="n"/>
      <c r="F343" s="28" t="n"/>
      <c r="G343" s="28" t="n"/>
      <c r="H343" s="28" t="n"/>
      <c r="K343" s="18">
        <f>IF(AG343&gt;0,"O Google leu como fórmula: digite de novo com ' na frente.","")</f>
        <v/>
      </c>
      <c r="N343" s="19">
        <f>N342+IF(LEN($X$343)&gt;0,1,0)</f>
        <v/>
      </c>
      <c r="O343" s="19">
        <f>O342+IF(LEN($Y$343)&gt;0,1,0)</f>
        <v/>
      </c>
      <c r="P343" s="19">
        <f>P342+IF(LEN($Z$343)&gt;0,1,0)</f>
        <v/>
      </c>
      <c r="Q343" s="19">
        <f>Q342+IF(LEN($AA$343)&gt;0,1,0)</f>
        <v/>
      </c>
      <c r="R343" s="19">
        <f>R342+IF(LEN($AB$343)&gt;0,1,0)</f>
        <v/>
      </c>
      <c r="S343" s="19">
        <f>S342+IF(LEN($AC$343)&gt;0,1,0)</f>
        <v/>
      </c>
      <c r="T343" s="19">
        <f>T342+IF(LEN($AD$343)&gt;0,1,0)</f>
        <v/>
      </c>
      <c r="X343" s="19">
        <f>IF(ISERROR($B$343),"",IF(ISBLANK($B$343),"",$B$343))</f>
        <v/>
      </c>
      <c r="Y343" s="19">
        <f>IF(ISERROR($C$343),"",IF(ISBLANK($C$343),"",$C$343))</f>
        <v/>
      </c>
      <c r="Z343" s="19">
        <f>IF(ISERROR($D$343),"",IF(ISBLANK($D$343),"",$D$343))</f>
        <v/>
      </c>
      <c r="AA343" s="19">
        <f>IF(ISERROR($E$343),"",IF(ISBLANK($E$343),"",$E$343))</f>
        <v/>
      </c>
      <c r="AB343" s="19">
        <f>IF(ISERROR($F$343),"",IF(ISBLANK($F$343),"",$F$343))</f>
        <v/>
      </c>
      <c r="AC343" s="19">
        <f>IF(ISERROR($G$343),"",IF(ISBLANK($G$343),"",$G$343))</f>
        <v/>
      </c>
      <c r="AD343" s="19">
        <f>IF(ISERROR($H$343),"",IF(ISBLANK($H$343),"",$H$343))</f>
        <v/>
      </c>
      <c r="AG343" s="19">
        <f>ISERROR($B$343)*1+ISERROR($C$343)*1+ISERROR($D$343)*1+ISERROR($E$343)*1+ISERROR($F$343)*1+ISERROR($G$343)*1+ISERROR($H$343)*1</f>
        <v/>
      </c>
    </row>
    <row r="344" ht="26" customHeight="1">
      <c r="B344" s="30" t="n"/>
      <c r="C344" s="3" t="n"/>
      <c r="D344" s="3" t="n"/>
      <c r="E344" s="3" t="n"/>
      <c r="F344" s="3" t="n"/>
      <c r="G344" s="3" t="n"/>
      <c r="H344" s="3" t="n"/>
      <c r="K344" s="18">
        <f>IF(AG344&gt;0,"O Google leu como fórmula: digite de novo com ' na frente.","")</f>
        <v/>
      </c>
      <c r="N344" s="19">
        <f>N343+IF(LEN($X$344)&gt;0,1,0)</f>
        <v/>
      </c>
      <c r="O344" s="19">
        <f>O343+IF(LEN($Y$344)&gt;0,1,0)</f>
        <v/>
      </c>
      <c r="P344" s="19">
        <f>P343+IF(LEN($Z$344)&gt;0,1,0)</f>
        <v/>
      </c>
      <c r="Q344" s="19">
        <f>Q343+IF(LEN($AA$344)&gt;0,1,0)</f>
        <v/>
      </c>
      <c r="R344" s="19">
        <f>R343+IF(LEN($AB$344)&gt;0,1,0)</f>
        <v/>
      </c>
      <c r="S344" s="19">
        <f>S343+IF(LEN($AC$344)&gt;0,1,0)</f>
        <v/>
      </c>
      <c r="T344" s="19">
        <f>T343+IF(LEN($AD$344)&gt;0,1,0)</f>
        <v/>
      </c>
      <c r="X344" s="19">
        <f>IF(ISERROR($B$344),"",IF(ISBLANK($B$344),"",$B$344))</f>
        <v/>
      </c>
      <c r="Y344" s="19">
        <f>IF(ISERROR($C$344),"",IF(ISBLANK($C$344),"",$C$344))</f>
        <v/>
      </c>
      <c r="Z344" s="19">
        <f>IF(ISERROR($D$344),"",IF(ISBLANK($D$344),"",$D$344))</f>
        <v/>
      </c>
      <c r="AA344" s="19">
        <f>IF(ISERROR($E$344),"",IF(ISBLANK($E$344),"",$E$344))</f>
        <v/>
      </c>
      <c r="AB344" s="19">
        <f>IF(ISERROR($F$344),"",IF(ISBLANK($F$344),"",$F$344))</f>
        <v/>
      </c>
      <c r="AC344" s="19">
        <f>IF(ISERROR($G$344),"",IF(ISBLANK($G$344),"",$G$344))</f>
        <v/>
      </c>
      <c r="AD344" s="19">
        <f>IF(ISERROR($H$344),"",IF(ISBLANK($H$344),"",$H$344))</f>
        <v/>
      </c>
      <c r="AG344" s="19">
        <f>ISERROR($B$344)*1+ISERROR($C$344)*1+ISERROR($D$344)*1+ISERROR($E$344)*1+ISERROR($F$344)*1+ISERROR($G$344)*1+ISERROR($H$344)*1</f>
        <v/>
      </c>
    </row>
    <row r="345" ht="26" customHeight="1">
      <c r="B345" s="31" t="n"/>
      <c r="C345" s="28" t="n"/>
      <c r="D345" s="28" t="n"/>
      <c r="E345" s="28" t="n"/>
      <c r="F345" s="28" t="n"/>
      <c r="G345" s="28" t="n"/>
      <c r="H345" s="28" t="n"/>
      <c r="K345" s="18">
        <f>IF(AG345&gt;0,"O Google leu como fórmula: digite de novo com ' na frente.","")</f>
        <v/>
      </c>
      <c r="N345" s="19">
        <f>N344+IF(LEN($X$345)&gt;0,1,0)</f>
        <v/>
      </c>
      <c r="O345" s="19">
        <f>O344+IF(LEN($Y$345)&gt;0,1,0)</f>
        <v/>
      </c>
      <c r="P345" s="19">
        <f>P344+IF(LEN($Z$345)&gt;0,1,0)</f>
        <v/>
      </c>
      <c r="Q345" s="19">
        <f>Q344+IF(LEN($AA$345)&gt;0,1,0)</f>
        <v/>
      </c>
      <c r="R345" s="19">
        <f>R344+IF(LEN($AB$345)&gt;0,1,0)</f>
        <v/>
      </c>
      <c r="S345" s="19">
        <f>S344+IF(LEN($AC$345)&gt;0,1,0)</f>
        <v/>
      </c>
      <c r="T345" s="19">
        <f>T344+IF(LEN($AD$345)&gt;0,1,0)</f>
        <v/>
      </c>
      <c r="X345" s="19">
        <f>IF(ISERROR($B$345),"",IF(ISBLANK($B$345),"",$B$345))</f>
        <v/>
      </c>
      <c r="Y345" s="19">
        <f>IF(ISERROR($C$345),"",IF(ISBLANK($C$345),"",$C$345))</f>
        <v/>
      </c>
      <c r="Z345" s="19">
        <f>IF(ISERROR($D$345),"",IF(ISBLANK($D$345),"",$D$345))</f>
        <v/>
      </c>
      <c r="AA345" s="19">
        <f>IF(ISERROR($E$345),"",IF(ISBLANK($E$345),"",$E$345))</f>
        <v/>
      </c>
      <c r="AB345" s="19">
        <f>IF(ISERROR($F$345),"",IF(ISBLANK($F$345),"",$F$345))</f>
        <v/>
      </c>
      <c r="AC345" s="19">
        <f>IF(ISERROR($G$345),"",IF(ISBLANK($G$345),"",$G$345))</f>
        <v/>
      </c>
      <c r="AD345" s="19">
        <f>IF(ISERROR($H$345),"",IF(ISBLANK($H$345),"",$H$345))</f>
        <v/>
      </c>
      <c r="AG345" s="19">
        <f>ISERROR($B$345)*1+ISERROR($C$345)*1+ISERROR($D$345)*1+ISERROR($E$345)*1+ISERROR($F$345)*1+ISERROR($G$345)*1+ISERROR($H$345)*1</f>
        <v/>
      </c>
    </row>
    <row r="346" ht="26" customHeight="1">
      <c r="B346" s="30" t="n"/>
      <c r="C346" s="3" t="n"/>
      <c r="D346" s="3" t="n"/>
      <c r="E346" s="3" t="n"/>
      <c r="F346" s="3" t="n"/>
      <c r="G346" s="3" t="n"/>
      <c r="H346" s="3" t="n"/>
      <c r="K346" s="18">
        <f>IF(AG346&gt;0,"O Google leu como fórmula: digite de novo com ' na frente.","")</f>
        <v/>
      </c>
      <c r="N346" s="19">
        <f>N345+IF(LEN($X$346)&gt;0,1,0)</f>
        <v/>
      </c>
      <c r="O346" s="19">
        <f>O345+IF(LEN($Y$346)&gt;0,1,0)</f>
        <v/>
      </c>
      <c r="P346" s="19">
        <f>P345+IF(LEN($Z$346)&gt;0,1,0)</f>
        <v/>
      </c>
      <c r="Q346" s="19">
        <f>Q345+IF(LEN($AA$346)&gt;0,1,0)</f>
        <v/>
      </c>
      <c r="R346" s="19">
        <f>R345+IF(LEN($AB$346)&gt;0,1,0)</f>
        <v/>
      </c>
      <c r="S346" s="19">
        <f>S345+IF(LEN($AC$346)&gt;0,1,0)</f>
        <v/>
      </c>
      <c r="T346" s="19">
        <f>T345+IF(LEN($AD$346)&gt;0,1,0)</f>
        <v/>
      </c>
      <c r="X346" s="19">
        <f>IF(ISERROR($B$346),"",IF(ISBLANK($B$346),"",$B$346))</f>
        <v/>
      </c>
      <c r="Y346" s="19">
        <f>IF(ISERROR($C$346),"",IF(ISBLANK($C$346),"",$C$346))</f>
        <v/>
      </c>
      <c r="Z346" s="19">
        <f>IF(ISERROR($D$346),"",IF(ISBLANK($D$346),"",$D$346))</f>
        <v/>
      </c>
      <c r="AA346" s="19">
        <f>IF(ISERROR($E$346),"",IF(ISBLANK($E$346),"",$E$346))</f>
        <v/>
      </c>
      <c r="AB346" s="19">
        <f>IF(ISERROR($F$346),"",IF(ISBLANK($F$346),"",$F$346))</f>
        <v/>
      </c>
      <c r="AC346" s="19">
        <f>IF(ISERROR($G$346),"",IF(ISBLANK($G$346),"",$G$346))</f>
        <v/>
      </c>
      <c r="AD346" s="19">
        <f>IF(ISERROR($H$346),"",IF(ISBLANK($H$346),"",$H$346))</f>
        <v/>
      </c>
      <c r="AG346" s="19">
        <f>ISERROR($B$346)*1+ISERROR($C$346)*1+ISERROR($D$346)*1+ISERROR($E$346)*1+ISERROR($F$346)*1+ISERROR($G$346)*1+ISERROR($H$346)*1</f>
        <v/>
      </c>
    </row>
    <row r="347" ht="26" customHeight="1">
      <c r="B347" s="31" t="n"/>
      <c r="C347" s="28" t="n"/>
      <c r="D347" s="28" t="n"/>
      <c r="E347" s="28" t="n"/>
      <c r="F347" s="28" t="n"/>
      <c r="G347" s="28" t="n"/>
      <c r="H347" s="28" t="n"/>
      <c r="K347" s="18">
        <f>IF(AG347&gt;0,"O Google leu como fórmula: digite de novo com ' na frente.","")</f>
        <v/>
      </c>
      <c r="N347" s="19">
        <f>N346+IF(LEN($X$347)&gt;0,1,0)</f>
        <v/>
      </c>
      <c r="O347" s="19">
        <f>O346+IF(LEN($Y$347)&gt;0,1,0)</f>
        <v/>
      </c>
      <c r="P347" s="19">
        <f>P346+IF(LEN($Z$347)&gt;0,1,0)</f>
        <v/>
      </c>
      <c r="Q347" s="19">
        <f>Q346+IF(LEN($AA$347)&gt;0,1,0)</f>
        <v/>
      </c>
      <c r="R347" s="19">
        <f>R346+IF(LEN($AB$347)&gt;0,1,0)</f>
        <v/>
      </c>
      <c r="S347" s="19">
        <f>S346+IF(LEN($AC$347)&gt;0,1,0)</f>
        <v/>
      </c>
      <c r="T347" s="19">
        <f>T346+IF(LEN($AD$347)&gt;0,1,0)</f>
        <v/>
      </c>
      <c r="X347" s="19">
        <f>IF(ISERROR($B$347),"",IF(ISBLANK($B$347),"",$B$347))</f>
        <v/>
      </c>
      <c r="Y347" s="19">
        <f>IF(ISERROR($C$347),"",IF(ISBLANK($C$347),"",$C$347))</f>
        <v/>
      </c>
      <c r="Z347" s="19">
        <f>IF(ISERROR($D$347),"",IF(ISBLANK($D$347),"",$D$347))</f>
        <v/>
      </c>
      <c r="AA347" s="19">
        <f>IF(ISERROR($E$347),"",IF(ISBLANK($E$347),"",$E$347))</f>
        <v/>
      </c>
      <c r="AB347" s="19">
        <f>IF(ISERROR($F$347),"",IF(ISBLANK($F$347),"",$F$347))</f>
        <v/>
      </c>
      <c r="AC347" s="19">
        <f>IF(ISERROR($G$347),"",IF(ISBLANK($G$347),"",$G$347))</f>
        <v/>
      </c>
      <c r="AD347" s="19">
        <f>IF(ISERROR($H$347),"",IF(ISBLANK($H$347),"",$H$347))</f>
        <v/>
      </c>
      <c r="AG347" s="19">
        <f>ISERROR($B$347)*1+ISERROR($C$347)*1+ISERROR($D$347)*1+ISERROR($E$347)*1+ISERROR($F$347)*1+ISERROR($G$347)*1+ISERROR($H$347)*1</f>
        <v/>
      </c>
    </row>
    <row r="348" ht="26" customHeight="1">
      <c r="B348" s="30" t="n"/>
      <c r="C348" s="3" t="n"/>
      <c r="D348" s="3" t="n"/>
      <c r="E348" s="3" t="n"/>
      <c r="F348" s="3" t="n"/>
      <c r="G348" s="3" t="n"/>
      <c r="H348" s="3" t="n"/>
      <c r="K348" s="18">
        <f>IF(AG348&gt;0,"O Google leu como fórmula: digite de novo com ' na frente.","")</f>
        <v/>
      </c>
      <c r="N348" s="19">
        <f>N347+IF(LEN($X$348)&gt;0,1,0)</f>
        <v/>
      </c>
      <c r="O348" s="19">
        <f>O347+IF(LEN($Y$348)&gt;0,1,0)</f>
        <v/>
      </c>
      <c r="P348" s="19">
        <f>P347+IF(LEN($Z$348)&gt;0,1,0)</f>
        <v/>
      </c>
      <c r="Q348" s="19">
        <f>Q347+IF(LEN($AA$348)&gt;0,1,0)</f>
        <v/>
      </c>
      <c r="R348" s="19">
        <f>R347+IF(LEN($AB$348)&gt;0,1,0)</f>
        <v/>
      </c>
      <c r="S348" s="19">
        <f>S347+IF(LEN($AC$348)&gt;0,1,0)</f>
        <v/>
      </c>
      <c r="T348" s="19">
        <f>T347+IF(LEN($AD$348)&gt;0,1,0)</f>
        <v/>
      </c>
      <c r="X348" s="19">
        <f>IF(ISERROR($B$348),"",IF(ISBLANK($B$348),"",$B$348))</f>
        <v/>
      </c>
      <c r="Y348" s="19">
        <f>IF(ISERROR($C$348),"",IF(ISBLANK($C$348),"",$C$348))</f>
        <v/>
      </c>
      <c r="Z348" s="19">
        <f>IF(ISERROR($D$348),"",IF(ISBLANK($D$348),"",$D$348))</f>
        <v/>
      </c>
      <c r="AA348" s="19">
        <f>IF(ISERROR($E$348),"",IF(ISBLANK($E$348),"",$E$348))</f>
        <v/>
      </c>
      <c r="AB348" s="19">
        <f>IF(ISERROR($F$348),"",IF(ISBLANK($F$348),"",$F$348))</f>
        <v/>
      </c>
      <c r="AC348" s="19">
        <f>IF(ISERROR($G$348),"",IF(ISBLANK($G$348),"",$G$348))</f>
        <v/>
      </c>
      <c r="AD348" s="19">
        <f>IF(ISERROR($H$348),"",IF(ISBLANK($H$348),"",$H$348))</f>
        <v/>
      </c>
      <c r="AG348" s="19">
        <f>ISERROR($B$348)*1+ISERROR($C$348)*1+ISERROR($D$348)*1+ISERROR($E$348)*1+ISERROR($F$348)*1+ISERROR($G$348)*1+ISERROR($H$348)*1</f>
        <v/>
      </c>
    </row>
    <row r="349"/>
    <row r="350" ht="20" customHeight="1">
      <c r="A350" s="12" t="inlineStr">
        <is>
          <t>Gerador de NPCs (aba NPCs) — Sugestão da planilha (H11) — 100 vagas por lista</t>
        </is>
      </c>
    </row>
    <row r="351">
      <c r="A351" s="11" t="inlineStr">
        <is>
          <t>Apague para trocar, use as vagas vazias para ampliar. Não insira linhas: o contador corrido pularia a linha nova.</t>
        </is>
      </c>
    </row>
    <row r="352">
      <c r="A352" s="7" t="inlineStr">
        <is>
          <t>Lista</t>
        </is>
      </c>
      <c r="B352" s="7" t="inlineStr">
        <is>
          <t>Ocupação (NPC)</t>
        </is>
      </c>
      <c r="C352" s="7" t="inlineStr">
        <is>
          <t>Traço de aparência</t>
        </is>
      </c>
      <c r="D352" s="7" t="inlineStr">
        <is>
          <t>Personalidade</t>
        </is>
      </c>
      <c r="E352" s="7" t="inlineStr">
        <is>
          <t>Motivação (sem Caminho)</t>
        </is>
      </c>
      <c r="F352" s="7" t="inlineStr">
        <is>
          <t>Segredo</t>
        </is>
      </c>
      <c r="G352" s="7" t="inlineStr">
        <is>
          <t>Maneirismo e voz</t>
        </is>
      </c>
      <c r="H352" s="7" t="inlineStr">
        <is>
          <t>Caminho do NPC (peso)</t>
        </is>
      </c>
      <c r="I352" s="7" t="inlineStr">
        <is>
          <t>Atitude com o grupo</t>
        </is>
      </c>
      <c r="J352" s="7" t="inlineStr">
        <is>
          <t>Gancho do NPC</t>
        </is>
      </c>
    </row>
    <row r="353" ht="37" customHeight="1">
      <c r="A353" s="8" t="inlineStr">
        <is>
          <t>Fonte</t>
        </is>
      </c>
      <c r="B353" s="13" t="inlineStr">
        <is>
          <t>Sugestão da planilha (H11)</t>
        </is>
      </c>
      <c r="C353" s="13" t="inlineStr">
        <is>
          <t>Sugestão da planilha (H11)</t>
        </is>
      </c>
      <c r="D353" s="13" t="inlineStr">
        <is>
          <t>Sugestão da planilha (H11)</t>
        </is>
      </c>
      <c r="E353" s="13" t="inlineStr">
        <is>
          <t>Sugestão da planilha (H11)</t>
        </is>
      </c>
      <c r="F353" s="13" t="inlineStr">
        <is>
          <t>Sugestão da planilha (H11)</t>
        </is>
      </c>
      <c r="G353" s="13" t="inlineStr">
        <is>
          <t>Sugestão da planilha (H11)</t>
        </is>
      </c>
      <c r="H353" s="13" t="inlineStr">
        <is>
          <t>Livro 06.3 + Sugestão da planilha (H11: Nenhum ×3, 27.12)</t>
        </is>
      </c>
      <c r="I353" s="13" t="inlineStr">
        <is>
          <t>Sugestão da planilha (H11)</t>
        </is>
      </c>
      <c r="J353" s="13" t="inlineStr">
        <is>
          <t>Sugestão da planilha (H11)</t>
        </is>
      </c>
    </row>
    <row r="354" ht="26" customHeight="1">
      <c r="A354" s="21" t="inlineStr">
        <is>
          <t>Tamanho da lista</t>
        </is>
      </c>
      <c r="B354" s="29">
        <f>N463</f>
        <v/>
      </c>
      <c r="C354" s="29">
        <f>O463</f>
        <v/>
      </c>
      <c r="D354" s="29">
        <f>P463</f>
        <v/>
      </c>
      <c r="E354" s="29">
        <f>Q463</f>
        <v/>
      </c>
      <c r="F354" s="29">
        <f>R463</f>
        <v/>
      </c>
      <c r="G354" s="29">
        <f>S463</f>
        <v/>
      </c>
      <c r="H354" s="29">
        <f>T463</f>
        <v/>
      </c>
      <c r="I354" s="29">
        <f>U463</f>
        <v/>
      </c>
      <c r="J354" s="29">
        <f>V463</f>
        <v/>
      </c>
    </row>
    <row r="355" ht="26" customHeight="1">
      <c r="A355" s="8" t="inlineStr">
        <is>
          <t>Aviso</t>
        </is>
      </c>
      <c r="B355" s="18">
        <f>IF(N463&gt;=100,"Lista cheia (100): use Minhas Tabelas para uma lista maior","")</f>
        <v/>
      </c>
      <c r="C355" s="18">
        <f>IF(O463&gt;=100,"Lista cheia (100): use Minhas Tabelas para uma lista maior","")</f>
        <v/>
      </c>
      <c r="D355" s="18">
        <f>IF(P463&gt;=100,"Lista cheia (100): use Minhas Tabelas para uma lista maior","")</f>
        <v/>
      </c>
      <c r="E355" s="18">
        <f>IF(Q463&gt;=100,"Lista cheia (100): use Minhas Tabelas para uma lista maior","")</f>
        <v/>
      </c>
      <c r="F355" s="18">
        <f>IF(R463&gt;=100,"Lista cheia (100): use Minhas Tabelas para uma lista maior","")</f>
        <v/>
      </c>
      <c r="G355" s="18">
        <f>IF(S463&gt;=100,"Lista cheia (100): use Minhas Tabelas para uma lista maior","")</f>
        <v/>
      </c>
      <c r="H355" s="18">
        <f>IF(T463&gt;=100,"Lista cheia (100): use Minhas Tabelas para uma lista maior","")</f>
        <v/>
      </c>
      <c r="I355" s="18">
        <f>IF(U463&gt;=100,"Lista cheia (100): use Minhas Tabelas para uma lista maior","")</f>
        <v/>
      </c>
      <c r="J355" s="18">
        <f>IF(V463&gt;=100,"Lista cheia (100): use Minhas Tabelas para uma lista maior","")</f>
        <v/>
      </c>
    </row>
    <row r="356" ht="15" customHeight="1">
      <c r="B356" s="7" t="inlineStr">
        <is>
          <t>Ocupação (NPC)</t>
        </is>
      </c>
      <c r="C356" s="7" t="inlineStr">
        <is>
          <t>Traço de aparência</t>
        </is>
      </c>
      <c r="D356" s="7" t="inlineStr">
        <is>
          <t>Personalidade</t>
        </is>
      </c>
      <c r="E356" s="7" t="inlineStr">
        <is>
          <t>Motivação (sem Caminho)</t>
        </is>
      </c>
      <c r="F356" s="7" t="inlineStr">
        <is>
          <t>Segredo</t>
        </is>
      </c>
      <c r="G356" s="7" t="inlineStr">
        <is>
          <t>Maneirismo e voz</t>
        </is>
      </c>
      <c r="H356" s="7" t="inlineStr">
        <is>
          <t>Caminho do NPC (peso)</t>
        </is>
      </c>
      <c r="I356" s="7" t="inlineStr">
        <is>
          <t>Atitude com o grupo</t>
        </is>
      </c>
      <c r="J356" s="7" t="inlineStr">
        <is>
          <t>Gancho do NPC</t>
        </is>
      </c>
      <c r="N356" s="19">
        <f>0</f>
        <v/>
      </c>
      <c r="O356" s="19">
        <f>0</f>
        <v/>
      </c>
      <c r="P356" s="19">
        <f>0</f>
        <v/>
      </c>
      <c r="Q356" s="19">
        <f>0</f>
        <v/>
      </c>
      <c r="R356" s="19">
        <f>0</f>
        <v/>
      </c>
      <c r="S356" s="19">
        <f>0</f>
        <v/>
      </c>
      <c r="T356" s="19">
        <f>0</f>
        <v/>
      </c>
      <c r="U356" s="19">
        <f>0</f>
        <v/>
      </c>
      <c r="V356" s="19">
        <f>0</f>
        <v/>
      </c>
    </row>
    <row r="357" ht="26" customHeight="1">
      <c r="B357" s="30" t="inlineStr">
        <is>
          <t>piloto de cargueiro</t>
        </is>
      </c>
      <c r="C357" s="3" t="inlineStr">
        <is>
          <t>cicatriz que atravessa a sobrancelha</t>
        </is>
      </c>
      <c r="D357" s="3" t="inlineStr">
        <is>
          <t>desconfiado, mas leal quando conquistado</t>
        </is>
      </c>
      <c r="E357" s="3" t="inlineStr">
        <is>
          <t>pagar uma dívida antes que a cobrança chegue</t>
        </is>
      </c>
      <c r="F357" s="3" t="inlineStr">
        <is>
          <t>trabalha em segredo para a Corporação</t>
        </is>
      </c>
      <c r="G357" s="3" t="inlineStr">
        <is>
          <t>fala baixo e obriga todos a se aproximarem</t>
        </is>
      </c>
      <c r="H357" s="3" t="inlineStr">
        <is>
          <t>A Destruição</t>
        </is>
      </c>
      <c r="I357" s="3" t="inlineStr">
        <is>
          <t>Hostil</t>
        </is>
      </c>
      <c r="J357" s="3" t="inlineStr">
        <is>
          <t>pede ajuda para tirar alguém de uma cela da Corporação</t>
        </is>
      </c>
      <c r="K357" s="18">
        <f>IF(AG357&gt;0,"O Google leu como fórmula: digite de novo com ' na frente.","")</f>
        <v/>
      </c>
      <c r="N357" s="19">
        <f>N356+IF(LEN($X$357)&gt;0,1,0)</f>
        <v/>
      </c>
      <c r="O357" s="19">
        <f>O356+IF(LEN($Y$357)&gt;0,1,0)</f>
        <v/>
      </c>
      <c r="P357" s="19">
        <f>P356+IF(LEN($Z$357)&gt;0,1,0)</f>
        <v/>
      </c>
      <c r="Q357" s="19">
        <f>Q356+IF(LEN($AA$357)&gt;0,1,0)</f>
        <v/>
      </c>
      <c r="R357" s="19">
        <f>R356+IF(LEN($AB$357)&gt;0,1,0)</f>
        <v/>
      </c>
      <c r="S357" s="19">
        <f>S356+IF(LEN($AC$357)&gt;0,1,0)</f>
        <v/>
      </c>
      <c r="T357" s="19">
        <f>T356+IF(LEN($AD$357)&gt;0,1,0)</f>
        <v/>
      </c>
      <c r="U357" s="19">
        <f>U356+IF(LEN($AE$357)&gt;0,1,0)</f>
        <v/>
      </c>
      <c r="V357" s="19">
        <f>V356+IF(LEN($AF$357)&gt;0,1,0)</f>
        <v/>
      </c>
      <c r="X357" s="19">
        <f>IF(ISERROR($B$357),"",IF(ISBLANK($B$357),"",$B$357))</f>
        <v/>
      </c>
      <c r="Y357" s="19">
        <f>IF(ISERROR($C$357),"",IF(ISBLANK($C$357),"",$C$357))</f>
        <v/>
      </c>
      <c r="Z357" s="19">
        <f>IF(ISERROR($D$357),"",IF(ISBLANK($D$357),"",$D$357))</f>
        <v/>
      </c>
      <c r="AA357" s="19">
        <f>IF(ISERROR($E$357),"",IF(ISBLANK($E$357),"",$E$357))</f>
        <v/>
      </c>
      <c r="AB357" s="19">
        <f>IF(ISERROR($F$357),"",IF(ISBLANK($F$357),"",$F$357))</f>
        <v/>
      </c>
      <c r="AC357" s="19">
        <f>IF(ISERROR($G$357),"",IF(ISBLANK($G$357),"",$G$357))</f>
        <v/>
      </c>
      <c r="AD357" s="19">
        <f>IF(ISERROR($H$357),"",IF(ISBLANK($H$357),"",$H$357))</f>
        <v/>
      </c>
      <c r="AE357" s="19">
        <f>IF(ISERROR($I$357),"",IF(ISBLANK($I$357),"",$I$357))</f>
        <v/>
      </c>
      <c r="AF357" s="19">
        <f>IF(ISERROR($J$357),"",IF(ISBLANK($J$357),"",$J$357))</f>
        <v/>
      </c>
      <c r="AG357" s="19">
        <f>ISERROR($B$357)*1+ISERROR($C$357)*1+ISERROR($D$357)*1+ISERROR($E$357)*1+ISERROR($F$357)*1+ISERROR($G$357)*1+ISERROR($H$357)*1+ISERROR($I$357)*1+ISERROR($J$357)*1</f>
        <v/>
      </c>
    </row>
    <row r="358" ht="26" customHeight="1">
      <c r="B358" s="31" t="inlineStr">
        <is>
          <t>mecânico de doca</t>
        </is>
      </c>
      <c r="C358" s="28" t="inlineStr">
        <is>
          <t>olhos de cores diferentes</t>
        </is>
      </c>
      <c r="D358" s="28" t="inlineStr">
        <is>
          <t>fala demais quando está nervoso</t>
        </is>
      </c>
      <c r="E358" s="28" t="inlineStr">
        <is>
          <t>encontrar um irmão desaparecido</t>
        </is>
      </c>
      <c r="F358" s="28" t="inlineStr">
        <is>
          <t>deve dinheiro a um Tolo Mascarado</t>
        </is>
      </c>
      <c r="G358" s="28" t="inlineStr">
        <is>
          <t>termina toda frase com uma pergunta</t>
        </is>
      </c>
      <c r="H358" s="28" t="inlineStr">
        <is>
          <t>A Inexistência</t>
        </is>
      </c>
      <c r="I358" s="28" t="inlineStr">
        <is>
          <t>Desconfiado</t>
        </is>
      </c>
      <c r="J358" s="28" t="inlineStr">
        <is>
          <t>oferece pagamento adiantado por uma escolta curta</t>
        </is>
      </c>
      <c r="K358" s="18">
        <f>IF(AG358&gt;0,"O Google leu como fórmula: digite de novo com ' na frente.","")</f>
        <v/>
      </c>
      <c r="N358" s="19">
        <f>N357+IF(LEN($X$358)&gt;0,1,0)</f>
        <v/>
      </c>
      <c r="O358" s="19">
        <f>O357+IF(LEN($Y$358)&gt;0,1,0)</f>
        <v/>
      </c>
      <c r="P358" s="19">
        <f>P357+IF(LEN($Z$358)&gt;0,1,0)</f>
        <v/>
      </c>
      <c r="Q358" s="19">
        <f>Q357+IF(LEN($AA$358)&gt;0,1,0)</f>
        <v/>
      </c>
      <c r="R358" s="19">
        <f>R357+IF(LEN($AB$358)&gt;0,1,0)</f>
        <v/>
      </c>
      <c r="S358" s="19">
        <f>S357+IF(LEN($AC$358)&gt;0,1,0)</f>
        <v/>
      </c>
      <c r="T358" s="19">
        <f>T357+IF(LEN($AD$358)&gt;0,1,0)</f>
        <v/>
      </c>
      <c r="U358" s="19">
        <f>U357+IF(LEN($AE$358)&gt;0,1,0)</f>
        <v/>
      </c>
      <c r="V358" s="19">
        <f>V357+IF(LEN($AF$358)&gt;0,1,0)</f>
        <v/>
      </c>
      <c r="X358" s="19">
        <f>IF(ISERROR($B$358),"",IF(ISBLANK($B$358),"",$B$358))</f>
        <v/>
      </c>
      <c r="Y358" s="19">
        <f>IF(ISERROR($C$358),"",IF(ISBLANK($C$358),"",$C$358))</f>
        <v/>
      </c>
      <c r="Z358" s="19">
        <f>IF(ISERROR($D$358),"",IF(ISBLANK($D$358),"",$D$358))</f>
        <v/>
      </c>
      <c r="AA358" s="19">
        <f>IF(ISERROR($E$358),"",IF(ISBLANK($E$358),"",$E$358))</f>
        <v/>
      </c>
      <c r="AB358" s="19">
        <f>IF(ISERROR($F$358),"",IF(ISBLANK($F$358),"",$F$358))</f>
        <v/>
      </c>
      <c r="AC358" s="19">
        <f>IF(ISERROR($G$358),"",IF(ISBLANK($G$358),"",$G$358))</f>
        <v/>
      </c>
      <c r="AD358" s="19">
        <f>IF(ISERROR($H$358),"",IF(ISBLANK($H$358),"",$H$358))</f>
        <v/>
      </c>
      <c r="AE358" s="19">
        <f>IF(ISERROR($I$358),"",IF(ISBLANK($I$358),"",$I$358))</f>
        <v/>
      </c>
      <c r="AF358" s="19">
        <f>IF(ISERROR($J$358),"",IF(ISBLANK($J$358),"",$J$358))</f>
        <v/>
      </c>
      <c r="AG358" s="19">
        <f>ISERROR($B$358)*1+ISERROR($C$358)*1+ISERROR($D$358)*1+ISERROR($E$358)*1+ISERROR($F$358)*1+ISERROR($G$358)*1+ISERROR($H$358)*1+ISERROR($I$358)*1+ISERROR($J$358)*1</f>
        <v/>
      </c>
    </row>
    <row r="359" ht="37" customHeight="1">
      <c r="B359" s="30" t="inlineStr">
        <is>
          <t>despachante de carga</t>
        </is>
      </c>
      <c r="C359" s="3" t="inlineStr">
        <is>
          <t>tatuagem de rota estelar no pescoço</t>
        </is>
      </c>
      <c r="D359" s="3" t="inlineStr">
        <is>
          <t>gentil com crianças e ríspido com adultos</t>
        </is>
      </c>
      <c r="E359" s="3" t="inlineStr">
        <is>
          <t>sair desta estação para sempre</t>
        </is>
      </c>
      <c r="F359" s="3" t="inlineStr">
        <is>
          <t>já foi soldado da Legião</t>
        </is>
      </c>
      <c r="G359" s="3" t="inlineStr">
        <is>
          <t>assobia quando mente</t>
        </is>
      </c>
      <c r="H359" s="3" t="inlineStr">
        <is>
          <t>A Harmonia</t>
        </is>
      </c>
      <c r="I359" s="3" t="inlineStr">
        <is>
          <t>Indiferente</t>
        </is>
      </c>
      <c r="J359" s="3" t="inlineStr">
        <is>
          <t>jura ter visto um dos personagens num lugar onde ele nunca esteve</t>
        </is>
      </c>
      <c r="K359" s="18">
        <f>IF(AG359&gt;0,"O Google leu como fórmula: digite de novo com ' na frente.","")</f>
        <v/>
      </c>
      <c r="N359" s="19">
        <f>N358+IF(LEN($X$359)&gt;0,1,0)</f>
        <v/>
      </c>
      <c r="O359" s="19">
        <f>O358+IF(LEN($Y$359)&gt;0,1,0)</f>
        <v/>
      </c>
      <c r="P359" s="19">
        <f>P358+IF(LEN($Z$359)&gt;0,1,0)</f>
        <v/>
      </c>
      <c r="Q359" s="19">
        <f>Q358+IF(LEN($AA$359)&gt;0,1,0)</f>
        <v/>
      </c>
      <c r="R359" s="19">
        <f>R358+IF(LEN($AB$359)&gt;0,1,0)</f>
        <v/>
      </c>
      <c r="S359" s="19">
        <f>S358+IF(LEN($AC$359)&gt;0,1,0)</f>
        <v/>
      </c>
      <c r="T359" s="19">
        <f>T358+IF(LEN($AD$359)&gt;0,1,0)</f>
        <v/>
      </c>
      <c r="U359" s="19">
        <f>U358+IF(LEN($AE$359)&gt;0,1,0)</f>
        <v/>
      </c>
      <c r="V359" s="19">
        <f>V358+IF(LEN($AF$359)&gt;0,1,0)</f>
        <v/>
      </c>
      <c r="X359" s="19">
        <f>IF(ISERROR($B$359),"",IF(ISBLANK($B$359),"",$B$359))</f>
        <v/>
      </c>
      <c r="Y359" s="19">
        <f>IF(ISERROR($C$359),"",IF(ISBLANK($C$359),"",$C$359))</f>
        <v/>
      </c>
      <c r="Z359" s="19">
        <f>IF(ISERROR($D$359),"",IF(ISBLANK($D$359),"",$D$359))</f>
        <v/>
      </c>
      <c r="AA359" s="19">
        <f>IF(ISERROR($E$359),"",IF(ISBLANK($E$359),"",$E$359))</f>
        <v/>
      </c>
      <c r="AB359" s="19">
        <f>IF(ISERROR($F$359),"",IF(ISBLANK($F$359),"",$F$359))</f>
        <v/>
      </c>
      <c r="AC359" s="19">
        <f>IF(ISERROR($G$359),"",IF(ISBLANK($G$359),"",$G$359))</f>
        <v/>
      </c>
      <c r="AD359" s="19">
        <f>IF(ISERROR($H$359),"",IF(ISBLANK($H$359),"",$H$359))</f>
        <v/>
      </c>
      <c r="AE359" s="19">
        <f>IF(ISERROR($I$359),"",IF(ISBLANK($I$359),"",$I$359))</f>
        <v/>
      </c>
      <c r="AF359" s="19">
        <f>IF(ISERROR($J$359),"",IF(ISBLANK($J$359),"",$J$359))</f>
        <v/>
      </c>
      <c r="AG359" s="19">
        <f>ISERROR($B$359)*1+ISERROR($C$359)*1+ISERROR($D$359)*1+ISERROR($E$359)*1+ISERROR($F$359)*1+ISERROR($G$359)*1+ISERROR($H$359)*1+ISERROR($I$359)*1+ISERROR($J$359)*1</f>
        <v/>
      </c>
    </row>
    <row r="360" ht="26" customHeight="1">
      <c r="B360" s="31" t="inlineStr">
        <is>
          <t>médico de bordo</t>
        </is>
      </c>
      <c r="C360" s="28" t="inlineStr">
        <is>
          <t>mãos manchadas de graxa</t>
        </is>
      </c>
      <c r="D360" s="28" t="inlineStr">
        <is>
          <t>orgulhoso e fácil de ofender</t>
        </is>
      </c>
      <c r="E360" s="28" t="inlineStr">
        <is>
          <t>provar que não é covarde</t>
        </is>
      </c>
      <c r="F360" s="28" t="inlineStr">
        <is>
          <t>carrega um fragmento de Stellaron sem saber</t>
        </is>
      </c>
      <c r="G360" s="28" t="inlineStr">
        <is>
          <t>conta dinheiro enquanto conversa</t>
        </is>
      </c>
      <c r="H360" s="28" t="inlineStr">
        <is>
          <t>A Abundância</t>
        </is>
      </c>
      <c r="I360" s="28" t="inlineStr">
        <is>
          <t>Cordial</t>
        </is>
      </c>
      <c r="J360" s="28" t="inlineStr">
        <is>
          <t>precisa entregar um pacote que não pode ser aberto</t>
        </is>
      </c>
      <c r="K360" s="18">
        <f>IF(AG360&gt;0,"O Google leu como fórmula: digite de novo com ' na frente.","")</f>
        <v/>
      </c>
      <c r="N360" s="19">
        <f>N359+IF(LEN($X$360)&gt;0,1,0)</f>
        <v/>
      </c>
      <c r="O360" s="19">
        <f>O359+IF(LEN($Y$360)&gt;0,1,0)</f>
        <v/>
      </c>
      <c r="P360" s="19">
        <f>P359+IF(LEN($Z$360)&gt;0,1,0)</f>
        <v/>
      </c>
      <c r="Q360" s="19">
        <f>Q359+IF(LEN($AA$360)&gt;0,1,0)</f>
        <v/>
      </c>
      <c r="R360" s="19">
        <f>R359+IF(LEN($AB$360)&gt;0,1,0)</f>
        <v/>
      </c>
      <c r="S360" s="19">
        <f>S359+IF(LEN($AC$360)&gt;0,1,0)</f>
        <v/>
      </c>
      <c r="T360" s="19">
        <f>T359+IF(LEN($AD$360)&gt;0,1,0)</f>
        <v/>
      </c>
      <c r="U360" s="19">
        <f>U359+IF(LEN($AE$360)&gt;0,1,0)</f>
        <v/>
      </c>
      <c r="V360" s="19">
        <f>V359+IF(LEN($AF$360)&gt;0,1,0)</f>
        <v/>
      </c>
      <c r="X360" s="19">
        <f>IF(ISERROR($B$360),"",IF(ISBLANK($B$360),"",$B$360))</f>
        <v/>
      </c>
      <c r="Y360" s="19">
        <f>IF(ISERROR($C$360),"",IF(ISBLANK($C$360),"",$C$360))</f>
        <v/>
      </c>
      <c r="Z360" s="19">
        <f>IF(ISERROR($D$360),"",IF(ISBLANK($D$360),"",$D$360))</f>
        <v/>
      </c>
      <c r="AA360" s="19">
        <f>IF(ISERROR($E$360),"",IF(ISBLANK($E$360),"",$E$360))</f>
        <v/>
      </c>
      <c r="AB360" s="19">
        <f>IF(ISERROR($F$360),"",IF(ISBLANK($F$360),"",$F$360))</f>
        <v/>
      </c>
      <c r="AC360" s="19">
        <f>IF(ISERROR($G$360),"",IF(ISBLANK($G$360),"",$G$360))</f>
        <v/>
      </c>
      <c r="AD360" s="19">
        <f>IF(ISERROR($H$360),"",IF(ISBLANK($H$360),"",$H$360))</f>
        <v/>
      </c>
      <c r="AE360" s="19">
        <f>IF(ISERROR($I$360),"",IF(ISBLANK($I$360),"",$I$360))</f>
        <v/>
      </c>
      <c r="AF360" s="19">
        <f>IF(ISERROR($J$360),"",IF(ISBLANK($J$360),"",$J$360))</f>
        <v/>
      </c>
      <c r="AG360" s="19">
        <f>ISERROR($B$360)*1+ISERROR($C$360)*1+ISERROR($D$360)*1+ISERROR($E$360)*1+ISERROR($F$360)*1+ISERROR($G$360)*1+ISERROR($H$360)*1+ISERROR($I$360)*1+ISERROR($J$360)*1</f>
        <v/>
      </c>
    </row>
    <row r="361" ht="26" customHeight="1">
      <c r="B361" s="30" t="inlineStr">
        <is>
          <t>comerciante de peças usadas</t>
        </is>
      </c>
      <c r="C361" s="3" t="inlineStr">
        <is>
          <t>cabelo trançado com fios de cobre</t>
        </is>
      </c>
      <c r="D361" s="3" t="inlineStr">
        <is>
          <t>calmo até a primeira mentira</t>
        </is>
      </c>
      <c r="E361" s="3" t="inlineStr">
        <is>
          <t>proteger o negócio da família</t>
        </is>
      </c>
      <c r="F361" s="3" t="inlineStr">
        <is>
          <t>matou alguém e nunca contou</t>
        </is>
      </c>
      <c r="G361" s="3" t="inlineStr">
        <is>
          <t>cita provérbios inventados</t>
        </is>
      </c>
      <c r="H361" s="3" t="inlineStr">
        <is>
          <t>A Recordação</t>
        </is>
      </c>
      <c r="I361" s="3" t="inlineStr">
        <is>
          <t>Prestativo</t>
        </is>
      </c>
      <c r="J361" s="3" t="inlineStr">
        <is>
          <t>quer que o grupo recupere uma carga roubada pela Legião</t>
        </is>
      </c>
      <c r="K361" s="18">
        <f>IF(AG361&gt;0,"O Google leu como fórmula: digite de novo com ' na frente.","")</f>
        <v/>
      </c>
      <c r="N361" s="19">
        <f>N360+IF(LEN($X$361)&gt;0,1,0)</f>
        <v/>
      </c>
      <c r="O361" s="19">
        <f>O360+IF(LEN($Y$361)&gt;0,1,0)</f>
        <v/>
      </c>
      <c r="P361" s="19">
        <f>P360+IF(LEN($Z$361)&gt;0,1,0)</f>
        <v/>
      </c>
      <c r="Q361" s="19">
        <f>Q360+IF(LEN($AA$361)&gt;0,1,0)</f>
        <v/>
      </c>
      <c r="R361" s="19">
        <f>R360+IF(LEN($AB$361)&gt;0,1,0)</f>
        <v/>
      </c>
      <c r="S361" s="19">
        <f>S360+IF(LEN($AC$361)&gt;0,1,0)</f>
        <v/>
      </c>
      <c r="T361" s="19">
        <f>T360+IF(LEN($AD$361)&gt;0,1,0)</f>
        <v/>
      </c>
      <c r="U361" s="19">
        <f>U360+IF(LEN($AE$361)&gt;0,1,0)</f>
        <v/>
      </c>
      <c r="V361" s="19">
        <f>V360+IF(LEN($AF$361)&gt;0,1,0)</f>
        <v/>
      </c>
      <c r="X361" s="19">
        <f>IF(ISERROR($B$361),"",IF(ISBLANK($B$361),"",$B$361))</f>
        <v/>
      </c>
      <c r="Y361" s="19">
        <f>IF(ISERROR($C$361),"",IF(ISBLANK($C$361),"",$C$361))</f>
        <v/>
      </c>
      <c r="Z361" s="19">
        <f>IF(ISERROR($D$361),"",IF(ISBLANK($D$361),"",$D$361))</f>
        <v/>
      </c>
      <c r="AA361" s="19">
        <f>IF(ISERROR($E$361),"",IF(ISBLANK($E$361),"",$E$361))</f>
        <v/>
      </c>
      <c r="AB361" s="19">
        <f>IF(ISERROR($F$361),"",IF(ISBLANK($F$361),"",$F$361))</f>
        <v/>
      </c>
      <c r="AC361" s="19">
        <f>IF(ISERROR($G$361),"",IF(ISBLANK($G$361),"",$G$361))</f>
        <v/>
      </c>
      <c r="AD361" s="19">
        <f>IF(ISERROR($H$361),"",IF(ISBLANK($H$361),"",$H$361))</f>
        <v/>
      </c>
      <c r="AE361" s="19">
        <f>IF(ISERROR($I$361),"",IF(ISBLANK($I$361),"",$I$361))</f>
        <v/>
      </c>
      <c r="AF361" s="19">
        <f>IF(ISERROR($J$361),"",IF(ISBLANK($J$361),"",$J$361))</f>
        <v/>
      </c>
      <c r="AG361" s="19">
        <f>ISERROR($B$361)*1+ISERROR($C$361)*1+ISERROR($D$361)*1+ISERROR($E$361)*1+ISERROR($F$361)*1+ISERROR($G$361)*1+ISERROR($H$361)*1+ISERROR($I$361)*1+ISERROR($J$361)*1</f>
        <v/>
      </c>
    </row>
    <row r="362" ht="26" customHeight="1">
      <c r="B362" s="31" t="inlineStr">
        <is>
          <t>contrabandista aposentado</t>
        </is>
      </c>
      <c r="C362" s="28" t="inlineStr">
        <is>
          <t>prótese de braço antiga e barulhenta</t>
        </is>
      </c>
      <c r="D362" s="28" t="inlineStr">
        <is>
          <t>curioso a ponto de se meter em perigo</t>
        </is>
      </c>
      <c r="E362" s="28" t="inlineStr">
        <is>
          <t>juntar dinheiro para uma prótese melhor</t>
        </is>
      </c>
      <c r="F362" s="28" t="inlineStr">
        <is>
          <t>não é quem diz ser</t>
        </is>
      </c>
      <c r="G362" s="28" t="inlineStr">
        <is>
          <t>ri antes de dar uma má notícia</t>
        </is>
      </c>
      <c r="H362" s="28" t="inlineStr">
        <is>
          <t>A Erudição</t>
        </is>
      </c>
      <c r="I362" s="28" t="n"/>
      <c r="J362" s="28" t="inlineStr">
        <is>
          <t>vende um mapa que parece verdadeiro demais</t>
        </is>
      </c>
      <c r="K362" s="18">
        <f>IF(AG362&gt;0,"O Google leu como fórmula: digite de novo com ' na frente.","")</f>
        <v/>
      </c>
      <c r="N362" s="19">
        <f>N361+IF(LEN($X$362)&gt;0,1,0)</f>
        <v/>
      </c>
      <c r="O362" s="19">
        <f>O361+IF(LEN($Y$362)&gt;0,1,0)</f>
        <v/>
      </c>
      <c r="P362" s="19">
        <f>P361+IF(LEN($Z$362)&gt;0,1,0)</f>
        <v/>
      </c>
      <c r="Q362" s="19">
        <f>Q361+IF(LEN($AA$362)&gt;0,1,0)</f>
        <v/>
      </c>
      <c r="R362" s="19">
        <f>R361+IF(LEN($AB$362)&gt;0,1,0)</f>
        <v/>
      </c>
      <c r="S362" s="19">
        <f>S361+IF(LEN($AC$362)&gt;0,1,0)</f>
        <v/>
      </c>
      <c r="T362" s="19">
        <f>T361+IF(LEN($AD$362)&gt;0,1,0)</f>
        <v/>
      </c>
      <c r="U362" s="19">
        <f>U361+IF(LEN($AE$362)&gt;0,1,0)</f>
        <v/>
      </c>
      <c r="V362" s="19">
        <f>V361+IF(LEN($AF$362)&gt;0,1,0)</f>
        <v/>
      </c>
      <c r="X362" s="19">
        <f>IF(ISERROR($B$362),"",IF(ISBLANK($B$362),"",$B$362))</f>
        <v/>
      </c>
      <c r="Y362" s="19">
        <f>IF(ISERROR($C$362),"",IF(ISBLANK($C$362),"",$C$362))</f>
        <v/>
      </c>
      <c r="Z362" s="19">
        <f>IF(ISERROR($D$362),"",IF(ISBLANK($D$362),"",$D$362))</f>
        <v/>
      </c>
      <c r="AA362" s="19">
        <f>IF(ISERROR($E$362),"",IF(ISBLANK($E$362),"",$E$362))</f>
        <v/>
      </c>
      <c r="AB362" s="19">
        <f>IF(ISERROR($F$362),"",IF(ISBLANK($F$362),"",$F$362))</f>
        <v/>
      </c>
      <c r="AC362" s="19">
        <f>IF(ISERROR($G$362),"",IF(ISBLANK($G$362),"",$G$362))</f>
        <v/>
      </c>
      <c r="AD362" s="19">
        <f>IF(ISERROR($H$362),"",IF(ISBLANK($H$362),"",$H$362))</f>
        <v/>
      </c>
      <c r="AE362" s="19">
        <f>IF(ISERROR($I$362),"",IF(ISBLANK($I$362),"",$I$362))</f>
        <v/>
      </c>
      <c r="AF362" s="19">
        <f>IF(ISERROR($J$362),"",IF(ISBLANK($J$362),"",$J$362))</f>
        <v/>
      </c>
      <c r="AG362" s="19">
        <f>ISERROR($B$362)*1+ISERROR($C$362)*1+ISERROR($D$362)*1+ISERROR($E$362)*1+ISERROR($F$362)*1+ISERROR($G$362)*1+ISERROR($H$362)*1+ISERROR($I$362)*1+ISERROR($J$362)*1</f>
        <v/>
      </c>
    </row>
    <row r="363" ht="26" customHeight="1">
      <c r="B363" s="30" t="inlineStr">
        <is>
          <t>arquivista da Frota de Jade</t>
        </is>
      </c>
      <c r="C363" s="3" t="inlineStr">
        <is>
          <t>sardas por todo o rosto</t>
        </is>
      </c>
      <c r="D363" s="3" t="inlineStr">
        <is>
          <t>pessimista que sempre ajuda mesmo assim</t>
        </is>
      </c>
      <c r="E363" s="3" t="inlineStr">
        <is>
          <t>limpar o próprio nome</t>
        </is>
      </c>
      <c r="F363" s="3" t="inlineStr">
        <is>
          <t>tem uma família em outro mundo</t>
        </is>
      </c>
      <c r="G363" s="3" t="inlineStr">
        <is>
          <t>nunca olha nos olhos</t>
        </is>
      </c>
      <c r="H363" s="3" t="inlineStr">
        <is>
          <t>A Euforia</t>
        </is>
      </c>
      <c r="I363" s="3" t="n"/>
      <c r="J363" s="3" t="inlineStr">
        <is>
          <t>pede que o grupo finja ser a sua família por uma noite</t>
        </is>
      </c>
      <c r="K363" s="18">
        <f>IF(AG363&gt;0,"O Google leu como fórmula: digite de novo com ' na frente.","")</f>
        <v/>
      </c>
      <c r="N363" s="19">
        <f>N362+IF(LEN($X$363)&gt;0,1,0)</f>
        <v/>
      </c>
      <c r="O363" s="19">
        <f>O362+IF(LEN($Y$363)&gt;0,1,0)</f>
        <v/>
      </c>
      <c r="P363" s="19">
        <f>P362+IF(LEN($Z$363)&gt;0,1,0)</f>
        <v/>
      </c>
      <c r="Q363" s="19">
        <f>Q362+IF(LEN($AA$363)&gt;0,1,0)</f>
        <v/>
      </c>
      <c r="R363" s="19">
        <f>R362+IF(LEN($AB$363)&gt;0,1,0)</f>
        <v/>
      </c>
      <c r="S363" s="19">
        <f>S362+IF(LEN($AC$363)&gt;0,1,0)</f>
        <v/>
      </c>
      <c r="T363" s="19">
        <f>T362+IF(LEN($AD$363)&gt;0,1,0)</f>
        <v/>
      </c>
      <c r="U363" s="19">
        <f>U362+IF(LEN($AE$363)&gt;0,1,0)</f>
        <v/>
      </c>
      <c r="V363" s="19">
        <f>V362+IF(LEN($AF$363)&gt;0,1,0)</f>
        <v/>
      </c>
      <c r="X363" s="19">
        <f>IF(ISERROR($B$363),"",IF(ISBLANK($B$363),"",$B$363))</f>
        <v/>
      </c>
      <c r="Y363" s="19">
        <f>IF(ISERROR($C$363),"",IF(ISBLANK($C$363),"",$C$363))</f>
        <v/>
      </c>
      <c r="Z363" s="19">
        <f>IF(ISERROR($D$363),"",IF(ISBLANK($D$363),"",$D$363))</f>
        <v/>
      </c>
      <c r="AA363" s="19">
        <f>IF(ISERROR($E$363),"",IF(ISBLANK($E$363),"",$E$363))</f>
        <v/>
      </c>
      <c r="AB363" s="19">
        <f>IF(ISERROR($F$363),"",IF(ISBLANK($F$363),"",$F$363))</f>
        <v/>
      </c>
      <c r="AC363" s="19">
        <f>IF(ISERROR($G$363),"",IF(ISBLANK($G$363),"",$G$363))</f>
        <v/>
      </c>
      <c r="AD363" s="19">
        <f>IF(ISERROR($H$363),"",IF(ISBLANK($H$363),"",$H$363))</f>
        <v/>
      </c>
      <c r="AE363" s="19">
        <f>IF(ISERROR($I$363),"",IF(ISBLANK($I$363),"",$I$363))</f>
        <v/>
      </c>
      <c r="AF363" s="19">
        <f>IF(ISERROR($J$363),"",IF(ISBLANK($J$363),"",$J$363))</f>
        <v/>
      </c>
      <c r="AG363" s="19">
        <f>ISERROR($B$363)*1+ISERROR($C$363)*1+ISERROR($D$363)*1+ISERROR($E$363)*1+ISERROR($F$363)*1+ISERROR($G$363)*1+ISERROR($H$363)*1+ISERROR($I$363)*1+ISERROR($J$363)*1</f>
        <v/>
      </c>
    </row>
    <row r="364" ht="26" customHeight="1">
      <c r="B364" s="31" t="inlineStr">
        <is>
          <t>cozinheiro de estação</t>
        </is>
      </c>
      <c r="C364" s="28" t="inlineStr">
        <is>
          <t>casaco grande demais</t>
        </is>
      </c>
      <c r="D364" s="28" t="inlineStr">
        <is>
          <t>brincalhão que esconde o medo</t>
        </is>
      </c>
      <c r="E364" s="28" t="inlineStr">
        <is>
          <t>ver o mar de verdade uma vez na vida</t>
        </is>
      </c>
      <c r="F364" s="28" t="inlineStr">
        <is>
          <t>roubou o próprio patrão</t>
        </is>
      </c>
      <c r="G364" s="28" t="inlineStr">
        <is>
          <t>estala os dedos quando pensa</t>
        </is>
      </c>
      <c r="H364" s="28" t="inlineStr">
        <is>
          <t>A Caça</t>
        </is>
      </c>
      <c r="I364" s="28" t="n"/>
      <c r="J364" s="28" t="inlineStr">
        <is>
          <t>tem uma dívida que só o grupo pode quitar</t>
        </is>
      </c>
      <c r="K364" s="18">
        <f>IF(AG364&gt;0,"O Google leu como fórmula: digite de novo com ' na frente.","")</f>
        <v/>
      </c>
      <c r="N364" s="19">
        <f>N363+IF(LEN($X$364)&gt;0,1,0)</f>
        <v/>
      </c>
      <c r="O364" s="19">
        <f>O363+IF(LEN($Y$364)&gt;0,1,0)</f>
        <v/>
      </c>
      <c r="P364" s="19">
        <f>P363+IF(LEN($Z$364)&gt;0,1,0)</f>
        <v/>
      </c>
      <c r="Q364" s="19">
        <f>Q363+IF(LEN($AA$364)&gt;0,1,0)</f>
        <v/>
      </c>
      <c r="R364" s="19">
        <f>R363+IF(LEN($AB$364)&gt;0,1,0)</f>
        <v/>
      </c>
      <c r="S364" s="19">
        <f>S363+IF(LEN($AC$364)&gt;0,1,0)</f>
        <v/>
      </c>
      <c r="T364" s="19">
        <f>T363+IF(LEN($AD$364)&gt;0,1,0)</f>
        <v/>
      </c>
      <c r="U364" s="19">
        <f>U363+IF(LEN($AE$364)&gt;0,1,0)</f>
        <v/>
      </c>
      <c r="V364" s="19">
        <f>V363+IF(LEN($AF$364)&gt;0,1,0)</f>
        <v/>
      </c>
      <c r="X364" s="19">
        <f>IF(ISERROR($B$364),"",IF(ISBLANK($B$364),"",$B$364))</f>
        <v/>
      </c>
      <c r="Y364" s="19">
        <f>IF(ISERROR($C$364),"",IF(ISBLANK($C$364),"",$C$364))</f>
        <v/>
      </c>
      <c r="Z364" s="19">
        <f>IF(ISERROR($D$364),"",IF(ISBLANK($D$364),"",$D$364))</f>
        <v/>
      </c>
      <c r="AA364" s="19">
        <f>IF(ISERROR($E$364),"",IF(ISBLANK($E$364),"",$E$364))</f>
        <v/>
      </c>
      <c r="AB364" s="19">
        <f>IF(ISERROR($F$364),"",IF(ISBLANK($F$364),"",$F$364))</f>
        <v/>
      </c>
      <c r="AC364" s="19">
        <f>IF(ISERROR($G$364),"",IF(ISBLANK($G$364),"",$G$364))</f>
        <v/>
      </c>
      <c r="AD364" s="19">
        <f>IF(ISERROR($H$364),"",IF(ISBLANK($H$364),"",$H$364))</f>
        <v/>
      </c>
      <c r="AE364" s="19">
        <f>IF(ISERROR($I$364),"",IF(ISBLANK($I$364),"",$I$364))</f>
        <v/>
      </c>
      <c r="AF364" s="19">
        <f>IF(ISERROR($J$364),"",IF(ISBLANK($J$364),"",$J$364))</f>
        <v/>
      </c>
      <c r="AG364" s="19">
        <f>ISERROR($B$364)*1+ISERROR($C$364)*1+ISERROR($D$364)*1+ISERROR($E$364)*1+ISERROR($F$364)*1+ISERROR($G$364)*1+ISERROR($H$364)*1+ISERROR($I$364)*1+ISERROR($J$364)*1</f>
        <v/>
      </c>
    </row>
    <row r="365" ht="26" customHeight="1">
      <c r="B365" s="30" t="inlineStr">
        <is>
          <t>guarda de alfândega</t>
        </is>
      </c>
      <c r="C365" s="3" t="inlineStr">
        <is>
          <t>anéis em todos os dedos</t>
        </is>
      </c>
      <c r="D365" s="3" t="inlineStr">
        <is>
          <t>metódico, anota tudo</t>
        </is>
      </c>
      <c r="E365" s="3" t="inlineStr">
        <is>
          <t>esquecer alguém</t>
        </is>
      </c>
      <c r="F365" s="3" t="inlineStr">
        <is>
          <t>foi tocado de leve pelo Fragmentum</t>
        </is>
      </c>
      <c r="G365" s="3" t="inlineStr">
        <is>
          <t>chama todo mundo de chefe</t>
        </is>
      </c>
      <c r="H365" s="3" t="inlineStr">
        <is>
          <t>A Preservação</t>
        </is>
      </c>
      <c r="I365" s="3" t="n"/>
      <c r="J365" s="3" t="inlineStr">
        <is>
          <t>conhece um atalho pelos dutos abandonados</t>
        </is>
      </c>
      <c r="K365" s="18">
        <f>IF(AG365&gt;0,"O Google leu como fórmula: digite de novo com ' na frente.","")</f>
        <v/>
      </c>
      <c r="N365" s="19">
        <f>N364+IF(LEN($X$365)&gt;0,1,0)</f>
        <v/>
      </c>
      <c r="O365" s="19">
        <f>O364+IF(LEN($Y$365)&gt;0,1,0)</f>
        <v/>
      </c>
      <c r="P365" s="19">
        <f>P364+IF(LEN($Z$365)&gt;0,1,0)</f>
        <v/>
      </c>
      <c r="Q365" s="19">
        <f>Q364+IF(LEN($AA$365)&gt;0,1,0)</f>
        <v/>
      </c>
      <c r="R365" s="19">
        <f>R364+IF(LEN($AB$365)&gt;0,1,0)</f>
        <v/>
      </c>
      <c r="S365" s="19">
        <f>S364+IF(LEN($AC$365)&gt;0,1,0)</f>
        <v/>
      </c>
      <c r="T365" s="19">
        <f>T364+IF(LEN($AD$365)&gt;0,1,0)</f>
        <v/>
      </c>
      <c r="U365" s="19">
        <f>U364+IF(LEN($AE$365)&gt;0,1,0)</f>
        <v/>
      </c>
      <c r="V365" s="19">
        <f>V364+IF(LEN($AF$365)&gt;0,1,0)</f>
        <v/>
      </c>
      <c r="X365" s="19">
        <f>IF(ISERROR($B$365),"",IF(ISBLANK($B$365),"",$B$365))</f>
        <v/>
      </c>
      <c r="Y365" s="19">
        <f>IF(ISERROR($C$365),"",IF(ISBLANK($C$365),"",$C$365))</f>
        <v/>
      </c>
      <c r="Z365" s="19">
        <f>IF(ISERROR($D$365),"",IF(ISBLANK($D$365),"",$D$365))</f>
        <v/>
      </c>
      <c r="AA365" s="19">
        <f>IF(ISERROR($E$365),"",IF(ISBLANK($E$365),"",$E$365))</f>
        <v/>
      </c>
      <c r="AB365" s="19">
        <f>IF(ISERROR($F$365),"",IF(ISBLANK($F$365),"",$F$365))</f>
        <v/>
      </c>
      <c r="AC365" s="19">
        <f>IF(ISERROR($G$365),"",IF(ISBLANK($G$365),"",$G$365))</f>
        <v/>
      </c>
      <c r="AD365" s="19">
        <f>IF(ISERROR($H$365),"",IF(ISBLANK($H$365),"",$H$365))</f>
        <v/>
      </c>
      <c r="AE365" s="19">
        <f>IF(ISERROR($I$365),"",IF(ISBLANK($I$365),"",$I$365))</f>
        <v/>
      </c>
      <c r="AF365" s="19">
        <f>IF(ISERROR($J$365),"",IF(ISBLANK($J$365),"",$J$365))</f>
        <v/>
      </c>
      <c r="AG365" s="19">
        <f>ISERROR($B$365)*1+ISERROR($C$365)*1+ISERROR($D$365)*1+ISERROR($E$365)*1+ISERROR($F$365)*1+ISERROR($G$365)*1+ISERROR($H$365)*1+ISERROR($I$365)*1+ISERROR($J$365)*1</f>
        <v/>
      </c>
    </row>
    <row r="366" ht="26" customHeight="1">
      <c r="B366" s="31" t="inlineStr">
        <is>
          <t>minerador de asteroide</t>
        </is>
      </c>
      <c r="C366" s="28" t="inlineStr">
        <is>
          <t>óculos remendados com fita</t>
        </is>
      </c>
      <c r="D366" s="28" t="inlineStr">
        <is>
          <t>generoso com o dinheiro dos outros</t>
        </is>
      </c>
      <c r="E366" s="28" t="inlineStr">
        <is>
          <t>ser lembrado por algo bom</t>
        </is>
      </c>
      <c r="F366" s="28" t="inlineStr">
        <is>
          <t>sabe onde está um carregamento desaparecido</t>
        </is>
      </c>
      <c r="G366" s="28" t="inlineStr">
        <is>
          <t>fala de si na terceira pessoa</t>
        </is>
      </c>
      <c r="H366" s="28" t="inlineStr">
        <is>
          <t>Nenhum</t>
        </is>
      </c>
      <c r="I366" s="28" t="n"/>
      <c r="J366" s="28" t="inlineStr">
        <is>
          <t>procura um médico que não faça perguntas</t>
        </is>
      </c>
      <c r="K366" s="18">
        <f>IF(AG366&gt;0,"O Google leu como fórmula: digite de novo com ' na frente.","")</f>
        <v/>
      </c>
      <c r="N366" s="19">
        <f>N365+IF(LEN($X$366)&gt;0,1,0)</f>
        <v/>
      </c>
      <c r="O366" s="19">
        <f>O365+IF(LEN($Y$366)&gt;0,1,0)</f>
        <v/>
      </c>
      <c r="P366" s="19">
        <f>P365+IF(LEN($Z$366)&gt;0,1,0)</f>
        <v/>
      </c>
      <c r="Q366" s="19">
        <f>Q365+IF(LEN($AA$366)&gt;0,1,0)</f>
        <v/>
      </c>
      <c r="R366" s="19">
        <f>R365+IF(LEN($AB$366)&gt;0,1,0)</f>
        <v/>
      </c>
      <c r="S366" s="19">
        <f>S365+IF(LEN($AC$366)&gt;0,1,0)</f>
        <v/>
      </c>
      <c r="T366" s="19">
        <f>T365+IF(LEN($AD$366)&gt;0,1,0)</f>
        <v/>
      </c>
      <c r="U366" s="19">
        <f>U365+IF(LEN($AE$366)&gt;0,1,0)</f>
        <v/>
      </c>
      <c r="V366" s="19">
        <f>V365+IF(LEN($AF$366)&gt;0,1,0)</f>
        <v/>
      </c>
      <c r="X366" s="19">
        <f>IF(ISERROR($B$366),"",IF(ISBLANK($B$366),"",$B$366))</f>
        <v/>
      </c>
      <c r="Y366" s="19">
        <f>IF(ISERROR($C$366),"",IF(ISBLANK($C$366),"",$C$366))</f>
        <v/>
      </c>
      <c r="Z366" s="19">
        <f>IF(ISERROR($D$366),"",IF(ISBLANK($D$366),"",$D$366))</f>
        <v/>
      </c>
      <c r="AA366" s="19">
        <f>IF(ISERROR($E$366),"",IF(ISBLANK($E$366),"",$E$366))</f>
        <v/>
      </c>
      <c r="AB366" s="19">
        <f>IF(ISERROR($F$366),"",IF(ISBLANK($F$366),"",$F$366))</f>
        <v/>
      </c>
      <c r="AC366" s="19">
        <f>IF(ISERROR($G$366),"",IF(ISBLANK($G$366),"",$G$366))</f>
        <v/>
      </c>
      <c r="AD366" s="19">
        <f>IF(ISERROR($H$366),"",IF(ISBLANK($H$366),"",$H$366))</f>
        <v/>
      </c>
      <c r="AE366" s="19">
        <f>IF(ISERROR($I$366),"",IF(ISBLANK($I$366),"",$I$366))</f>
        <v/>
      </c>
      <c r="AF366" s="19">
        <f>IF(ISERROR($J$366),"",IF(ISBLANK($J$366),"",$J$366))</f>
        <v/>
      </c>
      <c r="AG366" s="19">
        <f>ISERROR($B$366)*1+ISERROR($C$366)*1+ISERROR($D$366)*1+ISERROR($E$366)*1+ISERROR($F$366)*1+ISERROR($G$366)*1+ISERROR($H$366)*1+ISERROR($I$366)*1+ISERROR($J$366)*1</f>
        <v/>
      </c>
    </row>
    <row r="367" ht="26" customHeight="1">
      <c r="B367" s="30" t="inlineStr">
        <is>
          <t>cartógrafo de rotas</t>
        </is>
      </c>
      <c r="C367" s="3" t="inlineStr">
        <is>
          <t>dentes de metal</t>
        </is>
      </c>
      <c r="D367" s="3" t="inlineStr">
        <is>
          <t>ansioso, sempre olhando o relógio</t>
        </is>
      </c>
      <c r="E367" s="3" t="inlineStr">
        <is>
          <t>vingar um amigo</t>
        </is>
      </c>
      <c r="F367" s="3" t="inlineStr">
        <is>
          <t>é informante dos Caçadores de Stellaron</t>
        </is>
      </c>
      <c r="G367" s="3" t="inlineStr">
        <is>
          <t>repete a última palavra de quem falou</t>
        </is>
      </c>
      <c r="H367" s="3" t="inlineStr">
        <is>
          <t>Nenhum</t>
        </is>
      </c>
      <c r="I367" s="3" t="n"/>
      <c r="J367" s="3" t="inlineStr">
        <is>
          <t>quer comprar um objeto que o grupo carrega</t>
        </is>
      </c>
      <c r="K367" s="18">
        <f>IF(AG367&gt;0,"O Google leu como fórmula: digite de novo com ' na frente.","")</f>
        <v/>
      </c>
      <c r="N367" s="19">
        <f>N366+IF(LEN($X$367)&gt;0,1,0)</f>
        <v/>
      </c>
      <c r="O367" s="19">
        <f>O366+IF(LEN($Y$367)&gt;0,1,0)</f>
        <v/>
      </c>
      <c r="P367" s="19">
        <f>P366+IF(LEN($Z$367)&gt;0,1,0)</f>
        <v/>
      </c>
      <c r="Q367" s="19">
        <f>Q366+IF(LEN($AA$367)&gt;0,1,0)</f>
        <v/>
      </c>
      <c r="R367" s="19">
        <f>R366+IF(LEN($AB$367)&gt;0,1,0)</f>
        <v/>
      </c>
      <c r="S367" s="19">
        <f>S366+IF(LEN($AC$367)&gt;0,1,0)</f>
        <v/>
      </c>
      <c r="T367" s="19">
        <f>T366+IF(LEN($AD$367)&gt;0,1,0)</f>
        <v/>
      </c>
      <c r="U367" s="19">
        <f>U366+IF(LEN($AE$367)&gt;0,1,0)</f>
        <v/>
      </c>
      <c r="V367" s="19">
        <f>V366+IF(LEN($AF$367)&gt;0,1,0)</f>
        <v/>
      </c>
      <c r="X367" s="19">
        <f>IF(ISERROR($B$367),"",IF(ISBLANK($B$367),"",$B$367))</f>
        <v/>
      </c>
      <c r="Y367" s="19">
        <f>IF(ISERROR($C$367),"",IF(ISBLANK($C$367),"",$C$367))</f>
        <v/>
      </c>
      <c r="Z367" s="19">
        <f>IF(ISERROR($D$367),"",IF(ISBLANK($D$367),"",$D$367))</f>
        <v/>
      </c>
      <c r="AA367" s="19">
        <f>IF(ISERROR($E$367),"",IF(ISBLANK($E$367),"",$E$367))</f>
        <v/>
      </c>
      <c r="AB367" s="19">
        <f>IF(ISERROR($F$367),"",IF(ISBLANK($F$367),"",$F$367))</f>
        <v/>
      </c>
      <c r="AC367" s="19">
        <f>IF(ISERROR($G$367),"",IF(ISBLANK($G$367),"",$G$367))</f>
        <v/>
      </c>
      <c r="AD367" s="19">
        <f>IF(ISERROR($H$367),"",IF(ISBLANK($H$367),"",$H$367))</f>
        <v/>
      </c>
      <c r="AE367" s="19">
        <f>IF(ISERROR($I$367),"",IF(ISBLANK($I$367),"",$I$367))</f>
        <v/>
      </c>
      <c r="AF367" s="19">
        <f>IF(ISERROR($J$367),"",IF(ISBLANK($J$367),"",$J$367))</f>
        <v/>
      </c>
      <c r="AG367" s="19">
        <f>ISERROR($B$367)*1+ISERROR($C$367)*1+ISERROR($D$367)*1+ISERROR($E$367)*1+ISERROR($F$367)*1+ISERROR($G$367)*1+ISERROR($H$367)*1+ISERROR($I$367)*1+ISERROR($J$367)*1</f>
        <v/>
      </c>
    </row>
    <row r="368" ht="26" customHeight="1">
      <c r="B368" s="31" t="inlineStr">
        <is>
          <t>tradutor de dialetos</t>
        </is>
      </c>
      <c r="C368" s="28" t="inlineStr">
        <is>
          <t>pele queimada pelo sol de outro mundo</t>
        </is>
      </c>
      <c r="D368" s="28" t="inlineStr">
        <is>
          <t>cínico com a Corporação</t>
        </is>
      </c>
      <c r="E368" s="28" t="inlineStr">
        <is>
          <t>subir na hierarquia</t>
        </is>
      </c>
      <c r="F368" s="28" t="inlineStr">
        <is>
          <t>foi curado pelos Cavaleiros da Beleza e voltou diferente</t>
        </is>
      </c>
      <c r="G368" s="28" t="inlineStr">
        <is>
          <t>gagueja diante de quem tem patente</t>
        </is>
      </c>
      <c r="H368" s="28" t="inlineStr">
        <is>
          <t>Nenhum</t>
        </is>
      </c>
      <c r="I368" s="28" t="n"/>
      <c r="J368" s="28" t="inlineStr">
        <is>
          <t>pede proteção contra alguém que não quer nomear</t>
        </is>
      </c>
      <c r="K368" s="18">
        <f>IF(AG368&gt;0,"O Google leu como fórmula: digite de novo com ' na frente.","")</f>
        <v/>
      </c>
      <c r="N368" s="19">
        <f>N367+IF(LEN($X$368)&gt;0,1,0)</f>
        <v/>
      </c>
      <c r="O368" s="19">
        <f>O367+IF(LEN($Y$368)&gt;0,1,0)</f>
        <v/>
      </c>
      <c r="P368" s="19">
        <f>P367+IF(LEN($Z$368)&gt;0,1,0)</f>
        <v/>
      </c>
      <c r="Q368" s="19">
        <f>Q367+IF(LEN($AA$368)&gt;0,1,0)</f>
        <v/>
      </c>
      <c r="R368" s="19">
        <f>R367+IF(LEN($AB$368)&gt;0,1,0)</f>
        <v/>
      </c>
      <c r="S368" s="19">
        <f>S367+IF(LEN($AC$368)&gt;0,1,0)</f>
        <v/>
      </c>
      <c r="T368" s="19">
        <f>T367+IF(LEN($AD$368)&gt;0,1,0)</f>
        <v/>
      </c>
      <c r="U368" s="19">
        <f>U367+IF(LEN($AE$368)&gt;0,1,0)</f>
        <v/>
      </c>
      <c r="V368" s="19">
        <f>V367+IF(LEN($AF$368)&gt;0,1,0)</f>
        <v/>
      </c>
      <c r="X368" s="19">
        <f>IF(ISERROR($B$368),"",IF(ISBLANK($B$368),"",$B$368))</f>
        <v/>
      </c>
      <c r="Y368" s="19">
        <f>IF(ISERROR($C$368),"",IF(ISBLANK($C$368),"",$C$368))</f>
        <v/>
      </c>
      <c r="Z368" s="19">
        <f>IF(ISERROR($D$368),"",IF(ISBLANK($D$368),"",$D$368))</f>
        <v/>
      </c>
      <c r="AA368" s="19">
        <f>IF(ISERROR($E$368),"",IF(ISBLANK($E$368),"",$E$368))</f>
        <v/>
      </c>
      <c r="AB368" s="19">
        <f>IF(ISERROR($F$368),"",IF(ISBLANK($F$368),"",$F$368))</f>
        <v/>
      </c>
      <c r="AC368" s="19">
        <f>IF(ISERROR($G$368),"",IF(ISBLANK($G$368),"",$G$368))</f>
        <v/>
      </c>
      <c r="AD368" s="19">
        <f>IF(ISERROR($H$368),"",IF(ISBLANK($H$368),"",$H$368))</f>
        <v/>
      </c>
      <c r="AE368" s="19">
        <f>IF(ISERROR($I$368),"",IF(ISBLANK($I$368),"",$I$368))</f>
        <v/>
      </c>
      <c r="AF368" s="19">
        <f>IF(ISERROR($J$368),"",IF(ISBLANK($J$368),"",$J$368))</f>
        <v/>
      </c>
      <c r="AG368" s="19">
        <f>ISERROR($B$368)*1+ISERROR($C$368)*1+ISERROR($D$368)*1+ISERROR($E$368)*1+ISERROR($F$368)*1+ISERROR($G$368)*1+ISERROR($H$368)*1+ISERROR($I$368)*1+ISERROR($J$368)*1</f>
        <v/>
      </c>
    </row>
    <row r="369" ht="26" customHeight="1">
      <c r="B369" s="30" t="inlineStr">
        <is>
          <t>jornalista independente</t>
        </is>
      </c>
      <c r="C369" s="3" t="inlineStr">
        <is>
          <t>sempre de luvas</t>
        </is>
      </c>
      <c r="D369" s="3" t="inlineStr">
        <is>
          <t>romântico incurável</t>
        </is>
      </c>
      <c r="E369" s="3" t="inlineStr">
        <is>
          <t>manter um segredo enterrado</t>
        </is>
      </c>
      <c r="F369" s="3" t="inlineStr">
        <is>
          <t>vende informação para os dois lados</t>
        </is>
      </c>
      <c r="G369" s="3" t="inlineStr">
        <is>
          <t>canta baixinho sem perceber</t>
        </is>
      </c>
      <c r="H369" s="3" t="n"/>
      <c r="I369" s="3" t="n"/>
      <c r="J369" s="3" t="inlineStr">
        <is>
          <t>promete uma informação em troca de um favor</t>
        </is>
      </c>
      <c r="K369" s="18">
        <f>IF(AG369&gt;0,"O Google leu como fórmula: digite de novo com ' na frente.","")</f>
        <v/>
      </c>
      <c r="N369" s="19">
        <f>N368+IF(LEN($X$369)&gt;0,1,0)</f>
        <v/>
      </c>
      <c r="O369" s="19">
        <f>O368+IF(LEN($Y$369)&gt;0,1,0)</f>
        <v/>
      </c>
      <c r="P369" s="19">
        <f>P368+IF(LEN($Z$369)&gt;0,1,0)</f>
        <v/>
      </c>
      <c r="Q369" s="19">
        <f>Q368+IF(LEN($AA$369)&gt;0,1,0)</f>
        <v/>
      </c>
      <c r="R369" s="19">
        <f>R368+IF(LEN($AB$369)&gt;0,1,0)</f>
        <v/>
      </c>
      <c r="S369" s="19">
        <f>S368+IF(LEN($AC$369)&gt;0,1,0)</f>
        <v/>
      </c>
      <c r="T369" s="19">
        <f>T368+IF(LEN($AD$369)&gt;0,1,0)</f>
        <v/>
      </c>
      <c r="U369" s="19">
        <f>U368+IF(LEN($AE$369)&gt;0,1,0)</f>
        <v/>
      </c>
      <c r="V369" s="19">
        <f>V368+IF(LEN($AF$369)&gt;0,1,0)</f>
        <v/>
      </c>
      <c r="X369" s="19">
        <f>IF(ISERROR($B$369),"",IF(ISBLANK($B$369),"",$B$369))</f>
        <v/>
      </c>
      <c r="Y369" s="19">
        <f>IF(ISERROR($C$369),"",IF(ISBLANK($C$369),"",$C$369))</f>
        <v/>
      </c>
      <c r="Z369" s="19">
        <f>IF(ISERROR($D$369),"",IF(ISBLANK($D$369),"",$D$369))</f>
        <v/>
      </c>
      <c r="AA369" s="19">
        <f>IF(ISERROR($E$369),"",IF(ISBLANK($E$369),"",$E$369))</f>
        <v/>
      </c>
      <c r="AB369" s="19">
        <f>IF(ISERROR($F$369),"",IF(ISBLANK($F$369),"",$F$369))</f>
        <v/>
      </c>
      <c r="AC369" s="19">
        <f>IF(ISERROR($G$369),"",IF(ISBLANK($G$369),"",$G$369))</f>
        <v/>
      </c>
      <c r="AD369" s="19">
        <f>IF(ISERROR($H$369),"",IF(ISBLANK($H$369),"",$H$369))</f>
        <v/>
      </c>
      <c r="AE369" s="19">
        <f>IF(ISERROR($I$369),"",IF(ISBLANK($I$369),"",$I$369))</f>
        <v/>
      </c>
      <c r="AF369" s="19">
        <f>IF(ISERROR($J$369),"",IF(ISBLANK($J$369),"",$J$369))</f>
        <v/>
      </c>
      <c r="AG369" s="19">
        <f>ISERROR($B$369)*1+ISERROR($C$369)*1+ISERROR($D$369)*1+ISERROR($E$369)*1+ISERROR($F$369)*1+ISERROR($G$369)*1+ISERROR($H$369)*1+ISERROR($I$369)*1+ISERROR($J$369)*1</f>
        <v/>
      </c>
    </row>
    <row r="370" ht="15" customHeight="1">
      <c r="B370" s="7" t="inlineStr">
        <is>
          <t>Ocupação (NPC)</t>
        </is>
      </c>
      <c r="C370" s="7" t="inlineStr">
        <is>
          <t>Traço de aparência</t>
        </is>
      </c>
      <c r="D370" s="7" t="inlineStr">
        <is>
          <t>Personalidade</t>
        </is>
      </c>
      <c r="E370" s="7" t="inlineStr">
        <is>
          <t>Motivação (sem Caminho)</t>
        </is>
      </c>
      <c r="F370" s="7" t="inlineStr">
        <is>
          <t>Segredo</t>
        </is>
      </c>
      <c r="G370" s="7" t="inlineStr">
        <is>
          <t>Maneirismo e voz</t>
        </is>
      </c>
      <c r="H370" s="7" t="inlineStr">
        <is>
          <t>Caminho do NPC (peso)</t>
        </is>
      </c>
      <c r="I370" s="7" t="inlineStr">
        <is>
          <t>Atitude com o grupo</t>
        </is>
      </c>
      <c r="J370" s="7" t="inlineStr">
        <is>
          <t>Gancho do NPC</t>
        </is>
      </c>
      <c r="N370" s="19">
        <f>N369</f>
        <v/>
      </c>
      <c r="O370" s="19">
        <f>O369</f>
        <v/>
      </c>
      <c r="P370" s="19">
        <f>P369</f>
        <v/>
      </c>
      <c r="Q370" s="19">
        <f>Q369</f>
        <v/>
      </c>
      <c r="R370" s="19">
        <f>R369</f>
        <v/>
      </c>
      <c r="S370" s="19">
        <f>S369</f>
        <v/>
      </c>
      <c r="T370" s="19">
        <f>T369</f>
        <v/>
      </c>
      <c r="U370" s="19">
        <f>U369</f>
        <v/>
      </c>
      <c r="V370" s="19">
        <f>V369</f>
        <v/>
      </c>
      <c r="X370" s="19">
        <f>IF(ISERROR($B$370),"",IF(ISBLANK($B$370),"",$B$370))</f>
        <v/>
      </c>
      <c r="Y370" s="19">
        <f>IF(ISERROR($C$370),"",IF(ISBLANK($C$370),"",$C$370))</f>
        <v/>
      </c>
      <c r="Z370" s="19">
        <f>IF(ISERROR($D$370),"",IF(ISBLANK($D$370),"",$D$370))</f>
        <v/>
      </c>
      <c r="AA370" s="19">
        <f>IF(ISERROR($E$370),"",IF(ISBLANK($E$370),"",$E$370))</f>
        <v/>
      </c>
      <c r="AB370" s="19">
        <f>IF(ISERROR($F$370),"",IF(ISBLANK($F$370),"",$F$370))</f>
        <v/>
      </c>
      <c r="AC370" s="19">
        <f>IF(ISERROR($G$370),"",IF(ISBLANK($G$370),"",$G$370))</f>
        <v/>
      </c>
      <c r="AD370" s="19">
        <f>IF(ISERROR($H$370),"",IF(ISBLANK($H$370),"",$H$370))</f>
        <v/>
      </c>
      <c r="AE370" s="19">
        <f>IF(ISERROR($I$370),"",IF(ISBLANK($I$370),"",$I$370))</f>
        <v/>
      </c>
      <c r="AF370" s="19">
        <f>IF(ISERROR($J$370),"",IF(ISBLANK($J$370),"",$J$370))</f>
        <v/>
      </c>
    </row>
    <row r="371" ht="26" customHeight="1">
      <c r="B371" s="30" t="inlineStr">
        <is>
          <t>sacerdote de um Aeon esquecido</t>
        </is>
      </c>
      <c r="C371" s="3" t="inlineStr">
        <is>
          <t>cheiro forte de óleo de motor</t>
        </is>
      </c>
      <c r="D371" s="3" t="inlineStr">
        <is>
          <t>vaidoso e inseguro</t>
        </is>
      </c>
      <c r="E371" s="3" t="inlineStr">
        <is>
          <t>curar uma doença que ninguém sabe nomear</t>
        </is>
      </c>
      <c r="F371" s="3" t="inlineStr">
        <is>
          <t>tem medo de máquinas, mas trabalha com elas</t>
        </is>
      </c>
      <c r="G371" s="3" t="inlineStr">
        <is>
          <t>mexe num amuleto o tempo todo</t>
        </is>
      </c>
      <c r="H371" s="3" t="n"/>
      <c r="I371" s="3" t="n"/>
      <c r="J371" s="3" t="inlineStr">
        <is>
          <t>foi testemunha de algo e agora é caçado</t>
        </is>
      </c>
      <c r="K371" s="18">
        <f>IF(AG371&gt;0,"O Google leu como fórmula: digite de novo com ' na frente.","")</f>
        <v/>
      </c>
      <c r="N371" s="19">
        <f>N370+IF(LEN($X$371)&gt;0,1,0)</f>
        <v/>
      </c>
      <c r="O371" s="19">
        <f>O370+IF(LEN($Y$371)&gt;0,1,0)</f>
        <v/>
      </c>
      <c r="P371" s="19">
        <f>P370+IF(LEN($Z$371)&gt;0,1,0)</f>
        <v/>
      </c>
      <c r="Q371" s="19">
        <f>Q370+IF(LEN($AA$371)&gt;0,1,0)</f>
        <v/>
      </c>
      <c r="R371" s="19">
        <f>R370+IF(LEN($AB$371)&gt;0,1,0)</f>
        <v/>
      </c>
      <c r="S371" s="19">
        <f>S370+IF(LEN($AC$371)&gt;0,1,0)</f>
        <v/>
      </c>
      <c r="T371" s="19">
        <f>T370+IF(LEN($AD$371)&gt;0,1,0)</f>
        <v/>
      </c>
      <c r="U371" s="19">
        <f>U370+IF(LEN($AE$371)&gt;0,1,0)</f>
        <v/>
      </c>
      <c r="V371" s="19">
        <f>V370+IF(LEN($AF$371)&gt;0,1,0)</f>
        <v/>
      </c>
      <c r="X371" s="19">
        <f>IF(ISERROR($B$371),"",IF(ISBLANK($B$371),"",$B$371))</f>
        <v/>
      </c>
      <c r="Y371" s="19">
        <f>IF(ISERROR($C$371),"",IF(ISBLANK($C$371),"",$C$371))</f>
        <v/>
      </c>
      <c r="Z371" s="19">
        <f>IF(ISERROR($D$371),"",IF(ISBLANK($D$371),"",$D$371))</f>
        <v/>
      </c>
      <c r="AA371" s="19">
        <f>IF(ISERROR($E$371),"",IF(ISBLANK($E$371),"",$E$371))</f>
        <v/>
      </c>
      <c r="AB371" s="19">
        <f>IF(ISERROR($F$371),"",IF(ISBLANK($F$371),"",$F$371))</f>
        <v/>
      </c>
      <c r="AC371" s="19">
        <f>IF(ISERROR($G$371),"",IF(ISBLANK($G$371),"",$G$371))</f>
        <v/>
      </c>
      <c r="AD371" s="19">
        <f>IF(ISERROR($H$371),"",IF(ISBLANK($H$371),"",$H$371))</f>
        <v/>
      </c>
      <c r="AE371" s="19">
        <f>IF(ISERROR($I$371),"",IF(ISBLANK($I$371),"",$I$371))</f>
        <v/>
      </c>
      <c r="AF371" s="19">
        <f>IF(ISERROR($J$371),"",IF(ISBLANK($J$371),"",$J$371))</f>
        <v/>
      </c>
      <c r="AG371" s="19">
        <f>ISERROR($B$371)*1+ISERROR($C$371)*1+ISERROR($D$371)*1+ISERROR($E$371)*1+ISERROR($F$371)*1+ISERROR($G$371)*1+ISERROR($H$371)*1+ISERROR($I$371)*1+ISERROR($J$371)*1</f>
        <v/>
      </c>
    </row>
    <row r="372" ht="26" customHeight="1">
      <c r="B372" s="31" t="inlineStr">
        <is>
          <t>engenheiro de suporte de vida</t>
        </is>
      </c>
      <c r="C372" s="28" t="inlineStr">
        <is>
          <t>postura militar impecável</t>
        </is>
      </c>
      <c r="D372" s="28" t="inlineStr">
        <is>
          <t>direto, sem paciência para rodeios</t>
        </is>
      </c>
      <c r="E372" s="28" t="inlineStr">
        <is>
          <t>voltar para casa</t>
        </is>
      </c>
      <c r="F372" s="28" t="inlineStr">
        <is>
          <t>é procurado pela Frota de Jade</t>
        </is>
      </c>
      <c r="G372" s="28" t="inlineStr">
        <is>
          <t>fala depressa e engole sílabas</t>
        </is>
      </c>
      <c r="H372" s="28" t="n"/>
      <c r="I372" s="28" t="n"/>
      <c r="J372" s="28" t="inlineStr">
        <is>
          <t>precisa de alguém para ganhar uma aposta</t>
        </is>
      </c>
      <c r="K372" s="18">
        <f>IF(AG372&gt;0,"O Google leu como fórmula: digite de novo com ' na frente.","")</f>
        <v/>
      </c>
      <c r="N372" s="19">
        <f>N371+IF(LEN($X$372)&gt;0,1,0)</f>
        <v/>
      </c>
      <c r="O372" s="19">
        <f>O371+IF(LEN($Y$372)&gt;0,1,0)</f>
        <v/>
      </c>
      <c r="P372" s="19">
        <f>P371+IF(LEN($Z$372)&gt;0,1,0)</f>
        <v/>
      </c>
      <c r="Q372" s="19">
        <f>Q371+IF(LEN($AA$372)&gt;0,1,0)</f>
        <v/>
      </c>
      <c r="R372" s="19">
        <f>R371+IF(LEN($AB$372)&gt;0,1,0)</f>
        <v/>
      </c>
      <c r="S372" s="19">
        <f>S371+IF(LEN($AC$372)&gt;0,1,0)</f>
        <v/>
      </c>
      <c r="T372" s="19">
        <f>T371+IF(LEN($AD$372)&gt;0,1,0)</f>
        <v/>
      </c>
      <c r="U372" s="19">
        <f>U371+IF(LEN($AE$372)&gt;0,1,0)</f>
        <v/>
      </c>
      <c r="V372" s="19">
        <f>V371+IF(LEN($AF$372)&gt;0,1,0)</f>
        <v/>
      </c>
      <c r="X372" s="19">
        <f>IF(ISERROR($B$372),"",IF(ISBLANK($B$372),"",$B$372))</f>
        <v/>
      </c>
      <c r="Y372" s="19">
        <f>IF(ISERROR($C$372),"",IF(ISBLANK($C$372),"",$C$372))</f>
        <v/>
      </c>
      <c r="Z372" s="19">
        <f>IF(ISERROR($D$372),"",IF(ISBLANK($D$372),"",$D$372))</f>
        <v/>
      </c>
      <c r="AA372" s="19">
        <f>IF(ISERROR($E$372),"",IF(ISBLANK($E$372),"",$E$372))</f>
        <v/>
      </c>
      <c r="AB372" s="19">
        <f>IF(ISERROR($F$372),"",IF(ISBLANK($F$372),"",$F$372))</f>
        <v/>
      </c>
      <c r="AC372" s="19">
        <f>IF(ISERROR($G$372),"",IF(ISBLANK($G$372),"",$G$372))</f>
        <v/>
      </c>
      <c r="AD372" s="19">
        <f>IF(ISERROR($H$372),"",IF(ISBLANK($H$372),"",$H$372))</f>
        <v/>
      </c>
      <c r="AE372" s="19">
        <f>IF(ISERROR($I$372),"",IF(ISBLANK($I$372),"",$I$372))</f>
        <v/>
      </c>
      <c r="AF372" s="19">
        <f>IF(ISERROR($J$372),"",IF(ISBLANK($J$372),"",$J$372))</f>
        <v/>
      </c>
      <c r="AG372" s="19">
        <f>ISERROR($B$372)*1+ISERROR($C$372)*1+ISERROR($D$372)*1+ISERROR($E$372)*1+ISERROR($F$372)*1+ISERROR($G$372)*1+ISERROR($H$372)*1+ISERROR($I$372)*1+ISERROR($J$372)*1</f>
        <v/>
      </c>
    </row>
    <row r="373" ht="26" customHeight="1">
      <c r="B373" s="30" t="inlineStr">
        <is>
          <t>dono de bar no anel externo</t>
        </is>
      </c>
      <c r="C373" s="3" t="inlineStr">
        <is>
          <t>roupas caras e gastas</t>
        </is>
      </c>
      <c r="D373" s="3" t="inlineStr">
        <is>
          <t>supersticioso com números</t>
        </is>
      </c>
      <c r="E373" s="3" t="inlineStr">
        <is>
          <t>descobrir quem o abandonou</t>
        </is>
      </c>
      <c r="F373" s="3" t="inlineStr">
        <is>
          <t>ainda ouve a voz de um morto</t>
        </is>
      </c>
      <c r="G373" s="3" t="inlineStr">
        <is>
          <t>usa gírias de uma estação distante</t>
        </is>
      </c>
      <c r="H373" s="3" t="n"/>
      <c r="I373" s="3" t="n"/>
      <c r="J373" s="3" t="inlineStr">
        <is>
          <t>desafia um dos personagens para um duelo de honra</t>
        </is>
      </c>
      <c r="K373" s="18">
        <f>IF(AG373&gt;0,"O Google leu como fórmula: digite de novo com ' na frente.","")</f>
        <v/>
      </c>
      <c r="N373" s="19">
        <f>N372+IF(LEN($X$373)&gt;0,1,0)</f>
        <v/>
      </c>
      <c r="O373" s="19">
        <f>O372+IF(LEN($Y$373)&gt;0,1,0)</f>
        <v/>
      </c>
      <c r="P373" s="19">
        <f>P372+IF(LEN($Z$373)&gt;0,1,0)</f>
        <v/>
      </c>
      <c r="Q373" s="19">
        <f>Q372+IF(LEN($AA$373)&gt;0,1,0)</f>
        <v/>
      </c>
      <c r="R373" s="19">
        <f>R372+IF(LEN($AB$373)&gt;0,1,0)</f>
        <v/>
      </c>
      <c r="S373" s="19">
        <f>S372+IF(LEN($AC$373)&gt;0,1,0)</f>
        <v/>
      </c>
      <c r="T373" s="19">
        <f>T372+IF(LEN($AD$373)&gt;0,1,0)</f>
        <v/>
      </c>
      <c r="U373" s="19">
        <f>U372+IF(LEN($AE$373)&gt;0,1,0)</f>
        <v/>
      </c>
      <c r="V373" s="19">
        <f>V372+IF(LEN($AF$373)&gt;0,1,0)</f>
        <v/>
      </c>
      <c r="X373" s="19">
        <f>IF(ISERROR($B$373),"",IF(ISBLANK($B$373),"",$B$373))</f>
        <v/>
      </c>
      <c r="Y373" s="19">
        <f>IF(ISERROR($C$373),"",IF(ISBLANK($C$373),"",$C$373))</f>
        <v/>
      </c>
      <c r="Z373" s="19">
        <f>IF(ISERROR($D$373),"",IF(ISBLANK($D$373),"",$D$373))</f>
        <v/>
      </c>
      <c r="AA373" s="19">
        <f>IF(ISERROR($E$373),"",IF(ISBLANK($E$373),"",$E$373))</f>
        <v/>
      </c>
      <c r="AB373" s="19">
        <f>IF(ISERROR($F$373),"",IF(ISBLANK($F$373),"",$F$373))</f>
        <v/>
      </c>
      <c r="AC373" s="19">
        <f>IF(ISERROR($G$373),"",IF(ISBLANK($G$373),"",$G$373))</f>
        <v/>
      </c>
      <c r="AD373" s="19">
        <f>IF(ISERROR($H$373),"",IF(ISBLANK($H$373),"",$H$373))</f>
        <v/>
      </c>
      <c r="AE373" s="19">
        <f>IF(ISERROR($I$373),"",IF(ISBLANK($I$373),"",$I$373))</f>
        <v/>
      </c>
      <c r="AF373" s="19">
        <f>IF(ISERROR($J$373),"",IF(ISBLANK($J$373),"",$J$373))</f>
        <v/>
      </c>
      <c r="AG373" s="19">
        <f>ISERROR($B$373)*1+ISERROR($C$373)*1+ISERROR($D$373)*1+ISERROR($E$373)*1+ISERROR($F$373)*1+ISERROR($G$373)*1+ISERROR($H$373)*1+ISERROR($I$373)*1+ISERROR($J$373)*1</f>
        <v/>
      </c>
    </row>
    <row r="374" ht="26" customHeight="1">
      <c r="B374" s="31" t="inlineStr">
        <is>
          <t>caçador de recompensas novato</t>
        </is>
      </c>
      <c r="C374" s="28" t="inlineStr">
        <is>
          <t>um olho artificial que brilha fraco</t>
        </is>
      </c>
      <c r="D374" s="28" t="inlineStr">
        <is>
          <t>rancoroso, mas justo</t>
        </is>
      </c>
      <c r="E374" s="28" t="inlineStr">
        <is>
          <t>conseguir uma passagem no Expresso Astral</t>
        </is>
      </c>
      <c r="F374" s="28" t="inlineStr">
        <is>
          <t>falsificou a própria idade</t>
        </is>
      </c>
      <c r="G374" s="28" t="inlineStr">
        <is>
          <t>pede desculpas o tempo inteiro</t>
        </is>
      </c>
      <c r="H374" s="28" t="n"/>
      <c r="I374" s="28" t="n"/>
      <c r="J374" s="28" t="inlineStr">
        <is>
          <t>quer sair do planeta escondido na bagagem do grupo</t>
        </is>
      </c>
      <c r="K374" s="18">
        <f>IF(AG374&gt;0,"O Google leu como fórmula: digite de novo com ' na frente.","")</f>
        <v/>
      </c>
      <c r="N374" s="19">
        <f>N373+IF(LEN($X$374)&gt;0,1,0)</f>
        <v/>
      </c>
      <c r="O374" s="19">
        <f>O373+IF(LEN($Y$374)&gt;0,1,0)</f>
        <v/>
      </c>
      <c r="P374" s="19">
        <f>P373+IF(LEN($Z$374)&gt;0,1,0)</f>
        <v/>
      </c>
      <c r="Q374" s="19">
        <f>Q373+IF(LEN($AA$374)&gt;0,1,0)</f>
        <v/>
      </c>
      <c r="R374" s="19">
        <f>R373+IF(LEN($AB$374)&gt;0,1,0)</f>
        <v/>
      </c>
      <c r="S374" s="19">
        <f>S373+IF(LEN($AC$374)&gt;0,1,0)</f>
        <v/>
      </c>
      <c r="T374" s="19">
        <f>T373+IF(LEN($AD$374)&gt;0,1,0)</f>
        <v/>
      </c>
      <c r="U374" s="19">
        <f>U373+IF(LEN($AE$374)&gt;0,1,0)</f>
        <v/>
      </c>
      <c r="V374" s="19">
        <f>V373+IF(LEN($AF$374)&gt;0,1,0)</f>
        <v/>
      </c>
      <c r="X374" s="19">
        <f>IF(ISERROR($B$374),"",IF(ISBLANK($B$374),"",$B$374))</f>
        <v/>
      </c>
      <c r="Y374" s="19">
        <f>IF(ISERROR($C$374),"",IF(ISBLANK($C$374),"",$C$374))</f>
        <v/>
      </c>
      <c r="Z374" s="19">
        <f>IF(ISERROR($D$374),"",IF(ISBLANK($D$374),"",$D$374))</f>
        <v/>
      </c>
      <c r="AA374" s="19">
        <f>IF(ISERROR($E$374),"",IF(ISBLANK($E$374),"",$E$374))</f>
        <v/>
      </c>
      <c r="AB374" s="19">
        <f>IF(ISERROR($F$374),"",IF(ISBLANK($F$374),"",$F$374))</f>
        <v/>
      </c>
      <c r="AC374" s="19">
        <f>IF(ISERROR($G$374),"",IF(ISBLANK($G$374),"",$G$374))</f>
        <v/>
      </c>
      <c r="AD374" s="19">
        <f>IF(ISERROR($H$374),"",IF(ISBLANK($H$374),"",$H$374))</f>
        <v/>
      </c>
      <c r="AE374" s="19">
        <f>IF(ISERROR($I$374),"",IF(ISBLANK($I$374),"",$I$374))</f>
        <v/>
      </c>
      <c r="AF374" s="19">
        <f>IF(ISERROR($J$374),"",IF(ISBLANK($J$374),"",$J$374))</f>
        <v/>
      </c>
      <c r="AG374" s="19">
        <f>ISERROR($B$374)*1+ISERROR($C$374)*1+ISERROR($D$374)*1+ISERROR($E$374)*1+ISERROR($F$374)*1+ISERROR($G$374)*1+ISERROR($H$374)*1+ISERROR($I$374)*1+ISERROR($J$374)*1</f>
        <v/>
      </c>
    </row>
    <row r="375" ht="26" customHeight="1">
      <c r="B375" s="30" t="inlineStr">
        <is>
          <t>professor de história estelar</t>
        </is>
      </c>
      <c r="C375" s="3" t="inlineStr">
        <is>
          <t>cabelo raspado de um lado</t>
        </is>
      </c>
      <c r="D375" s="3" t="inlineStr">
        <is>
          <t>otimista teimoso</t>
        </is>
      </c>
      <c r="E375" s="3" t="inlineStr">
        <is>
          <t>terminar a obra de um mestre morto</t>
        </is>
      </c>
      <c r="F375" s="3" t="inlineStr">
        <is>
          <t>perdeu a memória de um ano inteiro</t>
        </is>
      </c>
      <c r="G375" s="3" t="inlineStr">
        <is>
          <t>faz uma pausa longa antes de responder</t>
        </is>
      </c>
      <c r="H375" s="3" t="n"/>
      <c r="I375" s="3" t="n"/>
      <c r="J375" s="3" t="inlineStr">
        <is>
          <t>traz um recado de alguém do passado de um personagem</t>
        </is>
      </c>
      <c r="K375" s="18">
        <f>IF(AG375&gt;0,"O Google leu como fórmula: digite de novo com ' na frente.","")</f>
        <v/>
      </c>
      <c r="N375" s="19">
        <f>N374+IF(LEN($X$375)&gt;0,1,0)</f>
        <v/>
      </c>
      <c r="O375" s="19">
        <f>O374+IF(LEN($Y$375)&gt;0,1,0)</f>
        <v/>
      </c>
      <c r="P375" s="19">
        <f>P374+IF(LEN($Z$375)&gt;0,1,0)</f>
        <v/>
      </c>
      <c r="Q375" s="19">
        <f>Q374+IF(LEN($AA$375)&gt;0,1,0)</f>
        <v/>
      </c>
      <c r="R375" s="19">
        <f>R374+IF(LEN($AB$375)&gt;0,1,0)</f>
        <v/>
      </c>
      <c r="S375" s="19">
        <f>S374+IF(LEN($AC$375)&gt;0,1,0)</f>
        <v/>
      </c>
      <c r="T375" s="19">
        <f>T374+IF(LEN($AD$375)&gt;0,1,0)</f>
        <v/>
      </c>
      <c r="U375" s="19">
        <f>U374+IF(LEN($AE$375)&gt;0,1,0)</f>
        <v/>
      </c>
      <c r="V375" s="19">
        <f>V374+IF(LEN($AF$375)&gt;0,1,0)</f>
        <v/>
      </c>
      <c r="X375" s="19">
        <f>IF(ISERROR($B$375),"",IF(ISBLANK($B$375),"",$B$375))</f>
        <v/>
      </c>
      <c r="Y375" s="19">
        <f>IF(ISERROR($C$375),"",IF(ISBLANK($C$375),"",$C$375))</f>
        <v/>
      </c>
      <c r="Z375" s="19">
        <f>IF(ISERROR($D$375),"",IF(ISBLANK($D$375),"",$D$375))</f>
        <v/>
      </c>
      <c r="AA375" s="19">
        <f>IF(ISERROR($E$375),"",IF(ISBLANK($E$375),"",$E$375))</f>
        <v/>
      </c>
      <c r="AB375" s="19">
        <f>IF(ISERROR($F$375),"",IF(ISBLANK($F$375),"",$F$375))</f>
        <v/>
      </c>
      <c r="AC375" s="19">
        <f>IF(ISERROR($G$375),"",IF(ISBLANK($G$375),"",$G$375))</f>
        <v/>
      </c>
      <c r="AD375" s="19">
        <f>IF(ISERROR($H$375),"",IF(ISBLANK($H$375),"",$H$375))</f>
        <v/>
      </c>
      <c r="AE375" s="19">
        <f>IF(ISERROR($I$375),"",IF(ISBLANK($I$375),"",$I$375))</f>
        <v/>
      </c>
      <c r="AF375" s="19">
        <f>IF(ISERROR($J$375),"",IF(ISBLANK($J$375),"",$J$375))</f>
        <v/>
      </c>
      <c r="AG375" s="19">
        <f>ISERROR($B$375)*1+ISERROR($C$375)*1+ISERROR($D$375)*1+ISERROR($E$375)*1+ISERROR($F$375)*1+ISERROR($G$375)*1+ISERROR($H$375)*1+ISERROR($I$375)*1+ISERROR($J$375)*1</f>
        <v/>
      </c>
    </row>
    <row r="376" ht="26" customHeight="1">
      <c r="B376" s="31" t="inlineStr">
        <is>
          <t>agiota da doca</t>
        </is>
      </c>
      <c r="C376" s="28" t="inlineStr">
        <is>
          <t>marcas antigas de Fragmentum nos braços</t>
        </is>
      </c>
      <c r="D376" s="28" t="inlineStr">
        <is>
          <t>tímido que se solta depois do segundo copo</t>
        </is>
      </c>
      <c r="E376" s="28" t="inlineStr">
        <is>
          <t>ficar rico depressa</t>
        </is>
      </c>
      <c r="F376" s="28" t="inlineStr">
        <is>
          <t>esconde um Intellitron foragido</t>
        </is>
      </c>
      <c r="G376" s="28" t="inlineStr">
        <is>
          <t>voz grave e lenta como um sino</t>
        </is>
      </c>
      <c r="H376" s="28" t="n"/>
      <c r="I376" s="28" t="n"/>
      <c r="J376" s="28" t="inlineStr">
        <is>
          <t>pede que o grupo investigue um sumiço no bairro</t>
        </is>
      </c>
      <c r="K376" s="18">
        <f>IF(AG376&gt;0,"O Google leu como fórmula: digite de novo com ' na frente.","")</f>
        <v/>
      </c>
      <c r="N376" s="19">
        <f>N375+IF(LEN($X$376)&gt;0,1,0)</f>
        <v/>
      </c>
      <c r="O376" s="19">
        <f>O375+IF(LEN($Y$376)&gt;0,1,0)</f>
        <v/>
      </c>
      <c r="P376" s="19">
        <f>P375+IF(LEN($Z$376)&gt;0,1,0)</f>
        <v/>
      </c>
      <c r="Q376" s="19">
        <f>Q375+IF(LEN($AA$376)&gt;0,1,0)</f>
        <v/>
      </c>
      <c r="R376" s="19">
        <f>R375+IF(LEN($AB$376)&gt;0,1,0)</f>
        <v/>
      </c>
      <c r="S376" s="19">
        <f>S375+IF(LEN($AC$376)&gt;0,1,0)</f>
        <v/>
      </c>
      <c r="T376" s="19">
        <f>T375+IF(LEN($AD$376)&gt;0,1,0)</f>
        <v/>
      </c>
      <c r="U376" s="19">
        <f>U375+IF(LEN($AE$376)&gt;0,1,0)</f>
        <v/>
      </c>
      <c r="V376" s="19">
        <f>V375+IF(LEN($AF$376)&gt;0,1,0)</f>
        <v/>
      </c>
      <c r="X376" s="19">
        <f>IF(ISERROR($B$376),"",IF(ISBLANK($B$376),"",$B$376))</f>
        <v/>
      </c>
      <c r="Y376" s="19">
        <f>IF(ISERROR($C$376),"",IF(ISBLANK($C$376),"",$C$376))</f>
        <v/>
      </c>
      <c r="Z376" s="19">
        <f>IF(ISERROR($D$376),"",IF(ISBLANK($D$376),"",$D$376))</f>
        <v/>
      </c>
      <c r="AA376" s="19">
        <f>IF(ISERROR($E$376),"",IF(ISBLANK($E$376),"",$E$376))</f>
        <v/>
      </c>
      <c r="AB376" s="19">
        <f>IF(ISERROR($F$376),"",IF(ISBLANK($F$376),"",$F$376))</f>
        <v/>
      </c>
      <c r="AC376" s="19">
        <f>IF(ISERROR($G$376),"",IF(ISBLANK($G$376),"",$G$376))</f>
        <v/>
      </c>
      <c r="AD376" s="19">
        <f>IF(ISERROR($H$376),"",IF(ISBLANK($H$376),"",$H$376))</f>
        <v/>
      </c>
      <c r="AE376" s="19">
        <f>IF(ISERROR($I$376),"",IF(ISBLANK($I$376),"",$I$376))</f>
        <v/>
      </c>
      <c r="AF376" s="19">
        <f>IF(ISERROR($J$376),"",IF(ISBLANK($J$376),"",$J$376))</f>
        <v/>
      </c>
      <c r="AG376" s="19">
        <f>ISERROR($B$376)*1+ISERROR($C$376)*1+ISERROR($D$376)*1+ISERROR($E$376)*1+ISERROR($F$376)*1+ISERROR($G$376)*1+ISERROR($H$376)*1+ISERROR($I$376)*1+ISERROR($J$376)*1</f>
        <v/>
      </c>
    </row>
    <row r="377" ht="26" customHeight="1">
      <c r="B377" s="30" t="inlineStr">
        <is>
          <t>técnico de comunicações</t>
        </is>
      </c>
      <c r="C377" s="3" t="inlineStr">
        <is>
          <t>colar de dentes de criatura</t>
        </is>
      </c>
      <c r="D377" s="3" t="inlineStr">
        <is>
          <t>competitivo em tudo</t>
        </is>
      </c>
      <c r="E377" s="3" t="inlineStr">
        <is>
          <t>manter a filha longe da guerra</t>
        </is>
      </c>
      <c r="F377" s="3" t="inlineStr">
        <is>
          <t>ama alguém do lado inimigo</t>
        </is>
      </c>
      <c r="G377" s="3" t="inlineStr">
        <is>
          <t>risada alta e contagiante</t>
        </is>
      </c>
      <c r="H377" s="3" t="n"/>
      <c r="I377" s="3" t="n"/>
      <c r="J377" s="3" t="inlineStr">
        <is>
          <t>oferece trabalho numa mina que ninguém mais aceita</t>
        </is>
      </c>
      <c r="K377" s="18">
        <f>IF(AG377&gt;0,"O Google leu como fórmula: digite de novo com ' na frente.","")</f>
        <v/>
      </c>
      <c r="N377" s="19">
        <f>N376+IF(LEN($X$377)&gt;0,1,0)</f>
        <v/>
      </c>
      <c r="O377" s="19">
        <f>O376+IF(LEN($Y$377)&gt;0,1,0)</f>
        <v/>
      </c>
      <c r="P377" s="19">
        <f>P376+IF(LEN($Z$377)&gt;0,1,0)</f>
        <v/>
      </c>
      <c r="Q377" s="19">
        <f>Q376+IF(LEN($AA$377)&gt;0,1,0)</f>
        <v/>
      </c>
      <c r="R377" s="19">
        <f>R376+IF(LEN($AB$377)&gt;0,1,0)</f>
        <v/>
      </c>
      <c r="S377" s="19">
        <f>S376+IF(LEN($AC$377)&gt;0,1,0)</f>
        <v/>
      </c>
      <c r="T377" s="19">
        <f>T376+IF(LEN($AD$377)&gt;0,1,0)</f>
        <v/>
      </c>
      <c r="U377" s="19">
        <f>U376+IF(LEN($AE$377)&gt;0,1,0)</f>
        <v/>
      </c>
      <c r="V377" s="19">
        <f>V376+IF(LEN($AF$377)&gt;0,1,0)</f>
        <v/>
      </c>
      <c r="X377" s="19">
        <f>IF(ISERROR($B$377),"",IF(ISBLANK($B$377),"",$B$377))</f>
        <v/>
      </c>
      <c r="Y377" s="19">
        <f>IF(ISERROR($C$377),"",IF(ISBLANK($C$377),"",$C$377))</f>
        <v/>
      </c>
      <c r="Z377" s="19">
        <f>IF(ISERROR($D$377),"",IF(ISBLANK($D$377),"",$D$377))</f>
        <v/>
      </c>
      <c r="AA377" s="19">
        <f>IF(ISERROR($E$377),"",IF(ISBLANK($E$377),"",$E$377))</f>
        <v/>
      </c>
      <c r="AB377" s="19">
        <f>IF(ISERROR($F$377),"",IF(ISBLANK($F$377),"",$F$377))</f>
        <v/>
      </c>
      <c r="AC377" s="19">
        <f>IF(ISERROR($G$377),"",IF(ISBLANK($G$377),"",$G$377))</f>
        <v/>
      </c>
      <c r="AD377" s="19">
        <f>IF(ISERROR($H$377),"",IF(ISBLANK($H$377),"",$H$377))</f>
        <v/>
      </c>
      <c r="AE377" s="19">
        <f>IF(ISERROR($I$377),"",IF(ISBLANK($I$377),"",$I$377))</f>
        <v/>
      </c>
      <c r="AF377" s="19">
        <f>IF(ISERROR($J$377),"",IF(ISBLANK($J$377),"",$J$377))</f>
        <v/>
      </c>
      <c r="AG377" s="19">
        <f>ISERROR($B$377)*1+ISERROR($C$377)*1+ISERROR($D$377)*1+ISERROR($E$377)*1+ISERROR($F$377)*1+ISERROR($G$377)*1+ISERROR($H$377)*1+ISERROR($I$377)*1+ISERROR($J$377)*1</f>
        <v/>
      </c>
    </row>
    <row r="378" ht="26" customHeight="1">
      <c r="B378" s="31" t="inlineStr">
        <is>
          <t>apostador profissional</t>
        </is>
      </c>
      <c r="C378" s="28" t="inlineStr">
        <is>
          <t>uniforme de uma empresa que faliu</t>
        </is>
      </c>
      <c r="D378" s="28" t="inlineStr">
        <is>
          <t>melancólico, vive no passado</t>
        </is>
      </c>
      <c r="E378" s="28" t="inlineStr">
        <is>
          <t>recuperar um objeto roubado</t>
        </is>
      </c>
      <c r="F378" s="28" t="inlineStr">
        <is>
          <t>sabotou a nave que trouxe o grupo</t>
        </is>
      </c>
      <c r="G378" s="28" t="inlineStr">
        <is>
          <t>conversa com as próprias máquinas</t>
        </is>
      </c>
      <c r="H378" s="28" t="n"/>
      <c r="I378" s="28" t="n"/>
      <c r="J378" s="28" t="inlineStr">
        <is>
          <t>precisa de ajuda para enterrar um amigo com dignidade</t>
        </is>
      </c>
      <c r="K378" s="18">
        <f>IF(AG378&gt;0,"O Google leu como fórmula: digite de novo com ' na frente.","")</f>
        <v/>
      </c>
      <c r="N378" s="19">
        <f>N377+IF(LEN($X$378)&gt;0,1,0)</f>
        <v/>
      </c>
      <c r="O378" s="19">
        <f>O377+IF(LEN($Y$378)&gt;0,1,0)</f>
        <v/>
      </c>
      <c r="P378" s="19">
        <f>P377+IF(LEN($Z$378)&gt;0,1,0)</f>
        <v/>
      </c>
      <c r="Q378" s="19">
        <f>Q377+IF(LEN($AA$378)&gt;0,1,0)</f>
        <v/>
      </c>
      <c r="R378" s="19">
        <f>R377+IF(LEN($AB$378)&gt;0,1,0)</f>
        <v/>
      </c>
      <c r="S378" s="19">
        <f>S377+IF(LEN($AC$378)&gt;0,1,0)</f>
        <v/>
      </c>
      <c r="T378" s="19">
        <f>T377+IF(LEN($AD$378)&gt;0,1,0)</f>
        <v/>
      </c>
      <c r="U378" s="19">
        <f>U377+IF(LEN($AE$378)&gt;0,1,0)</f>
        <v/>
      </c>
      <c r="V378" s="19">
        <f>V377+IF(LEN($AF$378)&gt;0,1,0)</f>
        <v/>
      </c>
      <c r="X378" s="19">
        <f>IF(ISERROR($B$378),"",IF(ISBLANK($B$378),"",$B$378))</f>
        <v/>
      </c>
      <c r="Y378" s="19">
        <f>IF(ISERROR($C$378),"",IF(ISBLANK($C$378),"",$C$378))</f>
        <v/>
      </c>
      <c r="Z378" s="19">
        <f>IF(ISERROR($D$378),"",IF(ISBLANK($D$378),"",$D$378))</f>
        <v/>
      </c>
      <c r="AA378" s="19">
        <f>IF(ISERROR($E$378),"",IF(ISBLANK($E$378),"",$E$378))</f>
        <v/>
      </c>
      <c r="AB378" s="19">
        <f>IF(ISERROR($F$378),"",IF(ISBLANK($F$378),"",$F$378))</f>
        <v/>
      </c>
      <c r="AC378" s="19">
        <f>IF(ISERROR($G$378),"",IF(ISBLANK($G$378),"",$G$378))</f>
        <v/>
      </c>
      <c r="AD378" s="19">
        <f>IF(ISERROR($H$378),"",IF(ISBLANK($H$378),"",$H$378))</f>
        <v/>
      </c>
      <c r="AE378" s="19">
        <f>IF(ISERROR($I$378),"",IF(ISBLANK($I$378),"",$I$378))</f>
        <v/>
      </c>
      <c r="AF378" s="19">
        <f>IF(ISERROR($J$378),"",IF(ISBLANK($J$378),"",$J$378))</f>
        <v/>
      </c>
      <c r="AG378" s="19">
        <f>ISERROR($B$378)*1+ISERROR($C$378)*1+ISERROR($D$378)*1+ISERROR($E$378)*1+ISERROR($F$378)*1+ISERROR($G$378)*1+ISERROR($H$378)*1+ISERROR($I$378)*1+ISERROR($J$378)*1</f>
        <v/>
      </c>
    </row>
    <row r="379" ht="26" customHeight="1">
      <c r="B379" s="30" t="inlineStr">
        <is>
          <t>artesão de próteses</t>
        </is>
      </c>
      <c r="C379" s="3" t="inlineStr">
        <is>
          <t>chapéu de aba larga</t>
        </is>
      </c>
      <c r="D379" s="3" t="inlineStr">
        <is>
          <t>protetor com quem considera família</t>
        </is>
      </c>
      <c r="E379" s="3" t="inlineStr">
        <is>
          <t>ganhar o respeito do pai</t>
        </is>
      </c>
      <c r="F379" s="3" t="inlineStr">
        <is>
          <t>é herdeiro de uma fortuna que não quer</t>
        </is>
      </c>
      <c r="G379" s="3" t="inlineStr">
        <is>
          <t>corrige a gramática dos outros</t>
        </is>
      </c>
      <c r="H379" s="3" t="n"/>
      <c r="I379" s="3" t="n"/>
      <c r="J379" s="3" t="inlineStr">
        <is>
          <t>quer que o grupo devolva algo que ele mesmo roubou</t>
        </is>
      </c>
      <c r="K379" s="18">
        <f>IF(AG379&gt;0,"O Google leu como fórmula: digite de novo com ' na frente.","")</f>
        <v/>
      </c>
      <c r="N379" s="19">
        <f>N378+IF(LEN($X$379)&gt;0,1,0)</f>
        <v/>
      </c>
      <c r="O379" s="19">
        <f>O378+IF(LEN($Y$379)&gt;0,1,0)</f>
        <v/>
      </c>
      <c r="P379" s="19">
        <f>P378+IF(LEN($Z$379)&gt;0,1,0)</f>
        <v/>
      </c>
      <c r="Q379" s="19">
        <f>Q378+IF(LEN($AA$379)&gt;0,1,0)</f>
        <v/>
      </c>
      <c r="R379" s="19">
        <f>R378+IF(LEN($AB$379)&gt;0,1,0)</f>
        <v/>
      </c>
      <c r="S379" s="19">
        <f>S378+IF(LEN($AC$379)&gt;0,1,0)</f>
        <v/>
      </c>
      <c r="T379" s="19">
        <f>T378+IF(LEN($AD$379)&gt;0,1,0)</f>
        <v/>
      </c>
      <c r="U379" s="19">
        <f>U378+IF(LEN($AE$379)&gt;0,1,0)</f>
        <v/>
      </c>
      <c r="V379" s="19">
        <f>V378+IF(LEN($AF$379)&gt;0,1,0)</f>
        <v/>
      </c>
      <c r="X379" s="19">
        <f>IF(ISERROR($B$379),"",IF(ISBLANK($B$379),"",$B$379))</f>
        <v/>
      </c>
      <c r="Y379" s="19">
        <f>IF(ISERROR($C$379),"",IF(ISBLANK($C$379),"",$C$379))</f>
        <v/>
      </c>
      <c r="Z379" s="19">
        <f>IF(ISERROR($D$379),"",IF(ISBLANK($D$379),"",$D$379))</f>
        <v/>
      </c>
      <c r="AA379" s="19">
        <f>IF(ISERROR($E$379),"",IF(ISBLANK($E$379),"",$E$379))</f>
        <v/>
      </c>
      <c r="AB379" s="19">
        <f>IF(ISERROR($F$379),"",IF(ISBLANK($F$379),"",$F$379))</f>
        <v/>
      </c>
      <c r="AC379" s="19">
        <f>IF(ISERROR($G$379),"",IF(ISBLANK($G$379),"",$G$379))</f>
        <v/>
      </c>
      <c r="AD379" s="19">
        <f>IF(ISERROR($H$379),"",IF(ISBLANK($H$379),"",$H$379))</f>
        <v/>
      </c>
      <c r="AE379" s="19">
        <f>IF(ISERROR($I$379),"",IF(ISBLANK($I$379),"",$I$379))</f>
        <v/>
      </c>
      <c r="AF379" s="19">
        <f>IF(ISERROR($J$379),"",IF(ISBLANK($J$379),"",$J$379))</f>
        <v/>
      </c>
      <c r="AG379" s="19">
        <f>ISERROR($B$379)*1+ISERROR($C$379)*1+ISERROR($D$379)*1+ISERROR($E$379)*1+ISERROR($F$379)*1+ISERROR($G$379)*1+ISERROR($H$379)*1+ISERROR($I$379)*1+ISERROR($J$379)*1</f>
        <v/>
      </c>
    </row>
    <row r="380" ht="26" customHeight="1">
      <c r="B380" s="31" t="inlineStr">
        <is>
          <t>colecionador de antiguidades falsas</t>
        </is>
      </c>
      <c r="C380" s="28" t="inlineStr">
        <is>
          <t>unhas pintadas de dourado</t>
        </is>
      </c>
      <c r="D380" s="28" t="inlineStr">
        <is>
          <t>preguiçoso, mas brilhante</t>
        </is>
      </c>
      <c r="E380" s="28" t="inlineStr">
        <is>
          <t>fugir de um contrato</t>
        </is>
      </c>
      <c r="F380" s="28" t="inlineStr">
        <is>
          <t>assinou uma apólice sobre a própria vida</t>
        </is>
      </c>
      <c r="G380" s="28" t="inlineStr">
        <is>
          <t>estala a língua quando discorda</t>
        </is>
      </c>
      <c r="H380" s="28" t="n"/>
      <c r="I380" s="28" t="n"/>
      <c r="J380" s="28" t="inlineStr">
        <is>
          <t>sabe quem está seguindo o grupo</t>
        </is>
      </c>
      <c r="K380" s="18">
        <f>IF(AG380&gt;0,"O Google leu como fórmula: digite de novo com ' na frente.","")</f>
        <v/>
      </c>
      <c r="N380" s="19">
        <f>N379+IF(LEN($X$380)&gt;0,1,0)</f>
        <v/>
      </c>
      <c r="O380" s="19">
        <f>O379+IF(LEN($Y$380)&gt;0,1,0)</f>
        <v/>
      </c>
      <c r="P380" s="19">
        <f>P379+IF(LEN($Z$380)&gt;0,1,0)</f>
        <v/>
      </c>
      <c r="Q380" s="19">
        <f>Q379+IF(LEN($AA$380)&gt;0,1,0)</f>
        <v/>
      </c>
      <c r="R380" s="19">
        <f>R379+IF(LEN($AB$380)&gt;0,1,0)</f>
        <v/>
      </c>
      <c r="S380" s="19">
        <f>S379+IF(LEN($AC$380)&gt;0,1,0)</f>
        <v/>
      </c>
      <c r="T380" s="19">
        <f>T379+IF(LEN($AD$380)&gt;0,1,0)</f>
        <v/>
      </c>
      <c r="U380" s="19">
        <f>U379+IF(LEN($AE$380)&gt;0,1,0)</f>
        <v/>
      </c>
      <c r="V380" s="19">
        <f>V379+IF(LEN($AF$380)&gt;0,1,0)</f>
        <v/>
      </c>
      <c r="X380" s="19">
        <f>IF(ISERROR($B$380),"",IF(ISBLANK($B$380),"",$B$380))</f>
        <v/>
      </c>
      <c r="Y380" s="19">
        <f>IF(ISERROR($C$380),"",IF(ISBLANK($C$380),"",$C$380))</f>
        <v/>
      </c>
      <c r="Z380" s="19">
        <f>IF(ISERROR($D$380),"",IF(ISBLANK($D$380),"",$D$380))</f>
        <v/>
      </c>
      <c r="AA380" s="19">
        <f>IF(ISERROR($E$380),"",IF(ISBLANK($E$380),"",$E$380))</f>
        <v/>
      </c>
      <c r="AB380" s="19">
        <f>IF(ISERROR($F$380),"",IF(ISBLANK($F$380),"",$F$380))</f>
        <v/>
      </c>
      <c r="AC380" s="19">
        <f>IF(ISERROR($G$380),"",IF(ISBLANK($G$380),"",$G$380))</f>
        <v/>
      </c>
      <c r="AD380" s="19">
        <f>IF(ISERROR($H$380),"",IF(ISBLANK($H$380),"",$H$380))</f>
        <v/>
      </c>
      <c r="AE380" s="19">
        <f>IF(ISERROR($I$380),"",IF(ISBLANK($I$380),"",$I$380))</f>
        <v/>
      </c>
      <c r="AF380" s="19">
        <f>IF(ISERROR($J$380),"",IF(ISBLANK($J$380),"",$J$380))</f>
        <v/>
      </c>
      <c r="AG380" s="19">
        <f>ISERROR($B$380)*1+ISERROR($C$380)*1+ISERROR($D$380)*1+ISERROR($E$380)*1+ISERROR($F$380)*1+ISERROR($G$380)*1+ISERROR($H$380)*1+ISERROR($I$380)*1+ISERROR($J$380)*1</f>
        <v/>
      </c>
    </row>
    <row r="381" ht="26" customHeight="1">
      <c r="B381" s="30" t="inlineStr">
        <is>
          <t>mensageiro</t>
        </is>
      </c>
      <c r="C381" s="3" t="inlineStr">
        <is>
          <t>cabelos brancos muito cedo</t>
        </is>
      </c>
      <c r="D381" s="3" t="inlineStr">
        <is>
          <t>pragmático: tudo tem preço</t>
        </is>
      </c>
      <c r="E381" s="3" t="inlineStr">
        <is>
          <t>entender um sonho que se repete</t>
        </is>
      </c>
      <c r="F381" s="3" t="inlineStr">
        <is>
          <t>já viu o Expresso Astral antes</t>
        </is>
      </c>
      <c r="G381" s="3" t="inlineStr">
        <is>
          <t>está sempre mastigando alguma coisa</t>
        </is>
      </c>
      <c r="H381" s="3" t="n"/>
      <c r="I381" s="3" t="n"/>
      <c r="J381" s="3" t="inlineStr">
        <is>
          <t>propõe sociedade num negócio arriscado</t>
        </is>
      </c>
      <c r="K381" s="18">
        <f>IF(AG381&gt;0,"O Google leu como fórmula: digite de novo com ' na frente.","")</f>
        <v/>
      </c>
      <c r="N381" s="19">
        <f>N380+IF(LEN($X$381)&gt;0,1,0)</f>
        <v/>
      </c>
      <c r="O381" s="19">
        <f>O380+IF(LEN($Y$381)&gt;0,1,0)</f>
        <v/>
      </c>
      <c r="P381" s="19">
        <f>P380+IF(LEN($Z$381)&gt;0,1,0)</f>
        <v/>
      </c>
      <c r="Q381" s="19">
        <f>Q380+IF(LEN($AA$381)&gt;0,1,0)</f>
        <v/>
      </c>
      <c r="R381" s="19">
        <f>R380+IF(LEN($AB$381)&gt;0,1,0)</f>
        <v/>
      </c>
      <c r="S381" s="19">
        <f>S380+IF(LEN($AC$381)&gt;0,1,0)</f>
        <v/>
      </c>
      <c r="T381" s="19">
        <f>T380+IF(LEN($AD$381)&gt;0,1,0)</f>
        <v/>
      </c>
      <c r="U381" s="19">
        <f>U380+IF(LEN($AE$381)&gt;0,1,0)</f>
        <v/>
      </c>
      <c r="V381" s="19">
        <f>V380+IF(LEN($AF$381)&gt;0,1,0)</f>
        <v/>
      </c>
      <c r="X381" s="19">
        <f>IF(ISERROR($B$381),"",IF(ISBLANK($B$381),"",$B$381))</f>
        <v/>
      </c>
      <c r="Y381" s="19">
        <f>IF(ISERROR($C$381),"",IF(ISBLANK($C$381),"",$C$381))</f>
        <v/>
      </c>
      <c r="Z381" s="19">
        <f>IF(ISERROR($D$381),"",IF(ISBLANK($D$381),"",$D$381))</f>
        <v/>
      </c>
      <c r="AA381" s="19">
        <f>IF(ISERROR($E$381),"",IF(ISBLANK($E$381),"",$E$381))</f>
        <v/>
      </c>
      <c r="AB381" s="19">
        <f>IF(ISERROR($F$381),"",IF(ISBLANK($F$381),"",$F$381))</f>
        <v/>
      </c>
      <c r="AC381" s="19">
        <f>IF(ISERROR($G$381),"",IF(ISBLANK($G$381),"",$G$381))</f>
        <v/>
      </c>
      <c r="AD381" s="19">
        <f>IF(ISERROR($H$381),"",IF(ISBLANK($H$381),"",$H$381))</f>
        <v/>
      </c>
      <c r="AE381" s="19">
        <f>IF(ISERROR($I$381),"",IF(ISBLANK($I$381),"",$I$381))</f>
        <v/>
      </c>
      <c r="AF381" s="19">
        <f>IF(ISERROR($J$381),"",IF(ISBLANK($J$381),"",$J$381))</f>
        <v/>
      </c>
      <c r="AG381" s="19">
        <f>ISERROR($B$381)*1+ISERROR($C$381)*1+ISERROR($D$381)*1+ISERROR($E$381)*1+ISERROR($F$381)*1+ISERROR($G$381)*1+ISERROR($H$381)*1+ISERROR($I$381)*1+ISERROR($J$381)*1</f>
        <v/>
      </c>
    </row>
    <row r="382" ht="26" customHeight="1">
      <c r="B382" s="31" t="inlineStr">
        <is>
          <t>guia turístico</t>
        </is>
      </c>
      <c r="C382" s="28" t="inlineStr">
        <is>
          <t>sorriso com um dente faltando</t>
        </is>
      </c>
      <c r="D382" s="28" t="inlineStr">
        <is>
          <t>devoto e tolerante</t>
        </is>
      </c>
      <c r="E382" s="28" t="inlineStr">
        <is>
          <t>ter uma noite de paz</t>
        </is>
      </c>
      <c r="F382" s="28" t="inlineStr">
        <is>
          <t>não sabe ler e disfarça</t>
        </is>
      </c>
      <c r="G382" s="28" t="inlineStr">
        <is>
          <t>coça a cicatriz quando fica nervoso</t>
        </is>
      </c>
      <c r="H382" s="28" t="n"/>
      <c r="I382" s="28" t="n"/>
      <c r="J382" s="28" t="inlineStr">
        <is>
          <t>pede ao grupo que apague um registro da Corporação</t>
        </is>
      </c>
      <c r="K382" s="18">
        <f>IF(AG382&gt;0,"O Google leu como fórmula: digite de novo com ' na frente.","")</f>
        <v/>
      </c>
      <c r="N382" s="19">
        <f>N381+IF(LEN($X$382)&gt;0,1,0)</f>
        <v/>
      </c>
      <c r="O382" s="19">
        <f>O381+IF(LEN($Y$382)&gt;0,1,0)</f>
        <v/>
      </c>
      <c r="P382" s="19">
        <f>P381+IF(LEN($Z$382)&gt;0,1,0)</f>
        <v/>
      </c>
      <c r="Q382" s="19">
        <f>Q381+IF(LEN($AA$382)&gt;0,1,0)</f>
        <v/>
      </c>
      <c r="R382" s="19">
        <f>R381+IF(LEN($AB$382)&gt;0,1,0)</f>
        <v/>
      </c>
      <c r="S382" s="19">
        <f>S381+IF(LEN($AC$382)&gt;0,1,0)</f>
        <v/>
      </c>
      <c r="T382" s="19">
        <f>T381+IF(LEN($AD$382)&gt;0,1,0)</f>
        <v/>
      </c>
      <c r="U382" s="19">
        <f>U381+IF(LEN($AE$382)&gt;0,1,0)</f>
        <v/>
      </c>
      <c r="V382" s="19">
        <f>V381+IF(LEN($AF$382)&gt;0,1,0)</f>
        <v/>
      </c>
      <c r="X382" s="19">
        <f>IF(ISERROR($B$382),"",IF(ISBLANK($B$382),"",$B$382))</f>
        <v/>
      </c>
      <c r="Y382" s="19">
        <f>IF(ISERROR($C$382),"",IF(ISBLANK($C$382),"",$C$382))</f>
        <v/>
      </c>
      <c r="Z382" s="19">
        <f>IF(ISERROR($D$382),"",IF(ISBLANK($D$382),"",$D$382))</f>
        <v/>
      </c>
      <c r="AA382" s="19">
        <f>IF(ISERROR($E$382),"",IF(ISBLANK($E$382),"",$E$382))</f>
        <v/>
      </c>
      <c r="AB382" s="19">
        <f>IF(ISERROR($F$382),"",IF(ISBLANK($F$382),"",$F$382))</f>
        <v/>
      </c>
      <c r="AC382" s="19">
        <f>IF(ISERROR($G$382),"",IF(ISBLANK($G$382),"",$G$382))</f>
        <v/>
      </c>
      <c r="AD382" s="19">
        <f>IF(ISERROR($H$382),"",IF(ISBLANK($H$382),"",$H$382))</f>
        <v/>
      </c>
      <c r="AE382" s="19">
        <f>IF(ISERROR($I$382),"",IF(ISBLANK($I$382),"",$I$382))</f>
        <v/>
      </c>
      <c r="AF382" s="19">
        <f>IF(ISERROR($J$382),"",IF(ISBLANK($J$382),"",$J$382))</f>
        <v/>
      </c>
      <c r="AG382" s="19">
        <f>ISERROR($B$382)*1+ISERROR($C$382)*1+ISERROR($D$382)*1+ISERROR($E$382)*1+ISERROR($F$382)*1+ISERROR($G$382)*1+ISERROR($H$382)*1+ISERROR($I$382)*1+ISERROR($J$382)*1</f>
        <v/>
      </c>
    </row>
    <row r="383" ht="26" customHeight="1">
      <c r="B383" s="30" t="inlineStr">
        <is>
          <t>segurança particular</t>
        </is>
      </c>
      <c r="C383" s="3" t="inlineStr">
        <is>
          <t>maquiagem de palco borrada</t>
        </is>
      </c>
      <c r="D383" s="3" t="inlineStr">
        <is>
          <t>sarcástico com quem manda</t>
        </is>
      </c>
      <c r="E383" s="3" t="inlineStr">
        <is>
          <t>expor uma injustiça</t>
        </is>
      </c>
      <c r="F383" s="3" t="inlineStr">
        <is>
          <t>planeja fugir esta noite</t>
        </is>
      </c>
      <c r="G383" s="3" t="inlineStr">
        <is>
          <t>fala em números e estatísticas</t>
        </is>
      </c>
      <c r="H383" s="3" t="n"/>
      <c r="I383" s="3" t="n"/>
      <c r="J383" s="3" t="inlineStr">
        <is>
          <t>está sendo chantageado e não sabe por quem</t>
        </is>
      </c>
      <c r="K383" s="18">
        <f>IF(AG383&gt;0,"O Google leu como fórmula: digite de novo com ' na frente.","")</f>
        <v/>
      </c>
      <c r="N383" s="19">
        <f>N382+IF(LEN($X$383)&gt;0,1,0)</f>
        <v/>
      </c>
      <c r="O383" s="19">
        <f>O382+IF(LEN($Y$383)&gt;0,1,0)</f>
        <v/>
      </c>
      <c r="P383" s="19">
        <f>P382+IF(LEN($Z$383)&gt;0,1,0)</f>
        <v/>
      </c>
      <c r="Q383" s="19">
        <f>Q382+IF(LEN($AA$383)&gt;0,1,0)</f>
        <v/>
      </c>
      <c r="R383" s="19">
        <f>R382+IF(LEN($AB$383)&gt;0,1,0)</f>
        <v/>
      </c>
      <c r="S383" s="19">
        <f>S382+IF(LEN($AC$383)&gt;0,1,0)</f>
        <v/>
      </c>
      <c r="T383" s="19">
        <f>T382+IF(LEN($AD$383)&gt;0,1,0)</f>
        <v/>
      </c>
      <c r="U383" s="19">
        <f>U382+IF(LEN($AE$383)&gt;0,1,0)</f>
        <v/>
      </c>
      <c r="V383" s="19">
        <f>V382+IF(LEN($AF$383)&gt;0,1,0)</f>
        <v/>
      </c>
      <c r="X383" s="19">
        <f>IF(ISERROR($B$383),"",IF(ISBLANK($B$383),"",$B$383))</f>
        <v/>
      </c>
      <c r="Y383" s="19">
        <f>IF(ISERROR($C$383),"",IF(ISBLANK($C$383),"",$C$383))</f>
        <v/>
      </c>
      <c r="Z383" s="19">
        <f>IF(ISERROR($D$383),"",IF(ISBLANK($D$383),"",$D$383))</f>
        <v/>
      </c>
      <c r="AA383" s="19">
        <f>IF(ISERROR($E$383),"",IF(ISBLANK($E$383),"",$E$383))</f>
        <v/>
      </c>
      <c r="AB383" s="19">
        <f>IF(ISERROR($F$383),"",IF(ISBLANK($F$383),"",$F$383))</f>
        <v/>
      </c>
      <c r="AC383" s="19">
        <f>IF(ISERROR($G$383),"",IF(ISBLANK($G$383),"",$G$383))</f>
        <v/>
      </c>
      <c r="AD383" s="19">
        <f>IF(ISERROR($H$383),"",IF(ISBLANK($H$383),"",$H$383))</f>
        <v/>
      </c>
      <c r="AE383" s="19">
        <f>IF(ISERROR($I$383),"",IF(ISBLANK($I$383),"",$I$383))</f>
        <v/>
      </c>
      <c r="AF383" s="19">
        <f>IF(ISERROR($J$383),"",IF(ISBLANK($J$383),"",$J$383))</f>
        <v/>
      </c>
      <c r="AG383" s="19">
        <f>ISERROR($B$383)*1+ISERROR($C$383)*1+ISERROR($D$383)*1+ISERROR($E$383)*1+ISERROR($F$383)*1+ISERROR($G$383)*1+ISERROR($H$383)*1+ISERROR($I$383)*1+ISERROR($J$383)*1</f>
        <v/>
      </c>
    </row>
    <row r="384" ht="15" customHeight="1">
      <c r="B384" s="7" t="inlineStr">
        <is>
          <t>Ocupação (NPC)</t>
        </is>
      </c>
      <c r="C384" s="7" t="inlineStr">
        <is>
          <t>Traço de aparência</t>
        </is>
      </c>
      <c r="D384" s="7" t="inlineStr">
        <is>
          <t>Personalidade</t>
        </is>
      </c>
      <c r="E384" s="7" t="inlineStr">
        <is>
          <t>Motivação (sem Caminho)</t>
        </is>
      </c>
      <c r="F384" s="7" t="inlineStr">
        <is>
          <t>Segredo</t>
        </is>
      </c>
      <c r="G384" s="7" t="inlineStr">
        <is>
          <t>Maneirismo e voz</t>
        </is>
      </c>
      <c r="H384" s="7" t="inlineStr">
        <is>
          <t>Caminho do NPC (peso)</t>
        </is>
      </c>
      <c r="I384" s="7" t="inlineStr">
        <is>
          <t>Atitude com o grupo</t>
        </is>
      </c>
      <c r="J384" s="7" t="inlineStr">
        <is>
          <t>Gancho do NPC</t>
        </is>
      </c>
      <c r="N384" s="19">
        <f>N383</f>
        <v/>
      </c>
      <c r="O384" s="19">
        <f>O383</f>
        <v/>
      </c>
      <c r="P384" s="19">
        <f>P383</f>
        <v/>
      </c>
      <c r="Q384" s="19">
        <f>Q383</f>
        <v/>
      </c>
      <c r="R384" s="19">
        <f>R383</f>
        <v/>
      </c>
      <c r="S384" s="19">
        <f>S383</f>
        <v/>
      </c>
      <c r="T384" s="19">
        <f>T383</f>
        <v/>
      </c>
      <c r="U384" s="19">
        <f>U383</f>
        <v/>
      </c>
      <c r="V384" s="19">
        <f>V383</f>
        <v/>
      </c>
      <c r="X384" s="19">
        <f>IF(ISERROR($B$384),"",IF(ISBLANK($B$384),"",$B$384))</f>
        <v/>
      </c>
      <c r="Y384" s="19">
        <f>IF(ISERROR($C$384),"",IF(ISBLANK($C$384),"",$C$384))</f>
        <v/>
      </c>
      <c r="Z384" s="19">
        <f>IF(ISERROR($D$384),"",IF(ISBLANK($D$384),"",$D$384))</f>
        <v/>
      </c>
      <c r="AA384" s="19">
        <f>IF(ISERROR($E$384),"",IF(ISBLANK($E$384),"",$E$384))</f>
        <v/>
      </c>
      <c r="AB384" s="19">
        <f>IF(ISERROR($F$384),"",IF(ISBLANK($F$384),"",$F$384))</f>
        <v/>
      </c>
      <c r="AC384" s="19">
        <f>IF(ISERROR($G$384),"",IF(ISBLANK($G$384),"",$G$384))</f>
        <v/>
      </c>
      <c r="AD384" s="19">
        <f>IF(ISERROR($H$384),"",IF(ISBLANK($H$384),"",$H$384))</f>
        <v/>
      </c>
      <c r="AE384" s="19">
        <f>IF(ISERROR($I$384),"",IF(ISBLANK($I$384),"",$I$384))</f>
        <v/>
      </c>
      <c r="AF384" s="19">
        <f>IF(ISERROR($J$384),"",IF(ISBLANK($J$384),"",$J$384))</f>
        <v/>
      </c>
    </row>
    <row r="385" ht="26" customHeight="1">
      <c r="B385" s="30" t="inlineStr">
        <is>
          <t>botânico de estufa orbital</t>
        </is>
      </c>
      <c r="C385" s="3" t="inlineStr">
        <is>
          <t>lenço que cobre metade do rosto</t>
        </is>
      </c>
      <c r="D385" s="3" t="inlineStr">
        <is>
          <t>ingênuo, acredita em quase tudo</t>
        </is>
      </c>
      <c r="E385" s="3" t="inlineStr">
        <is>
          <t>salvar um bairro da demolição</t>
        </is>
      </c>
      <c r="F385" s="3" t="inlineStr">
        <is>
          <t>guarda um mapa que leva a uma ruína</t>
        </is>
      </c>
      <c r="G385" s="3" t="inlineStr">
        <is>
          <t>sussurra nomes como se alguém escutasse</t>
        </is>
      </c>
      <c r="H385" s="3" t="n"/>
      <c r="I385" s="3" t="n"/>
      <c r="J385" s="3" t="inlineStr">
        <is>
          <t>quer conhecer o Expresso Astral por dentro</t>
        </is>
      </c>
      <c r="K385" s="18">
        <f>IF(AG385&gt;0,"O Google leu como fórmula: digite de novo com ' na frente.","")</f>
        <v/>
      </c>
      <c r="N385" s="19">
        <f>N384+IF(LEN($X$385)&gt;0,1,0)</f>
        <v/>
      </c>
      <c r="O385" s="19">
        <f>O384+IF(LEN($Y$385)&gt;0,1,0)</f>
        <v/>
      </c>
      <c r="P385" s="19">
        <f>P384+IF(LEN($Z$385)&gt;0,1,0)</f>
        <v/>
      </c>
      <c r="Q385" s="19">
        <f>Q384+IF(LEN($AA$385)&gt;0,1,0)</f>
        <v/>
      </c>
      <c r="R385" s="19">
        <f>R384+IF(LEN($AB$385)&gt;0,1,0)</f>
        <v/>
      </c>
      <c r="S385" s="19">
        <f>S384+IF(LEN($AC$385)&gt;0,1,0)</f>
        <v/>
      </c>
      <c r="T385" s="19">
        <f>T384+IF(LEN($AD$385)&gt;0,1,0)</f>
        <v/>
      </c>
      <c r="U385" s="19">
        <f>U384+IF(LEN($AE$385)&gt;0,1,0)</f>
        <v/>
      </c>
      <c r="V385" s="19">
        <f>V384+IF(LEN($AF$385)&gt;0,1,0)</f>
        <v/>
      </c>
      <c r="X385" s="19">
        <f>IF(ISERROR($B$385),"",IF(ISBLANK($B$385),"",$B$385))</f>
        <v/>
      </c>
      <c r="Y385" s="19">
        <f>IF(ISERROR($C$385),"",IF(ISBLANK($C$385),"",$C$385))</f>
        <v/>
      </c>
      <c r="Z385" s="19">
        <f>IF(ISERROR($D$385),"",IF(ISBLANK($D$385),"",$D$385))</f>
        <v/>
      </c>
      <c r="AA385" s="19">
        <f>IF(ISERROR($E$385),"",IF(ISBLANK($E$385),"",$E$385))</f>
        <v/>
      </c>
      <c r="AB385" s="19">
        <f>IF(ISERROR($F$385),"",IF(ISBLANK($F$385),"",$F$385))</f>
        <v/>
      </c>
      <c r="AC385" s="19">
        <f>IF(ISERROR($G$385),"",IF(ISBLANK($G$385),"",$G$385))</f>
        <v/>
      </c>
      <c r="AD385" s="19">
        <f>IF(ISERROR($H$385),"",IF(ISBLANK($H$385),"",$H$385))</f>
        <v/>
      </c>
      <c r="AE385" s="19">
        <f>IF(ISERROR($I$385),"",IF(ISBLANK($I$385),"",$I$385))</f>
        <v/>
      </c>
      <c r="AF385" s="19">
        <f>IF(ISERROR($J$385),"",IF(ISBLANK($J$385),"",$J$385))</f>
        <v/>
      </c>
      <c r="AG385" s="19">
        <f>ISERROR($B$385)*1+ISERROR($C$385)*1+ISERROR($D$385)*1+ISERROR($E$385)*1+ISERROR($F$385)*1+ISERROR($G$385)*1+ISERROR($H$385)*1+ISERROR($I$385)*1+ISERROR($J$385)*1</f>
        <v/>
      </c>
    </row>
    <row r="386" ht="37" customHeight="1">
      <c r="B386" s="31" t="inlineStr">
        <is>
          <t>operador de guindaste</t>
        </is>
      </c>
      <c r="C386" s="28" t="inlineStr">
        <is>
          <t>pulseira de identificação de prisioneiro</t>
        </is>
      </c>
      <c r="D386" s="28" t="inlineStr">
        <is>
          <t>paranoico com escutas</t>
        </is>
      </c>
      <c r="E386" s="28" t="inlineStr">
        <is>
          <t>reconquistar um amor perdido</t>
        </is>
      </c>
      <c r="F386" s="28" t="inlineStr">
        <is>
          <t>fez um acordo com um Devoto do Silêncio</t>
        </is>
      </c>
      <c r="G386" s="28" t="inlineStr">
        <is>
          <t>usa títulos formais com todo mundo</t>
        </is>
      </c>
      <c r="H386" s="28" t="n"/>
      <c r="I386" s="28" t="n"/>
      <c r="J386" s="28" t="inlineStr">
        <is>
          <t>tem uma máquina que só funciona perto de um dos personagens</t>
        </is>
      </c>
      <c r="K386" s="18">
        <f>IF(AG386&gt;0,"O Google leu como fórmula: digite de novo com ' na frente.","")</f>
        <v/>
      </c>
      <c r="N386" s="19">
        <f>N385+IF(LEN($X$386)&gt;0,1,0)</f>
        <v/>
      </c>
      <c r="O386" s="19">
        <f>O385+IF(LEN($Y$386)&gt;0,1,0)</f>
        <v/>
      </c>
      <c r="P386" s="19">
        <f>P385+IF(LEN($Z$386)&gt;0,1,0)</f>
        <v/>
      </c>
      <c r="Q386" s="19">
        <f>Q385+IF(LEN($AA$386)&gt;0,1,0)</f>
        <v/>
      </c>
      <c r="R386" s="19">
        <f>R385+IF(LEN($AB$386)&gt;0,1,0)</f>
        <v/>
      </c>
      <c r="S386" s="19">
        <f>S385+IF(LEN($AC$386)&gt;0,1,0)</f>
        <v/>
      </c>
      <c r="T386" s="19">
        <f>T385+IF(LEN($AD$386)&gt;0,1,0)</f>
        <v/>
      </c>
      <c r="U386" s="19">
        <f>U385+IF(LEN($AE$386)&gt;0,1,0)</f>
        <v/>
      </c>
      <c r="V386" s="19">
        <f>V385+IF(LEN($AF$386)&gt;0,1,0)</f>
        <v/>
      </c>
      <c r="X386" s="19">
        <f>IF(ISERROR($B$386),"",IF(ISBLANK($B$386),"",$B$386))</f>
        <v/>
      </c>
      <c r="Y386" s="19">
        <f>IF(ISERROR($C$386),"",IF(ISBLANK($C$386),"",$C$386))</f>
        <v/>
      </c>
      <c r="Z386" s="19">
        <f>IF(ISERROR($D$386),"",IF(ISBLANK($D$386),"",$D$386))</f>
        <v/>
      </c>
      <c r="AA386" s="19">
        <f>IF(ISERROR($E$386),"",IF(ISBLANK($E$386),"",$E$386))</f>
        <v/>
      </c>
      <c r="AB386" s="19">
        <f>IF(ISERROR($F$386),"",IF(ISBLANK($F$386),"",$F$386))</f>
        <v/>
      </c>
      <c r="AC386" s="19">
        <f>IF(ISERROR($G$386),"",IF(ISBLANK($G$386),"",$G$386))</f>
        <v/>
      </c>
      <c r="AD386" s="19">
        <f>IF(ISERROR($H$386),"",IF(ISBLANK($H$386),"",$H$386))</f>
        <v/>
      </c>
      <c r="AE386" s="19">
        <f>IF(ISERROR($I$386),"",IF(ISBLANK($I$386),"",$I$386))</f>
        <v/>
      </c>
      <c r="AF386" s="19">
        <f>IF(ISERROR($J$386),"",IF(ISBLANK($J$386),"",$J$386))</f>
        <v/>
      </c>
      <c r="AG386" s="19">
        <f>ISERROR($B$386)*1+ISERROR($C$386)*1+ISERROR($D$386)*1+ISERROR($E$386)*1+ISERROR($F$386)*1+ISERROR($G$386)*1+ISERROR($H$386)*1+ISERROR($I$386)*1+ISERROR($J$386)*1</f>
        <v/>
      </c>
    </row>
    <row r="387" ht="26" customHeight="1">
      <c r="B387" s="30" t="inlineStr">
        <is>
          <t>fiscal da Corporação</t>
        </is>
      </c>
      <c r="C387" s="3" t="inlineStr">
        <is>
          <t>muito alto e curvado</t>
        </is>
      </c>
      <c r="D387" s="3" t="inlineStr">
        <is>
          <t>educado demais para dizer não</t>
        </is>
      </c>
      <c r="E387" s="3" t="inlineStr">
        <is>
          <t>sobreviver a mais um ciclo de trabalho</t>
        </is>
      </c>
      <c r="F387" s="3" t="inlineStr">
        <is>
          <t>tem uma doença que piora com o frio</t>
        </is>
      </c>
      <c r="G387" s="3" t="inlineStr">
        <is>
          <t>conta histórias que nunca terminam</t>
        </is>
      </c>
      <c r="H387" s="3" t="n"/>
      <c r="I387" s="3" t="n"/>
      <c r="J387" s="3" t="inlineStr">
        <is>
          <t>procura alguém para cuidar de uma criança por um dia</t>
        </is>
      </c>
      <c r="K387" s="18">
        <f>IF(AG387&gt;0,"O Google leu como fórmula: digite de novo com ' na frente.","")</f>
        <v/>
      </c>
      <c r="N387" s="19">
        <f>N386+IF(LEN($X$387)&gt;0,1,0)</f>
        <v/>
      </c>
      <c r="O387" s="19">
        <f>O386+IF(LEN($Y$387)&gt;0,1,0)</f>
        <v/>
      </c>
      <c r="P387" s="19">
        <f>P386+IF(LEN($Z$387)&gt;0,1,0)</f>
        <v/>
      </c>
      <c r="Q387" s="19">
        <f>Q386+IF(LEN($AA$387)&gt;0,1,0)</f>
        <v/>
      </c>
      <c r="R387" s="19">
        <f>R386+IF(LEN($AB$387)&gt;0,1,0)</f>
        <v/>
      </c>
      <c r="S387" s="19">
        <f>S386+IF(LEN($AC$387)&gt;0,1,0)</f>
        <v/>
      </c>
      <c r="T387" s="19">
        <f>T386+IF(LEN($AD$387)&gt;0,1,0)</f>
        <v/>
      </c>
      <c r="U387" s="19">
        <f>U386+IF(LEN($AE$387)&gt;0,1,0)</f>
        <v/>
      </c>
      <c r="V387" s="19">
        <f>V386+IF(LEN($AF$387)&gt;0,1,0)</f>
        <v/>
      </c>
      <c r="X387" s="19">
        <f>IF(ISERROR($B$387),"",IF(ISBLANK($B$387),"",$B$387))</f>
        <v/>
      </c>
      <c r="Y387" s="19">
        <f>IF(ISERROR($C$387),"",IF(ISBLANK($C$387),"",$C$387))</f>
        <v/>
      </c>
      <c r="Z387" s="19">
        <f>IF(ISERROR($D$387),"",IF(ISBLANK($D$387),"",$D$387))</f>
        <v/>
      </c>
      <c r="AA387" s="19">
        <f>IF(ISERROR($E$387),"",IF(ISBLANK($E$387),"",$E$387))</f>
        <v/>
      </c>
      <c r="AB387" s="19">
        <f>IF(ISERROR($F$387),"",IF(ISBLANK($F$387),"",$F$387))</f>
        <v/>
      </c>
      <c r="AC387" s="19">
        <f>IF(ISERROR($G$387),"",IF(ISBLANK($G$387),"",$G$387))</f>
        <v/>
      </c>
      <c r="AD387" s="19">
        <f>IF(ISERROR($H$387),"",IF(ISBLANK($H$387),"",$H$387))</f>
        <v/>
      </c>
      <c r="AE387" s="19">
        <f>IF(ISERROR($I$387),"",IF(ISBLANK($I$387),"",$I$387))</f>
        <v/>
      </c>
      <c r="AF387" s="19">
        <f>IF(ISERROR($J$387),"",IF(ISBLANK($J$387),"",$J$387))</f>
        <v/>
      </c>
      <c r="AG387" s="19">
        <f>ISERROR($B$387)*1+ISERROR($C$387)*1+ISERROR($D$387)*1+ISERROR($E$387)*1+ISERROR($F$387)*1+ISERROR($G$387)*1+ISERROR($H$387)*1+ISERROR($I$387)*1+ISERROR($J$387)*1</f>
        <v/>
      </c>
    </row>
    <row r="388" ht="26" customHeight="1">
      <c r="B388" s="31" t="inlineStr">
        <is>
          <t>músico de rua</t>
        </is>
      </c>
      <c r="C388" s="28" t="inlineStr">
        <is>
          <t>baixo e largo como uma porta</t>
        </is>
      </c>
      <c r="D388" s="28" t="inlineStr">
        <is>
          <t>impulsivo, decide e depois pensa</t>
        </is>
      </c>
      <c r="E388" s="28" t="inlineStr">
        <is>
          <t>abrir a própria oficina</t>
        </is>
      </c>
      <c r="F388" s="28" t="inlineStr">
        <is>
          <t>é a única testemunha de um crime</t>
        </is>
      </c>
      <c r="G388" s="28" t="inlineStr">
        <is>
          <t>aponta com o queixo</t>
        </is>
      </c>
      <c r="H388" s="28" t="n"/>
      <c r="I388" s="28" t="n"/>
      <c r="J388" s="28" t="inlineStr">
        <is>
          <t>conta um rumor sobre um Stellaron perto dali</t>
        </is>
      </c>
      <c r="K388" s="18">
        <f>IF(AG388&gt;0,"O Google leu como fórmula: digite de novo com ' na frente.","")</f>
        <v/>
      </c>
      <c r="N388" s="19">
        <f>N387+IF(LEN($X$388)&gt;0,1,0)</f>
        <v/>
      </c>
      <c r="O388" s="19">
        <f>O387+IF(LEN($Y$388)&gt;0,1,0)</f>
        <v/>
      </c>
      <c r="P388" s="19">
        <f>P387+IF(LEN($Z$388)&gt;0,1,0)</f>
        <v/>
      </c>
      <c r="Q388" s="19">
        <f>Q387+IF(LEN($AA$388)&gt;0,1,0)</f>
        <v/>
      </c>
      <c r="R388" s="19">
        <f>R387+IF(LEN($AB$388)&gt;0,1,0)</f>
        <v/>
      </c>
      <c r="S388" s="19">
        <f>S387+IF(LEN($AC$388)&gt;0,1,0)</f>
        <v/>
      </c>
      <c r="T388" s="19">
        <f>T387+IF(LEN($AD$388)&gt;0,1,0)</f>
        <v/>
      </c>
      <c r="U388" s="19">
        <f>U387+IF(LEN($AE$388)&gt;0,1,0)</f>
        <v/>
      </c>
      <c r="V388" s="19">
        <f>V387+IF(LEN($AF$388)&gt;0,1,0)</f>
        <v/>
      </c>
      <c r="X388" s="19">
        <f>IF(ISERROR($B$388),"",IF(ISBLANK($B$388),"",$B$388))</f>
        <v/>
      </c>
      <c r="Y388" s="19">
        <f>IF(ISERROR($C$388),"",IF(ISBLANK($C$388),"",$C$388))</f>
        <v/>
      </c>
      <c r="Z388" s="19">
        <f>IF(ISERROR($D$388),"",IF(ISBLANK($D$388),"",$D$388))</f>
        <v/>
      </c>
      <c r="AA388" s="19">
        <f>IF(ISERROR($E$388),"",IF(ISBLANK($E$388),"",$E$388))</f>
        <v/>
      </c>
      <c r="AB388" s="19">
        <f>IF(ISERROR($F$388),"",IF(ISBLANK($F$388),"",$F$388))</f>
        <v/>
      </c>
      <c r="AC388" s="19">
        <f>IF(ISERROR($G$388),"",IF(ISBLANK($G$388),"",$G$388))</f>
        <v/>
      </c>
      <c r="AD388" s="19">
        <f>IF(ISERROR($H$388),"",IF(ISBLANK($H$388),"",$H$388))</f>
        <v/>
      </c>
      <c r="AE388" s="19">
        <f>IF(ISERROR($I$388),"",IF(ISBLANK($I$388),"",$I$388))</f>
        <v/>
      </c>
      <c r="AF388" s="19">
        <f>IF(ISERROR($J$388),"",IF(ISBLANK($J$388),"",$J$388))</f>
        <v/>
      </c>
      <c r="AG388" s="19">
        <f>ISERROR($B$388)*1+ISERROR($C$388)*1+ISERROR($D$388)*1+ISERROR($E$388)*1+ISERROR($F$388)*1+ISERROR($G$388)*1+ISERROR($H$388)*1+ISERROR($I$388)*1+ISERROR($J$388)*1</f>
        <v/>
      </c>
    </row>
    <row r="389" ht="26" customHeight="1">
      <c r="B389" s="30" t="inlineStr">
        <is>
          <t>ladrão de dados</t>
        </is>
      </c>
      <c r="C389" s="3" t="inlineStr">
        <is>
          <t>fios de luz tecidos no cabelo</t>
        </is>
      </c>
      <c r="D389" s="3" t="n"/>
      <c r="E389" s="3" t="n"/>
      <c r="F389" s="3" t="n"/>
      <c r="G389" s="3" t="n"/>
      <c r="H389" s="3" t="n"/>
      <c r="I389" s="3" t="n"/>
      <c r="J389" s="3" t="n"/>
      <c r="K389" s="18">
        <f>IF(AG389&gt;0,"O Google leu como fórmula: digite de novo com ' na frente.","")</f>
        <v/>
      </c>
      <c r="N389" s="19">
        <f>N388+IF(LEN($X$389)&gt;0,1,0)</f>
        <v/>
      </c>
      <c r="O389" s="19">
        <f>O388+IF(LEN($Y$389)&gt;0,1,0)</f>
        <v/>
      </c>
      <c r="P389" s="19">
        <f>P388+IF(LEN($Z$389)&gt;0,1,0)</f>
        <v/>
      </c>
      <c r="Q389" s="19">
        <f>Q388+IF(LEN($AA$389)&gt;0,1,0)</f>
        <v/>
      </c>
      <c r="R389" s="19">
        <f>R388+IF(LEN($AB$389)&gt;0,1,0)</f>
        <v/>
      </c>
      <c r="S389" s="19">
        <f>S388+IF(LEN($AC$389)&gt;0,1,0)</f>
        <v/>
      </c>
      <c r="T389" s="19">
        <f>T388+IF(LEN($AD$389)&gt;0,1,0)</f>
        <v/>
      </c>
      <c r="U389" s="19">
        <f>U388+IF(LEN($AE$389)&gt;0,1,0)</f>
        <v/>
      </c>
      <c r="V389" s="19">
        <f>V388+IF(LEN($AF$389)&gt;0,1,0)</f>
        <v/>
      </c>
      <c r="X389" s="19">
        <f>IF(ISERROR($B$389),"",IF(ISBLANK($B$389),"",$B$389))</f>
        <v/>
      </c>
      <c r="Y389" s="19">
        <f>IF(ISERROR($C$389),"",IF(ISBLANK($C$389),"",$C$389))</f>
        <v/>
      </c>
      <c r="Z389" s="19">
        <f>IF(ISERROR($D$389),"",IF(ISBLANK($D$389),"",$D$389))</f>
        <v/>
      </c>
      <c r="AA389" s="19">
        <f>IF(ISERROR($E$389),"",IF(ISBLANK($E$389),"",$E$389))</f>
        <v/>
      </c>
      <c r="AB389" s="19">
        <f>IF(ISERROR($F$389),"",IF(ISBLANK($F$389),"",$F$389))</f>
        <v/>
      </c>
      <c r="AC389" s="19">
        <f>IF(ISERROR($G$389),"",IF(ISBLANK($G$389),"",$G$389))</f>
        <v/>
      </c>
      <c r="AD389" s="19">
        <f>IF(ISERROR($H$389),"",IF(ISBLANK($H$389),"",$H$389))</f>
        <v/>
      </c>
      <c r="AE389" s="19">
        <f>IF(ISERROR($I$389),"",IF(ISBLANK($I$389),"",$I$389))</f>
        <v/>
      </c>
      <c r="AF389" s="19">
        <f>IF(ISERROR($J$389),"",IF(ISBLANK($J$389),"",$J$389))</f>
        <v/>
      </c>
      <c r="AG389" s="19">
        <f>ISERROR($B$389)*1+ISERROR($C$389)*1+ISERROR($D$389)*1+ISERROR($E$389)*1+ISERROR($F$389)*1+ISERROR($G$389)*1+ISERROR($H$389)*1+ISERROR($I$389)*1+ISERROR($J$389)*1</f>
        <v/>
      </c>
    </row>
    <row r="390" ht="26" customHeight="1">
      <c r="B390" s="31" t="inlineStr">
        <is>
          <t>corretor de seguros</t>
        </is>
      </c>
      <c r="C390" s="28" t="inlineStr">
        <is>
          <t>botas de mineiro gastas</t>
        </is>
      </c>
      <c r="D390" s="28" t="n"/>
      <c r="E390" s="28" t="n"/>
      <c r="F390" s="28" t="n"/>
      <c r="G390" s="28" t="n"/>
      <c r="H390" s="28" t="n"/>
      <c r="I390" s="28" t="n"/>
      <c r="J390" s="28" t="n"/>
      <c r="K390" s="18">
        <f>IF(AG390&gt;0,"O Google leu como fórmula: digite de novo com ' na frente.","")</f>
        <v/>
      </c>
      <c r="N390" s="19">
        <f>N389+IF(LEN($X$390)&gt;0,1,0)</f>
        <v/>
      </c>
      <c r="O390" s="19">
        <f>O389+IF(LEN($Y$390)&gt;0,1,0)</f>
        <v/>
      </c>
      <c r="P390" s="19">
        <f>P389+IF(LEN($Z$390)&gt;0,1,0)</f>
        <v/>
      </c>
      <c r="Q390" s="19">
        <f>Q389+IF(LEN($AA$390)&gt;0,1,0)</f>
        <v/>
      </c>
      <c r="R390" s="19">
        <f>R389+IF(LEN($AB$390)&gt;0,1,0)</f>
        <v/>
      </c>
      <c r="S390" s="19">
        <f>S389+IF(LEN($AC$390)&gt;0,1,0)</f>
        <v/>
      </c>
      <c r="T390" s="19">
        <f>T389+IF(LEN($AD$390)&gt;0,1,0)</f>
        <v/>
      </c>
      <c r="U390" s="19">
        <f>U389+IF(LEN($AE$390)&gt;0,1,0)</f>
        <v/>
      </c>
      <c r="V390" s="19">
        <f>V389+IF(LEN($AF$390)&gt;0,1,0)</f>
        <v/>
      </c>
      <c r="X390" s="19">
        <f>IF(ISERROR($B$390),"",IF(ISBLANK($B$390),"",$B$390))</f>
        <v/>
      </c>
      <c r="Y390" s="19">
        <f>IF(ISERROR($C$390),"",IF(ISBLANK($C$390),"",$C$390))</f>
        <v/>
      </c>
      <c r="Z390" s="19">
        <f>IF(ISERROR($D$390),"",IF(ISBLANK($D$390),"",$D$390))</f>
        <v/>
      </c>
      <c r="AA390" s="19">
        <f>IF(ISERROR($E$390),"",IF(ISBLANK($E$390),"",$E$390))</f>
        <v/>
      </c>
      <c r="AB390" s="19">
        <f>IF(ISERROR($F$390),"",IF(ISBLANK($F$390),"",$F$390))</f>
        <v/>
      </c>
      <c r="AC390" s="19">
        <f>IF(ISERROR($G$390),"",IF(ISBLANK($G$390),"",$G$390))</f>
        <v/>
      </c>
      <c r="AD390" s="19">
        <f>IF(ISERROR($H$390),"",IF(ISBLANK($H$390),"",$H$390))</f>
        <v/>
      </c>
      <c r="AE390" s="19">
        <f>IF(ISERROR($I$390),"",IF(ISBLANK($I$390),"",$I$390))</f>
        <v/>
      </c>
      <c r="AF390" s="19">
        <f>IF(ISERROR($J$390),"",IF(ISBLANK($J$390),"",$J$390))</f>
        <v/>
      </c>
      <c r="AG390" s="19">
        <f>ISERROR($B$390)*1+ISERROR($C$390)*1+ISERROR($D$390)*1+ISERROR($E$390)*1+ISERROR($F$390)*1+ISERROR($G$390)*1+ISERROR($H$390)*1+ISERROR($I$390)*1+ISERROR($J$390)*1</f>
        <v/>
      </c>
    </row>
    <row r="391" ht="26" customHeight="1">
      <c r="B391" s="30" t="inlineStr">
        <is>
          <t>enfermeiro de campanha</t>
        </is>
      </c>
      <c r="C391" s="3" t="inlineStr">
        <is>
          <t>medalha militar presa do lado errado</t>
        </is>
      </c>
      <c r="D391" s="3" t="n"/>
      <c r="E391" s="3" t="n"/>
      <c r="F391" s="3" t="n"/>
      <c r="G391" s="3" t="n"/>
      <c r="H391" s="3" t="n"/>
      <c r="I391" s="3" t="n"/>
      <c r="J391" s="3" t="n"/>
      <c r="K391" s="18">
        <f>IF(AG391&gt;0,"O Google leu como fórmula: digite de novo com ' na frente.","")</f>
        <v/>
      </c>
      <c r="N391" s="19">
        <f>N390+IF(LEN($X$391)&gt;0,1,0)</f>
        <v/>
      </c>
      <c r="O391" s="19">
        <f>O390+IF(LEN($Y$391)&gt;0,1,0)</f>
        <v/>
      </c>
      <c r="P391" s="19">
        <f>P390+IF(LEN($Z$391)&gt;0,1,0)</f>
        <v/>
      </c>
      <c r="Q391" s="19">
        <f>Q390+IF(LEN($AA$391)&gt;0,1,0)</f>
        <v/>
      </c>
      <c r="R391" s="19">
        <f>R390+IF(LEN($AB$391)&gt;0,1,0)</f>
        <v/>
      </c>
      <c r="S391" s="19">
        <f>S390+IF(LEN($AC$391)&gt;0,1,0)</f>
        <v/>
      </c>
      <c r="T391" s="19">
        <f>T390+IF(LEN($AD$391)&gt;0,1,0)</f>
        <v/>
      </c>
      <c r="U391" s="19">
        <f>U390+IF(LEN($AE$391)&gt;0,1,0)</f>
        <v/>
      </c>
      <c r="V391" s="19">
        <f>V390+IF(LEN($AF$391)&gt;0,1,0)</f>
        <v/>
      </c>
      <c r="X391" s="19">
        <f>IF(ISERROR($B$391),"",IF(ISBLANK($B$391),"",$B$391))</f>
        <v/>
      </c>
      <c r="Y391" s="19">
        <f>IF(ISERROR($C$391),"",IF(ISBLANK($C$391),"",$C$391))</f>
        <v/>
      </c>
      <c r="Z391" s="19">
        <f>IF(ISERROR($D$391),"",IF(ISBLANK($D$391),"",$D$391))</f>
        <v/>
      </c>
      <c r="AA391" s="19">
        <f>IF(ISERROR($E$391),"",IF(ISBLANK($E$391),"",$E$391))</f>
        <v/>
      </c>
      <c r="AB391" s="19">
        <f>IF(ISERROR($F$391),"",IF(ISBLANK($F$391),"",$F$391))</f>
        <v/>
      </c>
      <c r="AC391" s="19">
        <f>IF(ISERROR($G$391),"",IF(ISBLANK($G$391),"",$G$391))</f>
        <v/>
      </c>
      <c r="AD391" s="19">
        <f>IF(ISERROR($H$391),"",IF(ISBLANK($H$391),"",$H$391))</f>
        <v/>
      </c>
      <c r="AE391" s="19">
        <f>IF(ISERROR($I$391),"",IF(ISBLANK($I$391),"",$I$391))</f>
        <v/>
      </c>
      <c r="AF391" s="19">
        <f>IF(ISERROR($J$391),"",IF(ISBLANK($J$391),"",$J$391))</f>
        <v/>
      </c>
      <c r="AG391" s="19">
        <f>ISERROR($B$391)*1+ISERROR($C$391)*1+ISERROR($D$391)*1+ISERROR($E$391)*1+ISERROR($F$391)*1+ISERROR($G$391)*1+ISERROR($H$391)*1+ISERROR($I$391)*1+ISERROR($J$391)*1</f>
        <v/>
      </c>
    </row>
    <row r="392" ht="26" customHeight="1">
      <c r="B392" s="31" t="inlineStr">
        <is>
          <t>pescador de um mundo oceânico</t>
        </is>
      </c>
      <c r="C392" s="28" t="n"/>
      <c r="D392" s="28" t="n"/>
      <c r="E392" s="28" t="n"/>
      <c r="F392" s="28" t="n"/>
      <c r="G392" s="28" t="n"/>
      <c r="H392" s="28" t="n"/>
      <c r="I392" s="28" t="n"/>
      <c r="J392" s="28" t="n"/>
      <c r="K392" s="18">
        <f>IF(AG392&gt;0,"O Google leu como fórmula: digite de novo com ' na frente.","")</f>
        <v/>
      </c>
      <c r="N392" s="19">
        <f>N391+IF(LEN($X$392)&gt;0,1,0)</f>
        <v/>
      </c>
      <c r="O392" s="19">
        <f>O391+IF(LEN($Y$392)&gt;0,1,0)</f>
        <v/>
      </c>
      <c r="P392" s="19">
        <f>P391+IF(LEN($Z$392)&gt;0,1,0)</f>
        <v/>
      </c>
      <c r="Q392" s="19">
        <f>Q391+IF(LEN($AA$392)&gt;0,1,0)</f>
        <v/>
      </c>
      <c r="R392" s="19">
        <f>R391+IF(LEN($AB$392)&gt;0,1,0)</f>
        <v/>
      </c>
      <c r="S392" s="19">
        <f>S391+IF(LEN($AC$392)&gt;0,1,0)</f>
        <v/>
      </c>
      <c r="T392" s="19">
        <f>T391+IF(LEN($AD$392)&gt;0,1,0)</f>
        <v/>
      </c>
      <c r="U392" s="19">
        <f>U391+IF(LEN($AE$392)&gt;0,1,0)</f>
        <v/>
      </c>
      <c r="V392" s="19">
        <f>V391+IF(LEN($AF$392)&gt;0,1,0)</f>
        <v/>
      </c>
      <c r="X392" s="19">
        <f>IF(ISERROR($B$392),"",IF(ISBLANK($B$392),"",$B$392))</f>
        <v/>
      </c>
      <c r="Y392" s="19">
        <f>IF(ISERROR($C$392),"",IF(ISBLANK($C$392),"",$C$392))</f>
        <v/>
      </c>
      <c r="Z392" s="19">
        <f>IF(ISERROR($D$392),"",IF(ISBLANK($D$392),"",$D$392))</f>
        <v/>
      </c>
      <c r="AA392" s="19">
        <f>IF(ISERROR($E$392),"",IF(ISBLANK($E$392),"",$E$392))</f>
        <v/>
      </c>
      <c r="AB392" s="19">
        <f>IF(ISERROR($F$392),"",IF(ISBLANK($F$392),"",$F$392))</f>
        <v/>
      </c>
      <c r="AC392" s="19">
        <f>IF(ISERROR($G$392),"",IF(ISBLANK($G$392),"",$G$392))</f>
        <v/>
      </c>
      <c r="AD392" s="19">
        <f>IF(ISERROR($H$392),"",IF(ISBLANK($H$392),"",$H$392))</f>
        <v/>
      </c>
      <c r="AE392" s="19">
        <f>IF(ISERROR($I$392),"",IF(ISBLANK($I$392),"",$I$392))</f>
        <v/>
      </c>
      <c r="AF392" s="19">
        <f>IF(ISERROR($J$392),"",IF(ISBLANK($J$392),"",$J$392))</f>
        <v/>
      </c>
      <c r="AG392" s="19">
        <f>ISERROR($B$392)*1+ISERROR($C$392)*1+ISERROR($D$392)*1+ISERROR($E$392)*1+ISERROR($F$392)*1+ISERROR($G$392)*1+ISERROR($H$392)*1+ISERROR($I$392)*1+ISERROR($J$392)*1</f>
        <v/>
      </c>
    </row>
    <row r="393" ht="26" customHeight="1">
      <c r="B393" s="30" t="inlineStr">
        <is>
          <t>alfaiate de trajes de vácuo</t>
        </is>
      </c>
      <c r="C393" s="3" t="n"/>
      <c r="D393" s="3" t="n"/>
      <c r="E393" s="3" t="n"/>
      <c r="F393" s="3" t="n"/>
      <c r="G393" s="3" t="n"/>
      <c r="H393" s="3" t="n"/>
      <c r="I393" s="3" t="n"/>
      <c r="J393" s="3" t="n"/>
      <c r="K393" s="18">
        <f>IF(AG393&gt;0,"O Google leu como fórmula: digite de novo com ' na frente.","")</f>
        <v/>
      </c>
      <c r="N393" s="19">
        <f>N392+IF(LEN($X$393)&gt;0,1,0)</f>
        <v/>
      </c>
      <c r="O393" s="19">
        <f>O392+IF(LEN($Y$393)&gt;0,1,0)</f>
        <v/>
      </c>
      <c r="P393" s="19">
        <f>P392+IF(LEN($Z$393)&gt;0,1,0)</f>
        <v/>
      </c>
      <c r="Q393" s="19">
        <f>Q392+IF(LEN($AA$393)&gt;0,1,0)</f>
        <v/>
      </c>
      <c r="R393" s="19">
        <f>R392+IF(LEN($AB$393)&gt;0,1,0)</f>
        <v/>
      </c>
      <c r="S393" s="19">
        <f>S392+IF(LEN($AC$393)&gt;0,1,0)</f>
        <v/>
      </c>
      <c r="T393" s="19">
        <f>T392+IF(LEN($AD$393)&gt;0,1,0)</f>
        <v/>
      </c>
      <c r="U393" s="19">
        <f>U392+IF(LEN($AE$393)&gt;0,1,0)</f>
        <v/>
      </c>
      <c r="V393" s="19">
        <f>V392+IF(LEN($AF$393)&gt;0,1,0)</f>
        <v/>
      </c>
      <c r="X393" s="19">
        <f>IF(ISERROR($B$393),"",IF(ISBLANK($B$393),"",$B$393))</f>
        <v/>
      </c>
      <c r="Y393" s="19">
        <f>IF(ISERROR($C$393),"",IF(ISBLANK($C$393),"",$C$393))</f>
        <v/>
      </c>
      <c r="Z393" s="19">
        <f>IF(ISERROR($D$393),"",IF(ISBLANK($D$393),"",$D$393))</f>
        <v/>
      </c>
      <c r="AA393" s="19">
        <f>IF(ISERROR($E$393),"",IF(ISBLANK($E$393),"",$E$393))</f>
        <v/>
      </c>
      <c r="AB393" s="19">
        <f>IF(ISERROR($F$393),"",IF(ISBLANK($F$393),"",$F$393))</f>
        <v/>
      </c>
      <c r="AC393" s="19">
        <f>IF(ISERROR($G$393),"",IF(ISBLANK($G$393),"",$G$393))</f>
        <v/>
      </c>
      <c r="AD393" s="19">
        <f>IF(ISERROR($H$393),"",IF(ISBLANK($H$393),"",$H$393))</f>
        <v/>
      </c>
      <c r="AE393" s="19">
        <f>IF(ISERROR($I$393),"",IF(ISBLANK($I$393),"",$I$393))</f>
        <v/>
      </c>
      <c r="AF393" s="19">
        <f>IF(ISERROR($J$393),"",IF(ISBLANK($J$393),"",$J$393))</f>
        <v/>
      </c>
      <c r="AG393" s="19">
        <f>ISERROR($B$393)*1+ISERROR($C$393)*1+ISERROR($D$393)*1+ISERROR($E$393)*1+ISERROR($F$393)*1+ISERROR($G$393)*1+ISERROR($H$393)*1+ISERROR($I$393)*1+ISERROR($J$393)*1</f>
        <v/>
      </c>
    </row>
    <row r="394" ht="26" customHeight="1">
      <c r="B394" s="31" t="inlineStr">
        <is>
          <t>relojoeiro</t>
        </is>
      </c>
      <c r="C394" s="28" t="n"/>
      <c r="D394" s="28" t="n"/>
      <c r="E394" s="28" t="n"/>
      <c r="F394" s="28" t="n"/>
      <c r="G394" s="28" t="n"/>
      <c r="H394" s="28" t="n"/>
      <c r="I394" s="28" t="n"/>
      <c r="J394" s="28" t="n"/>
      <c r="K394" s="18">
        <f>IF(AG394&gt;0,"O Google leu como fórmula: digite de novo com ' na frente.","")</f>
        <v/>
      </c>
      <c r="N394" s="19">
        <f>N393+IF(LEN($X$394)&gt;0,1,0)</f>
        <v/>
      </c>
      <c r="O394" s="19">
        <f>O393+IF(LEN($Y$394)&gt;0,1,0)</f>
        <v/>
      </c>
      <c r="P394" s="19">
        <f>P393+IF(LEN($Z$394)&gt;0,1,0)</f>
        <v/>
      </c>
      <c r="Q394" s="19">
        <f>Q393+IF(LEN($AA$394)&gt;0,1,0)</f>
        <v/>
      </c>
      <c r="R394" s="19">
        <f>R393+IF(LEN($AB$394)&gt;0,1,0)</f>
        <v/>
      </c>
      <c r="S394" s="19">
        <f>S393+IF(LEN($AC$394)&gt;0,1,0)</f>
        <v/>
      </c>
      <c r="T394" s="19">
        <f>T393+IF(LEN($AD$394)&gt;0,1,0)</f>
        <v/>
      </c>
      <c r="U394" s="19">
        <f>U393+IF(LEN($AE$394)&gt;0,1,0)</f>
        <v/>
      </c>
      <c r="V394" s="19">
        <f>V393+IF(LEN($AF$394)&gt;0,1,0)</f>
        <v/>
      </c>
      <c r="X394" s="19">
        <f>IF(ISERROR($B$394),"",IF(ISBLANK($B$394),"",$B$394))</f>
        <v/>
      </c>
      <c r="Y394" s="19">
        <f>IF(ISERROR($C$394),"",IF(ISBLANK($C$394),"",$C$394))</f>
        <v/>
      </c>
      <c r="Z394" s="19">
        <f>IF(ISERROR($D$394),"",IF(ISBLANK($D$394),"",$D$394))</f>
        <v/>
      </c>
      <c r="AA394" s="19">
        <f>IF(ISERROR($E$394),"",IF(ISBLANK($E$394),"",$E$394))</f>
        <v/>
      </c>
      <c r="AB394" s="19">
        <f>IF(ISERROR($F$394),"",IF(ISBLANK($F$394),"",$F$394))</f>
        <v/>
      </c>
      <c r="AC394" s="19">
        <f>IF(ISERROR($G$394),"",IF(ISBLANK($G$394),"",$G$394))</f>
        <v/>
      </c>
      <c r="AD394" s="19">
        <f>IF(ISERROR($H$394),"",IF(ISBLANK($H$394),"",$H$394))</f>
        <v/>
      </c>
      <c r="AE394" s="19">
        <f>IF(ISERROR($I$394),"",IF(ISBLANK($I$394),"",$I$394))</f>
        <v/>
      </c>
      <c r="AF394" s="19">
        <f>IF(ISERROR($J$394),"",IF(ISBLANK($J$394),"",$J$394))</f>
        <v/>
      </c>
      <c r="AG394" s="19">
        <f>ISERROR($B$394)*1+ISERROR($C$394)*1+ISERROR($D$394)*1+ISERROR($E$394)*1+ISERROR($F$394)*1+ISERROR($G$394)*1+ISERROR($H$394)*1+ISERROR($I$394)*1+ISERROR($J$394)*1</f>
        <v/>
      </c>
    </row>
    <row r="395" ht="26" customHeight="1">
      <c r="B395" s="30" t="inlineStr">
        <is>
          <t>advogado de porto</t>
        </is>
      </c>
      <c r="C395" s="3" t="n"/>
      <c r="D395" s="3" t="n"/>
      <c r="E395" s="3" t="n"/>
      <c r="F395" s="3" t="n"/>
      <c r="G395" s="3" t="n"/>
      <c r="H395" s="3" t="n"/>
      <c r="I395" s="3" t="n"/>
      <c r="J395" s="3" t="n"/>
      <c r="K395" s="18">
        <f>IF(AG395&gt;0,"O Google leu como fórmula: digite de novo com ' na frente.","")</f>
        <v/>
      </c>
      <c r="N395" s="19">
        <f>N394+IF(LEN($X$395)&gt;0,1,0)</f>
        <v/>
      </c>
      <c r="O395" s="19">
        <f>O394+IF(LEN($Y$395)&gt;0,1,0)</f>
        <v/>
      </c>
      <c r="P395" s="19">
        <f>P394+IF(LEN($Z$395)&gt;0,1,0)</f>
        <v/>
      </c>
      <c r="Q395" s="19">
        <f>Q394+IF(LEN($AA$395)&gt;0,1,0)</f>
        <v/>
      </c>
      <c r="R395" s="19">
        <f>R394+IF(LEN($AB$395)&gt;0,1,0)</f>
        <v/>
      </c>
      <c r="S395" s="19">
        <f>S394+IF(LEN($AC$395)&gt;0,1,0)</f>
        <v/>
      </c>
      <c r="T395" s="19">
        <f>T394+IF(LEN($AD$395)&gt;0,1,0)</f>
        <v/>
      </c>
      <c r="U395" s="19">
        <f>U394+IF(LEN($AE$395)&gt;0,1,0)</f>
        <v/>
      </c>
      <c r="V395" s="19">
        <f>V394+IF(LEN($AF$395)&gt;0,1,0)</f>
        <v/>
      </c>
      <c r="X395" s="19">
        <f>IF(ISERROR($B$395),"",IF(ISBLANK($B$395),"",$B$395))</f>
        <v/>
      </c>
      <c r="Y395" s="19">
        <f>IF(ISERROR($C$395),"",IF(ISBLANK($C$395),"",$C$395))</f>
        <v/>
      </c>
      <c r="Z395" s="19">
        <f>IF(ISERROR($D$395),"",IF(ISBLANK($D$395),"",$D$395))</f>
        <v/>
      </c>
      <c r="AA395" s="19">
        <f>IF(ISERROR($E$395),"",IF(ISBLANK($E$395),"",$E$395))</f>
        <v/>
      </c>
      <c r="AB395" s="19">
        <f>IF(ISERROR($F$395),"",IF(ISBLANK($F$395),"",$F$395))</f>
        <v/>
      </c>
      <c r="AC395" s="19">
        <f>IF(ISERROR($G$395),"",IF(ISBLANK($G$395),"",$G$395))</f>
        <v/>
      </c>
      <c r="AD395" s="19">
        <f>IF(ISERROR($H$395),"",IF(ISBLANK($H$395),"",$H$395))</f>
        <v/>
      </c>
      <c r="AE395" s="19">
        <f>IF(ISERROR($I$395),"",IF(ISBLANK($I$395),"",$I$395))</f>
        <v/>
      </c>
      <c r="AF395" s="19">
        <f>IF(ISERROR($J$395),"",IF(ISBLANK($J$395),"",$J$395))</f>
        <v/>
      </c>
      <c r="AG395" s="19">
        <f>ISERROR($B$395)*1+ISERROR($C$395)*1+ISERROR($D$395)*1+ISERROR($E$395)*1+ISERROR($F$395)*1+ISERROR($G$395)*1+ISERROR($H$395)*1+ISERROR($I$395)*1+ISERROR($J$395)*1</f>
        <v/>
      </c>
    </row>
    <row r="396" ht="26" customHeight="1">
      <c r="B396" s="31" t="inlineStr">
        <is>
          <t>ex-soldado</t>
        </is>
      </c>
      <c r="C396" s="28" t="n"/>
      <c r="D396" s="28" t="n"/>
      <c r="E396" s="28" t="n"/>
      <c r="F396" s="28" t="n"/>
      <c r="G396" s="28" t="n"/>
      <c r="H396" s="28" t="n"/>
      <c r="I396" s="28" t="n"/>
      <c r="J396" s="28" t="n"/>
      <c r="K396" s="18">
        <f>IF(AG396&gt;0,"O Google leu como fórmula: digite de novo com ' na frente.","")</f>
        <v/>
      </c>
      <c r="N396" s="19">
        <f>N395+IF(LEN($X$396)&gt;0,1,0)</f>
        <v/>
      </c>
      <c r="O396" s="19">
        <f>O395+IF(LEN($Y$396)&gt;0,1,0)</f>
        <v/>
      </c>
      <c r="P396" s="19">
        <f>P395+IF(LEN($Z$396)&gt;0,1,0)</f>
        <v/>
      </c>
      <c r="Q396" s="19">
        <f>Q395+IF(LEN($AA$396)&gt;0,1,0)</f>
        <v/>
      </c>
      <c r="R396" s="19">
        <f>R395+IF(LEN($AB$396)&gt;0,1,0)</f>
        <v/>
      </c>
      <c r="S396" s="19">
        <f>S395+IF(LEN($AC$396)&gt;0,1,0)</f>
        <v/>
      </c>
      <c r="T396" s="19">
        <f>T395+IF(LEN($AD$396)&gt;0,1,0)</f>
        <v/>
      </c>
      <c r="U396" s="19">
        <f>U395+IF(LEN($AE$396)&gt;0,1,0)</f>
        <v/>
      </c>
      <c r="V396" s="19">
        <f>V395+IF(LEN($AF$396)&gt;0,1,0)</f>
        <v/>
      </c>
      <c r="X396" s="19">
        <f>IF(ISERROR($B$396),"",IF(ISBLANK($B$396),"",$B$396))</f>
        <v/>
      </c>
      <c r="Y396" s="19">
        <f>IF(ISERROR($C$396),"",IF(ISBLANK($C$396),"",$C$396))</f>
        <v/>
      </c>
      <c r="Z396" s="19">
        <f>IF(ISERROR($D$396),"",IF(ISBLANK($D$396),"",$D$396))</f>
        <v/>
      </c>
      <c r="AA396" s="19">
        <f>IF(ISERROR($E$396),"",IF(ISBLANK($E$396),"",$E$396))</f>
        <v/>
      </c>
      <c r="AB396" s="19">
        <f>IF(ISERROR($F$396),"",IF(ISBLANK($F$396),"",$F$396))</f>
        <v/>
      </c>
      <c r="AC396" s="19">
        <f>IF(ISERROR($G$396),"",IF(ISBLANK($G$396),"",$G$396))</f>
        <v/>
      </c>
      <c r="AD396" s="19">
        <f>IF(ISERROR($H$396),"",IF(ISBLANK($H$396),"",$H$396))</f>
        <v/>
      </c>
      <c r="AE396" s="19">
        <f>IF(ISERROR($I$396),"",IF(ISBLANK($I$396),"",$I$396))</f>
        <v/>
      </c>
      <c r="AF396" s="19">
        <f>IF(ISERROR($J$396),"",IF(ISBLANK($J$396),"",$J$396))</f>
        <v/>
      </c>
      <c r="AG396" s="19">
        <f>ISERROR($B$396)*1+ISERROR($C$396)*1+ISERROR($D$396)*1+ISERROR($E$396)*1+ISERROR($F$396)*1+ISERROR($G$396)*1+ISERROR($H$396)*1+ISERROR($I$396)*1+ISERROR($J$396)*1</f>
        <v/>
      </c>
    </row>
    <row r="397" ht="26" customHeight="1">
      <c r="B397" s="30" t="inlineStr">
        <is>
          <t>inventor fracassado</t>
        </is>
      </c>
      <c r="C397" s="3" t="n"/>
      <c r="D397" s="3" t="n"/>
      <c r="E397" s="3" t="n"/>
      <c r="F397" s="3" t="n"/>
      <c r="G397" s="3" t="n"/>
      <c r="H397" s="3" t="n"/>
      <c r="I397" s="3" t="n"/>
      <c r="J397" s="3" t="n"/>
      <c r="K397" s="18">
        <f>IF(AG397&gt;0,"O Google leu como fórmula: digite de novo com ' na frente.","")</f>
        <v/>
      </c>
      <c r="N397" s="19">
        <f>N396+IF(LEN($X$397)&gt;0,1,0)</f>
        <v/>
      </c>
      <c r="O397" s="19">
        <f>O396+IF(LEN($Y$397)&gt;0,1,0)</f>
        <v/>
      </c>
      <c r="P397" s="19">
        <f>P396+IF(LEN($Z$397)&gt;0,1,0)</f>
        <v/>
      </c>
      <c r="Q397" s="19">
        <f>Q396+IF(LEN($AA$397)&gt;0,1,0)</f>
        <v/>
      </c>
      <c r="R397" s="19">
        <f>R396+IF(LEN($AB$397)&gt;0,1,0)</f>
        <v/>
      </c>
      <c r="S397" s="19">
        <f>S396+IF(LEN($AC$397)&gt;0,1,0)</f>
        <v/>
      </c>
      <c r="T397" s="19">
        <f>T396+IF(LEN($AD$397)&gt;0,1,0)</f>
        <v/>
      </c>
      <c r="U397" s="19">
        <f>U396+IF(LEN($AE$397)&gt;0,1,0)</f>
        <v/>
      </c>
      <c r="V397" s="19">
        <f>V396+IF(LEN($AF$397)&gt;0,1,0)</f>
        <v/>
      </c>
      <c r="X397" s="19">
        <f>IF(ISERROR($B$397),"",IF(ISBLANK($B$397),"",$B$397))</f>
        <v/>
      </c>
      <c r="Y397" s="19">
        <f>IF(ISERROR($C$397),"",IF(ISBLANK($C$397),"",$C$397))</f>
        <v/>
      </c>
      <c r="Z397" s="19">
        <f>IF(ISERROR($D$397),"",IF(ISBLANK($D$397),"",$D$397))</f>
        <v/>
      </c>
      <c r="AA397" s="19">
        <f>IF(ISERROR($E$397),"",IF(ISBLANK($E$397),"",$E$397))</f>
        <v/>
      </c>
      <c r="AB397" s="19">
        <f>IF(ISERROR($F$397),"",IF(ISBLANK($F$397),"",$F$397))</f>
        <v/>
      </c>
      <c r="AC397" s="19">
        <f>IF(ISERROR($G$397),"",IF(ISBLANK($G$397),"",$G$397))</f>
        <v/>
      </c>
      <c r="AD397" s="19">
        <f>IF(ISERROR($H$397),"",IF(ISBLANK($H$397),"",$H$397))</f>
        <v/>
      </c>
      <c r="AE397" s="19">
        <f>IF(ISERROR($I$397),"",IF(ISBLANK($I$397),"",$I$397))</f>
        <v/>
      </c>
      <c r="AF397" s="19">
        <f>IF(ISERROR($J$397),"",IF(ISBLANK($J$397),"",$J$397))</f>
        <v/>
      </c>
      <c r="AG397" s="19">
        <f>ISERROR($B$397)*1+ISERROR($C$397)*1+ISERROR($D$397)*1+ISERROR($E$397)*1+ISERROR($F$397)*1+ISERROR($G$397)*1+ISERROR($H$397)*1+ISERROR($I$397)*1+ISERROR($J$397)*1</f>
        <v/>
      </c>
    </row>
    <row r="398" ht="15" customHeight="1">
      <c r="B398" s="7" t="inlineStr">
        <is>
          <t>Ocupação (NPC)</t>
        </is>
      </c>
      <c r="C398" s="7" t="inlineStr">
        <is>
          <t>Traço de aparência</t>
        </is>
      </c>
      <c r="D398" s="7" t="inlineStr">
        <is>
          <t>Personalidade</t>
        </is>
      </c>
      <c r="E398" s="7" t="inlineStr">
        <is>
          <t>Motivação (sem Caminho)</t>
        </is>
      </c>
      <c r="F398" s="7" t="inlineStr">
        <is>
          <t>Segredo</t>
        </is>
      </c>
      <c r="G398" s="7" t="inlineStr">
        <is>
          <t>Maneirismo e voz</t>
        </is>
      </c>
      <c r="H398" s="7" t="inlineStr">
        <is>
          <t>Caminho do NPC (peso)</t>
        </is>
      </c>
      <c r="I398" s="7" t="inlineStr">
        <is>
          <t>Atitude com o grupo</t>
        </is>
      </c>
      <c r="J398" s="7" t="inlineStr">
        <is>
          <t>Gancho do NPC</t>
        </is>
      </c>
      <c r="N398" s="19">
        <f>N397</f>
        <v/>
      </c>
      <c r="O398" s="19">
        <f>O397</f>
        <v/>
      </c>
      <c r="P398" s="19">
        <f>P397</f>
        <v/>
      </c>
      <c r="Q398" s="19">
        <f>Q397</f>
        <v/>
      </c>
      <c r="R398" s="19">
        <f>R397</f>
        <v/>
      </c>
      <c r="S398" s="19">
        <f>S397</f>
        <v/>
      </c>
      <c r="T398" s="19">
        <f>T397</f>
        <v/>
      </c>
      <c r="U398" s="19">
        <f>U397</f>
        <v/>
      </c>
      <c r="V398" s="19">
        <f>V397</f>
        <v/>
      </c>
      <c r="X398" s="19">
        <f>IF(ISERROR($B$398),"",IF(ISBLANK($B$398),"",$B$398))</f>
        <v/>
      </c>
      <c r="Y398" s="19">
        <f>IF(ISERROR($C$398),"",IF(ISBLANK($C$398),"",$C$398))</f>
        <v/>
      </c>
      <c r="Z398" s="19">
        <f>IF(ISERROR($D$398),"",IF(ISBLANK($D$398),"",$D$398))</f>
        <v/>
      </c>
      <c r="AA398" s="19">
        <f>IF(ISERROR($E$398),"",IF(ISBLANK($E$398),"",$E$398))</f>
        <v/>
      </c>
      <c r="AB398" s="19">
        <f>IF(ISERROR($F$398),"",IF(ISBLANK($F$398),"",$F$398))</f>
        <v/>
      </c>
      <c r="AC398" s="19">
        <f>IF(ISERROR($G$398),"",IF(ISBLANK($G$398),"",$G$398))</f>
        <v/>
      </c>
      <c r="AD398" s="19">
        <f>IF(ISERROR($H$398),"",IF(ISBLANK($H$398),"",$H$398))</f>
        <v/>
      </c>
      <c r="AE398" s="19">
        <f>IF(ISERROR($I$398),"",IF(ISBLANK($I$398),"",$I$398))</f>
        <v/>
      </c>
      <c r="AF398" s="19">
        <f>IF(ISERROR($J$398),"",IF(ISBLANK($J$398),"",$J$398))</f>
        <v/>
      </c>
    </row>
    <row r="399" ht="26" customHeight="1">
      <c r="B399" s="30" t="inlineStr">
        <is>
          <t>vendedor de mapas estelares</t>
        </is>
      </c>
      <c r="C399" s="3" t="n"/>
      <c r="D399" s="3" t="n"/>
      <c r="E399" s="3" t="n"/>
      <c r="F399" s="3" t="n"/>
      <c r="G399" s="3" t="n"/>
      <c r="H399" s="3" t="n"/>
      <c r="I399" s="3" t="n"/>
      <c r="J399" s="3" t="n"/>
      <c r="K399" s="18">
        <f>IF(AG399&gt;0,"O Google leu como fórmula: digite de novo com ' na frente.","")</f>
        <v/>
      </c>
      <c r="N399" s="19">
        <f>N398+IF(LEN($X$399)&gt;0,1,0)</f>
        <v/>
      </c>
      <c r="O399" s="19">
        <f>O398+IF(LEN($Y$399)&gt;0,1,0)</f>
        <v/>
      </c>
      <c r="P399" s="19">
        <f>P398+IF(LEN($Z$399)&gt;0,1,0)</f>
        <v/>
      </c>
      <c r="Q399" s="19">
        <f>Q398+IF(LEN($AA$399)&gt;0,1,0)</f>
        <v/>
      </c>
      <c r="R399" s="19">
        <f>R398+IF(LEN($AB$399)&gt;0,1,0)</f>
        <v/>
      </c>
      <c r="S399" s="19">
        <f>S398+IF(LEN($AC$399)&gt;0,1,0)</f>
        <v/>
      </c>
      <c r="T399" s="19">
        <f>T398+IF(LEN($AD$399)&gt;0,1,0)</f>
        <v/>
      </c>
      <c r="U399" s="19">
        <f>U398+IF(LEN($AE$399)&gt;0,1,0)</f>
        <v/>
      </c>
      <c r="V399" s="19">
        <f>V398+IF(LEN($AF$399)&gt;0,1,0)</f>
        <v/>
      </c>
      <c r="X399" s="19">
        <f>IF(ISERROR($B$399),"",IF(ISBLANK($B$399),"",$B$399))</f>
        <v/>
      </c>
      <c r="Y399" s="19">
        <f>IF(ISERROR($C$399),"",IF(ISBLANK($C$399),"",$C$399))</f>
        <v/>
      </c>
      <c r="Z399" s="19">
        <f>IF(ISERROR($D$399),"",IF(ISBLANK($D$399),"",$D$399))</f>
        <v/>
      </c>
      <c r="AA399" s="19">
        <f>IF(ISERROR($E$399),"",IF(ISBLANK($E$399),"",$E$399))</f>
        <v/>
      </c>
      <c r="AB399" s="19">
        <f>IF(ISERROR($F$399),"",IF(ISBLANK($F$399),"",$F$399))</f>
        <v/>
      </c>
      <c r="AC399" s="19">
        <f>IF(ISERROR($G$399),"",IF(ISBLANK($G$399),"",$G$399))</f>
        <v/>
      </c>
      <c r="AD399" s="19">
        <f>IF(ISERROR($H$399),"",IF(ISBLANK($H$399),"",$H$399))</f>
        <v/>
      </c>
      <c r="AE399" s="19">
        <f>IF(ISERROR($I$399),"",IF(ISBLANK($I$399),"",$I$399))</f>
        <v/>
      </c>
      <c r="AF399" s="19">
        <f>IF(ISERROR($J$399),"",IF(ISBLANK($J$399),"",$J$399))</f>
        <v/>
      </c>
      <c r="AG399" s="19">
        <f>ISERROR($B$399)*1+ISERROR($C$399)*1+ISERROR($D$399)*1+ISERROR($E$399)*1+ISERROR($F$399)*1+ISERROR($G$399)*1+ISERROR($H$399)*1+ISERROR($I$399)*1+ISERROR($J$399)*1</f>
        <v/>
      </c>
    </row>
    <row r="400" ht="26" customHeight="1">
      <c r="B400" s="31" t="inlineStr">
        <is>
          <t>zelador de templo</t>
        </is>
      </c>
      <c r="C400" s="28" t="n"/>
      <c r="D400" s="28" t="n"/>
      <c r="E400" s="28" t="n"/>
      <c r="F400" s="28" t="n"/>
      <c r="G400" s="28" t="n"/>
      <c r="H400" s="28" t="n"/>
      <c r="I400" s="28" t="n"/>
      <c r="J400" s="28" t="n"/>
      <c r="K400" s="18">
        <f>IF(AG400&gt;0,"O Google leu como fórmula: digite de novo com ' na frente.","")</f>
        <v/>
      </c>
      <c r="N400" s="19">
        <f>N399+IF(LEN($X$400)&gt;0,1,0)</f>
        <v/>
      </c>
      <c r="O400" s="19">
        <f>O399+IF(LEN($Y$400)&gt;0,1,0)</f>
        <v/>
      </c>
      <c r="P400" s="19">
        <f>P399+IF(LEN($Z$400)&gt;0,1,0)</f>
        <v/>
      </c>
      <c r="Q400" s="19">
        <f>Q399+IF(LEN($AA$400)&gt;0,1,0)</f>
        <v/>
      </c>
      <c r="R400" s="19">
        <f>R399+IF(LEN($AB$400)&gt;0,1,0)</f>
        <v/>
      </c>
      <c r="S400" s="19">
        <f>S399+IF(LEN($AC$400)&gt;0,1,0)</f>
        <v/>
      </c>
      <c r="T400" s="19">
        <f>T399+IF(LEN($AD$400)&gt;0,1,0)</f>
        <v/>
      </c>
      <c r="U400" s="19">
        <f>U399+IF(LEN($AE$400)&gt;0,1,0)</f>
        <v/>
      </c>
      <c r="V400" s="19">
        <f>V399+IF(LEN($AF$400)&gt;0,1,0)</f>
        <v/>
      </c>
      <c r="X400" s="19">
        <f>IF(ISERROR($B$400),"",IF(ISBLANK($B$400),"",$B$400))</f>
        <v/>
      </c>
      <c r="Y400" s="19">
        <f>IF(ISERROR($C$400),"",IF(ISBLANK($C$400),"",$C$400))</f>
        <v/>
      </c>
      <c r="Z400" s="19">
        <f>IF(ISERROR($D$400),"",IF(ISBLANK($D$400),"",$D$400))</f>
        <v/>
      </c>
      <c r="AA400" s="19">
        <f>IF(ISERROR($E$400),"",IF(ISBLANK($E$400),"",$E$400))</f>
        <v/>
      </c>
      <c r="AB400" s="19">
        <f>IF(ISERROR($F$400),"",IF(ISBLANK($F$400),"",$F$400))</f>
        <v/>
      </c>
      <c r="AC400" s="19">
        <f>IF(ISERROR($G$400),"",IF(ISBLANK($G$400),"",$G$400))</f>
        <v/>
      </c>
      <c r="AD400" s="19">
        <f>IF(ISERROR($H$400),"",IF(ISBLANK($H$400),"",$H$400))</f>
        <v/>
      </c>
      <c r="AE400" s="19">
        <f>IF(ISERROR($I$400),"",IF(ISBLANK($I$400),"",$I$400))</f>
        <v/>
      </c>
      <c r="AF400" s="19">
        <f>IF(ISERROR($J$400),"",IF(ISBLANK($J$400),"",$J$400))</f>
        <v/>
      </c>
      <c r="AG400" s="19">
        <f>ISERROR($B$400)*1+ISERROR($C$400)*1+ISERROR($D$400)*1+ISERROR($E$400)*1+ISERROR($F$400)*1+ISERROR($G$400)*1+ISERROR($H$400)*1+ISERROR($I$400)*1+ISERROR($J$400)*1</f>
        <v/>
      </c>
    </row>
    <row r="401" ht="26" customHeight="1">
      <c r="B401" s="30" t="inlineStr">
        <is>
          <t>astrônomo amador</t>
        </is>
      </c>
      <c r="C401" s="3" t="n"/>
      <c r="D401" s="3" t="n"/>
      <c r="E401" s="3" t="n"/>
      <c r="F401" s="3" t="n"/>
      <c r="G401" s="3" t="n"/>
      <c r="H401" s="3" t="n"/>
      <c r="I401" s="3" t="n"/>
      <c r="J401" s="3" t="n"/>
      <c r="K401" s="18">
        <f>IF(AG401&gt;0,"O Google leu como fórmula: digite de novo com ' na frente.","")</f>
        <v/>
      </c>
      <c r="N401" s="19">
        <f>N400+IF(LEN($X$401)&gt;0,1,0)</f>
        <v/>
      </c>
      <c r="O401" s="19">
        <f>O400+IF(LEN($Y$401)&gt;0,1,0)</f>
        <v/>
      </c>
      <c r="P401" s="19">
        <f>P400+IF(LEN($Z$401)&gt;0,1,0)</f>
        <v/>
      </c>
      <c r="Q401" s="19">
        <f>Q400+IF(LEN($AA$401)&gt;0,1,0)</f>
        <v/>
      </c>
      <c r="R401" s="19">
        <f>R400+IF(LEN($AB$401)&gt;0,1,0)</f>
        <v/>
      </c>
      <c r="S401" s="19">
        <f>S400+IF(LEN($AC$401)&gt;0,1,0)</f>
        <v/>
      </c>
      <c r="T401" s="19">
        <f>T400+IF(LEN($AD$401)&gt;0,1,0)</f>
        <v/>
      </c>
      <c r="U401" s="19">
        <f>U400+IF(LEN($AE$401)&gt;0,1,0)</f>
        <v/>
      </c>
      <c r="V401" s="19">
        <f>V400+IF(LEN($AF$401)&gt;0,1,0)</f>
        <v/>
      </c>
      <c r="X401" s="19">
        <f>IF(ISERROR($B$401),"",IF(ISBLANK($B$401),"",$B$401))</f>
        <v/>
      </c>
      <c r="Y401" s="19">
        <f>IF(ISERROR($C$401),"",IF(ISBLANK($C$401),"",$C$401))</f>
        <v/>
      </c>
      <c r="Z401" s="19">
        <f>IF(ISERROR($D$401),"",IF(ISBLANK($D$401),"",$D$401))</f>
        <v/>
      </c>
      <c r="AA401" s="19">
        <f>IF(ISERROR($E$401),"",IF(ISBLANK($E$401),"",$E$401))</f>
        <v/>
      </c>
      <c r="AB401" s="19">
        <f>IF(ISERROR($F$401),"",IF(ISBLANK($F$401),"",$F$401))</f>
        <v/>
      </c>
      <c r="AC401" s="19">
        <f>IF(ISERROR($G$401),"",IF(ISBLANK($G$401),"",$G$401))</f>
        <v/>
      </c>
      <c r="AD401" s="19">
        <f>IF(ISERROR($H$401),"",IF(ISBLANK($H$401),"",$H$401))</f>
        <v/>
      </c>
      <c r="AE401" s="19">
        <f>IF(ISERROR($I$401),"",IF(ISBLANK($I$401),"",$I$401))</f>
        <v/>
      </c>
      <c r="AF401" s="19">
        <f>IF(ISERROR($J$401),"",IF(ISBLANK($J$401),"",$J$401))</f>
        <v/>
      </c>
      <c r="AG401" s="19">
        <f>ISERROR($B$401)*1+ISERROR($C$401)*1+ISERROR($D$401)*1+ISERROR($E$401)*1+ISERROR($F$401)*1+ISERROR($G$401)*1+ISERROR($H$401)*1+ISERROR($I$401)*1+ISERROR($J$401)*1</f>
        <v/>
      </c>
    </row>
    <row r="402" ht="26" customHeight="1">
      <c r="B402" s="31" t="inlineStr">
        <is>
          <t>tratador de animais de carga</t>
        </is>
      </c>
      <c r="C402" s="28" t="n"/>
      <c r="D402" s="28" t="n"/>
      <c r="E402" s="28" t="n"/>
      <c r="F402" s="28" t="n"/>
      <c r="G402" s="28" t="n"/>
      <c r="H402" s="28" t="n"/>
      <c r="I402" s="28" t="n"/>
      <c r="J402" s="28" t="n"/>
      <c r="K402" s="18">
        <f>IF(AG402&gt;0,"O Google leu como fórmula: digite de novo com ' na frente.","")</f>
        <v/>
      </c>
      <c r="N402" s="19">
        <f>N401+IF(LEN($X$402)&gt;0,1,0)</f>
        <v/>
      </c>
      <c r="O402" s="19">
        <f>O401+IF(LEN($Y$402)&gt;0,1,0)</f>
        <v/>
      </c>
      <c r="P402" s="19">
        <f>P401+IF(LEN($Z$402)&gt;0,1,0)</f>
        <v/>
      </c>
      <c r="Q402" s="19">
        <f>Q401+IF(LEN($AA$402)&gt;0,1,0)</f>
        <v/>
      </c>
      <c r="R402" s="19">
        <f>R401+IF(LEN($AB$402)&gt;0,1,0)</f>
        <v/>
      </c>
      <c r="S402" s="19">
        <f>S401+IF(LEN($AC$402)&gt;0,1,0)</f>
        <v/>
      </c>
      <c r="T402" s="19">
        <f>T401+IF(LEN($AD$402)&gt;0,1,0)</f>
        <v/>
      </c>
      <c r="U402" s="19">
        <f>U401+IF(LEN($AE$402)&gt;0,1,0)</f>
        <v/>
      </c>
      <c r="V402" s="19">
        <f>V401+IF(LEN($AF$402)&gt;0,1,0)</f>
        <v/>
      </c>
      <c r="X402" s="19">
        <f>IF(ISERROR($B$402),"",IF(ISBLANK($B$402),"",$B$402))</f>
        <v/>
      </c>
      <c r="Y402" s="19">
        <f>IF(ISERROR($C$402),"",IF(ISBLANK($C$402),"",$C$402))</f>
        <v/>
      </c>
      <c r="Z402" s="19">
        <f>IF(ISERROR($D$402),"",IF(ISBLANK($D$402),"",$D$402))</f>
        <v/>
      </c>
      <c r="AA402" s="19">
        <f>IF(ISERROR($E$402),"",IF(ISBLANK($E$402),"",$E$402))</f>
        <v/>
      </c>
      <c r="AB402" s="19">
        <f>IF(ISERROR($F$402),"",IF(ISBLANK($F$402),"",$F$402))</f>
        <v/>
      </c>
      <c r="AC402" s="19">
        <f>IF(ISERROR($G$402),"",IF(ISBLANK($G$402),"",$G$402))</f>
        <v/>
      </c>
      <c r="AD402" s="19">
        <f>IF(ISERROR($H$402),"",IF(ISBLANK($H$402),"",$H$402))</f>
        <v/>
      </c>
      <c r="AE402" s="19">
        <f>IF(ISERROR($I$402),"",IF(ISBLANK($I$402),"",$I$402))</f>
        <v/>
      </c>
      <c r="AF402" s="19">
        <f>IF(ISERROR($J$402),"",IF(ISBLANK($J$402),"",$J$402))</f>
        <v/>
      </c>
      <c r="AG402" s="19">
        <f>ISERROR($B$402)*1+ISERROR($C$402)*1+ISERROR($D$402)*1+ISERROR($E$402)*1+ISERROR($F$402)*1+ISERROR($G$402)*1+ISERROR($H$402)*1+ISERROR($I$402)*1+ISERROR($J$402)*1</f>
        <v/>
      </c>
    </row>
    <row r="403" ht="26" customHeight="1">
      <c r="B403" s="30" t="inlineStr">
        <is>
          <t>informante</t>
        </is>
      </c>
      <c r="C403" s="3" t="n"/>
      <c r="D403" s="3" t="n"/>
      <c r="E403" s="3" t="n"/>
      <c r="F403" s="3" t="n"/>
      <c r="G403" s="3" t="n"/>
      <c r="H403" s="3" t="n"/>
      <c r="I403" s="3" t="n"/>
      <c r="J403" s="3" t="n"/>
      <c r="K403" s="18">
        <f>IF(AG403&gt;0,"O Google leu como fórmula: digite de novo com ' na frente.","")</f>
        <v/>
      </c>
      <c r="N403" s="19">
        <f>N402+IF(LEN($X$403)&gt;0,1,0)</f>
        <v/>
      </c>
      <c r="O403" s="19">
        <f>O402+IF(LEN($Y$403)&gt;0,1,0)</f>
        <v/>
      </c>
      <c r="P403" s="19">
        <f>P402+IF(LEN($Z$403)&gt;0,1,0)</f>
        <v/>
      </c>
      <c r="Q403" s="19">
        <f>Q402+IF(LEN($AA$403)&gt;0,1,0)</f>
        <v/>
      </c>
      <c r="R403" s="19">
        <f>R402+IF(LEN($AB$403)&gt;0,1,0)</f>
        <v/>
      </c>
      <c r="S403" s="19">
        <f>S402+IF(LEN($AC$403)&gt;0,1,0)</f>
        <v/>
      </c>
      <c r="T403" s="19">
        <f>T402+IF(LEN($AD$403)&gt;0,1,0)</f>
        <v/>
      </c>
      <c r="U403" s="19">
        <f>U402+IF(LEN($AE$403)&gt;0,1,0)</f>
        <v/>
      </c>
      <c r="V403" s="19">
        <f>V402+IF(LEN($AF$403)&gt;0,1,0)</f>
        <v/>
      </c>
      <c r="X403" s="19">
        <f>IF(ISERROR($B$403),"",IF(ISBLANK($B$403),"",$B$403))</f>
        <v/>
      </c>
      <c r="Y403" s="19">
        <f>IF(ISERROR($C$403),"",IF(ISBLANK($C$403),"",$C$403))</f>
        <v/>
      </c>
      <c r="Z403" s="19">
        <f>IF(ISERROR($D$403),"",IF(ISBLANK($D$403),"",$D$403))</f>
        <v/>
      </c>
      <c r="AA403" s="19">
        <f>IF(ISERROR($E$403),"",IF(ISBLANK($E$403),"",$E$403))</f>
        <v/>
      </c>
      <c r="AB403" s="19">
        <f>IF(ISERROR($F$403),"",IF(ISBLANK($F$403),"",$F$403))</f>
        <v/>
      </c>
      <c r="AC403" s="19">
        <f>IF(ISERROR($G$403),"",IF(ISBLANK($G$403),"",$G$403))</f>
        <v/>
      </c>
      <c r="AD403" s="19">
        <f>IF(ISERROR($H$403),"",IF(ISBLANK($H$403),"",$H$403))</f>
        <v/>
      </c>
      <c r="AE403" s="19">
        <f>IF(ISERROR($I$403),"",IF(ISBLANK($I$403),"",$I$403))</f>
        <v/>
      </c>
      <c r="AF403" s="19">
        <f>IF(ISERROR($J$403),"",IF(ISBLANK($J$403),"",$J$403))</f>
        <v/>
      </c>
      <c r="AG403" s="19">
        <f>ISERROR($B$403)*1+ISERROR($C$403)*1+ISERROR($D$403)*1+ISERROR($E$403)*1+ISERROR($F$403)*1+ISERROR($G$403)*1+ISERROR($H$403)*1+ISERROR($I$403)*1+ISERROR($J$403)*1</f>
        <v/>
      </c>
    </row>
    <row r="404" ht="26" customHeight="1">
      <c r="B404" s="31" t="n"/>
      <c r="C404" s="28" t="n"/>
      <c r="D404" s="28" t="n"/>
      <c r="E404" s="28" t="n"/>
      <c r="F404" s="28" t="n"/>
      <c r="G404" s="28" t="n"/>
      <c r="H404" s="28" t="n"/>
      <c r="I404" s="28" t="n"/>
      <c r="J404" s="28" t="n"/>
      <c r="K404" s="18">
        <f>IF(AG404&gt;0,"O Google leu como fórmula: digite de novo com ' na frente.","")</f>
        <v/>
      </c>
      <c r="N404" s="19">
        <f>N403+IF(LEN($X$404)&gt;0,1,0)</f>
        <v/>
      </c>
      <c r="O404" s="19">
        <f>O403+IF(LEN($Y$404)&gt;0,1,0)</f>
        <v/>
      </c>
      <c r="P404" s="19">
        <f>P403+IF(LEN($Z$404)&gt;0,1,0)</f>
        <v/>
      </c>
      <c r="Q404" s="19">
        <f>Q403+IF(LEN($AA$404)&gt;0,1,0)</f>
        <v/>
      </c>
      <c r="R404" s="19">
        <f>R403+IF(LEN($AB$404)&gt;0,1,0)</f>
        <v/>
      </c>
      <c r="S404" s="19">
        <f>S403+IF(LEN($AC$404)&gt;0,1,0)</f>
        <v/>
      </c>
      <c r="T404" s="19">
        <f>T403+IF(LEN($AD$404)&gt;0,1,0)</f>
        <v/>
      </c>
      <c r="U404" s="19">
        <f>U403+IF(LEN($AE$404)&gt;0,1,0)</f>
        <v/>
      </c>
      <c r="V404" s="19">
        <f>V403+IF(LEN($AF$404)&gt;0,1,0)</f>
        <v/>
      </c>
      <c r="X404" s="19">
        <f>IF(ISERROR($B$404),"",IF(ISBLANK($B$404),"",$B$404))</f>
        <v/>
      </c>
      <c r="Y404" s="19">
        <f>IF(ISERROR($C$404),"",IF(ISBLANK($C$404),"",$C$404))</f>
        <v/>
      </c>
      <c r="Z404" s="19">
        <f>IF(ISERROR($D$404),"",IF(ISBLANK($D$404),"",$D$404))</f>
        <v/>
      </c>
      <c r="AA404" s="19">
        <f>IF(ISERROR($E$404),"",IF(ISBLANK($E$404),"",$E$404))</f>
        <v/>
      </c>
      <c r="AB404" s="19">
        <f>IF(ISERROR($F$404),"",IF(ISBLANK($F$404),"",$F$404))</f>
        <v/>
      </c>
      <c r="AC404" s="19">
        <f>IF(ISERROR($G$404),"",IF(ISBLANK($G$404),"",$G$404))</f>
        <v/>
      </c>
      <c r="AD404" s="19">
        <f>IF(ISERROR($H$404),"",IF(ISBLANK($H$404),"",$H$404))</f>
        <v/>
      </c>
      <c r="AE404" s="19">
        <f>IF(ISERROR($I$404),"",IF(ISBLANK($I$404),"",$I$404))</f>
        <v/>
      </c>
      <c r="AF404" s="19">
        <f>IF(ISERROR($J$404),"",IF(ISBLANK($J$404),"",$J$404))</f>
        <v/>
      </c>
      <c r="AG404" s="19">
        <f>ISERROR($B$404)*1+ISERROR($C$404)*1+ISERROR($D$404)*1+ISERROR($E$404)*1+ISERROR($F$404)*1+ISERROR($G$404)*1+ISERROR($H$404)*1+ISERROR($I$404)*1+ISERROR($J$404)*1</f>
        <v/>
      </c>
    </row>
    <row r="405" ht="26" customHeight="1">
      <c r="B405" s="30" t="n"/>
      <c r="C405" s="3" t="n"/>
      <c r="D405" s="3" t="n"/>
      <c r="E405" s="3" t="n"/>
      <c r="F405" s="3" t="n"/>
      <c r="G405" s="3" t="n"/>
      <c r="H405" s="3" t="n"/>
      <c r="I405" s="3" t="n"/>
      <c r="J405" s="3" t="n"/>
      <c r="K405" s="18">
        <f>IF(AG405&gt;0,"O Google leu como fórmula: digite de novo com ' na frente.","")</f>
        <v/>
      </c>
      <c r="N405" s="19">
        <f>N404+IF(LEN($X$405)&gt;0,1,0)</f>
        <v/>
      </c>
      <c r="O405" s="19">
        <f>O404+IF(LEN($Y$405)&gt;0,1,0)</f>
        <v/>
      </c>
      <c r="P405" s="19">
        <f>P404+IF(LEN($Z$405)&gt;0,1,0)</f>
        <v/>
      </c>
      <c r="Q405" s="19">
        <f>Q404+IF(LEN($AA$405)&gt;0,1,0)</f>
        <v/>
      </c>
      <c r="R405" s="19">
        <f>R404+IF(LEN($AB$405)&gt;0,1,0)</f>
        <v/>
      </c>
      <c r="S405" s="19">
        <f>S404+IF(LEN($AC$405)&gt;0,1,0)</f>
        <v/>
      </c>
      <c r="T405" s="19">
        <f>T404+IF(LEN($AD$405)&gt;0,1,0)</f>
        <v/>
      </c>
      <c r="U405" s="19">
        <f>U404+IF(LEN($AE$405)&gt;0,1,0)</f>
        <v/>
      </c>
      <c r="V405" s="19">
        <f>V404+IF(LEN($AF$405)&gt;0,1,0)</f>
        <v/>
      </c>
      <c r="X405" s="19">
        <f>IF(ISERROR($B$405),"",IF(ISBLANK($B$405),"",$B$405))</f>
        <v/>
      </c>
      <c r="Y405" s="19">
        <f>IF(ISERROR($C$405),"",IF(ISBLANK($C$405),"",$C$405))</f>
        <v/>
      </c>
      <c r="Z405" s="19">
        <f>IF(ISERROR($D$405),"",IF(ISBLANK($D$405),"",$D$405))</f>
        <v/>
      </c>
      <c r="AA405" s="19">
        <f>IF(ISERROR($E$405),"",IF(ISBLANK($E$405),"",$E$405))</f>
        <v/>
      </c>
      <c r="AB405" s="19">
        <f>IF(ISERROR($F$405),"",IF(ISBLANK($F$405),"",$F$405))</f>
        <v/>
      </c>
      <c r="AC405" s="19">
        <f>IF(ISERROR($G$405),"",IF(ISBLANK($G$405),"",$G$405))</f>
        <v/>
      </c>
      <c r="AD405" s="19">
        <f>IF(ISERROR($H$405),"",IF(ISBLANK($H$405),"",$H$405))</f>
        <v/>
      </c>
      <c r="AE405" s="19">
        <f>IF(ISERROR($I$405),"",IF(ISBLANK($I$405),"",$I$405))</f>
        <v/>
      </c>
      <c r="AF405" s="19">
        <f>IF(ISERROR($J$405),"",IF(ISBLANK($J$405),"",$J$405))</f>
        <v/>
      </c>
      <c r="AG405" s="19">
        <f>ISERROR($B$405)*1+ISERROR($C$405)*1+ISERROR($D$405)*1+ISERROR($E$405)*1+ISERROR($F$405)*1+ISERROR($G$405)*1+ISERROR($H$405)*1+ISERROR($I$405)*1+ISERROR($J$405)*1</f>
        <v/>
      </c>
    </row>
    <row r="406" ht="26" customHeight="1">
      <c r="B406" s="31" t="n"/>
      <c r="C406" s="28" t="n"/>
      <c r="D406" s="28" t="n"/>
      <c r="E406" s="28" t="n"/>
      <c r="F406" s="28" t="n"/>
      <c r="G406" s="28" t="n"/>
      <c r="H406" s="28" t="n"/>
      <c r="I406" s="28" t="n"/>
      <c r="J406" s="28" t="n"/>
      <c r="K406" s="18">
        <f>IF(AG406&gt;0,"O Google leu como fórmula: digite de novo com ' na frente.","")</f>
        <v/>
      </c>
      <c r="N406" s="19">
        <f>N405+IF(LEN($X$406)&gt;0,1,0)</f>
        <v/>
      </c>
      <c r="O406" s="19">
        <f>O405+IF(LEN($Y$406)&gt;0,1,0)</f>
        <v/>
      </c>
      <c r="P406" s="19">
        <f>P405+IF(LEN($Z$406)&gt;0,1,0)</f>
        <v/>
      </c>
      <c r="Q406" s="19">
        <f>Q405+IF(LEN($AA$406)&gt;0,1,0)</f>
        <v/>
      </c>
      <c r="R406" s="19">
        <f>R405+IF(LEN($AB$406)&gt;0,1,0)</f>
        <v/>
      </c>
      <c r="S406" s="19">
        <f>S405+IF(LEN($AC$406)&gt;0,1,0)</f>
        <v/>
      </c>
      <c r="T406" s="19">
        <f>T405+IF(LEN($AD$406)&gt;0,1,0)</f>
        <v/>
      </c>
      <c r="U406" s="19">
        <f>U405+IF(LEN($AE$406)&gt;0,1,0)</f>
        <v/>
      </c>
      <c r="V406" s="19">
        <f>V405+IF(LEN($AF$406)&gt;0,1,0)</f>
        <v/>
      </c>
      <c r="X406" s="19">
        <f>IF(ISERROR($B$406),"",IF(ISBLANK($B$406),"",$B$406))</f>
        <v/>
      </c>
      <c r="Y406" s="19">
        <f>IF(ISERROR($C$406),"",IF(ISBLANK($C$406),"",$C$406))</f>
        <v/>
      </c>
      <c r="Z406" s="19">
        <f>IF(ISERROR($D$406),"",IF(ISBLANK($D$406),"",$D$406))</f>
        <v/>
      </c>
      <c r="AA406" s="19">
        <f>IF(ISERROR($E$406),"",IF(ISBLANK($E$406),"",$E$406))</f>
        <v/>
      </c>
      <c r="AB406" s="19">
        <f>IF(ISERROR($F$406),"",IF(ISBLANK($F$406),"",$F$406))</f>
        <v/>
      </c>
      <c r="AC406" s="19">
        <f>IF(ISERROR($G$406),"",IF(ISBLANK($G$406),"",$G$406))</f>
        <v/>
      </c>
      <c r="AD406" s="19">
        <f>IF(ISERROR($H$406),"",IF(ISBLANK($H$406),"",$H$406))</f>
        <v/>
      </c>
      <c r="AE406" s="19">
        <f>IF(ISERROR($I$406),"",IF(ISBLANK($I$406),"",$I$406))</f>
        <v/>
      </c>
      <c r="AF406" s="19">
        <f>IF(ISERROR($J$406),"",IF(ISBLANK($J$406),"",$J$406))</f>
        <v/>
      </c>
      <c r="AG406" s="19">
        <f>ISERROR($B$406)*1+ISERROR($C$406)*1+ISERROR($D$406)*1+ISERROR($E$406)*1+ISERROR($F$406)*1+ISERROR($G$406)*1+ISERROR($H$406)*1+ISERROR($I$406)*1+ISERROR($J$406)*1</f>
        <v/>
      </c>
    </row>
    <row r="407" ht="26" customHeight="1">
      <c r="B407" s="30" t="n"/>
      <c r="C407" s="3" t="n"/>
      <c r="D407" s="3" t="n"/>
      <c r="E407" s="3" t="n"/>
      <c r="F407" s="3" t="n"/>
      <c r="G407" s="3" t="n"/>
      <c r="H407" s="3" t="n"/>
      <c r="I407" s="3" t="n"/>
      <c r="J407" s="3" t="n"/>
      <c r="K407" s="18">
        <f>IF(AG407&gt;0,"O Google leu como fórmula: digite de novo com ' na frente.","")</f>
        <v/>
      </c>
      <c r="N407" s="19">
        <f>N406+IF(LEN($X$407)&gt;0,1,0)</f>
        <v/>
      </c>
      <c r="O407" s="19">
        <f>O406+IF(LEN($Y$407)&gt;0,1,0)</f>
        <v/>
      </c>
      <c r="P407" s="19">
        <f>P406+IF(LEN($Z$407)&gt;0,1,0)</f>
        <v/>
      </c>
      <c r="Q407" s="19">
        <f>Q406+IF(LEN($AA$407)&gt;0,1,0)</f>
        <v/>
      </c>
      <c r="R407" s="19">
        <f>R406+IF(LEN($AB$407)&gt;0,1,0)</f>
        <v/>
      </c>
      <c r="S407" s="19">
        <f>S406+IF(LEN($AC$407)&gt;0,1,0)</f>
        <v/>
      </c>
      <c r="T407" s="19">
        <f>T406+IF(LEN($AD$407)&gt;0,1,0)</f>
        <v/>
      </c>
      <c r="U407" s="19">
        <f>U406+IF(LEN($AE$407)&gt;0,1,0)</f>
        <v/>
      </c>
      <c r="V407" s="19">
        <f>V406+IF(LEN($AF$407)&gt;0,1,0)</f>
        <v/>
      </c>
      <c r="X407" s="19">
        <f>IF(ISERROR($B$407),"",IF(ISBLANK($B$407),"",$B$407))</f>
        <v/>
      </c>
      <c r="Y407" s="19">
        <f>IF(ISERROR($C$407),"",IF(ISBLANK($C$407),"",$C$407))</f>
        <v/>
      </c>
      <c r="Z407" s="19">
        <f>IF(ISERROR($D$407),"",IF(ISBLANK($D$407),"",$D$407))</f>
        <v/>
      </c>
      <c r="AA407" s="19">
        <f>IF(ISERROR($E$407),"",IF(ISBLANK($E$407),"",$E$407))</f>
        <v/>
      </c>
      <c r="AB407" s="19">
        <f>IF(ISERROR($F$407),"",IF(ISBLANK($F$407),"",$F$407))</f>
        <v/>
      </c>
      <c r="AC407" s="19">
        <f>IF(ISERROR($G$407),"",IF(ISBLANK($G$407),"",$G$407))</f>
        <v/>
      </c>
      <c r="AD407" s="19">
        <f>IF(ISERROR($H$407),"",IF(ISBLANK($H$407),"",$H$407))</f>
        <v/>
      </c>
      <c r="AE407" s="19">
        <f>IF(ISERROR($I$407),"",IF(ISBLANK($I$407),"",$I$407))</f>
        <v/>
      </c>
      <c r="AF407" s="19">
        <f>IF(ISERROR($J$407),"",IF(ISBLANK($J$407),"",$J$407))</f>
        <v/>
      </c>
      <c r="AG407" s="19">
        <f>ISERROR($B$407)*1+ISERROR($C$407)*1+ISERROR($D$407)*1+ISERROR($E$407)*1+ISERROR($F$407)*1+ISERROR($G$407)*1+ISERROR($H$407)*1+ISERROR($I$407)*1+ISERROR($J$407)*1</f>
        <v/>
      </c>
    </row>
    <row r="408" ht="26" customHeight="1">
      <c r="B408" s="31" t="n"/>
      <c r="C408" s="28" t="n"/>
      <c r="D408" s="28" t="n"/>
      <c r="E408" s="28" t="n"/>
      <c r="F408" s="28" t="n"/>
      <c r="G408" s="28" t="n"/>
      <c r="H408" s="28" t="n"/>
      <c r="I408" s="28" t="n"/>
      <c r="J408" s="28" t="n"/>
      <c r="K408" s="18">
        <f>IF(AG408&gt;0,"O Google leu como fórmula: digite de novo com ' na frente.","")</f>
        <v/>
      </c>
      <c r="N408" s="19">
        <f>N407+IF(LEN($X$408)&gt;0,1,0)</f>
        <v/>
      </c>
      <c r="O408" s="19">
        <f>O407+IF(LEN($Y$408)&gt;0,1,0)</f>
        <v/>
      </c>
      <c r="P408" s="19">
        <f>P407+IF(LEN($Z$408)&gt;0,1,0)</f>
        <v/>
      </c>
      <c r="Q408" s="19">
        <f>Q407+IF(LEN($AA$408)&gt;0,1,0)</f>
        <v/>
      </c>
      <c r="R408" s="19">
        <f>R407+IF(LEN($AB$408)&gt;0,1,0)</f>
        <v/>
      </c>
      <c r="S408" s="19">
        <f>S407+IF(LEN($AC$408)&gt;0,1,0)</f>
        <v/>
      </c>
      <c r="T408" s="19">
        <f>T407+IF(LEN($AD$408)&gt;0,1,0)</f>
        <v/>
      </c>
      <c r="U408" s="19">
        <f>U407+IF(LEN($AE$408)&gt;0,1,0)</f>
        <v/>
      </c>
      <c r="V408" s="19">
        <f>V407+IF(LEN($AF$408)&gt;0,1,0)</f>
        <v/>
      </c>
      <c r="X408" s="19">
        <f>IF(ISERROR($B$408),"",IF(ISBLANK($B$408),"",$B$408))</f>
        <v/>
      </c>
      <c r="Y408" s="19">
        <f>IF(ISERROR($C$408),"",IF(ISBLANK($C$408),"",$C$408))</f>
        <v/>
      </c>
      <c r="Z408" s="19">
        <f>IF(ISERROR($D$408),"",IF(ISBLANK($D$408),"",$D$408))</f>
        <v/>
      </c>
      <c r="AA408" s="19">
        <f>IF(ISERROR($E$408),"",IF(ISBLANK($E$408),"",$E$408))</f>
        <v/>
      </c>
      <c r="AB408" s="19">
        <f>IF(ISERROR($F$408),"",IF(ISBLANK($F$408),"",$F$408))</f>
        <v/>
      </c>
      <c r="AC408" s="19">
        <f>IF(ISERROR($G$408),"",IF(ISBLANK($G$408),"",$G$408))</f>
        <v/>
      </c>
      <c r="AD408" s="19">
        <f>IF(ISERROR($H$408),"",IF(ISBLANK($H$408),"",$H$408))</f>
        <v/>
      </c>
      <c r="AE408" s="19">
        <f>IF(ISERROR($I$408),"",IF(ISBLANK($I$408),"",$I$408))</f>
        <v/>
      </c>
      <c r="AF408" s="19">
        <f>IF(ISERROR($J$408),"",IF(ISBLANK($J$408),"",$J$408))</f>
        <v/>
      </c>
      <c r="AG408" s="19">
        <f>ISERROR($B$408)*1+ISERROR($C$408)*1+ISERROR($D$408)*1+ISERROR($E$408)*1+ISERROR($F$408)*1+ISERROR($G$408)*1+ISERROR($H$408)*1+ISERROR($I$408)*1+ISERROR($J$408)*1</f>
        <v/>
      </c>
    </row>
    <row r="409" ht="26" customHeight="1">
      <c r="B409" s="30" t="n"/>
      <c r="C409" s="3" t="n"/>
      <c r="D409" s="3" t="n"/>
      <c r="E409" s="3" t="n"/>
      <c r="F409" s="3" t="n"/>
      <c r="G409" s="3" t="n"/>
      <c r="H409" s="3" t="n"/>
      <c r="I409" s="3" t="n"/>
      <c r="J409" s="3" t="n"/>
      <c r="K409" s="18">
        <f>IF(AG409&gt;0,"O Google leu como fórmula: digite de novo com ' na frente.","")</f>
        <v/>
      </c>
      <c r="N409" s="19">
        <f>N408+IF(LEN($X$409)&gt;0,1,0)</f>
        <v/>
      </c>
      <c r="O409" s="19">
        <f>O408+IF(LEN($Y$409)&gt;0,1,0)</f>
        <v/>
      </c>
      <c r="P409" s="19">
        <f>P408+IF(LEN($Z$409)&gt;0,1,0)</f>
        <v/>
      </c>
      <c r="Q409" s="19">
        <f>Q408+IF(LEN($AA$409)&gt;0,1,0)</f>
        <v/>
      </c>
      <c r="R409" s="19">
        <f>R408+IF(LEN($AB$409)&gt;0,1,0)</f>
        <v/>
      </c>
      <c r="S409" s="19">
        <f>S408+IF(LEN($AC$409)&gt;0,1,0)</f>
        <v/>
      </c>
      <c r="T409" s="19">
        <f>T408+IF(LEN($AD$409)&gt;0,1,0)</f>
        <v/>
      </c>
      <c r="U409" s="19">
        <f>U408+IF(LEN($AE$409)&gt;0,1,0)</f>
        <v/>
      </c>
      <c r="V409" s="19">
        <f>V408+IF(LEN($AF$409)&gt;0,1,0)</f>
        <v/>
      </c>
      <c r="X409" s="19">
        <f>IF(ISERROR($B$409),"",IF(ISBLANK($B$409),"",$B$409))</f>
        <v/>
      </c>
      <c r="Y409" s="19">
        <f>IF(ISERROR($C$409),"",IF(ISBLANK($C$409),"",$C$409))</f>
        <v/>
      </c>
      <c r="Z409" s="19">
        <f>IF(ISERROR($D$409),"",IF(ISBLANK($D$409),"",$D$409))</f>
        <v/>
      </c>
      <c r="AA409" s="19">
        <f>IF(ISERROR($E$409),"",IF(ISBLANK($E$409),"",$E$409))</f>
        <v/>
      </c>
      <c r="AB409" s="19">
        <f>IF(ISERROR($F$409),"",IF(ISBLANK($F$409),"",$F$409))</f>
        <v/>
      </c>
      <c r="AC409" s="19">
        <f>IF(ISERROR($G$409),"",IF(ISBLANK($G$409),"",$G$409))</f>
        <v/>
      </c>
      <c r="AD409" s="19">
        <f>IF(ISERROR($H$409),"",IF(ISBLANK($H$409),"",$H$409))</f>
        <v/>
      </c>
      <c r="AE409" s="19">
        <f>IF(ISERROR($I$409),"",IF(ISBLANK($I$409),"",$I$409))</f>
        <v/>
      </c>
      <c r="AF409" s="19">
        <f>IF(ISERROR($J$409),"",IF(ISBLANK($J$409),"",$J$409))</f>
        <v/>
      </c>
      <c r="AG409" s="19">
        <f>ISERROR($B$409)*1+ISERROR($C$409)*1+ISERROR($D$409)*1+ISERROR($E$409)*1+ISERROR($F$409)*1+ISERROR($G$409)*1+ISERROR($H$409)*1+ISERROR($I$409)*1+ISERROR($J$409)*1</f>
        <v/>
      </c>
    </row>
    <row r="410" ht="26" customHeight="1">
      <c r="B410" s="31" t="n"/>
      <c r="C410" s="28" t="n"/>
      <c r="D410" s="28" t="n"/>
      <c r="E410" s="28" t="n"/>
      <c r="F410" s="28" t="n"/>
      <c r="G410" s="28" t="n"/>
      <c r="H410" s="28" t="n"/>
      <c r="I410" s="28" t="n"/>
      <c r="J410" s="28" t="n"/>
      <c r="K410" s="18">
        <f>IF(AG410&gt;0,"O Google leu como fórmula: digite de novo com ' na frente.","")</f>
        <v/>
      </c>
      <c r="N410" s="19">
        <f>N409+IF(LEN($X$410)&gt;0,1,0)</f>
        <v/>
      </c>
      <c r="O410" s="19">
        <f>O409+IF(LEN($Y$410)&gt;0,1,0)</f>
        <v/>
      </c>
      <c r="P410" s="19">
        <f>P409+IF(LEN($Z$410)&gt;0,1,0)</f>
        <v/>
      </c>
      <c r="Q410" s="19">
        <f>Q409+IF(LEN($AA$410)&gt;0,1,0)</f>
        <v/>
      </c>
      <c r="R410" s="19">
        <f>R409+IF(LEN($AB$410)&gt;0,1,0)</f>
        <v/>
      </c>
      <c r="S410" s="19">
        <f>S409+IF(LEN($AC$410)&gt;0,1,0)</f>
        <v/>
      </c>
      <c r="T410" s="19">
        <f>T409+IF(LEN($AD$410)&gt;0,1,0)</f>
        <v/>
      </c>
      <c r="U410" s="19">
        <f>U409+IF(LEN($AE$410)&gt;0,1,0)</f>
        <v/>
      </c>
      <c r="V410" s="19">
        <f>V409+IF(LEN($AF$410)&gt;0,1,0)</f>
        <v/>
      </c>
      <c r="X410" s="19">
        <f>IF(ISERROR($B$410),"",IF(ISBLANK($B$410),"",$B$410))</f>
        <v/>
      </c>
      <c r="Y410" s="19">
        <f>IF(ISERROR($C$410),"",IF(ISBLANK($C$410),"",$C$410))</f>
        <v/>
      </c>
      <c r="Z410" s="19">
        <f>IF(ISERROR($D$410),"",IF(ISBLANK($D$410),"",$D$410))</f>
        <v/>
      </c>
      <c r="AA410" s="19">
        <f>IF(ISERROR($E$410),"",IF(ISBLANK($E$410),"",$E$410))</f>
        <v/>
      </c>
      <c r="AB410" s="19">
        <f>IF(ISERROR($F$410),"",IF(ISBLANK($F$410),"",$F$410))</f>
        <v/>
      </c>
      <c r="AC410" s="19">
        <f>IF(ISERROR($G$410),"",IF(ISBLANK($G$410),"",$G$410))</f>
        <v/>
      </c>
      <c r="AD410" s="19">
        <f>IF(ISERROR($H$410),"",IF(ISBLANK($H$410),"",$H$410))</f>
        <v/>
      </c>
      <c r="AE410" s="19">
        <f>IF(ISERROR($I$410),"",IF(ISBLANK($I$410),"",$I$410))</f>
        <v/>
      </c>
      <c r="AF410" s="19">
        <f>IF(ISERROR($J$410),"",IF(ISBLANK($J$410),"",$J$410))</f>
        <v/>
      </c>
      <c r="AG410" s="19">
        <f>ISERROR($B$410)*1+ISERROR($C$410)*1+ISERROR($D$410)*1+ISERROR($E$410)*1+ISERROR($F$410)*1+ISERROR($G$410)*1+ISERROR($H$410)*1+ISERROR($I$410)*1+ISERROR($J$410)*1</f>
        <v/>
      </c>
    </row>
    <row r="411" ht="26" customHeight="1">
      <c r="B411" s="30" t="n"/>
      <c r="C411" s="3" t="n"/>
      <c r="D411" s="3" t="n"/>
      <c r="E411" s="3" t="n"/>
      <c r="F411" s="3" t="n"/>
      <c r="G411" s="3" t="n"/>
      <c r="H411" s="3" t="n"/>
      <c r="I411" s="3" t="n"/>
      <c r="J411" s="3" t="n"/>
      <c r="K411" s="18">
        <f>IF(AG411&gt;0,"O Google leu como fórmula: digite de novo com ' na frente.","")</f>
        <v/>
      </c>
      <c r="N411" s="19">
        <f>N410+IF(LEN($X$411)&gt;0,1,0)</f>
        <v/>
      </c>
      <c r="O411" s="19">
        <f>O410+IF(LEN($Y$411)&gt;0,1,0)</f>
        <v/>
      </c>
      <c r="P411" s="19">
        <f>P410+IF(LEN($Z$411)&gt;0,1,0)</f>
        <v/>
      </c>
      <c r="Q411" s="19">
        <f>Q410+IF(LEN($AA$411)&gt;0,1,0)</f>
        <v/>
      </c>
      <c r="R411" s="19">
        <f>R410+IF(LEN($AB$411)&gt;0,1,0)</f>
        <v/>
      </c>
      <c r="S411" s="19">
        <f>S410+IF(LEN($AC$411)&gt;0,1,0)</f>
        <v/>
      </c>
      <c r="T411" s="19">
        <f>T410+IF(LEN($AD$411)&gt;0,1,0)</f>
        <v/>
      </c>
      <c r="U411" s="19">
        <f>U410+IF(LEN($AE$411)&gt;0,1,0)</f>
        <v/>
      </c>
      <c r="V411" s="19">
        <f>V410+IF(LEN($AF$411)&gt;0,1,0)</f>
        <v/>
      </c>
      <c r="X411" s="19">
        <f>IF(ISERROR($B$411),"",IF(ISBLANK($B$411),"",$B$411))</f>
        <v/>
      </c>
      <c r="Y411" s="19">
        <f>IF(ISERROR($C$411),"",IF(ISBLANK($C$411),"",$C$411))</f>
        <v/>
      </c>
      <c r="Z411" s="19">
        <f>IF(ISERROR($D$411),"",IF(ISBLANK($D$411),"",$D$411))</f>
        <v/>
      </c>
      <c r="AA411" s="19">
        <f>IF(ISERROR($E$411),"",IF(ISBLANK($E$411),"",$E$411))</f>
        <v/>
      </c>
      <c r="AB411" s="19">
        <f>IF(ISERROR($F$411),"",IF(ISBLANK($F$411),"",$F$411))</f>
        <v/>
      </c>
      <c r="AC411" s="19">
        <f>IF(ISERROR($G$411),"",IF(ISBLANK($G$411),"",$G$411))</f>
        <v/>
      </c>
      <c r="AD411" s="19">
        <f>IF(ISERROR($H$411),"",IF(ISBLANK($H$411),"",$H$411))</f>
        <v/>
      </c>
      <c r="AE411" s="19">
        <f>IF(ISERROR($I$411),"",IF(ISBLANK($I$411),"",$I$411))</f>
        <v/>
      </c>
      <c r="AF411" s="19">
        <f>IF(ISERROR($J$411),"",IF(ISBLANK($J$411),"",$J$411))</f>
        <v/>
      </c>
      <c r="AG411" s="19">
        <f>ISERROR($B$411)*1+ISERROR($C$411)*1+ISERROR($D$411)*1+ISERROR($E$411)*1+ISERROR($F$411)*1+ISERROR($G$411)*1+ISERROR($H$411)*1+ISERROR($I$411)*1+ISERROR($J$411)*1</f>
        <v/>
      </c>
    </row>
    <row r="412" ht="15" customHeight="1">
      <c r="B412" s="7" t="inlineStr">
        <is>
          <t>Ocupação (NPC)</t>
        </is>
      </c>
      <c r="C412" s="7" t="inlineStr">
        <is>
          <t>Traço de aparência</t>
        </is>
      </c>
      <c r="D412" s="7" t="inlineStr">
        <is>
          <t>Personalidade</t>
        </is>
      </c>
      <c r="E412" s="7" t="inlineStr">
        <is>
          <t>Motivação (sem Caminho)</t>
        </is>
      </c>
      <c r="F412" s="7" t="inlineStr">
        <is>
          <t>Segredo</t>
        </is>
      </c>
      <c r="G412" s="7" t="inlineStr">
        <is>
          <t>Maneirismo e voz</t>
        </is>
      </c>
      <c r="H412" s="7" t="inlineStr">
        <is>
          <t>Caminho do NPC (peso)</t>
        </is>
      </c>
      <c r="I412" s="7" t="inlineStr">
        <is>
          <t>Atitude com o grupo</t>
        </is>
      </c>
      <c r="J412" s="7" t="inlineStr">
        <is>
          <t>Gancho do NPC</t>
        </is>
      </c>
      <c r="N412" s="19">
        <f>N411</f>
        <v/>
      </c>
      <c r="O412" s="19">
        <f>O411</f>
        <v/>
      </c>
      <c r="P412" s="19">
        <f>P411</f>
        <v/>
      </c>
      <c r="Q412" s="19">
        <f>Q411</f>
        <v/>
      </c>
      <c r="R412" s="19">
        <f>R411</f>
        <v/>
      </c>
      <c r="S412" s="19">
        <f>S411</f>
        <v/>
      </c>
      <c r="T412" s="19">
        <f>T411</f>
        <v/>
      </c>
      <c r="U412" s="19">
        <f>U411</f>
        <v/>
      </c>
      <c r="V412" s="19">
        <f>V411</f>
        <v/>
      </c>
      <c r="X412" s="19">
        <f>IF(ISERROR($B$412),"",IF(ISBLANK($B$412),"",$B$412))</f>
        <v/>
      </c>
      <c r="Y412" s="19">
        <f>IF(ISERROR($C$412),"",IF(ISBLANK($C$412),"",$C$412))</f>
        <v/>
      </c>
      <c r="Z412" s="19">
        <f>IF(ISERROR($D$412),"",IF(ISBLANK($D$412),"",$D$412))</f>
        <v/>
      </c>
      <c r="AA412" s="19">
        <f>IF(ISERROR($E$412),"",IF(ISBLANK($E$412),"",$E$412))</f>
        <v/>
      </c>
      <c r="AB412" s="19">
        <f>IF(ISERROR($F$412),"",IF(ISBLANK($F$412),"",$F$412))</f>
        <v/>
      </c>
      <c r="AC412" s="19">
        <f>IF(ISERROR($G$412),"",IF(ISBLANK($G$412),"",$G$412))</f>
        <v/>
      </c>
      <c r="AD412" s="19">
        <f>IF(ISERROR($H$412),"",IF(ISBLANK($H$412),"",$H$412))</f>
        <v/>
      </c>
      <c r="AE412" s="19">
        <f>IF(ISERROR($I$412),"",IF(ISBLANK($I$412),"",$I$412))</f>
        <v/>
      </c>
      <c r="AF412" s="19">
        <f>IF(ISERROR($J$412),"",IF(ISBLANK($J$412),"",$J$412))</f>
        <v/>
      </c>
    </row>
    <row r="413" ht="26" customHeight="1">
      <c r="B413" s="30" t="n"/>
      <c r="C413" s="3" t="n"/>
      <c r="D413" s="3" t="n"/>
      <c r="E413" s="3" t="n"/>
      <c r="F413" s="3" t="n"/>
      <c r="G413" s="3" t="n"/>
      <c r="H413" s="3" t="n"/>
      <c r="I413" s="3" t="n"/>
      <c r="J413" s="3" t="n"/>
      <c r="K413" s="18">
        <f>IF(AG413&gt;0,"O Google leu como fórmula: digite de novo com ' na frente.","")</f>
        <v/>
      </c>
      <c r="N413" s="19">
        <f>N412+IF(LEN($X$413)&gt;0,1,0)</f>
        <v/>
      </c>
      <c r="O413" s="19">
        <f>O412+IF(LEN($Y$413)&gt;0,1,0)</f>
        <v/>
      </c>
      <c r="P413" s="19">
        <f>P412+IF(LEN($Z$413)&gt;0,1,0)</f>
        <v/>
      </c>
      <c r="Q413" s="19">
        <f>Q412+IF(LEN($AA$413)&gt;0,1,0)</f>
        <v/>
      </c>
      <c r="R413" s="19">
        <f>R412+IF(LEN($AB$413)&gt;0,1,0)</f>
        <v/>
      </c>
      <c r="S413" s="19">
        <f>S412+IF(LEN($AC$413)&gt;0,1,0)</f>
        <v/>
      </c>
      <c r="T413" s="19">
        <f>T412+IF(LEN($AD$413)&gt;0,1,0)</f>
        <v/>
      </c>
      <c r="U413" s="19">
        <f>U412+IF(LEN($AE$413)&gt;0,1,0)</f>
        <v/>
      </c>
      <c r="V413" s="19">
        <f>V412+IF(LEN($AF$413)&gt;0,1,0)</f>
        <v/>
      </c>
      <c r="X413" s="19">
        <f>IF(ISERROR($B$413),"",IF(ISBLANK($B$413),"",$B$413))</f>
        <v/>
      </c>
      <c r="Y413" s="19">
        <f>IF(ISERROR($C$413),"",IF(ISBLANK($C$413),"",$C$413))</f>
        <v/>
      </c>
      <c r="Z413" s="19">
        <f>IF(ISERROR($D$413),"",IF(ISBLANK($D$413),"",$D$413))</f>
        <v/>
      </c>
      <c r="AA413" s="19">
        <f>IF(ISERROR($E$413),"",IF(ISBLANK($E$413),"",$E$413))</f>
        <v/>
      </c>
      <c r="AB413" s="19">
        <f>IF(ISERROR($F$413),"",IF(ISBLANK($F$413),"",$F$413))</f>
        <v/>
      </c>
      <c r="AC413" s="19">
        <f>IF(ISERROR($G$413),"",IF(ISBLANK($G$413),"",$G$413))</f>
        <v/>
      </c>
      <c r="AD413" s="19">
        <f>IF(ISERROR($H$413),"",IF(ISBLANK($H$413),"",$H$413))</f>
        <v/>
      </c>
      <c r="AE413" s="19">
        <f>IF(ISERROR($I$413),"",IF(ISBLANK($I$413),"",$I$413))</f>
        <v/>
      </c>
      <c r="AF413" s="19">
        <f>IF(ISERROR($J$413),"",IF(ISBLANK($J$413),"",$J$413))</f>
        <v/>
      </c>
      <c r="AG413" s="19">
        <f>ISERROR($B$413)*1+ISERROR($C$413)*1+ISERROR($D$413)*1+ISERROR($E$413)*1+ISERROR($F$413)*1+ISERROR($G$413)*1+ISERROR($H$413)*1+ISERROR($I$413)*1+ISERROR($J$413)*1</f>
        <v/>
      </c>
    </row>
    <row r="414" ht="26" customHeight="1">
      <c r="B414" s="31" t="n"/>
      <c r="C414" s="28" t="n"/>
      <c r="D414" s="28" t="n"/>
      <c r="E414" s="28" t="n"/>
      <c r="F414" s="28" t="n"/>
      <c r="G414" s="28" t="n"/>
      <c r="H414" s="28" t="n"/>
      <c r="I414" s="28" t="n"/>
      <c r="J414" s="28" t="n"/>
      <c r="K414" s="18">
        <f>IF(AG414&gt;0,"O Google leu como fórmula: digite de novo com ' na frente.","")</f>
        <v/>
      </c>
      <c r="N414" s="19">
        <f>N413+IF(LEN($X$414)&gt;0,1,0)</f>
        <v/>
      </c>
      <c r="O414" s="19">
        <f>O413+IF(LEN($Y$414)&gt;0,1,0)</f>
        <v/>
      </c>
      <c r="P414" s="19">
        <f>P413+IF(LEN($Z$414)&gt;0,1,0)</f>
        <v/>
      </c>
      <c r="Q414" s="19">
        <f>Q413+IF(LEN($AA$414)&gt;0,1,0)</f>
        <v/>
      </c>
      <c r="R414" s="19">
        <f>R413+IF(LEN($AB$414)&gt;0,1,0)</f>
        <v/>
      </c>
      <c r="S414" s="19">
        <f>S413+IF(LEN($AC$414)&gt;0,1,0)</f>
        <v/>
      </c>
      <c r="T414" s="19">
        <f>T413+IF(LEN($AD$414)&gt;0,1,0)</f>
        <v/>
      </c>
      <c r="U414" s="19">
        <f>U413+IF(LEN($AE$414)&gt;0,1,0)</f>
        <v/>
      </c>
      <c r="V414" s="19">
        <f>V413+IF(LEN($AF$414)&gt;0,1,0)</f>
        <v/>
      </c>
      <c r="X414" s="19">
        <f>IF(ISERROR($B$414),"",IF(ISBLANK($B$414),"",$B$414))</f>
        <v/>
      </c>
      <c r="Y414" s="19">
        <f>IF(ISERROR($C$414),"",IF(ISBLANK($C$414),"",$C$414))</f>
        <v/>
      </c>
      <c r="Z414" s="19">
        <f>IF(ISERROR($D$414),"",IF(ISBLANK($D$414),"",$D$414))</f>
        <v/>
      </c>
      <c r="AA414" s="19">
        <f>IF(ISERROR($E$414),"",IF(ISBLANK($E$414),"",$E$414))</f>
        <v/>
      </c>
      <c r="AB414" s="19">
        <f>IF(ISERROR($F$414),"",IF(ISBLANK($F$414),"",$F$414))</f>
        <v/>
      </c>
      <c r="AC414" s="19">
        <f>IF(ISERROR($G$414),"",IF(ISBLANK($G$414),"",$G$414))</f>
        <v/>
      </c>
      <c r="AD414" s="19">
        <f>IF(ISERROR($H$414),"",IF(ISBLANK($H$414),"",$H$414))</f>
        <v/>
      </c>
      <c r="AE414" s="19">
        <f>IF(ISERROR($I$414),"",IF(ISBLANK($I$414),"",$I$414))</f>
        <v/>
      </c>
      <c r="AF414" s="19">
        <f>IF(ISERROR($J$414),"",IF(ISBLANK($J$414),"",$J$414))</f>
        <v/>
      </c>
      <c r="AG414" s="19">
        <f>ISERROR($B$414)*1+ISERROR($C$414)*1+ISERROR($D$414)*1+ISERROR($E$414)*1+ISERROR($F$414)*1+ISERROR($G$414)*1+ISERROR($H$414)*1+ISERROR($I$414)*1+ISERROR($J$414)*1</f>
        <v/>
      </c>
    </row>
    <row r="415" ht="26" customHeight="1">
      <c r="B415" s="30" t="n"/>
      <c r="C415" s="3" t="n"/>
      <c r="D415" s="3" t="n"/>
      <c r="E415" s="3" t="n"/>
      <c r="F415" s="3" t="n"/>
      <c r="G415" s="3" t="n"/>
      <c r="H415" s="3" t="n"/>
      <c r="I415" s="3" t="n"/>
      <c r="J415" s="3" t="n"/>
      <c r="K415" s="18">
        <f>IF(AG415&gt;0,"O Google leu como fórmula: digite de novo com ' na frente.","")</f>
        <v/>
      </c>
      <c r="N415" s="19">
        <f>N414+IF(LEN($X$415)&gt;0,1,0)</f>
        <v/>
      </c>
      <c r="O415" s="19">
        <f>O414+IF(LEN($Y$415)&gt;0,1,0)</f>
        <v/>
      </c>
      <c r="P415" s="19">
        <f>P414+IF(LEN($Z$415)&gt;0,1,0)</f>
        <v/>
      </c>
      <c r="Q415" s="19">
        <f>Q414+IF(LEN($AA$415)&gt;0,1,0)</f>
        <v/>
      </c>
      <c r="R415" s="19">
        <f>R414+IF(LEN($AB$415)&gt;0,1,0)</f>
        <v/>
      </c>
      <c r="S415" s="19">
        <f>S414+IF(LEN($AC$415)&gt;0,1,0)</f>
        <v/>
      </c>
      <c r="T415" s="19">
        <f>T414+IF(LEN($AD$415)&gt;0,1,0)</f>
        <v/>
      </c>
      <c r="U415" s="19">
        <f>U414+IF(LEN($AE$415)&gt;0,1,0)</f>
        <v/>
      </c>
      <c r="V415" s="19">
        <f>V414+IF(LEN($AF$415)&gt;0,1,0)</f>
        <v/>
      </c>
      <c r="X415" s="19">
        <f>IF(ISERROR($B$415),"",IF(ISBLANK($B$415),"",$B$415))</f>
        <v/>
      </c>
      <c r="Y415" s="19">
        <f>IF(ISERROR($C$415),"",IF(ISBLANK($C$415),"",$C$415))</f>
        <v/>
      </c>
      <c r="Z415" s="19">
        <f>IF(ISERROR($D$415),"",IF(ISBLANK($D$415),"",$D$415))</f>
        <v/>
      </c>
      <c r="AA415" s="19">
        <f>IF(ISERROR($E$415),"",IF(ISBLANK($E$415),"",$E$415))</f>
        <v/>
      </c>
      <c r="AB415" s="19">
        <f>IF(ISERROR($F$415),"",IF(ISBLANK($F$415),"",$F$415))</f>
        <v/>
      </c>
      <c r="AC415" s="19">
        <f>IF(ISERROR($G$415),"",IF(ISBLANK($G$415),"",$G$415))</f>
        <v/>
      </c>
      <c r="AD415" s="19">
        <f>IF(ISERROR($H$415),"",IF(ISBLANK($H$415),"",$H$415))</f>
        <v/>
      </c>
      <c r="AE415" s="19">
        <f>IF(ISERROR($I$415),"",IF(ISBLANK($I$415),"",$I$415))</f>
        <v/>
      </c>
      <c r="AF415" s="19">
        <f>IF(ISERROR($J$415),"",IF(ISBLANK($J$415),"",$J$415))</f>
        <v/>
      </c>
      <c r="AG415" s="19">
        <f>ISERROR($B$415)*1+ISERROR($C$415)*1+ISERROR($D$415)*1+ISERROR($E$415)*1+ISERROR($F$415)*1+ISERROR($G$415)*1+ISERROR($H$415)*1+ISERROR($I$415)*1+ISERROR($J$415)*1</f>
        <v/>
      </c>
    </row>
    <row r="416" ht="26" customHeight="1">
      <c r="B416" s="31" t="n"/>
      <c r="C416" s="28" t="n"/>
      <c r="D416" s="28" t="n"/>
      <c r="E416" s="28" t="n"/>
      <c r="F416" s="28" t="n"/>
      <c r="G416" s="28" t="n"/>
      <c r="H416" s="28" t="n"/>
      <c r="I416" s="28" t="n"/>
      <c r="J416" s="28" t="n"/>
      <c r="K416" s="18">
        <f>IF(AG416&gt;0,"O Google leu como fórmula: digite de novo com ' na frente.","")</f>
        <v/>
      </c>
      <c r="N416" s="19">
        <f>N415+IF(LEN($X$416)&gt;0,1,0)</f>
        <v/>
      </c>
      <c r="O416" s="19">
        <f>O415+IF(LEN($Y$416)&gt;0,1,0)</f>
        <v/>
      </c>
      <c r="P416" s="19">
        <f>P415+IF(LEN($Z$416)&gt;0,1,0)</f>
        <v/>
      </c>
      <c r="Q416" s="19">
        <f>Q415+IF(LEN($AA$416)&gt;0,1,0)</f>
        <v/>
      </c>
      <c r="R416" s="19">
        <f>R415+IF(LEN($AB$416)&gt;0,1,0)</f>
        <v/>
      </c>
      <c r="S416" s="19">
        <f>S415+IF(LEN($AC$416)&gt;0,1,0)</f>
        <v/>
      </c>
      <c r="T416" s="19">
        <f>T415+IF(LEN($AD$416)&gt;0,1,0)</f>
        <v/>
      </c>
      <c r="U416" s="19">
        <f>U415+IF(LEN($AE$416)&gt;0,1,0)</f>
        <v/>
      </c>
      <c r="V416" s="19">
        <f>V415+IF(LEN($AF$416)&gt;0,1,0)</f>
        <v/>
      </c>
      <c r="X416" s="19">
        <f>IF(ISERROR($B$416),"",IF(ISBLANK($B$416),"",$B$416))</f>
        <v/>
      </c>
      <c r="Y416" s="19">
        <f>IF(ISERROR($C$416),"",IF(ISBLANK($C$416),"",$C$416))</f>
        <v/>
      </c>
      <c r="Z416" s="19">
        <f>IF(ISERROR($D$416),"",IF(ISBLANK($D$416),"",$D$416))</f>
        <v/>
      </c>
      <c r="AA416" s="19">
        <f>IF(ISERROR($E$416),"",IF(ISBLANK($E$416),"",$E$416))</f>
        <v/>
      </c>
      <c r="AB416" s="19">
        <f>IF(ISERROR($F$416),"",IF(ISBLANK($F$416),"",$F$416))</f>
        <v/>
      </c>
      <c r="AC416" s="19">
        <f>IF(ISERROR($G$416),"",IF(ISBLANK($G$416),"",$G$416))</f>
        <v/>
      </c>
      <c r="AD416" s="19">
        <f>IF(ISERROR($H$416),"",IF(ISBLANK($H$416),"",$H$416))</f>
        <v/>
      </c>
      <c r="AE416" s="19">
        <f>IF(ISERROR($I$416),"",IF(ISBLANK($I$416),"",$I$416))</f>
        <v/>
      </c>
      <c r="AF416" s="19">
        <f>IF(ISERROR($J$416),"",IF(ISBLANK($J$416),"",$J$416))</f>
        <v/>
      </c>
      <c r="AG416" s="19">
        <f>ISERROR($B$416)*1+ISERROR($C$416)*1+ISERROR($D$416)*1+ISERROR($E$416)*1+ISERROR($F$416)*1+ISERROR($G$416)*1+ISERROR($H$416)*1+ISERROR($I$416)*1+ISERROR($J$416)*1</f>
        <v/>
      </c>
    </row>
    <row r="417" ht="26" customHeight="1">
      <c r="B417" s="30" t="n"/>
      <c r="C417" s="3" t="n"/>
      <c r="D417" s="3" t="n"/>
      <c r="E417" s="3" t="n"/>
      <c r="F417" s="3" t="n"/>
      <c r="G417" s="3" t="n"/>
      <c r="H417" s="3" t="n"/>
      <c r="I417" s="3" t="n"/>
      <c r="J417" s="3" t="n"/>
      <c r="K417" s="18">
        <f>IF(AG417&gt;0,"O Google leu como fórmula: digite de novo com ' na frente.","")</f>
        <v/>
      </c>
      <c r="N417" s="19">
        <f>N416+IF(LEN($X$417)&gt;0,1,0)</f>
        <v/>
      </c>
      <c r="O417" s="19">
        <f>O416+IF(LEN($Y$417)&gt;0,1,0)</f>
        <v/>
      </c>
      <c r="P417" s="19">
        <f>P416+IF(LEN($Z$417)&gt;0,1,0)</f>
        <v/>
      </c>
      <c r="Q417" s="19">
        <f>Q416+IF(LEN($AA$417)&gt;0,1,0)</f>
        <v/>
      </c>
      <c r="R417" s="19">
        <f>R416+IF(LEN($AB$417)&gt;0,1,0)</f>
        <v/>
      </c>
      <c r="S417" s="19">
        <f>S416+IF(LEN($AC$417)&gt;0,1,0)</f>
        <v/>
      </c>
      <c r="T417" s="19">
        <f>T416+IF(LEN($AD$417)&gt;0,1,0)</f>
        <v/>
      </c>
      <c r="U417" s="19">
        <f>U416+IF(LEN($AE$417)&gt;0,1,0)</f>
        <v/>
      </c>
      <c r="V417" s="19">
        <f>V416+IF(LEN($AF$417)&gt;0,1,0)</f>
        <v/>
      </c>
      <c r="X417" s="19">
        <f>IF(ISERROR($B$417),"",IF(ISBLANK($B$417),"",$B$417))</f>
        <v/>
      </c>
      <c r="Y417" s="19">
        <f>IF(ISERROR($C$417),"",IF(ISBLANK($C$417),"",$C$417))</f>
        <v/>
      </c>
      <c r="Z417" s="19">
        <f>IF(ISERROR($D$417),"",IF(ISBLANK($D$417),"",$D$417))</f>
        <v/>
      </c>
      <c r="AA417" s="19">
        <f>IF(ISERROR($E$417),"",IF(ISBLANK($E$417),"",$E$417))</f>
        <v/>
      </c>
      <c r="AB417" s="19">
        <f>IF(ISERROR($F$417),"",IF(ISBLANK($F$417),"",$F$417))</f>
        <v/>
      </c>
      <c r="AC417" s="19">
        <f>IF(ISERROR($G$417),"",IF(ISBLANK($G$417),"",$G$417))</f>
        <v/>
      </c>
      <c r="AD417" s="19">
        <f>IF(ISERROR($H$417),"",IF(ISBLANK($H$417),"",$H$417))</f>
        <v/>
      </c>
      <c r="AE417" s="19">
        <f>IF(ISERROR($I$417),"",IF(ISBLANK($I$417),"",$I$417))</f>
        <v/>
      </c>
      <c r="AF417" s="19">
        <f>IF(ISERROR($J$417),"",IF(ISBLANK($J$417),"",$J$417))</f>
        <v/>
      </c>
      <c r="AG417" s="19">
        <f>ISERROR($B$417)*1+ISERROR($C$417)*1+ISERROR($D$417)*1+ISERROR($E$417)*1+ISERROR($F$417)*1+ISERROR($G$417)*1+ISERROR($H$417)*1+ISERROR($I$417)*1+ISERROR($J$417)*1</f>
        <v/>
      </c>
    </row>
    <row r="418" ht="26" customHeight="1">
      <c r="B418" s="31" t="n"/>
      <c r="C418" s="28" t="n"/>
      <c r="D418" s="28" t="n"/>
      <c r="E418" s="28" t="n"/>
      <c r="F418" s="28" t="n"/>
      <c r="G418" s="28" t="n"/>
      <c r="H418" s="28" t="n"/>
      <c r="I418" s="28" t="n"/>
      <c r="J418" s="28" t="n"/>
      <c r="K418" s="18">
        <f>IF(AG418&gt;0,"O Google leu como fórmula: digite de novo com ' na frente.","")</f>
        <v/>
      </c>
      <c r="N418" s="19">
        <f>N417+IF(LEN($X$418)&gt;0,1,0)</f>
        <v/>
      </c>
      <c r="O418" s="19">
        <f>O417+IF(LEN($Y$418)&gt;0,1,0)</f>
        <v/>
      </c>
      <c r="P418" s="19">
        <f>P417+IF(LEN($Z$418)&gt;0,1,0)</f>
        <v/>
      </c>
      <c r="Q418" s="19">
        <f>Q417+IF(LEN($AA$418)&gt;0,1,0)</f>
        <v/>
      </c>
      <c r="R418" s="19">
        <f>R417+IF(LEN($AB$418)&gt;0,1,0)</f>
        <v/>
      </c>
      <c r="S418" s="19">
        <f>S417+IF(LEN($AC$418)&gt;0,1,0)</f>
        <v/>
      </c>
      <c r="T418" s="19">
        <f>T417+IF(LEN($AD$418)&gt;0,1,0)</f>
        <v/>
      </c>
      <c r="U418" s="19">
        <f>U417+IF(LEN($AE$418)&gt;0,1,0)</f>
        <v/>
      </c>
      <c r="V418" s="19">
        <f>V417+IF(LEN($AF$418)&gt;0,1,0)</f>
        <v/>
      </c>
      <c r="X418" s="19">
        <f>IF(ISERROR($B$418),"",IF(ISBLANK($B$418),"",$B$418))</f>
        <v/>
      </c>
      <c r="Y418" s="19">
        <f>IF(ISERROR($C$418),"",IF(ISBLANK($C$418),"",$C$418))</f>
        <v/>
      </c>
      <c r="Z418" s="19">
        <f>IF(ISERROR($D$418),"",IF(ISBLANK($D$418),"",$D$418))</f>
        <v/>
      </c>
      <c r="AA418" s="19">
        <f>IF(ISERROR($E$418),"",IF(ISBLANK($E$418),"",$E$418))</f>
        <v/>
      </c>
      <c r="AB418" s="19">
        <f>IF(ISERROR($F$418),"",IF(ISBLANK($F$418),"",$F$418))</f>
        <v/>
      </c>
      <c r="AC418" s="19">
        <f>IF(ISERROR($G$418),"",IF(ISBLANK($G$418),"",$G$418))</f>
        <v/>
      </c>
      <c r="AD418" s="19">
        <f>IF(ISERROR($H$418),"",IF(ISBLANK($H$418),"",$H$418))</f>
        <v/>
      </c>
      <c r="AE418" s="19">
        <f>IF(ISERROR($I$418),"",IF(ISBLANK($I$418),"",$I$418))</f>
        <v/>
      </c>
      <c r="AF418" s="19">
        <f>IF(ISERROR($J$418),"",IF(ISBLANK($J$418),"",$J$418))</f>
        <v/>
      </c>
      <c r="AG418" s="19">
        <f>ISERROR($B$418)*1+ISERROR($C$418)*1+ISERROR($D$418)*1+ISERROR($E$418)*1+ISERROR($F$418)*1+ISERROR($G$418)*1+ISERROR($H$418)*1+ISERROR($I$418)*1+ISERROR($J$418)*1</f>
        <v/>
      </c>
    </row>
    <row r="419" ht="26" customHeight="1">
      <c r="B419" s="30" t="n"/>
      <c r="C419" s="3" t="n"/>
      <c r="D419" s="3" t="n"/>
      <c r="E419" s="3" t="n"/>
      <c r="F419" s="3" t="n"/>
      <c r="G419" s="3" t="n"/>
      <c r="H419" s="3" t="n"/>
      <c r="I419" s="3" t="n"/>
      <c r="J419" s="3" t="n"/>
      <c r="K419" s="18">
        <f>IF(AG419&gt;0,"O Google leu como fórmula: digite de novo com ' na frente.","")</f>
        <v/>
      </c>
      <c r="N419" s="19">
        <f>N418+IF(LEN($X$419)&gt;0,1,0)</f>
        <v/>
      </c>
      <c r="O419" s="19">
        <f>O418+IF(LEN($Y$419)&gt;0,1,0)</f>
        <v/>
      </c>
      <c r="P419" s="19">
        <f>P418+IF(LEN($Z$419)&gt;0,1,0)</f>
        <v/>
      </c>
      <c r="Q419" s="19">
        <f>Q418+IF(LEN($AA$419)&gt;0,1,0)</f>
        <v/>
      </c>
      <c r="R419" s="19">
        <f>R418+IF(LEN($AB$419)&gt;0,1,0)</f>
        <v/>
      </c>
      <c r="S419" s="19">
        <f>S418+IF(LEN($AC$419)&gt;0,1,0)</f>
        <v/>
      </c>
      <c r="T419" s="19">
        <f>T418+IF(LEN($AD$419)&gt;0,1,0)</f>
        <v/>
      </c>
      <c r="U419" s="19">
        <f>U418+IF(LEN($AE$419)&gt;0,1,0)</f>
        <v/>
      </c>
      <c r="V419" s="19">
        <f>V418+IF(LEN($AF$419)&gt;0,1,0)</f>
        <v/>
      </c>
      <c r="X419" s="19">
        <f>IF(ISERROR($B$419),"",IF(ISBLANK($B$419),"",$B$419))</f>
        <v/>
      </c>
      <c r="Y419" s="19">
        <f>IF(ISERROR($C$419),"",IF(ISBLANK($C$419),"",$C$419))</f>
        <v/>
      </c>
      <c r="Z419" s="19">
        <f>IF(ISERROR($D$419),"",IF(ISBLANK($D$419),"",$D$419))</f>
        <v/>
      </c>
      <c r="AA419" s="19">
        <f>IF(ISERROR($E$419),"",IF(ISBLANK($E$419),"",$E$419))</f>
        <v/>
      </c>
      <c r="AB419" s="19">
        <f>IF(ISERROR($F$419),"",IF(ISBLANK($F$419),"",$F$419))</f>
        <v/>
      </c>
      <c r="AC419" s="19">
        <f>IF(ISERROR($G$419),"",IF(ISBLANK($G$419),"",$G$419))</f>
        <v/>
      </c>
      <c r="AD419" s="19">
        <f>IF(ISERROR($H$419),"",IF(ISBLANK($H$419),"",$H$419))</f>
        <v/>
      </c>
      <c r="AE419" s="19">
        <f>IF(ISERROR($I$419),"",IF(ISBLANK($I$419),"",$I$419))</f>
        <v/>
      </c>
      <c r="AF419" s="19">
        <f>IF(ISERROR($J$419),"",IF(ISBLANK($J$419),"",$J$419))</f>
        <v/>
      </c>
      <c r="AG419" s="19">
        <f>ISERROR($B$419)*1+ISERROR($C$419)*1+ISERROR($D$419)*1+ISERROR($E$419)*1+ISERROR($F$419)*1+ISERROR($G$419)*1+ISERROR($H$419)*1+ISERROR($I$419)*1+ISERROR($J$419)*1</f>
        <v/>
      </c>
    </row>
    <row r="420" ht="26" customHeight="1">
      <c r="B420" s="31" t="n"/>
      <c r="C420" s="28" t="n"/>
      <c r="D420" s="28" t="n"/>
      <c r="E420" s="28" t="n"/>
      <c r="F420" s="28" t="n"/>
      <c r="G420" s="28" t="n"/>
      <c r="H420" s="28" t="n"/>
      <c r="I420" s="28" t="n"/>
      <c r="J420" s="28" t="n"/>
      <c r="K420" s="18">
        <f>IF(AG420&gt;0,"O Google leu como fórmula: digite de novo com ' na frente.","")</f>
        <v/>
      </c>
      <c r="N420" s="19">
        <f>N419+IF(LEN($X$420)&gt;0,1,0)</f>
        <v/>
      </c>
      <c r="O420" s="19">
        <f>O419+IF(LEN($Y$420)&gt;0,1,0)</f>
        <v/>
      </c>
      <c r="P420" s="19">
        <f>P419+IF(LEN($Z$420)&gt;0,1,0)</f>
        <v/>
      </c>
      <c r="Q420" s="19">
        <f>Q419+IF(LEN($AA$420)&gt;0,1,0)</f>
        <v/>
      </c>
      <c r="R420" s="19">
        <f>R419+IF(LEN($AB$420)&gt;0,1,0)</f>
        <v/>
      </c>
      <c r="S420" s="19">
        <f>S419+IF(LEN($AC$420)&gt;0,1,0)</f>
        <v/>
      </c>
      <c r="T420" s="19">
        <f>T419+IF(LEN($AD$420)&gt;0,1,0)</f>
        <v/>
      </c>
      <c r="U420" s="19">
        <f>U419+IF(LEN($AE$420)&gt;0,1,0)</f>
        <v/>
      </c>
      <c r="V420" s="19">
        <f>V419+IF(LEN($AF$420)&gt;0,1,0)</f>
        <v/>
      </c>
      <c r="X420" s="19">
        <f>IF(ISERROR($B$420),"",IF(ISBLANK($B$420),"",$B$420))</f>
        <v/>
      </c>
      <c r="Y420" s="19">
        <f>IF(ISERROR($C$420),"",IF(ISBLANK($C$420),"",$C$420))</f>
        <v/>
      </c>
      <c r="Z420" s="19">
        <f>IF(ISERROR($D$420),"",IF(ISBLANK($D$420),"",$D$420))</f>
        <v/>
      </c>
      <c r="AA420" s="19">
        <f>IF(ISERROR($E$420),"",IF(ISBLANK($E$420),"",$E$420))</f>
        <v/>
      </c>
      <c r="AB420" s="19">
        <f>IF(ISERROR($F$420),"",IF(ISBLANK($F$420),"",$F$420))</f>
        <v/>
      </c>
      <c r="AC420" s="19">
        <f>IF(ISERROR($G$420),"",IF(ISBLANK($G$420),"",$G$420))</f>
        <v/>
      </c>
      <c r="AD420" s="19">
        <f>IF(ISERROR($H$420),"",IF(ISBLANK($H$420),"",$H$420))</f>
        <v/>
      </c>
      <c r="AE420" s="19">
        <f>IF(ISERROR($I$420),"",IF(ISBLANK($I$420),"",$I$420))</f>
        <v/>
      </c>
      <c r="AF420" s="19">
        <f>IF(ISERROR($J$420),"",IF(ISBLANK($J$420),"",$J$420))</f>
        <v/>
      </c>
      <c r="AG420" s="19">
        <f>ISERROR($B$420)*1+ISERROR($C$420)*1+ISERROR($D$420)*1+ISERROR($E$420)*1+ISERROR($F$420)*1+ISERROR($G$420)*1+ISERROR($H$420)*1+ISERROR($I$420)*1+ISERROR($J$420)*1</f>
        <v/>
      </c>
    </row>
    <row r="421" ht="26" customHeight="1">
      <c r="B421" s="30" t="n"/>
      <c r="C421" s="3" t="n"/>
      <c r="D421" s="3" t="n"/>
      <c r="E421" s="3" t="n"/>
      <c r="F421" s="3" t="n"/>
      <c r="G421" s="3" t="n"/>
      <c r="H421" s="3" t="n"/>
      <c r="I421" s="3" t="n"/>
      <c r="J421" s="3" t="n"/>
      <c r="K421" s="18">
        <f>IF(AG421&gt;0,"O Google leu como fórmula: digite de novo com ' na frente.","")</f>
        <v/>
      </c>
      <c r="N421" s="19">
        <f>N420+IF(LEN($X$421)&gt;0,1,0)</f>
        <v/>
      </c>
      <c r="O421" s="19">
        <f>O420+IF(LEN($Y$421)&gt;0,1,0)</f>
        <v/>
      </c>
      <c r="P421" s="19">
        <f>P420+IF(LEN($Z$421)&gt;0,1,0)</f>
        <v/>
      </c>
      <c r="Q421" s="19">
        <f>Q420+IF(LEN($AA$421)&gt;0,1,0)</f>
        <v/>
      </c>
      <c r="R421" s="19">
        <f>R420+IF(LEN($AB$421)&gt;0,1,0)</f>
        <v/>
      </c>
      <c r="S421" s="19">
        <f>S420+IF(LEN($AC$421)&gt;0,1,0)</f>
        <v/>
      </c>
      <c r="T421" s="19">
        <f>T420+IF(LEN($AD$421)&gt;0,1,0)</f>
        <v/>
      </c>
      <c r="U421" s="19">
        <f>U420+IF(LEN($AE$421)&gt;0,1,0)</f>
        <v/>
      </c>
      <c r="V421" s="19">
        <f>V420+IF(LEN($AF$421)&gt;0,1,0)</f>
        <v/>
      </c>
      <c r="X421" s="19">
        <f>IF(ISERROR($B$421),"",IF(ISBLANK($B$421),"",$B$421))</f>
        <v/>
      </c>
      <c r="Y421" s="19">
        <f>IF(ISERROR($C$421),"",IF(ISBLANK($C$421),"",$C$421))</f>
        <v/>
      </c>
      <c r="Z421" s="19">
        <f>IF(ISERROR($D$421),"",IF(ISBLANK($D$421),"",$D$421))</f>
        <v/>
      </c>
      <c r="AA421" s="19">
        <f>IF(ISERROR($E$421),"",IF(ISBLANK($E$421),"",$E$421))</f>
        <v/>
      </c>
      <c r="AB421" s="19">
        <f>IF(ISERROR($F$421),"",IF(ISBLANK($F$421),"",$F$421))</f>
        <v/>
      </c>
      <c r="AC421" s="19">
        <f>IF(ISERROR($G$421),"",IF(ISBLANK($G$421),"",$G$421))</f>
        <v/>
      </c>
      <c r="AD421" s="19">
        <f>IF(ISERROR($H$421),"",IF(ISBLANK($H$421),"",$H$421))</f>
        <v/>
      </c>
      <c r="AE421" s="19">
        <f>IF(ISERROR($I$421),"",IF(ISBLANK($I$421),"",$I$421))</f>
        <v/>
      </c>
      <c r="AF421" s="19">
        <f>IF(ISERROR($J$421),"",IF(ISBLANK($J$421),"",$J$421))</f>
        <v/>
      </c>
      <c r="AG421" s="19">
        <f>ISERROR($B$421)*1+ISERROR($C$421)*1+ISERROR($D$421)*1+ISERROR($E$421)*1+ISERROR($F$421)*1+ISERROR($G$421)*1+ISERROR($H$421)*1+ISERROR($I$421)*1+ISERROR($J$421)*1</f>
        <v/>
      </c>
    </row>
    <row r="422" ht="26" customHeight="1">
      <c r="B422" s="31" t="n"/>
      <c r="C422" s="28" t="n"/>
      <c r="D422" s="28" t="n"/>
      <c r="E422" s="28" t="n"/>
      <c r="F422" s="28" t="n"/>
      <c r="G422" s="28" t="n"/>
      <c r="H422" s="28" t="n"/>
      <c r="I422" s="28" t="n"/>
      <c r="J422" s="28" t="n"/>
      <c r="K422" s="18">
        <f>IF(AG422&gt;0,"O Google leu como fórmula: digite de novo com ' na frente.","")</f>
        <v/>
      </c>
      <c r="N422" s="19">
        <f>N421+IF(LEN($X$422)&gt;0,1,0)</f>
        <v/>
      </c>
      <c r="O422" s="19">
        <f>O421+IF(LEN($Y$422)&gt;0,1,0)</f>
        <v/>
      </c>
      <c r="P422" s="19">
        <f>P421+IF(LEN($Z$422)&gt;0,1,0)</f>
        <v/>
      </c>
      <c r="Q422" s="19">
        <f>Q421+IF(LEN($AA$422)&gt;0,1,0)</f>
        <v/>
      </c>
      <c r="R422" s="19">
        <f>R421+IF(LEN($AB$422)&gt;0,1,0)</f>
        <v/>
      </c>
      <c r="S422" s="19">
        <f>S421+IF(LEN($AC$422)&gt;0,1,0)</f>
        <v/>
      </c>
      <c r="T422" s="19">
        <f>T421+IF(LEN($AD$422)&gt;0,1,0)</f>
        <v/>
      </c>
      <c r="U422" s="19">
        <f>U421+IF(LEN($AE$422)&gt;0,1,0)</f>
        <v/>
      </c>
      <c r="V422" s="19">
        <f>V421+IF(LEN($AF$422)&gt;0,1,0)</f>
        <v/>
      </c>
      <c r="X422" s="19">
        <f>IF(ISERROR($B$422),"",IF(ISBLANK($B$422),"",$B$422))</f>
        <v/>
      </c>
      <c r="Y422" s="19">
        <f>IF(ISERROR($C$422),"",IF(ISBLANK($C$422),"",$C$422))</f>
        <v/>
      </c>
      <c r="Z422" s="19">
        <f>IF(ISERROR($D$422),"",IF(ISBLANK($D$422),"",$D$422))</f>
        <v/>
      </c>
      <c r="AA422" s="19">
        <f>IF(ISERROR($E$422),"",IF(ISBLANK($E$422),"",$E$422))</f>
        <v/>
      </c>
      <c r="AB422" s="19">
        <f>IF(ISERROR($F$422),"",IF(ISBLANK($F$422),"",$F$422))</f>
        <v/>
      </c>
      <c r="AC422" s="19">
        <f>IF(ISERROR($G$422),"",IF(ISBLANK($G$422),"",$G$422))</f>
        <v/>
      </c>
      <c r="AD422" s="19">
        <f>IF(ISERROR($H$422),"",IF(ISBLANK($H$422),"",$H$422))</f>
        <v/>
      </c>
      <c r="AE422" s="19">
        <f>IF(ISERROR($I$422),"",IF(ISBLANK($I$422),"",$I$422))</f>
        <v/>
      </c>
      <c r="AF422" s="19">
        <f>IF(ISERROR($J$422),"",IF(ISBLANK($J$422),"",$J$422))</f>
        <v/>
      </c>
      <c r="AG422" s="19">
        <f>ISERROR($B$422)*1+ISERROR($C$422)*1+ISERROR($D$422)*1+ISERROR($E$422)*1+ISERROR($F$422)*1+ISERROR($G$422)*1+ISERROR($H$422)*1+ISERROR($I$422)*1+ISERROR($J$422)*1</f>
        <v/>
      </c>
    </row>
    <row r="423" ht="26" customHeight="1">
      <c r="B423" s="30" t="n"/>
      <c r="C423" s="3" t="n"/>
      <c r="D423" s="3" t="n"/>
      <c r="E423" s="3" t="n"/>
      <c r="F423" s="3" t="n"/>
      <c r="G423" s="3" t="n"/>
      <c r="H423" s="3" t="n"/>
      <c r="I423" s="3" t="n"/>
      <c r="J423" s="3" t="n"/>
      <c r="K423" s="18">
        <f>IF(AG423&gt;0,"O Google leu como fórmula: digite de novo com ' na frente.","")</f>
        <v/>
      </c>
      <c r="N423" s="19">
        <f>N422+IF(LEN($X$423)&gt;0,1,0)</f>
        <v/>
      </c>
      <c r="O423" s="19">
        <f>O422+IF(LEN($Y$423)&gt;0,1,0)</f>
        <v/>
      </c>
      <c r="P423" s="19">
        <f>P422+IF(LEN($Z$423)&gt;0,1,0)</f>
        <v/>
      </c>
      <c r="Q423" s="19">
        <f>Q422+IF(LEN($AA$423)&gt;0,1,0)</f>
        <v/>
      </c>
      <c r="R423" s="19">
        <f>R422+IF(LEN($AB$423)&gt;0,1,0)</f>
        <v/>
      </c>
      <c r="S423" s="19">
        <f>S422+IF(LEN($AC$423)&gt;0,1,0)</f>
        <v/>
      </c>
      <c r="T423" s="19">
        <f>T422+IF(LEN($AD$423)&gt;0,1,0)</f>
        <v/>
      </c>
      <c r="U423" s="19">
        <f>U422+IF(LEN($AE$423)&gt;0,1,0)</f>
        <v/>
      </c>
      <c r="V423" s="19">
        <f>V422+IF(LEN($AF$423)&gt;0,1,0)</f>
        <v/>
      </c>
      <c r="X423" s="19">
        <f>IF(ISERROR($B$423),"",IF(ISBLANK($B$423),"",$B$423))</f>
        <v/>
      </c>
      <c r="Y423" s="19">
        <f>IF(ISERROR($C$423),"",IF(ISBLANK($C$423),"",$C$423))</f>
        <v/>
      </c>
      <c r="Z423" s="19">
        <f>IF(ISERROR($D$423),"",IF(ISBLANK($D$423),"",$D$423))</f>
        <v/>
      </c>
      <c r="AA423" s="19">
        <f>IF(ISERROR($E$423),"",IF(ISBLANK($E$423),"",$E$423))</f>
        <v/>
      </c>
      <c r="AB423" s="19">
        <f>IF(ISERROR($F$423),"",IF(ISBLANK($F$423),"",$F$423))</f>
        <v/>
      </c>
      <c r="AC423" s="19">
        <f>IF(ISERROR($G$423),"",IF(ISBLANK($G$423),"",$G$423))</f>
        <v/>
      </c>
      <c r="AD423" s="19">
        <f>IF(ISERROR($H$423),"",IF(ISBLANK($H$423),"",$H$423))</f>
        <v/>
      </c>
      <c r="AE423" s="19">
        <f>IF(ISERROR($I$423),"",IF(ISBLANK($I$423),"",$I$423))</f>
        <v/>
      </c>
      <c r="AF423" s="19">
        <f>IF(ISERROR($J$423),"",IF(ISBLANK($J$423),"",$J$423))</f>
        <v/>
      </c>
      <c r="AG423" s="19">
        <f>ISERROR($B$423)*1+ISERROR($C$423)*1+ISERROR($D$423)*1+ISERROR($E$423)*1+ISERROR($F$423)*1+ISERROR($G$423)*1+ISERROR($H$423)*1+ISERROR($I$423)*1+ISERROR($J$423)*1</f>
        <v/>
      </c>
    </row>
    <row r="424" ht="26" customHeight="1">
      <c r="B424" s="31" t="n"/>
      <c r="C424" s="28" t="n"/>
      <c r="D424" s="28" t="n"/>
      <c r="E424" s="28" t="n"/>
      <c r="F424" s="28" t="n"/>
      <c r="G424" s="28" t="n"/>
      <c r="H424" s="28" t="n"/>
      <c r="I424" s="28" t="n"/>
      <c r="J424" s="28" t="n"/>
      <c r="K424" s="18">
        <f>IF(AG424&gt;0,"O Google leu como fórmula: digite de novo com ' na frente.","")</f>
        <v/>
      </c>
      <c r="N424" s="19">
        <f>N423+IF(LEN($X$424)&gt;0,1,0)</f>
        <v/>
      </c>
      <c r="O424" s="19">
        <f>O423+IF(LEN($Y$424)&gt;0,1,0)</f>
        <v/>
      </c>
      <c r="P424" s="19">
        <f>P423+IF(LEN($Z$424)&gt;0,1,0)</f>
        <v/>
      </c>
      <c r="Q424" s="19">
        <f>Q423+IF(LEN($AA$424)&gt;0,1,0)</f>
        <v/>
      </c>
      <c r="R424" s="19">
        <f>R423+IF(LEN($AB$424)&gt;0,1,0)</f>
        <v/>
      </c>
      <c r="S424" s="19">
        <f>S423+IF(LEN($AC$424)&gt;0,1,0)</f>
        <v/>
      </c>
      <c r="T424" s="19">
        <f>T423+IF(LEN($AD$424)&gt;0,1,0)</f>
        <v/>
      </c>
      <c r="U424" s="19">
        <f>U423+IF(LEN($AE$424)&gt;0,1,0)</f>
        <v/>
      </c>
      <c r="V424" s="19">
        <f>V423+IF(LEN($AF$424)&gt;0,1,0)</f>
        <v/>
      </c>
      <c r="X424" s="19">
        <f>IF(ISERROR($B$424),"",IF(ISBLANK($B$424),"",$B$424))</f>
        <v/>
      </c>
      <c r="Y424" s="19">
        <f>IF(ISERROR($C$424),"",IF(ISBLANK($C$424),"",$C$424))</f>
        <v/>
      </c>
      <c r="Z424" s="19">
        <f>IF(ISERROR($D$424),"",IF(ISBLANK($D$424),"",$D$424))</f>
        <v/>
      </c>
      <c r="AA424" s="19">
        <f>IF(ISERROR($E$424),"",IF(ISBLANK($E$424),"",$E$424))</f>
        <v/>
      </c>
      <c r="AB424" s="19">
        <f>IF(ISERROR($F$424),"",IF(ISBLANK($F$424),"",$F$424))</f>
        <v/>
      </c>
      <c r="AC424" s="19">
        <f>IF(ISERROR($G$424),"",IF(ISBLANK($G$424),"",$G$424))</f>
        <v/>
      </c>
      <c r="AD424" s="19">
        <f>IF(ISERROR($H$424),"",IF(ISBLANK($H$424),"",$H$424))</f>
        <v/>
      </c>
      <c r="AE424" s="19">
        <f>IF(ISERROR($I$424),"",IF(ISBLANK($I$424),"",$I$424))</f>
        <v/>
      </c>
      <c r="AF424" s="19">
        <f>IF(ISERROR($J$424),"",IF(ISBLANK($J$424),"",$J$424))</f>
        <v/>
      </c>
      <c r="AG424" s="19">
        <f>ISERROR($B$424)*1+ISERROR($C$424)*1+ISERROR($D$424)*1+ISERROR($E$424)*1+ISERROR($F$424)*1+ISERROR($G$424)*1+ISERROR($H$424)*1+ISERROR($I$424)*1+ISERROR($J$424)*1</f>
        <v/>
      </c>
    </row>
    <row r="425" ht="26" customHeight="1">
      <c r="B425" s="30" t="n"/>
      <c r="C425" s="3" t="n"/>
      <c r="D425" s="3" t="n"/>
      <c r="E425" s="3" t="n"/>
      <c r="F425" s="3" t="n"/>
      <c r="G425" s="3" t="n"/>
      <c r="H425" s="3" t="n"/>
      <c r="I425" s="3" t="n"/>
      <c r="J425" s="3" t="n"/>
      <c r="K425" s="18">
        <f>IF(AG425&gt;0,"O Google leu como fórmula: digite de novo com ' na frente.","")</f>
        <v/>
      </c>
      <c r="N425" s="19">
        <f>N424+IF(LEN($X$425)&gt;0,1,0)</f>
        <v/>
      </c>
      <c r="O425" s="19">
        <f>O424+IF(LEN($Y$425)&gt;0,1,0)</f>
        <v/>
      </c>
      <c r="P425" s="19">
        <f>P424+IF(LEN($Z$425)&gt;0,1,0)</f>
        <v/>
      </c>
      <c r="Q425" s="19">
        <f>Q424+IF(LEN($AA$425)&gt;0,1,0)</f>
        <v/>
      </c>
      <c r="R425" s="19">
        <f>R424+IF(LEN($AB$425)&gt;0,1,0)</f>
        <v/>
      </c>
      <c r="S425" s="19">
        <f>S424+IF(LEN($AC$425)&gt;0,1,0)</f>
        <v/>
      </c>
      <c r="T425" s="19">
        <f>T424+IF(LEN($AD$425)&gt;0,1,0)</f>
        <v/>
      </c>
      <c r="U425" s="19">
        <f>U424+IF(LEN($AE$425)&gt;0,1,0)</f>
        <v/>
      </c>
      <c r="V425" s="19">
        <f>V424+IF(LEN($AF$425)&gt;0,1,0)</f>
        <v/>
      </c>
      <c r="X425" s="19">
        <f>IF(ISERROR($B$425),"",IF(ISBLANK($B$425),"",$B$425))</f>
        <v/>
      </c>
      <c r="Y425" s="19">
        <f>IF(ISERROR($C$425),"",IF(ISBLANK($C$425),"",$C$425))</f>
        <v/>
      </c>
      <c r="Z425" s="19">
        <f>IF(ISERROR($D$425),"",IF(ISBLANK($D$425),"",$D$425))</f>
        <v/>
      </c>
      <c r="AA425" s="19">
        <f>IF(ISERROR($E$425),"",IF(ISBLANK($E$425),"",$E$425))</f>
        <v/>
      </c>
      <c r="AB425" s="19">
        <f>IF(ISERROR($F$425),"",IF(ISBLANK($F$425),"",$F$425))</f>
        <v/>
      </c>
      <c r="AC425" s="19">
        <f>IF(ISERROR($G$425),"",IF(ISBLANK($G$425),"",$G$425))</f>
        <v/>
      </c>
      <c r="AD425" s="19">
        <f>IF(ISERROR($H$425),"",IF(ISBLANK($H$425),"",$H$425))</f>
        <v/>
      </c>
      <c r="AE425" s="19">
        <f>IF(ISERROR($I$425),"",IF(ISBLANK($I$425),"",$I$425))</f>
        <v/>
      </c>
      <c r="AF425" s="19">
        <f>IF(ISERROR($J$425),"",IF(ISBLANK($J$425),"",$J$425))</f>
        <v/>
      </c>
      <c r="AG425" s="19">
        <f>ISERROR($B$425)*1+ISERROR($C$425)*1+ISERROR($D$425)*1+ISERROR($E$425)*1+ISERROR($F$425)*1+ISERROR($G$425)*1+ISERROR($H$425)*1+ISERROR($I$425)*1+ISERROR($J$425)*1</f>
        <v/>
      </c>
    </row>
    <row r="426" ht="15" customHeight="1">
      <c r="B426" s="7" t="inlineStr">
        <is>
          <t>Ocupação (NPC)</t>
        </is>
      </c>
      <c r="C426" s="7" t="inlineStr">
        <is>
          <t>Traço de aparência</t>
        </is>
      </c>
      <c r="D426" s="7" t="inlineStr">
        <is>
          <t>Personalidade</t>
        </is>
      </c>
      <c r="E426" s="7" t="inlineStr">
        <is>
          <t>Motivação (sem Caminho)</t>
        </is>
      </c>
      <c r="F426" s="7" t="inlineStr">
        <is>
          <t>Segredo</t>
        </is>
      </c>
      <c r="G426" s="7" t="inlineStr">
        <is>
          <t>Maneirismo e voz</t>
        </is>
      </c>
      <c r="H426" s="7" t="inlineStr">
        <is>
          <t>Caminho do NPC (peso)</t>
        </is>
      </c>
      <c r="I426" s="7" t="inlineStr">
        <is>
          <t>Atitude com o grupo</t>
        </is>
      </c>
      <c r="J426" s="7" t="inlineStr">
        <is>
          <t>Gancho do NPC</t>
        </is>
      </c>
      <c r="N426" s="19">
        <f>N425</f>
        <v/>
      </c>
      <c r="O426" s="19">
        <f>O425</f>
        <v/>
      </c>
      <c r="P426" s="19">
        <f>P425</f>
        <v/>
      </c>
      <c r="Q426" s="19">
        <f>Q425</f>
        <v/>
      </c>
      <c r="R426" s="19">
        <f>R425</f>
        <v/>
      </c>
      <c r="S426" s="19">
        <f>S425</f>
        <v/>
      </c>
      <c r="T426" s="19">
        <f>T425</f>
        <v/>
      </c>
      <c r="U426" s="19">
        <f>U425</f>
        <v/>
      </c>
      <c r="V426" s="19">
        <f>V425</f>
        <v/>
      </c>
      <c r="X426" s="19">
        <f>IF(ISERROR($B$426),"",IF(ISBLANK($B$426),"",$B$426))</f>
        <v/>
      </c>
      <c r="Y426" s="19">
        <f>IF(ISERROR($C$426),"",IF(ISBLANK($C$426),"",$C$426))</f>
        <v/>
      </c>
      <c r="Z426" s="19">
        <f>IF(ISERROR($D$426),"",IF(ISBLANK($D$426),"",$D$426))</f>
        <v/>
      </c>
      <c r="AA426" s="19">
        <f>IF(ISERROR($E$426),"",IF(ISBLANK($E$426),"",$E$426))</f>
        <v/>
      </c>
      <c r="AB426" s="19">
        <f>IF(ISERROR($F$426),"",IF(ISBLANK($F$426),"",$F$426))</f>
        <v/>
      </c>
      <c r="AC426" s="19">
        <f>IF(ISERROR($G$426),"",IF(ISBLANK($G$426),"",$G$426))</f>
        <v/>
      </c>
      <c r="AD426" s="19">
        <f>IF(ISERROR($H$426),"",IF(ISBLANK($H$426),"",$H$426))</f>
        <v/>
      </c>
      <c r="AE426" s="19">
        <f>IF(ISERROR($I$426),"",IF(ISBLANK($I$426),"",$I$426))</f>
        <v/>
      </c>
      <c r="AF426" s="19">
        <f>IF(ISERROR($J$426),"",IF(ISBLANK($J$426),"",$J$426))</f>
        <v/>
      </c>
    </row>
    <row r="427" ht="26" customHeight="1">
      <c r="B427" s="30" t="n"/>
      <c r="C427" s="3" t="n"/>
      <c r="D427" s="3" t="n"/>
      <c r="E427" s="3" t="n"/>
      <c r="F427" s="3" t="n"/>
      <c r="G427" s="3" t="n"/>
      <c r="H427" s="3" t="n"/>
      <c r="I427" s="3" t="n"/>
      <c r="J427" s="3" t="n"/>
      <c r="K427" s="18">
        <f>IF(AG427&gt;0,"O Google leu como fórmula: digite de novo com ' na frente.","")</f>
        <v/>
      </c>
      <c r="N427" s="19">
        <f>N426+IF(LEN($X$427)&gt;0,1,0)</f>
        <v/>
      </c>
      <c r="O427" s="19">
        <f>O426+IF(LEN($Y$427)&gt;0,1,0)</f>
        <v/>
      </c>
      <c r="P427" s="19">
        <f>P426+IF(LEN($Z$427)&gt;0,1,0)</f>
        <v/>
      </c>
      <c r="Q427" s="19">
        <f>Q426+IF(LEN($AA$427)&gt;0,1,0)</f>
        <v/>
      </c>
      <c r="R427" s="19">
        <f>R426+IF(LEN($AB$427)&gt;0,1,0)</f>
        <v/>
      </c>
      <c r="S427" s="19">
        <f>S426+IF(LEN($AC$427)&gt;0,1,0)</f>
        <v/>
      </c>
      <c r="T427" s="19">
        <f>T426+IF(LEN($AD$427)&gt;0,1,0)</f>
        <v/>
      </c>
      <c r="U427" s="19">
        <f>U426+IF(LEN($AE$427)&gt;0,1,0)</f>
        <v/>
      </c>
      <c r="V427" s="19">
        <f>V426+IF(LEN($AF$427)&gt;0,1,0)</f>
        <v/>
      </c>
      <c r="X427" s="19">
        <f>IF(ISERROR($B$427),"",IF(ISBLANK($B$427),"",$B$427))</f>
        <v/>
      </c>
      <c r="Y427" s="19">
        <f>IF(ISERROR($C$427),"",IF(ISBLANK($C$427),"",$C$427))</f>
        <v/>
      </c>
      <c r="Z427" s="19">
        <f>IF(ISERROR($D$427),"",IF(ISBLANK($D$427),"",$D$427))</f>
        <v/>
      </c>
      <c r="AA427" s="19">
        <f>IF(ISERROR($E$427),"",IF(ISBLANK($E$427),"",$E$427))</f>
        <v/>
      </c>
      <c r="AB427" s="19">
        <f>IF(ISERROR($F$427),"",IF(ISBLANK($F$427),"",$F$427))</f>
        <v/>
      </c>
      <c r="AC427" s="19">
        <f>IF(ISERROR($G$427),"",IF(ISBLANK($G$427),"",$G$427))</f>
        <v/>
      </c>
      <c r="AD427" s="19">
        <f>IF(ISERROR($H$427),"",IF(ISBLANK($H$427),"",$H$427))</f>
        <v/>
      </c>
      <c r="AE427" s="19">
        <f>IF(ISERROR($I$427),"",IF(ISBLANK($I$427),"",$I$427))</f>
        <v/>
      </c>
      <c r="AF427" s="19">
        <f>IF(ISERROR($J$427),"",IF(ISBLANK($J$427),"",$J$427))</f>
        <v/>
      </c>
      <c r="AG427" s="19">
        <f>ISERROR($B$427)*1+ISERROR($C$427)*1+ISERROR($D$427)*1+ISERROR($E$427)*1+ISERROR($F$427)*1+ISERROR($G$427)*1+ISERROR($H$427)*1+ISERROR($I$427)*1+ISERROR($J$427)*1</f>
        <v/>
      </c>
    </row>
    <row r="428" ht="26" customHeight="1">
      <c r="B428" s="31" t="n"/>
      <c r="C428" s="28" t="n"/>
      <c r="D428" s="28" t="n"/>
      <c r="E428" s="28" t="n"/>
      <c r="F428" s="28" t="n"/>
      <c r="G428" s="28" t="n"/>
      <c r="H428" s="28" t="n"/>
      <c r="I428" s="28" t="n"/>
      <c r="J428" s="28" t="n"/>
      <c r="K428" s="18">
        <f>IF(AG428&gt;0,"O Google leu como fórmula: digite de novo com ' na frente.","")</f>
        <v/>
      </c>
      <c r="N428" s="19">
        <f>N427+IF(LEN($X$428)&gt;0,1,0)</f>
        <v/>
      </c>
      <c r="O428" s="19">
        <f>O427+IF(LEN($Y$428)&gt;0,1,0)</f>
        <v/>
      </c>
      <c r="P428" s="19">
        <f>P427+IF(LEN($Z$428)&gt;0,1,0)</f>
        <v/>
      </c>
      <c r="Q428" s="19">
        <f>Q427+IF(LEN($AA$428)&gt;0,1,0)</f>
        <v/>
      </c>
      <c r="R428" s="19">
        <f>R427+IF(LEN($AB$428)&gt;0,1,0)</f>
        <v/>
      </c>
      <c r="S428" s="19">
        <f>S427+IF(LEN($AC$428)&gt;0,1,0)</f>
        <v/>
      </c>
      <c r="T428" s="19">
        <f>T427+IF(LEN($AD$428)&gt;0,1,0)</f>
        <v/>
      </c>
      <c r="U428" s="19">
        <f>U427+IF(LEN($AE$428)&gt;0,1,0)</f>
        <v/>
      </c>
      <c r="V428" s="19">
        <f>V427+IF(LEN($AF$428)&gt;0,1,0)</f>
        <v/>
      </c>
      <c r="X428" s="19">
        <f>IF(ISERROR($B$428),"",IF(ISBLANK($B$428),"",$B$428))</f>
        <v/>
      </c>
      <c r="Y428" s="19">
        <f>IF(ISERROR($C$428),"",IF(ISBLANK($C$428),"",$C$428))</f>
        <v/>
      </c>
      <c r="Z428" s="19">
        <f>IF(ISERROR($D$428),"",IF(ISBLANK($D$428),"",$D$428))</f>
        <v/>
      </c>
      <c r="AA428" s="19">
        <f>IF(ISERROR($E$428),"",IF(ISBLANK($E$428),"",$E$428))</f>
        <v/>
      </c>
      <c r="AB428" s="19">
        <f>IF(ISERROR($F$428),"",IF(ISBLANK($F$428),"",$F$428))</f>
        <v/>
      </c>
      <c r="AC428" s="19">
        <f>IF(ISERROR($G$428),"",IF(ISBLANK($G$428),"",$G$428))</f>
        <v/>
      </c>
      <c r="AD428" s="19">
        <f>IF(ISERROR($H$428),"",IF(ISBLANK($H$428),"",$H$428))</f>
        <v/>
      </c>
      <c r="AE428" s="19">
        <f>IF(ISERROR($I$428),"",IF(ISBLANK($I$428),"",$I$428))</f>
        <v/>
      </c>
      <c r="AF428" s="19">
        <f>IF(ISERROR($J$428),"",IF(ISBLANK($J$428),"",$J$428))</f>
        <v/>
      </c>
      <c r="AG428" s="19">
        <f>ISERROR($B$428)*1+ISERROR($C$428)*1+ISERROR($D$428)*1+ISERROR($E$428)*1+ISERROR($F$428)*1+ISERROR($G$428)*1+ISERROR($H$428)*1+ISERROR($I$428)*1+ISERROR($J$428)*1</f>
        <v/>
      </c>
    </row>
    <row r="429" ht="26" customHeight="1">
      <c r="B429" s="30" t="n"/>
      <c r="C429" s="3" t="n"/>
      <c r="D429" s="3" t="n"/>
      <c r="E429" s="3" t="n"/>
      <c r="F429" s="3" t="n"/>
      <c r="G429" s="3" t="n"/>
      <c r="H429" s="3" t="n"/>
      <c r="I429" s="3" t="n"/>
      <c r="J429" s="3" t="n"/>
      <c r="K429" s="18">
        <f>IF(AG429&gt;0,"O Google leu como fórmula: digite de novo com ' na frente.","")</f>
        <v/>
      </c>
      <c r="N429" s="19">
        <f>N428+IF(LEN($X$429)&gt;0,1,0)</f>
        <v/>
      </c>
      <c r="O429" s="19">
        <f>O428+IF(LEN($Y$429)&gt;0,1,0)</f>
        <v/>
      </c>
      <c r="P429" s="19">
        <f>P428+IF(LEN($Z$429)&gt;0,1,0)</f>
        <v/>
      </c>
      <c r="Q429" s="19">
        <f>Q428+IF(LEN($AA$429)&gt;0,1,0)</f>
        <v/>
      </c>
      <c r="R429" s="19">
        <f>R428+IF(LEN($AB$429)&gt;0,1,0)</f>
        <v/>
      </c>
      <c r="S429" s="19">
        <f>S428+IF(LEN($AC$429)&gt;0,1,0)</f>
        <v/>
      </c>
      <c r="T429" s="19">
        <f>T428+IF(LEN($AD$429)&gt;0,1,0)</f>
        <v/>
      </c>
      <c r="U429" s="19">
        <f>U428+IF(LEN($AE$429)&gt;0,1,0)</f>
        <v/>
      </c>
      <c r="V429" s="19">
        <f>V428+IF(LEN($AF$429)&gt;0,1,0)</f>
        <v/>
      </c>
      <c r="X429" s="19">
        <f>IF(ISERROR($B$429),"",IF(ISBLANK($B$429),"",$B$429))</f>
        <v/>
      </c>
      <c r="Y429" s="19">
        <f>IF(ISERROR($C$429),"",IF(ISBLANK($C$429),"",$C$429))</f>
        <v/>
      </c>
      <c r="Z429" s="19">
        <f>IF(ISERROR($D$429),"",IF(ISBLANK($D$429),"",$D$429))</f>
        <v/>
      </c>
      <c r="AA429" s="19">
        <f>IF(ISERROR($E$429),"",IF(ISBLANK($E$429),"",$E$429))</f>
        <v/>
      </c>
      <c r="AB429" s="19">
        <f>IF(ISERROR($F$429),"",IF(ISBLANK($F$429),"",$F$429))</f>
        <v/>
      </c>
      <c r="AC429" s="19">
        <f>IF(ISERROR($G$429),"",IF(ISBLANK($G$429),"",$G$429))</f>
        <v/>
      </c>
      <c r="AD429" s="19">
        <f>IF(ISERROR($H$429),"",IF(ISBLANK($H$429),"",$H$429))</f>
        <v/>
      </c>
      <c r="AE429" s="19">
        <f>IF(ISERROR($I$429),"",IF(ISBLANK($I$429),"",$I$429))</f>
        <v/>
      </c>
      <c r="AF429" s="19">
        <f>IF(ISERROR($J$429),"",IF(ISBLANK($J$429),"",$J$429))</f>
        <v/>
      </c>
      <c r="AG429" s="19">
        <f>ISERROR($B$429)*1+ISERROR($C$429)*1+ISERROR($D$429)*1+ISERROR($E$429)*1+ISERROR($F$429)*1+ISERROR($G$429)*1+ISERROR($H$429)*1+ISERROR($I$429)*1+ISERROR($J$429)*1</f>
        <v/>
      </c>
    </row>
    <row r="430" ht="26" customHeight="1">
      <c r="B430" s="31" t="n"/>
      <c r="C430" s="28" t="n"/>
      <c r="D430" s="28" t="n"/>
      <c r="E430" s="28" t="n"/>
      <c r="F430" s="28" t="n"/>
      <c r="G430" s="28" t="n"/>
      <c r="H430" s="28" t="n"/>
      <c r="I430" s="28" t="n"/>
      <c r="J430" s="28" t="n"/>
      <c r="K430" s="18">
        <f>IF(AG430&gt;0,"O Google leu como fórmula: digite de novo com ' na frente.","")</f>
        <v/>
      </c>
      <c r="N430" s="19">
        <f>N429+IF(LEN($X$430)&gt;0,1,0)</f>
        <v/>
      </c>
      <c r="O430" s="19">
        <f>O429+IF(LEN($Y$430)&gt;0,1,0)</f>
        <v/>
      </c>
      <c r="P430" s="19">
        <f>P429+IF(LEN($Z$430)&gt;0,1,0)</f>
        <v/>
      </c>
      <c r="Q430" s="19">
        <f>Q429+IF(LEN($AA$430)&gt;0,1,0)</f>
        <v/>
      </c>
      <c r="R430" s="19">
        <f>R429+IF(LEN($AB$430)&gt;0,1,0)</f>
        <v/>
      </c>
      <c r="S430" s="19">
        <f>S429+IF(LEN($AC$430)&gt;0,1,0)</f>
        <v/>
      </c>
      <c r="T430" s="19">
        <f>T429+IF(LEN($AD$430)&gt;0,1,0)</f>
        <v/>
      </c>
      <c r="U430" s="19">
        <f>U429+IF(LEN($AE$430)&gt;0,1,0)</f>
        <v/>
      </c>
      <c r="V430" s="19">
        <f>V429+IF(LEN($AF$430)&gt;0,1,0)</f>
        <v/>
      </c>
      <c r="X430" s="19">
        <f>IF(ISERROR($B$430),"",IF(ISBLANK($B$430),"",$B$430))</f>
        <v/>
      </c>
      <c r="Y430" s="19">
        <f>IF(ISERROR($C$430),"",IF(ISBLANK($C$430),"",$C$430))</f>
        <v/>
      </c>
      <c r="Z430" s="19">
        <f>IF(ISERROR($D$430),"",IF(ISBLANK($D$430),"",$D$430))</f>
        <v/>
      </c>
      <c r="AA430" s="19">
        <f>IF(ISERROR($E$430),"",IF(ISBLANK($E$430),"",$E$430))</f>
        <v/>
      </c>
      <c r="AB430" s="19">
        <f>IF(ISERROR($F$430),"",IF(ISBLANK($F$430),"",$F$430))</f>
        <v/>
      </c>
      <c r="AC430" s="19">
        <f>IF(ISERROR($G$430),"",IF(ISBLANK($G$430),"",$G$430))</f>
        <v/>
      </c>
      <c r="AD430" s="19">
        <f>IF(ISERROR($H$430),"",IF(ISBLANK($H$430),"",$H$430))</f>
        <v/>
      </c>
      <c r="AE430" s="19">
        <f>IF(ISERROR($I$430),"",IF(ISBLANK($I$430),"",$I$430))</f>
        <v/>
      </c>
      <c r="AF430" s="19">
        <f>IF(ISERROR($J$430),"",IF(ISBLANK($J$430),"",$J$430))</f>
        <v/>
      </c>
      <c r="AG430" s="19">
        <f>ISERROR($B$430)*1+ISERROR($C$430)*1+ISERROR($D$430)*1+ISERROR($E$430)*1+ISERROR($F$430)*1+ISERROR($G$430)*1+ISERROR($H$430)*1+ISERROR($I$430)*1+ISERROR($J$430)*1</f>
        <v/>
      </c>
    </row>
    <row r="431" ht="26" customHeight="1">
      <c r="B431" s="30" t="n"/>
      <c r="C431" s="3" t="n"/>
      <c r="D431" s="3" t="n"/>
      <c r="E431" s="3" t="n"/>
      <c r="F431" s="3" t="n"/>
      <c r="G431" s="3" t="n"/>
      <c r="H431" s="3" t="n"/>
      <c r="I431" s="3" t="n"/>
      <c r="J431" s="3" t="n"/>
      <c r="K431" s="18">
        <f>IF(AG431&gt;0,"O Google leu como fórmula: digite de novo com ' na frente.","")</f>
        <v/>
      </c>
      <c r="N431" s="19">
        <f>N430+IF(LEN($X$431)&gt;0,1,0)</f>
        <v/>
      </c>
      <c r="O431" s="19">
        <f>O430+IF(LEN($Y$431)&gt;0,1,0)</f>
        <v/>
      </c>
      <c r="P431" s="19">
        <f>P430+IF(LEN($Z$431)&gt;0,1,0)</f>
        <v/>
      </c>
      <c r="Q431" s="19">
        <f>Q430+IF(LEN($AA$431)&gt;0,1,0)</f>
        <v/>
      </c>
      <c r="R431" s="19">
        <f>R430+IF(LEN($AB$431)&gt;0,1,0)</f>
        <v/>
      </c>
      <c r="S431" s="19">
        <f>S430+IF(LEN($AC$431)&gt;0,1,0)</f>
        <v/>
      </c>
      <c r="T431" s="19">
        <f>T430+IF(LEN($AD$431)&gt;0,1,0)</f>
        <v/>
      </c>
      <c r="U431" s="19">
        <f>U430+IF(LEN($AE$431)&gt;0,1,0)</f>
        <v/>
      </c>
      <c r="V431" s="19">
        <f>V430+IF(LEN($AF$431)&gt;0,1,0)</f>
        <v/>
      </c>
      <c r="X431" s="19">
        <f>IF(ISERROR($B$431),"",IF(ISBLANK($B$431),"",$B$431))</f>
        <v/>
      </c>
      <c r="Y431" s="19">
        <f>IF(ISERROR($C$431),"",IF(ISBLANK($C$431),"",$C$431))</f>
        <v/>
      </c>
      <c r="Z431" s="19">
        <f>IF(ISERROR($D$431),"",IF(ISBLANK($D$431),"",$D$431))</f>
        <v/>
      </c>
      <c r="AA431" s="19">
        <f>IF(ISERROR($E$431),"",IF(ISBLANK($E$431),"",$E$431))</f>
        <v/>
      </c>
      <c r="AB431" s="19">
        <f>IF(ISERROR($F$431),"",IF(ISBLANK($F$431),"",$F$431))</f>
        <v/>
      </c>
      <c r="AC431" s="19">
        <f>IF(ISERROR($G$431),"",IF(ISBLANK($G$431),"",$G$431))</f>
        <v/>
      </c>
      <c r="AD431" s="19">
        <f>IF(ISERROR($H$431),"",IF(ISBLANK($H$431),"",$H$431))</f>
        <v/>
      </c>
      <c r="AE431" s="19">
        <f>IF(ISERROR($I$431),"",IF(ISBLANK($I$431),"",$I$431))</f>
        <v/>
      </c>
      <c r="AF431" s="19">
        <f>IF(ISERROR($J$431),"",IF(ISBLANK($J$431),"",$J$431))</f>
        <v/>
      </c>
      <c r="AG431" s="19">
        <f>ISERROR($B$431)*1+ISERROR($C$431)*1+ISERROR($D$431)*1+ISERROR($E$431)*1+ISERROR($F$431)*1+ISERROR($G$431)*1+ISERROR($H$431)*1+ISERROR($I$431)*1+ISERROR($J$431)*1</f>
        <v/>
      </c>
    </row>
    <row r="432" ht="26" customHeight="1">
      <c r="B432" s="31" t="n"/>
      <c r="C432" s="28" t="n"/>
      <c r="D432" s="28" t="n"/>
      <c r="E432" s="28" t="n"/>
      <c r="F432" s="28" t="n"/>
      <c r="G432" s="28" t="n"/>
      <c r="H432" s="28" t="n"/>
      <c r="I432" s="28" t="n"/>
      <c r="J432" s="28" t="n"/>
      <c r="K432" s="18">
        <f>IF(AG432&gt;0,"O Google leu como fórmula: digite de novo com ' na frente.","")</f>
        <v/>
      </c>
      <c r="N432" s="19">
        <f>N431+IF(LEN($X$432)&gt;0,1,0)</f>
        <v/>
      </c>
      <c r="O432" s="19">
        <f>O431+IF(LEN($Y$432)&gt;0,1,0)</f>
        <v/>
      </c>
      <c r="P432" s="19">
        <f>P431+IF(LEN($Z$432)&gt;0,1,0)</f>
        <v/>
      </c>
      <c r="Q432" s="19">
        <f>Q431+IF(LEN($AA$432)&gt;0,1,0)</f>
        <v/>
      </c>
      <c r="R432" s="19">
        <f>R431+IF(LEN($AB$432)&gt;0,1,0)</f>
        <v/>
      </c>
      <c r="S432" s="19">
        <f>S431+IF(LEN($AC$432)&gt;0,1,0)</f>
        <v/>
      </c>
      <c r="T432" s="19">
        <f>T431+IF(LEN($AD$432)&gt;0,1,0)</f>
        <v/>
      </c>
      <c r="U432" s="19">
        <f>U431+IF(LEN($AE$432)&gt;0,1,0)</f>
        <v/>
      </c>
      <c r="V432" s="19">
        <f>V431+IF(LEN($AF$432)&gt;0,1,0)</f>
        <v/>
      </c>
      <c r="X432" s="19">
        <f>IF(ISERROR($B$432),"",IF(ISBLANK($B$432),"",$B$432))</f>
        <v/>
      </c>
      <c r="Y432" s="19">
        <f>IF(ISERROR($C$432),"",IF(ISBLANK($C$432),"",$C$432))</f>
        <v/>
      </c>
      <c r="Z432" s="19">
        <f>IF(ISERROR($D$432),"",IF(ISBLANK($D$432),"",$D$432))</f>
        <v/>
      </c>
      <c r="AA432" s="19">
        <f>IF(ISERROR($E$432),"",IF(ISBLANK($E$432),"",$E$432))</f>
        <v/>
      </c>
      <c r="AB432" s="19">
        <f>IF(ISERROR($F$432),"",IF(ISBLANK($F$432),"",$F$432))</f>
        <v/>
      </c>
      <c r="AC432" s="19">
        <f>IF(ISERROR($G$432),"",IF(ISBLANK($G$432),"",$G$432))</f>
        <v/>
      </c>
      <c r="AD432" s="19">
        <f>IF(ISERROR($H$432),"",IF(ISBLANK($H$432),"",$H$432))</f>
        <v/>
      </c>
      <c r="AE432" s="19">
        <f>IF(ISERROR($I$432),"",IF(ISBLANK($I$432),"",$I$432))</f>
        <v/>
      </c>
      <c r="AF432" s="19">
        <f>IF(ISERROR($J$432),"",IF(ISBLANK($J$432),"",$J$432))</f>
        <v/>
      </c>
      <c r="AG432" s="19">
        <f>ISERROR($B$432)*1+ISERROR($C$432)*1+ISERROR($D$432)*1+ISERROR($E$432)*1+ISERROR($F$432)*1+ISERROR($G$432)*1+ISERROR($H$432)*1+ISERROR($I$432)*1+ISERROR($J$432)*1</f>
        <v/>
      </c>
    </row>
    <row r="433" ht="26" customHeight="1">
      <c r="B433" s="30" t="n"/>
      <c r="C433" s="3" t="n"/>
      <c r="D433" s="3" t="n"/>
      <c r="E433" s="3" t="n"/>
      <c r="F433" s="3" t="n"/>
      <c r="G433" s="3" t="n"/>
      <c r="H433" s="3" t="n"/>
      <c r="I433" s="3" t="n"/>
      <c r="J433" s="3" t="n"/>
      <c r="K433" s="18">
        <f>IF(AG433&gt;0,"O Google leu como fórmula: digite de novo com ' na frente.","")</f>
        <v/>
      </c>
      <c r="N433" s="19">
        <f>N432+IF(LEN($X$433)&gt;0,1,0)</f>
        <v/>
      </c>
      <c r="O433" s="19">
        <f>O432+IF(LEN($Y$433)&gt;0,1,0)</f>
        <v/>
      </c>
      <c r="P433" s="19">
        <f>P432+IF(LEN($Z$433)&gt;0,1,0)</f>
        <v/>
      </c>
      <c r="Q433" s="19">
        <f>Q432+IF(LEN($AA$433)&gt;0,1,0)</f>
        <v/>
      </c>
      <c r="R433" s="19">
        <f>R432+IF(LEN($AB$433)&gt;0,1,0)</f>
        <v/>
      </c>
      <c r="S433" s="19">
        <f>S432+IF(LEN($AC$433)&gt;0,1,0)</f>
        <v/>
      </c>
      <c r="T433" s="19">
        <f>T432+IF(LEN($AD$433)&gt;0,1,0)</f>
        <v/>
      </c>
      <c r="U433" s="19">
        <f>U432+IF(LEN($AE$433)&gt;0,1,0)</f>
        <v/>
      </c>
      <c r="V433" s="19">
        <f>V432+IF(LEN($AF$433)&gt;0,1,0)</f>
        <v/>
      </c>
      <c r="X433" s="19">
        <f>IF(ISERROR($B$433),"",IF(ISBLANK($B$433),"",$B$433))</f>
        <v/>
      </c>
      <c r="Y433" s="19">
        <f>IF(ISERROR($C$433),"",IF(ISBLANK($C$433),"",$C$433))</f>
        <v/>
      </c>
      <c r="Z433" s="19">
        <f>IF(ISERROR($D$433),"",IF(ISBLANK($D$433),"",$D$433))</f>
        <v/>
      </c>
      <c r="AA433" s="19">
        <f>IF(ISERROR($E$433),"",IF(ISBLANK($E$433),"",$E$433))</f>
        <v/>
      </c>
      <c r="AB433" s="19">
        <f>IF(ISERROR($F$433),"",IF(ISBLANK($F$433),"",$F$433))</f>
        <v/>
      </c>
      <c r="AC433" s="19">
        <f>IF(ISERROR($G$433),"",IF(ISBLANK($G$433),"",$G$433))</f>
        <v/>
      </c>
      <c r="AD433" s="19">
        <f>IF(ISERROR($H$433),"",IF(ISBLANK($H$433),"",$H$433))</f>
        <v/>
      </c>
      <c r="AE433" s="19">
        <f>IF(ISERROR($I$433),"",IF(ISBLANK($I$433),"",$I$433))</f>
        <v/>
      </c>
      <c r="AF433" s="19">
        <f>IF(ISERROR($J$433),"",IF(ISBLANK($J$433),"",$J$433))</f>
        <v/>
      </c>
      <c r="AG433" s="19">
        <f>ISERROR($B$433)*1+ISERROR($C$433)*1+ISERROR($D$433)*1+ISERROR($E$433)*1+ISERROR($F$433)*1+ISERROR($G$433)*1+ISERROR($H$433)*1+ISERROR($I$433)*1+ISERROR($J$433)*1</f>
        <v/>
      </c>
    </row>
    <row r="434" ht="26" customHeight="1">
      <c r="B434" s="31" t="n"/>
      <c r="C434" s="28" t="n"/>
      <c r="D434" s="28" t="n"/>
      <c r="E434" s="28" t="n"/>
      <c r="F434" s="28" t="n"/>
      <c r="G434" s="28" t="n"/>
      <c r="H434" s="28" t="n"/>
      <c r="I434" s="28" t="n"/>
      <c r="J434" s="28" t="n"/>
      <c r="K434" s="18">
        <f>IF(AG434&gt;0,"O Google leu como fórmula: digite de novo com ' na frente.","")</f>
        <v/>
      </c>
      <c r="N434" s="19">
        <f>N433+IF(LEN($X$434)&gt;0,1,0)</f>
        <v/>
      </c>
      <c r="O434" s="19">
        <f>O433+IF(LEN($Y$434)&gt;0,1,0)</f>
        <v/>
      </c>
      <c r="P434" s="19">
        <f>P433+IF(LEN($Z$434)&gt;0,1,0)</f>
        <v/>
      </c>
      <c r="Q434" s="19">
        <f>Q433+IF(LEN($AA$434)&gt;0,1,0)</f>
        <v/>
      </c>
      <c r="R434" s="19">
        <f>R433+IF(LEN($AB$434)&gt;0,1,0)</f>
        <v/>
      </c>
      <c r="S434" s="19">
        <f>S433+IF(LEN($AC$434)&gt;0,1,0)</f>
        <v/>
      </c>
      <c r="T434" s="19">
        <f>T433+IF(LEN($AD$434)&gt;0,1,0)</f>
        <v/>
      </c>
      <c r="U434" s="19">
        <f>U433+IF(LEN($AE$434)&gt;0,1,0)</f>
        <v/>
      </c>
      <c r="V434" s="19">
        <f>V433+IF(LEN($AF$434)&gt;0,1,0)</f>
        <v/>
      </c>
      <c r="X434" s="19">
        <f>IF(ISERROR($B$434),"",IF(ISBLANK($B$434),"",$B$434))</f>
        <v/>
      </c>
      <c r="Y434" s="19">
        <f>IF(ISERROR($C$434),"",IF(ISBLANK($C$434),"",$C$434))</f>
        <v/>
      </c>
      <c r="Z434" s="19">
        <f>IF(ISERROR($D$434),"",IF(ISBLANK($D$434),"",$D$434))</f>
        <v/>
      </c>
      <c r="AA434" s="19">
        <f>IF(ISERROR($E$434),"",IF(ISBLANK($E$434),"",$E$434))</f>
        <v/>
      </c>
      <c r="AB434" s="19">
        <f>IF(ISERROR($F$434),"",IF(ISBLANK($F$434),"",$F$434))</f>
        <v/>
      </c>
      <c r="AC434" s="19">
        <f>IF(ISERROR($G$434),"",IF(ISBLANK($G$434),"",$G$434))</f>
        <v/>
      </c>
      <c r="AD434" s="19">
        <f>IF(ISERROR($H$434),"",IF(ISBLANK($H$434),"",$H$434))</f>
        <v/>
      </c>
      <c r="AE434" s="19">
        <f>IF(ISERROR($I$434),"",IF(ISBLANK($I$434),"",$I$434))</f>
        <v/>
      </c>
      <c r="AF434" s="19">
        <f>IF(ISERROR($J$434),"",IF(ISBLANK($J$434),"",$J$434))</f>
        <v/>
      </c>
      <c r="AG434" s="19">
        <f>ISERROR($B$434)*1+ISERROR($C$434)*1+ISERROR($D$434)*1+ISERROR($E$434)*1+ISERROR($F$434)*1+ISERROR($G$434)*1+ISERROR($H$434)*1+ISERROR($I$434)*1+ISERROR($J$434)*1</f>
        <v/>
      </c>
    </row>
    <row r="435" ht="26" customHeight="1">
      <c r="B435" s="30" t="n"/>
      <c r="C435" s="3" t="n"/>
      <c r="D435" s="3" t="n"/>
      <c r="E435" s="3" t="n"/>
      <c r="F435" s="3" t="n"/>
      <c r="G435" s="3" t="n"/>
      <c r="H435" s="3" t="n"/>
      <c r="I435" s="3" t="n"/>
      <c r="J435" s="3" t="n"/>
      <c r="K435" s="18">
        <f>IF(AG435&gt;0,"O Google leu como fórmula: digite de novo com ' na frente.","")</f>
        <v/>
      </c>
      <c r="N435" s="19">
        <f>N434+IF(LEN($X$435)&gt;0,1,0)</f>
        <v/>
      </c>
      <c r="O435" s="19">
        <f>O434+IF(LEN($Y$435)&gt;0,1,0)</f>
        <v/>
      </c>
      <c r="P435" s="19">
        <f>P434+IF(LEN($Z$435)&gt;0,1,0)</f>
        <v/>
      </c>
      <c r="Q435" s="19">
        <f>Q434+IF(LEN($AA$435)&gt;0,1,0)</f>
        <v/>
      </c>
      <c r="R435" s="19">
        <f>R434+IF(LEN($AB$435)&gt;0,1,0)</f>
        <v/>
      </c>
      <c r="S435" s="19">
        <f>S434+IF(LEN($AC$435)&gt;0,1,0)</f>
        <v/>
      </c>
      <c r="T435" s="19">
        <f>T434+IF(LEN($AD$435)&gt;0,1,0)</f>
        <v/>
      </c>
      <c r="U435" s="19">
        <f>U434+IF(LEN($AE$435)&gt;0,1,0)</f>
        <v/>
      </c>
      <c r="V435" s="19">
        <f>V434+IF(LEN($AF$435)&gt;0,1,0)</f>
        <v/>
      </c>
      <c r="X435" s="19">
        <f>IF(ISERROR($B$435),"",IF(ISBLANK($B$435),"",$B$435))</f>
        <v/>
      </c>
      <c r="Y435" s="19">
        <f>IF(ISERROR($C$435),"",IF(ISBLANK($C$435),"",$C$435))</f>
        <v/>
      </c>
      <c r="Z435" s="19">
        <f>IF(ISERROR($D$435),"",IF(ISBLANK($D$435),"",$D$435))</f>
        <v/>
      </c>
      <c r="AA435" s="19">
        <f>IF(ISERROR($E$435),"",IF(ISBLANK($E$435),"",$E$435))</f>
        <v/>
      </c>
      <c r="AB435" s="19">
        <f>IF(ISERROR($F$435),"",IF(ISBLANK($F$435),"",$F$435))</f>
        <v/>
      </c>
      <c r="AC435" s="19">
        <f>IF(ISERROR($G$435),"",IF(ISBLANK($G$435),"",$G$435))</f>
        <v/>
      </c>
      <c r="AD435" s="19">
        <f>IF(ISERROR($H$435),"",IF(ISBLANK($H$435),"",$H$435))</f>
        <v/>
      </c>
      <c r="AE435" s="19">
        <f>IF(ISERROR($I$435),"",IF(ISBLANK($I$435),"",$I$435))</f>
        <v/>
      </c>
      <c r="AF435" s="19">
        <f>IF(ISERROR($J$435),"",IF(ISBLANK($J$435),"",$J$435))</f>
        <v/>
      </c>
      <c r="AG435" s="19">
        <f>ISERROR($B$435)*1+ISERROR($C$435)*1+ISERROR($D$435)*1+ISERROR($E$435)*1+ISERROR($F$435)*1+ISERROR($G$435)*1+ISERROR($H$435)*1+ISERROR($I$435)*1+ISERROR($J$435)*1</f>
        <v/>
      </c>
    </row>
    <row r="436" ht="26" customHeight="1">
      <c r="B436" s="31" t="n"/>
      <c r="C436" s="28" t="n"/>
      <c r="D436" s="28" t="n"/>
      <c r="E436" s="28" t="n"/>
      <c r="F436" s="28" t="n"/>
      <c r="G436" s="28" t="n"/>
      <c r="H436" s="28" t="n"/>
      <c r="I436" s="28" t="n"/>
      <c r="J436" s="28" t="n"/>
      <c r="K436" s="18">
        <f>IF(AG436&gt;0,"O Google leu como fórmula: digite de novo com ' na frente.","")</f>
        <v/>
      </c>
      <c r="N436" s="19">
        <f>N435+IF(LEN($X$436)&gt;0,1,0)</f>
        <v/>
      </c>
      <c r="O436" s="19">
        <f>O435+IF(LEN($Y$436)&gt;0,1,0)</f>
        <v/>
      </c>
      <c r="P436" s="19">
        <f>P435+IF(LEN($Z$436)&gt;0,1,0)</f>
        <v/>
      </c>
      <c r="Q436" s="19">
        <f>Q435+IF(LEN($AA$436)&gt;0,1,0)</f>
        <v/>
      </c>
      <c r="R436" s="19">
        <f>R435+IF(LEN($AB$436)&gt;0,1,0)</f>
        <v/>
      </c>
      <c r="S436" s="19">
        <f>S435+IF(LEN($AC$436)&gt;0,1,0)</f>
        <v/>
      </c>
      <c r="T436" s="19">
        <f>T435+IF(LEN($AD$436)&gt;0,1,0)</f>
        <v/>
      </c>
      <c r="U436" s="19">
        <f>U435+IF(LEN($AE$436)&gt;0,1,0)</f>
        <v/>
      </c>
      <c r="V436" s="19">
        <f>V435+IF(LEN($AF$436)&gt;0,1,0)</f>
        <v/>
      </c>
      <c r="X436" s="19">
        <f>IF(ISERROR($B$436),"",IF(ISBLANK($B$436),"",$B$436))</f>
        <v/>
      </c>
      <c r="Y436" s="19">
        <f>IF(ISERROR($C$436),"",IF(ISBLANK($C$436),"",$C$436))</f>
        <v/>
      </c>
      <c r="Z436" s="19">
        <f>IF(ISERROR($D$436),"",IF(ISBLANK($D$436),"",$D$436))</f>
        <v/>
      </c>
      <c r="AA436" s="19">
        <f>IF(ISERROR($E$436),"",IF(ISBLANK($E$436),"",$E$436))</f>
        <v/>
      </c>
      <c r="AB436" s="19">
        <f>IF(ISERROR($F$436),"",IF(ISBLANK($F$436),"",$F$436))</f>
        <v/>
      </c>
      <c r="AC436" s="19">
        <f>IF(ISERROR($G$436),"",IF(ISBLANK($G$436),"",$G$436))</f>
        <v/>
      </c>
      <c r="AD436" s="19">
        <f>IF(ISERROR($H$436),"",IF(ISBLANK($H$436),"",$H$436))</f>
        <v/>
      </c>
      <c r="AE436" s="19">
        <f>IF(ISERROR($I$436),"",IF(ISBLANK($I$436),"",$I$436))</f>
        <v/>
      </c>
      <c r="AF436" s="19">
        <f>IF(ISERROR($J$436),"",IF(ISBLANK($J$436),"",$J$436))</f>
        <v/>
      </c>
      <c r="AG436" s="19">
        <f>ISERROR($B$436)*1+ISERROR($C$436)*1+ISERROR($D$436)*1+ISERROR($E$436)*1+ISERROR($F$436)*1+ISERROR($G$436)*1+ISERROR($H$436)*1+ISERROR($I$436)*1+ISERROR($J$436)*1</f>
        <v/>
      </c>
    </row>
    <row r="437" ht="26" customHeight="1">
      <c r="B437" s="30" t="n"/>
      <c r="C437" s="3" t="n"/>
      <c r="D437" s="3" t="n"/>
      <c r="E437" s="3" t="n"/>
      <c r="F437" s="3" t="n"/>
      <c r="G437" s="3" t="n"/>
      <c r="H437" s="3" t="n"/>
      <c r="I437" s="3" t="n"/>
      <c r="J437" s="3" t="n"/>
      <c r="K437" s="18">
        <f>IF(AG437&gt;0,"O Google leu como fórmula: digite de novo com ' na frente.","")</f>
        <v/>
      </c>
      <c r="N437" s="19">
        <f>N436+IF(LEN($X$437)&gt;0,1,0)</f>
        <v/>
      </c>
      <c r="O437" s="19">
        <f>O436+IF(LEN($Y$437)&gt;0,1,0)</f>
        <v/>
      </c>
      <c r="P437" s="19">
        <f>P436+IF(LEN($Z$437)&gt;0,1,0)</f>
        <v/>
      </c>
      <c r="Q437" s="19">
        <f>Q436+IF(LEN($AA$437)&gt;0,1,0)</f>
        <v/>
      </c>
      <c r="R437" s="19">
        <f>R436+IF(LEN($AB$437)&gt;0,1,0)</f>
        <v/>
      </c>
      <c r="S437" s="19">
        <f>S436+IF(LEN($AC$437)&gt;0,1,0)</f>
        <v/>
      </c>
      <c r="T437" s="19">
        <f>T436+IF(LEN($AD$437)&gt;0,1,0)</f>
        <v/>
      </c>
      <c r="U437" s="19">
        <f>U436+IF(LEN($AE$437)&gt;0,1,0)</f>
        <v/>
      </c>
      <c r="V437" s="19">
        <f>V436+IF(LEN($AF$437)&gt;0,1,0)</f>
        <v/>
      </c>
      <c r="X437" s="19">
        <f>IF(ISERROR($B$437),"",IF(ISBLANK($B$437),"",$B$437))</f>
        <v/>
      </c>
      <c r="Y437" s="19">
        <f>IF(ISERROR($C$437),"",IF(ISBLANK($C$437),"",$C$437))</f>
        <v/>
      </c>
      <c r="Z437" s="19">
        <f>IF(ISERROR($D$437),"",IF(ISBLANK($D$437),"",$D$437))</f>
        <v/>
      </c>
      <c r="AA437" s="19">
        <f>IF(ISERROR($E$437),"",IF(ISBLANK($E$437),"",$E$437))</f>
        <v/>
      </c>
      <c r="AB437" s="19">
        <f>IF(ISERROR($F$437),"",IF(ISBLANK($F$437),"",$F$437))</f>
        <v/>
      </c>
      <c r="AC437" s="19">
        <f>IF(ISERROR($G$437),"",IF(ISBLANK($G$437),"",$G$437))</f>
        <v/>
      </c>
      <c r="AD437" s="19">
        <f>IF(ISERROR($H$437),"",IF(ISBLANK($H$437),"",$H$437))</f>
        <v/>
      </c>
      <c r="AE437" s="19">
        <f>IF(ISERROR($I$437),"",IF(ISBLANK($I$437),"",$I$437))</f>
        <v/>
      </c>
      <c r="AF437" s="19">
        <f>IF(ISERROR($J$437),"",IF(ISBLANK($J$437),"",$J$437))</f>
        <v/>
      </c>
      <c r="AG437" s="19">
        <f>ISERROR($B$437)*1+ISERROR($C$437)*1+ISERROR($D$437)*1+ISERROR($E$437)*1+ISERROR($F$437)*1+ISERROR($G$437)*1+ISERROR($H$437)*1+ISERROR($I$437)*1+ISERROR($J$437)*1</f>
        <v/>
      </c>
    </row>
    <row r="438" ht="26" customHeight="1">
      <c r="B438" s="31" t="n"/>
      <c r="C438" s="28" t="n"/>
      <c r="D438" s="28" t="n"/>
      <c r="E438" s="28" t="n"/>
      <c r="F438" s="28" t="n"/>
      <c r="G438" s="28" t="n"/>
      <c r="H438" s="28" t="n"/>
      <c r="I438" s="28" t="n"/>
      <c r="J438" s="28" t="n"/>
      <c r="K438" s="18">
        <f>IF(AG438&gt;0,"O Google leu como fórmula: digite de novo com ' na frente.","")</f>
        <v/>
      </c>
      <c r="N438" s="19">
        <f>N437+IF(LEN($X$438)&gt;0,1,0)</f>
        <v/>
      </c>
      <c r="O438" s="19">
        <f>O437+IF(LEN($Y$438)&gt;0,1,0)</f>
        <v/>
      </c>
      <c r="P438" s="19">
        <f>P437+IF(LEN($Z$438)&gt;0,1,0)</f>
        <v/>
      </c>
      <c r="Q438" s="19">
        <f>Q437+IF(LEN($AA$438)&gt;0,1,0)</f>
        <v/>
      </c>
      <c r="R438" s="19">
        <f>R437+IF(LEN($AB$438)&gt;0,1,0)</f>
        <v/>
      </c>
      <c r="S438" s="19">
        <f>S437+IF(LEN($AC$438)&gt;0,1,0)</f>
        <v/>
      </c>
      <c r="T438" s="19">
        <f>T437+IF(LEN($AD$438)&gt;0,1,0)</f>
        <v/>
      </c>
      <c r="U438" s="19">
        <f>U437+IF(LEN($AE$438)&gt;0,1,0)</f>
        <v/>
      </c>
      <c r="V438" s="19">
        <f>V437+IF(LEN($AF$438)&gt;0,1,0)</f>
        <v/>
      </c>
      <c r="X438" s="19">
        <f>IF(ISERROR($B$438),"",IF(ISBLANK($B$438),"",$B$438))</f>
        <v/>
      </c>
      <c r="Y438" s="19">
        <f>IF(ISERROR($C$438),"",IF(ISBLANK($C$438),"",$C$438))</f>
        <v/>
      </c>
      <c r="Z438" s="19">
        <f>IF(ISERROR($D$438),"",IF(ISBLANK($D$438),"",$D$438))</f>
        <v/>
      </c>
      <c r="AA438" s="19">
        <f>IF(ISERROR($E$438),"",IF(ISBLANK($E$438),"",$E$438))</f>
        <v/>
      </c>
      <c r="AB438" s="19">
        <f>IF(ISERROR($F$438),"",IF(ISBLANK($F$438),"",$F$438))</f>
        <v/>
      </c>
      <c r="AC438" s="19">
        <f>IF(ISERROR($G$438),"",IF(ISBLANK($G$438),"",$G$438))</f>
        <v/>
      </c>
      <c r="AD438" s="19">
        <f>IF(ISERROR($H$438),"",IF(ISBLANK($H$438),"",$H$438))</f>
        <v/>
      </c>
      <c r="AE438" s="19">
        <f>IF(ISERROR($I$438),"",IF(ISBLANK($I$438),"",$I$438))</f>
        <v/>
      </c>
      <c r="AF438" s="19">
        <f>IF(ISERROR($J$438),"",IF(ISBLANK($J$438),"",$J$438))</f>
        <v/>
      </c>
      <c r="AG438" s="19">
        <f>ISERROR($B$438)*1+ISERROR($C$438)*1+ISERROR($D$438)*1+ISERROR($E$438)*1+ISERROR($F$438)*1+ISERROR($G$438)*1+ISERROR($H$438)*1+ISERROR($I$438)*1+ISERROR($J$438)*1</f>
        <v/>
      </c>
    </row>
    <row r="439" ht="26" customHeight="1">
      <c r="B439" s="30" t="n"/>
      <c r="C439" s="3" t="n"/>
      <c r="D439" s="3" t="n"/>
      <c r="E439" s="3" t="n"/>
      <c r="F439" s="3" t="n"/>
      <c r="G439" s="3" t="n"/>
      <c r="H439" s="3" t="n"/>
      <c r="I439" s="3" t="n"/>
      <c r="J439" s="3" t="n"/>
      <c r="K439" s="18">
        <f>IF(AG439&gt;0,"O Google leu como fórmula: digite de novo com ' na frente.","")</f>
        <v/>
      </c>
      <c r="N439" s="19">
        <f>N438+IF(LEN($X$439)&gt;0,1,0)</f>
        <v/>
      </c>
      <c r="O439" s="19">
        <f>O438+IF(LEN($Y$439)&gt;0,1,0)</f>
        <v/>
      </c>
      <c r="P439" s="19">
        <f>P438+IF(LEN($Z$439)&gt;0,1,0)</f>
        <v/>
      </c>
      <c r="Q439" s="19">
        <f>Q438+IF(LEN($AA$439)&gt;0,1,0)</f>
        <v/>
      </c>
      <c r="R439" s="19">
        <f>R438+IF(LEN($AB$439)&gt;0,1,0)</f>
        <v/>
      </c>
      <c r="S439" s="19">
        <f>S438+IF(LEN($AC$439)&gt;0,1,0)</f>
        <v/>
      </c>
      <c r="T439" s="19">
        <f>T438+IF(LEN($AD$439)&gt;0,1,0)</f>
        <v/>
      </c>
      <c r="U439" s="19">
        <f>U438+IF(LEN($AE$439)&gt;0,1,0)</f>
        <v/>
      </c>
      <c r="V439" s="19">
        <f>V438+IF(LEN($AF$439)&gt;0,1,0)</f>
        <v/>
      </c>
      <c r="X439" s="19">
        <f>IF(ISERROR($B$439),"",IF(ISBLANK($B$439),"",$B$439))</f>
        <v/>
      </c>
      <c r="Y439" s="19">
        <f>IF(ISERROR($C$439),"",IF(ISBLANK($C$439),"",$C$439))</f>
        <v/>
      </c>
      <c r="Z439" s="19">
        <f>IF(ISERROR($D$439),"",IF(ISBLANK($D$439),"",$D$439))</f>
        <v/>
      </c>
      <c r="AA439" s="19">
        <f>IF(ISERROR($E$439),"",IF(ISBLANK($E$439),"",$E$439))</f>
        <v/>
      </c>
      <c r="AB439" s="19">
        <f>IF(ISERROR($F$439),"",IF(ISBLANK($F$439),"",$F$439))</f>
        <v/>
      </c>
      <c r="AC439" s="19">
        <f>IF(ISERROR($G$439),"",IF(ISBLANK($G$439),"",$G$439))</f>
        <v/>
      </c>
      <c r="AD439" s="19">
        <f>IF(ISERROR($H$439),"",IF(ISBLANK($H$439),"",$H$439))</f>
        <v/>
      </c>
      <c r="AE439" s="19">
        <f>IF(ISERROR($I$439),"",IF(ISBLANK($I$439),"",$I$439))</f>
        <v/>
      </c>
      <c r="AF439" s="19">
        <f>IF(ISERROR($J$439),"",IF(ISBLANK($J$439),"",$J$439))</f>
        <v/>
      </c>
      <c r="AG439" s="19">
        <f>ISERROR($B$439)*1+ISERROR($C$439)*1+ISERROR($D$439)*1+ISERROR($E$439)*1+ISERROR($F$439)*1+ISERROR($G$439)*1+ISERROR($H$439)*1+ISERROR($I$439)*1+ISERROR($J$439)*1</f>
        <v/>
      </c>
    </row>
    <row r="440" ht="15" customHeight="1">
      <c r="B440" s="7" t="inlineStr">
        <is>
          <t>Ocupação (NPC)</t>
        </is>
      </c>
      <c r="C440" s="7" t="inlineStr">
        <is>
          <t>Traço de aparência</t>
        </is>
      </c>
      <c r="D440" s="7" t="inlineStr">
        <is>
          <t>Personalidade</t>
        </is>
      </c>
      <c r="E440" s="7" t="inlineStr">
        <is>
          <t>Motivação (sem Caminho)</t>
        </is>
      </c>
      <c r="F440" s="7" t="inlineStr">
        <is>
          <t>Segredo</t>
        </is>
      </c>
      <c r="G440" s="7" t="inlineStr">
        <is>
          <t>Maneirismo e voz</t>
        </is>
      </c>
      <c r="H440" s="7" t="inlineStr">
        <is>
          <t>Caminho do NPC (peso)</t>
        </is>
      </c>
      <c r="I440" s="7" t="inlineStr">
        <is>
          <t>Atitude com o grupo</t>
        </is>
      </c>
      <c r="J440" s="7" t="inlineStr">
        <is>
          <t>Gancho do NPC</t>
        </is>
      </c>
      <c r="N440" s="19">
        <f>N439</f>
        <v/>
      </c>
      <c r="O440" s="19">
        <f>O439</f>
        <v/>
      </c>
      <c r="P440" s="19">
        <f>P439</f>
        <v/>
      </c>
      <c r="Q440" s="19">
        <f>Q439</f>
        <v/>
      </c>
      <c r="R440" s="19">
        <f>R439</f>
        <v/>
      </c>
      <c r="S440" s="19">
        <f>S439</f>
        <v/>
      </c>
      <c r="T440" s="19">
        <f>T439</f>
        <v/>
      </c>
      <c r="U440" s="19">
        <f>U439</f>
        <v/>
      </c>
      <c r="V440" s="19">
        <f>V439</f>
        <v/>
      </c>
      <c r="X440" s="19">
        <f>IF(ISERROR($B$440),"",IF(ISBLANK($B$440),"",$B$440))</f>
        <v/>
      </c>
      <c r="Y440" s="19">
        <f>IF(ISERROR($C$440),"",IF(ISBLANK($C$440),"",$C$440))</f>
        <v/>
      </c>
      <c r="Z440" s="19">
        <f>IF(ISERROR($D$440),"",IF(ISBLANK($D$440),"",$D$440))</f>
        <v/>
      </c>
      <c r="AA440" s="19">
        <f>IF(ISERROR($E$440),"",IF(ISBLANK($E$440),"",$E$440))</f>
        <v/>
      </c>
      <c r="AB440" s="19">
        <f>IF(ISERROR($F$440),"",IF(ISBLANK($F$440),"",$F$440))</f>
        <v/>
      </c>
      <c r="AC440" s="19">
        <f>IF(ISERROR($G$440),"",IF(ISBLANK($G$440),"",$G$440))</f>
        <v/>
      </c>
      <c r="AD440" s="19">
        <f>IF(ISERROR($H$440),"",IF(ISBLANK($H$440),"",$H$440))</f>
        <v/>
      </c>
      <c r="AE440" s="19">
        <f>IF(ISERROR($I$440),"",IF(ISBLANK($I$440),"",$I$440))</f>
        <v/>
      </c>
      <c r="AF440" s="19">
        <f>IF(ISERROR($J$440),"",IF(ISBLANK($J$440),"",$J$440))</f>
        <v/>
      </c>
    </row>
    <row r="441" ht="26" customHeight="1">
      <c r="B441" s="30" t="n"/>
      <c r="C441" s="3" t="n"/>
      <c r="D441" s="3" t="n"/>
      <c r="E441" s="3" t="n"/>
      <c r="F441" s="3" t="n"/>
      <c r="G441" s="3" t="n"/>
      <c r="H441" s="3" t="n"/>
      <c r="I441" s="3" t="n"/>
      <c r="J441" s="3" t="n"/>
      <c r="K441" s="18">
        <f>IF(AG441&gt;0,"O Google leu como fórmula: digite de novo com ' na frente.","")</f>
        <v/>
      </c>
      <c r="N441" s="19">
        <f>N440+IF(LEN($X$441)&gt;0,1,0)</f>
        <v/>
      </c>
      <c r="O441" s="19">
        <f>O440+IF(LEN($Y$441)&gt;0,1,0)</f>
        <v/>
      </c>
      <c r="P441" s="19">
        <f>P440+IF(LEN($Z$441)&gt;0,1,0)</f>
        <v/>
      </c>
      <c r="Q441" s="19">
        <f>Q440+IF(LEN($AA$441)&gt;0,1,0)</f>
        <v/>
      </c>
      <c r="R441" s="19">
        <f>R440+IF(LEN($AB$441)&gt;0,1,0)</f>
        <v/>
      </c>
      <c r="S441" s="19">
        <f>S440+IF(LEN($AC$441)&gt;0,1,0)</f>
        <v/>
      </c>
      <c r="T441" s="19">
        <f>T440+IF(LEN($AD$441)&gt;0,1,0)</f>
        <v/>
      </c>
      <c r="U441" s="19">
        <f>U440+IF(LEN($AE$441)&gt;0,1,0)</f>
        <v/>
      </c>
      <c r="V441" s="19">
        <f>V440+IF(LEN($AF$441)&gt;0,1,0)</f>
        <v/>
      </c>
      <c r="X441" s="19">
        <f>IF(ISERROR($B$441),"",IF(ISBLANK($B$441),"",$B$441))</f>
        <v/>
      </c>
      <c r="Y441" s="19">
        <f>IF(ISERROR($C$441),"",IF(ISBLANK($C$441),"",$C$441))</f>
        <v/>
      </c>
      <c r="Z441" s="19">
        <f>IF(ISERROR($D$441),"",IF(ISBLANK($D$441),"",$D$441))</f>
        <v/>
      </c>
      <c r="AA441" s="19">
        <f>IF(ISERROR($E$441),"",IF(ISBLANK($E$441),"",$E$441))</f>
        <v/>
      </c>
      <c r="AB441" s="19">
        <f>IF(ISERROR($F$441),"",IF(ISBLANK($F$441),"",$F$441))</f>
        <v/>
      </c>
      <c r="AC441" s="19">
        <f>IF(ISERROR($G$441),"",IF(ISBLANK($G$441),"",$G$441))</f>
        <v/>
      </c>
      <c r="AD441" s="19">
        <f>IF(ISERROR($H$441),"",IF(ISBLANK($H$441),"",$H$441))</f>
        <v/>
      </c>
      <c r="AE441" s="19">
        <f>IF(ISERROR($I$441),"",IF(ISBLANK($I$441),"",$I$441))</f>
        <v/>
      </c>
      <c r="AF441" s="19">
        <f>IF(ISERROR($J$441),"",IF(ISBLANK($J$441),"",$J$441))</f>
        <v/>
      </c>
      <c r="AG441" s="19">
        <f>ISERROR($B$441)*1+ISERROR($C$441)*1+ISERROR($D$441)*1+ISERROR($E$441)*1+ISERROR($F$441)*1+ISERROR($G$441)*1+ISERROR($H$441)*1+ISERROR($I$441)*1+ISERROR($J$441)*1</f>
        <v/>
      </c>
    </row>
    <row r="442" ht="26" customHeight="1">
      <c r="B442" s="31" t="n"/>
      <c r="C442" s="28" t="n"/>
      <c r="D442" s="28" t="n"/>
      <c r="E442" s="28" t="n"/>
      <c r="F442" s="28" t="n"/>
      <c r="G442" s="28" t="n"/>
      <c r="H442" s="28" t="n"/>
      <c r="I442" s="28" t="n"/>
      <c r="J442" s="28" t="n"/>
      <c r="K442" s="18">
        <f>IF(AG442&gt;0,"O Google leu como fórmula: digite de novo com ' na frente.","")</f>
        <v/>
      </c>
      <c r="N442" s="19">
        <f>N441+IF(LEN($X$442)&gt;0,1,0)</f>
        <v/>
      </c>
      <c r="O442" s="19">
        <f>O441+IF(LEN($Y$442)&gt;0,1,0)</f>
        <v/>
      </c>
      <c r="P442" s="19">
        <f>P441+IF(LEN($Z$442)&gt;0,1,0)</f>
        <v/>
      </c>
      <c r="Q442" s="19">
        <f>Q441+IF(LEN($AA$442)&gt;0,1,0)</f>
        <v/>
      </c>
      <c r="R442" s="19">
        <f>R441+IF(LEN($AB$442)&gt;0,1,0)</f>
        <v/>
      </c>
      <c r="S442" s="19">
        <f>S441+IF(LEN($AC$442)&gt;0,1,0)</f>
        <v/>
      </c>
      <c r="T442" s="19">
        <f>T441+IF(LEN($AD$442)&gt;0,1,0)</f>
        <v/>
      </c>
      <c r="U442" s="19">
        <f>U441+IF(LEN($AE$442)&gt;0,1,0)</f>
        <v/>
      </c>
      <c r="V442" s="19">
        <f>V441+IF(LEN($AF$442)&gt;0,1,0)</f>
        <v/>
      </c>
      <c r="X442" s="19">
        <f>IF(ISERROR($B$442),"",IF(ISBLANK($B$442),"",$B$442))</f>
        <v/>
      </c>
      <c r="Y442" s="19">
        <f>IF(ISERROR($C$442),"",IF(ISBLANK($C$442),"",$C$442))</f>
        <v/>
      </c>
      <c r="Z442" s="19">
        <f>IF(ISERROR($D$442),"",IF(ISBLANK($D$442),"",$D$442))</f>
        <v/>
      </c>
      <c r="AA442" s="19">
        <f>IF(ISERROR($E$442),"",IF(ISBLANK($E$442),"",$E$442))</f>
        <v/>
      </c>
      <c r="AB442" s="19">
        <f>IF(ISERROR($F$442),"",IF(ISBLANK($F$442),"",$F$442))</f>
        <v/>
      </c>
      <c r="AC442" s="19">
        <f>IF(ISERROR($G$442),"",IF(ISBLANK($G$442),"",$G$442))</f>
        <v/>
      </c>
      <c r="AD442" s="19">
        <f>IF(ISERROR($H$442),"",IF(ISBLANK($H$442),"",$H$442))</f>
        <v/>
      </c>
      <c r="AE442" s="19">
        <f>IF(ISERROR($I$442),"",IF(ISBLANK($I$442),"",$I$442))</f>
        <v/>
      </c>
      <c r="AF442" s="19">
        <f>IF(ISERROR($J$442),"",IF(ISBLANK($J$442),"",$J$442))</f>
        <v/>
      </c>
      <c r="AG442" s="19">
        <f>ISERROR($B$442)*1+ISERROR($C$442)*1+ISERROR($D$442)*1+ISERROR($E$442)*1+ISERROR($F$442)*1+ISERROR($G$442)*1+ISERROR($H$442)*1+ISERROR($I$442)*1+ISERROR($J$442)*1</f>
        <v/>
      </c>
    </row>
    <row r="443" ht="26" customHeight="1">
      <c r="B443" s="30" t="n"/>
      <c r="C443" s="3" t="n"/>
      <c r="D443" s="3" t="n"/>
      <c r="E443" s="3" t="n"/>
      <c r="F443" s="3" t="n"/>
      <c r="G443" s="3" t="n"/>
      <c r="H443" s="3" t="n"/>
      <c r="I443" s="3" t="n"/>
      <c r="J443" s="3" t="n"/>
      <c r="K443" s="18">
        <f>IF(AG443&gt;0,"O Google leu como fórmula: digite de novo com ' na frente.","")</f>
        <v/>
      </c>
      <c r="N443" s="19">
        <f>N442+IF(LEN($X$443)&gt;0,1,0)</f>
        <v/>
      </c>
      <c r="O443" s="19">
        <f>O442+IF(LEN($Y$443)&gt;0,1,0)</f>
        <v/>
      </c>
      <c r="P443" s="19">
        <f>P442+IF(LEN($Z$443)&gt;0,1,0)</f>
        <v/>
      </c>
      <c r="Q443" s="19">
        <f>Q442+IF(LEN($AA$443)&gt;0,1,0)</f>
        <v/>
      </c>
      <c r="R443" s="19">
        <f>R442+IF(LEN($AB$443)&gt;0,1,0)</f>
        <v/>
      </c>
      <c r="S443" s="19">
        <f>S442+IF(LEN($AC$443)&gt;0,1,0)</f>
        <v/>
      </c>
      <c r="T443" s="19">
        <f>T442+IF(LEN($AD$443)&gt;0,1,0)</f>
        <v/>
      </c>
      <c r="U443" s="19">
        <f>U442+IF(LEN($AE$443)&gt;0,1,0)</f>
        <v/>
      </c>
      <c r="V443" s="19">
        <f>V442+IF(LEN($AF$443)&gt;0,1,0)</f>
        <v/>
      </c>
      <c r="X443" s="19">
        <f>IF(ISERROR($B$443),"",IF(ISBLANK($B$443),"",$B$443))</f>
        <v/>
      </c>
      <c r="Y443" s="19">
        <f>IF(ISERROR($C$443),"",IF(ISBLANK($C$443),"",$C$443))</f>
        <v/>
      </c>
      <c r="Z443" s="19">
        <f>IF(ISERROR($D$443),"",IF(ISBLANK($D$443),"",$D$443))</f>
        <v/>
      </c>
      <c r="AA443" s="19">
        <f>IF(ISERROR($E$443),"",IF(ISBLANK($E$443),"",$E$443))</f>
        <v/>
      </c>
      <c r="AB443" s="19">
        <f>IF(ISERROR($F$443),"",IF(ISBLANK($F$443),"",$F$443))</f>
        <v/>
      </c>
      <c r="AC443" s="19">
        <f>IF(ISERROR($G$443),"",IF(ISBLANK($G$443),"",$G$443))</f>
        <v/>
      </c>
      <c r="AD443" s="19">
        <f>IF(ISERROR($H$443),"",IF(ISBLANK($H$443),"",$H$443))</f>
        <v/>
      </c>
      <c r="AE443" s="19">
        <f>IF(ISERROR($I$443),"",IF(ISBLANK($I$443),"",$I$443))</f>
        <v/>
      </c>
      <c r="AF443" s="19">
        <f>IF(ISERROR($J$443),"",IF(ISBLANK($J$443),"",$J$443))</f>
        <v/>
      </c>
      <c r="AG443" s="19">
        <f>ISERROR($B$443)*1+ISERROR($C$443)*1+ISERROR($D$443)*1+ISERROR($E$443)*1+ISERROR($F$443)*1+ISERROR($G$443)*1+ISERROR($H$443)*1+ISERROR($I$443)*1+ISERROR($J$443)*1</f>
        <v/>
      </c>
    </row>
    <row r="444" ht="26" customHeight="1">
      <c r="B444" s="31" t="n"/>
      <c r="C444" s="28" t="n"/>
      <c r="D444" s="28" t="n"/>
      <c r="E444" s="28" t="n"/>
      <c r="F444" s="28" t="n"/>
      <c r="G444" s="28" t="n"/>
      <c r="H444" s="28" t="n"/>
      <c r="I444" s="28" t="n"/>
      <c r="J444" s="28" t="n"/>
      <c r="K444" s="18">
        <f>IF(AG444&gt;0,"O Google leu como fórmula: digite de novo com ' na frente.","")</f>
        <v/>
      </c>
      <c r="N444" s="19">
        <f>N443+IF(LEN($X$444)&gt;0,1,0)</f>
        <v/>
      </c>
      <c r="O444" s="19">
        <f>O443+IF(LEN($Y$444)&gt;0,1,0)</f>
        <v/>
      </c>
      <c r="P444" s="19">
        <f>P443+IF(LEN($Z$444)&gt;0,1,0)</f>
        <v/>
      </c>
      <c r="Q444" s="19">
        <f>Q443+IF(LEN($AA$444)&gt;0,1,0)</f>
        <v/>
      </c>
      <c r="R444" s="19">
        <f>R443+IF(LEN($AB$444)&gt;0,1,0)</f>
        <v/>
      </c>
      <c r="S444" s="19">
        <f>S443+IF(LEN($AC$444)&gt;0,1,0)</f>
        <v/>
      </c>
      <c r="T444" s="19">
        <f>T443+IF(LEN($AD$444)&gt;0,1,0)</f>
        <v/>
      </c>
      <c r="U444" s="19">
        <f>U443+IF(LEN($AE$444)&gt;0,1,0)</f>
        <v/>
      </c>
      <c r="V444" s="19">
        <f>V443+IF(LEN($AF$444)&gt;0,1,0)</f>
        <v/>
      </c>
      <c r="X444" s="19">
        <f>IF(ISERROR($B$444),"",IF(ISBLANK($B$444),"",$B$444))</f>
        <v/>
      </c>
      <c r="Y444" s="19">
        <f>IF(ISERROR($C$444),"",IF(ISBLANK($C$444),"",$C$444))</f>
        <v/>
      </c>
      <c r="Z444" s="19">
        <f>IF(ISERROR($D$444),"",IF(ISBLANK($D$444),"",$D$444))</f>
        <v/>
      </c>
      <c r="AA444" s="19">
        <f>IF(ISERROR($E$444),"",IF(ISBLANK($E$444),"",$E$444))</f>
        <v/>
      </c>
      <c r="AB444" s="19">
        <f>IF(ISERROR($F$444),"",IF(ISBLANK($F$444),"",$F$444))</f>
        <v/>
      </c>
      <c r="AC444" s="19">
        <f>IF(ISERROR($G$444),"",IF(ISBLANK($G$444),"",$G$444))</f>
        <v/>
      </c>
      <c r="AD444" s="19">
        <f>IF(ISERROR($H$444),"",IF(ISBLANK($H$444),"",$H$444))</f>
        <v/>
      </c>
      <c r="AE444" s="19">
        <f>IF(ISERROR($I$444),"",IF(ISBLANK($I$444),"",$I$444))</f>
        <v/>
      </c>
      <c r="AF444" s="19">
        <f>IF(ISERROR($J$444),"",IF(ISBLANK($J$444),"",$J$444))</f>
        <v/>
      </c>
      <c r="AG444" s="19">
        <f>ISERROR($B$444)*1+ISERROR($C$444)*1+ISERROR($D$444)*1+ISERROR($E$444)*1+ISERROR($F$444)*1+ISERROR($G$444)*1+ISERROR($H$444)*1+ISERROR($I$444)*1+ISERROR($J$444)*1</f>
        <v/>
      </c>
    </row>
    <row r="445" ht="26" customHeight="1">
      <c r="B445" s="30" t="n"/>
      <c r="C445" s="3" t="n"/>
      <c r="D445" s="3" t="n"/>
      <c r="E445" s="3" t="n"/>
      <c r="F445" s="3" t="n"/>
      <c r="G445" s="3" t="n"/>
      <c r="H445" s="3" t="n"/>
      <c r="I445" s="3" t="n"/>
      <c r="J445" s="3" t="n"/>
      <c r="K445" s="18">
        <f>IF(AG445&gt;0,"O Google leu como fórmula: digite de novo com ' na frente.","")</f>
        <v/>
      </c>
      <c r="N445" s="19">
        <f>N444+IF(LEN($X$445)&gt;0,1,0)</f>
        <v/>
      </c>
      <c r="O445" s="19">
        <f>O444+IF(LEN($Y$445)&gt;0,1,0)</f>
        <v/>
      </c>
      <c r="P445" s="19">
        <f>P444+IF(LEN($Z$445)&gt;0,1,0)</f>
        <v/>
      </c>
      <c r="Q445" s="19">
        <f>Q444+IF(LEN($AA$445)&gt;0,1,0)</f>
        <v/>
      </c>
      <c r="R445" s="19">
        <f>R444+IF(LEN($AB$445)&gt;0,1,0)</f>
        <v/>
      </c>
      <c r="S445" s="19">
        <f>S444+IF(LEN($AC$445)&gt;0,1,0)</f>
        <v/>
      </c>
      <c r="T445" s="19">
        <f>T444+IF(LEN($AD$445)&gt;0,1,0)</f>
        <v/>
      </c>
      <c r="U445" s="19">
        <f>U444+IF(LEN($AE$445)&gt;0,1,0)</f>
        <v/>
      </c>
      <c r="V445" s="19">
        <f>V444+IF(LEN($AF$445)&gt;0,1,0)</f>
        <v/>
      </c>
      <c r="X445" s="19">
        <f>IF(ISERROR($B$445),"",IF(ISBLANK($B$445),"",$B$445))</f>
        <v/>
      </c>
      <c r="Y445" s="19">
        <f>IF(ISERROR($C$445),"",IF(ISBLANK($C$445),"",$C$445))</f>
        <v/>
      </c>
      <c r="Z445" s="19">
        <f>IF(ISERROR($D$445),"",IF(ISBLANK($D$445),"",$D$445))</f>
        <v/>
      </c>
      <c r="AA445" s="19">
        <f>IF(ISERROR($E$445),"",IF(ISBLANK($E$445),"",$E$445))</f>
        <v/>
      </c>
      <c r="AB445" s="19">
        <f>IF(ISERROR($F$445),"",IF(ISBLANK($F$445),"",$F$445))</f>
        <v/>
      </c>
      <c r="AC445" s="19">
        <f>IF(ISERROR($G$445),"",IF(ISBLANK($G$445),"",$G$445))</f>
        <v/>
      </c>
      <c r="AD445" s="19">
        <f>IF(ISERROR($H$445),"",IF(ISBLANK($H$445),"",$H$445))</f>
        <v/>
      </c>
      <c r="AE445" s="19">
        <f>IF(ISERROR($I$445),"",IF(ISBLANK($I$445),"",$I$445))</f>
        <v/>
      </c>
      <c r="AF445" s="19">
        <f>IF(ISERROR($J$445),"",IF(ISBLANK($J$445),"",$J$445))</f>
        <v/>
      </c>
      <c r="AG445" s="19">
        <f>ISERROR($B$445)*1+ISERROR($C$445)*1+ISERROR($D$445)*1+ISERROR($E$445)*1+ISERROR($F$445)*1+ISERROR($G$445)*1+ISERROR($H$445)*1+ISERROR($I$445)*1+ISERROR($J$445)*1</f>
        <v/>
      </c>
    </row>
    <row r="446" ht="26" customHeight="1">
      <c r="B446" s="31" t="n"/>
      <c r="C446" s="28" t="n"/>
      <c r="D446" s="28" t="n"/>
      <c r="E446" s="28" t="n"/>
      <c r="F446" s="28" t="n"/>
      <c r="G446" s="28" t="n"/>
      <c r="H446" s="28" t="n"/>
      <c r="I446" s="28" t="n"/>
      <c r="J446" s="28" t="n"/>
      <c r="K446" s="18">
        <f>IF(AG446&gt;0,"O Google leu como fórmula: digite de novo com ' na frente.","")</f>
        <v/>
      </c>
      <c r="N446" s="19">
        <f>N445+IF(LEN($X$446)&gt;0,1,0)</f>
        <v/>
      </c>
      <c r="O446" s="19">
        <f>O445+IF(LEN($Y$446)&gt;0,1,0)</f>
        <v/>
      </c>
      <c r="P446" s="19">
        <f>P445+IF(LEN($Z$446)&gt;0,1,0)</f>
        <v/>
      </c>
      <c r="Q446" s="19">
        <f>Q445+IF(LEN($AA$446)&gt;0,1,0)</f>
        <v/>
      </c>
      <c r="R446" s="19">
        <f>R445+IF(LEN($AB$446)&gt;0,1,0)</f>
        <v/>
      </c>
      <c r="S446" s="19">
        <f>S445+IF(LEN($AC$446)&gt;0,1,0)</f>
        <v/>
      </c>
      <c r="T446" s="19">
        <f>T445+IF(LEN($AD$446)&gt;0,1,0)</f>
        <v/>
      </c>
      <c r="U446" s="19">
        <f>U445+IF(LEN($AE$446)&gt;0,1,0)</f>
        <v/>
      </c>
      <c r="V446" s="19">
        <f>V445+IF(LEN($AF$446)&gt;0,1,0)</f>
        <v/>
      </c>
      <c r="X446" s="19">
        <f>IF(ISERROR($B$446),"",IF(ISBLANK($B$446),"",$B$446))</f>
        <v/>
      </c>
      <c r="Y446" s="19">
        <f>IF(ISERROR($C$446),"",IF(ISBLANK($C$446),"",$C$446))</f>
        <v/>
      </c>
      <c r="Z446" s="19">
        <f>IF(ISERROR($D$446),"",IF(ISBLANK($D$446),"",$D$446))</f>
        <v/>
      </c>
      <c r="AA446" s="19">
        <f>IF(ISERROR($E$446),"",IF(ISBLANK($E$446),"",$E$446))</f>
        <v/>
      </c>
      <c r="AB446" s="19">
        <f>IF(ISERROR($F$446),"",IF(ISBLANK($F$446),"",$F$446))</f>
        <v/>
      </c>
      <c r="AC446" s="19">
        <f>IF(ISERROR($G$446),"",IF(ISBLANK($G$446),"",$G$446))</f>
        <v/>
      </c>
      <c r="AD446" s="19">
        <f>IF(ISERROR($H$446),"",IF(ISBLANK($H$446),"",$H$446))</f>
        <v/>
      </c>
      <c r="AE446" s="19">
        <f>IF(ISERROR($I$446),"",IF(ISBLANK($I$446),"",$I$446))</f>
        <v/>
      </c>
      <c r="AF446" s="19">
        <f>IF(ISERROR($J$446),"",IF(ISBLANK($J$446),"",$J$446))</f>
        <v/>
      </c>
      <c r="AG446" s="19">
        <f>ISERROR($B$446)*1+ISERROR($C$446)*1+ISERROR($D$446)*1+ISERROR($E$446)*1+ISERROR($F$446)*1+ISERROR($G$446)*1+ISERROR($H$446)*1+ISERROR($I$446)*1+ISERROR($J$446)*1</f>
        <v/>
      </c>
    </row>
    <row r="447" ht="26" customHeight="1">
      <c r="B447" s="30" t="n"/>
      <c r="C447" s="3" t="n"/>
      <c r="D447" s="3" t="n"/>
      <c r="E447" s="3" t="n"/>
      <c r="F447" s="3" t="n"/>
      <c r="G447" s="3" t="n"/>
      <c r="H447" s="3" t="n"/>
      <c r="I447" s="3" t="n"/>
      <c r="J447" s="3" t="n"/>
      <c r="K447" s="18">
        <f>IF(AG447&gt;0,"O Google leu como fórmula: digite de novo com ' na frente.","")</f>
        <v/>
      </c>
      <c r="N447" s="19">
        <f>N446+IF(LEN($X$447)&gt;0,1,0)</f>
        <v/>
      </c>
      <c r="O447" s="19">
        <f>O446+IF(LEN($Y$447)&gt;0,1,0)</f>
        <v/>
      </c>
      <c r="P447" s="19">
        <f>P446+IF(LEN($Z$447)&gt;0,1,0)</f>
        <v/>
      </c>
      <c r="Q447" s="19">
        <f>Q446+IF(LEN($AA$447)&gt;0,1,0)</f>
        <v/>
      </c>
      <c r="R447" s="19">
        <f>R446+IF(LEN($AB$447)&gt;0,1,0)</f>
        <v/>
      </c>
      <c r="S447" s="19">
        <f>S446+IF(LEN($AC$447)&gt;0,1,0)</f>
        <v/>
      </c>
      <c r="T447" s="19">
        <f>T446+IF(LEN($AD$447)&gt;0,1,0)</f>
        <v/>
      </c>
      <c r="U447" s="19">
        <f>U446+IF(LEN($AE$447)&gt;0,1,0)</f>
        <v/>
      </c>
      <c r="V447" s="19">
        <f>V446+IF(LEN($AF$447)&gt;0,1,0)</f>
        <v/>
      </c>
      <c r="X447" s="19">
        <f>IF(ISERROR($B$447),"",IF(ISBLANK($B$447),"",$B$447))</f>
        <v/>
      </c>
      <c r="Y447" s="19">
        <f>IF(ISERROR($C$447),"",IF(ISBLANK($C$447),"",$C$447))</f>
        <v/>
      </c>
      <c r="Z447" s="19">
        <f>IF(ISERROR($D$447),"",IF(ISBLANK($D$447),"",$D$447))</f>
        <v/>
      </c>
      <c r="AA447" s="19">
        <f>IF(ISERROR($E$447),"",IF(ISBLANK($E$447),"",$E$447))</f>
        <v/>
      </c>
      <c r="AB447" s="19">
        <f>IF(ISERROR($F$447),"",IF(ISBLANK($F$447),"",$F$447))</f>
        <v/>
      </c>
      <c r="AC447" s="19">
        <f>IF(ISERROR($G$447),"",IF(ISBLANK($G$447),"",$G$447))</f>
        <v/>
      </c>
      <c r="AD447" s="19">
        <f>IF(ISERROR($H$447),"",IF(ISBLANK($H$447),"",$H$447))</f>
        <v/>
      </c>
      <c r="AE447" s="19">
        <f>IF(ISERROR($I$447),"",IF(ISBLANK($I$447),"",$I$447))</f>
        <v/>
      </c>
      <c r="AF447" s="19">
        <f>IF(ISERROR($J$447),"",IF(ISBLANK($J$447),"",$J$447))</f>
        <v/>
      </c>
      <c r="AG447" s="19">
        <f>ISERROR($B$447)*1+ISERROR($C$447)*1+ISERROR($D$447)*1+ISERROR($E$447)*1+ISERROR($F$447)*1+ISERROR($G$447)*1+ISERROR($H$447)*1+ISERROR($I$447)*1+ISERROR($J$447)*1</f>
        <v/>
      </c>
    </row>
    <row r="448" ht="26" customHeight="1">
      <c r="B448" s="31" t="n"/>
      <c r="C448" s="28" t="n"/>
      <c r="D448" s="28" t="n"/>
      <c r="E448" s="28" t="n"/>
      <c r="F448" s="28" t="n"/>
      <c r="G448" s="28" t="n"/>
      <c r="H448" s="28" t="n"/>
      <c r="I448" s="28" t="n"/>
      <c r="J448" s="28" t="n"/>
      <c r="K448" s="18">
        <f>IF(AG448&gt;0,"O Google leu como fórmula: digite de novo com ' na frente.","")</f>
        <v/>
      </c>
      <c r="N448" s="19">
        <f>N447+IF(LEN($X$448)&gt;0,1,0)</f>
        <v/>
      </c>
      <c r="O448" s="19">
        <f>O447+IF(LEN($Y$448)&gt;0,1,0)</f>
        <v/>
      </c>
      <c r="P448" s="19">
        <f>P447+IF(LEN($Z$448)&gt;0,1,0)</f>
        <v/>
      </c>
      <c r="Q448" s="19">
        <f>Q447+IF(LEN($AA$448)&gt;0,1,0)</f>
        <v/>
      </c>
      <c r="R448" s="19">
        <f>R447+IF(LEN($AB$448)&gt;0,1,0)</f>
        <v/>
      </c>
      <c r="S448" s="19">
        <f>S447+IF(LEN($AC$448)&gt;0,1,0)</f>
        <v/>
      </c>
      <c r="T448" s="19">
        <f>T447+IF(LEN($AD$448)&gt;0,1,0)</f>
        <v/>
      </c>
      <c r="U448" s="19">
        <f>U447+IF(LEN($AE$448)&gt;0,1,0)</f>
        <v/>
      </c>
      <c r="V448" s="19">
        <f>V447+IF(LEN($AF$448)&gt;0,1,0)</f>
        <v/>
      </c>
      <c r="X448" s="19">
        <f>IF(ISERROR($B$448),"",IF(ISBLANK($B$448),"",$B$448))</f>
        <v/>
      </c>
      <c r="Y448" s="19">
        <f>IF(ISERROR($C$448),"",IF(ISBLANK($C$448),"",$C$448))</f>
        <v/>
      </c>
      <c r="Z448" s="19">
        <f>IF(ISERROR($D$448),"",IF(ISBLANK($D$448),"",$D$448))</f>
        <v/>
      </c>
      <c r="AA448" s="19">
        <f>IF(ISERROR($E$448),"",IF(ISBLANK($E$448),"",$E$448))</f>
        <v/>
      </c>
      <c r="AB448" s="19">
        <f>IF(ISERROR($F$448),"",IF(ISBLANK($F$448),"",$F$448))</f>
        <v/>
      </c>
      <c r="AC448" s="19">
        <f>IF(ISERROR($G$448),"",IF(ISBLANK($G$448),"",$G$448))</f>
        <v/>
      </c>
      <c r="AD448" s="19">
        <f>IF(ISERROR($H$448),"",IF(ISBLANK($H$448),"",$H$448))</f>
        <v/>
      </c>
      <c r="AE448" s="19">
        <f>IF(ISERROR($I$448),"",IF(ISBLANK($I$448),"",$I$448))</f>
        <v/>
      </c>
      <c r="AF448" s="19">
        <f>IF(ISERROR($J$448),"",IF(ISBLANK($J$448),"",$J$448))</f>
        <v/>
      </c>
      <c r="AG448" s="19">
        <f>ISERROR($B$448)*1+ISERROR($C$448)*1+ISERROR($D$448)*1+ISERROR($E$448)*1+ISERROR($F$448)*1+ISERROR($G$448)*1+ISERROR($H$448)*1+ISERROR($I$448)*1+ISERROR($J$448)*1</f>
        <v/>
      </c>
    </row>
    <row r="449" ht="26" customHeight="1">
      <c r="B449" s="30" t="n"/>
      <c r="C449" s="3" t="n"/>
      <c r="D449" s="3" t="n"/>
      <c r="E449" s="3" t="n"/>
      <c r="F449" s="3" t="n"/>
      <c r="G449" s="3" t="n"/>
      <c r="H449" s="3" t="n"/>
      <c r="I449" s="3" t="n"/>
      <c r="J449" s="3" t="n"/>
      <c r="K449" s="18">
        <f>IF(AG449&gt;0,"O Google leu como fórmula: digite de novo com ' na frente.","")</f>
        <v/>
      </c>
      <c r="N449" s="19">
        <f>N448+IF(LEN($X$449)&gt;0,1,0)</f>
        <v/>
      </c>
      <c r="O449" s="19">
        <f>O448+IF(LEN($Y$449)&gt;0,1,0)</f>
        <v/>
      </c>
      <c r="P449" s="19">
        <f>P448+IF(LEN($Z$449)&gt;0,1,0)</f>
        <v/>
      </c>
      <c r="Q449" s="19">
        <f>Q448+IF(LEN($AA$449)&gt;0,1,0)</f>
        <v/>
      </c>
      <c r="R449" s="19">
        <f>R448+IF(LEN($AB$449)&gt;0,1,0)</f>
        <v/>
      </c>
      <c r="S449" s="19">
        <f>S448+IF(LEN($AC$449)&gt;0,1,0)</f>
        <v/>
      </c>
      <c r="T449" s="19">
        <f>T448+IF(LEN($AD$449)&gt;0,1,0)</f>
        <v/>
      </c>
      <c r="U449" s="19">
        <f>U448+IF(LEN($AE$449)&gt;0,1,0)</f>
        <v/>
      </c>
      <c r="V449" s="19">
        <f>V448+IF(LEN($AF$449)&gt;0,1,0)</f>
        <v/>
      </c>
      <c r="X449" s="19">
        <f>IF(ISERROR($B$449),"",IF(ISBLANK($B$449),"",$B$449))</f>
        <v/>
      </c>
      <c r="Y449" s="19">
        <f>IF(ISERROR($C$449),"",IF(ISBLANK($C$449),"",$C$449))</f>
        <v/>
      </c>
      <c r="Z449" s="19">
        <f>IF(ISERROR($D$449),"",IF(ISBLANK($D$449),"",$D$449))</f>
        <v/>
      </c>
      <c r="AA449" s="19">
        <f>IF(ISERROR($E$449),"",IF(ISBLANK($E$449),"",$E$449))</f>
        <v/>
      </c>
      <c r="AB449" s="19">
        <f>IF(ISERROR($F$449),"",IF(ISBLANK($F$449),"",$F$449))</f>
        <v/>
      </c>
      <c r="AC449" s="19">
        <f>IF(ISERROR($G$449),"",IF(ISBLANK($G$449),"",$G$449))</f>
        <v/>
      </c>
      <c r="AD449" s="19">
        <f>IF(ISERROR($H$449),"",IF(ISBLANK($H$449),"",$H$449))</f>
        <v/>
      </c>
      <c r="AE449" s="19">
        <f>IF(ISERROR($I$449),"",IF(ISBLANK($I$449),"",$I$449))</f>
        <v/>
      </c>
      <c r="AF449" s="19">
        <f>IF(ISERROR($J$449),"",IF(ISBLANK($J$449),"",$J$449))</f>
        <v/>
      </c>
      <c r="AG449" s="19">
        <f>ISERROR($B$449)*1+ISERROR($C$449)*1+ISERROR($D$449)*1+ISERROR($E$449)*1+ISERROR($F$449)*1+ISERROR($G$449)*1+ISERROR($H$449)*1+ISERROR($I$449)*1+ISERROR($J$449)*1</f>
        <v/>
      </c>
    </row>
    <row r="450" ht="26" customHeight="1">
      <c r="B450" s="31" t="n"/>
      <c r="C450" s="28" t="n"/>
      <c r="D450" s="28" t="n"/>
      <c r="E450" s="28" t="n"/>
      <c r="F450" s="28" t="n"/>
      <c r="G450" s="28" t="n"/>
      <c r="H450" s="28" t="n"/>
      <c r="I450" s="28" t="n"/>
      <c r="J450" s="28" t="n"/>
      <c r="K450" s="18">
        <f>IF(AG450&gt;0,"O Google leu como fórmula: digite de novo com ' na frente.","")</f>
        <v/>
      </c>
      <c r="N450" s="19">
        <f>N449+IF(LEN($X$450)&gt;0,1,0)</f>
        <v/>
      </c>
      <c r="O450" s="19">
        <f>O449+IF(LEN($Y$450)&gt;0,1,0)</f>
        <v/>
      </c>
      <c r="P450" s="19">
        <f>P449+IF(LEN($Z$450)&gt;0,1,0)</f>
        <v/>
      </c>
      <c r="Q450" s="19">
        <f>Q449+IF(LEN($AA$450)&gt;0,1,0)</f>
        <v/>
      </c>
      <c r="R450" s="19">
        <f>R449+IF(LEN($AB$450)&gt;0,1,0)</f>
        <v/>
      </c>
      <c r="S450" s="19">
        <f>S449+IF(LEN($AC$450)&gt;0,1,0)</f>
        <v/>
      </c>
      <c r="T450" s="19">
        <f>T449+IF(LEN($AD$450)&gt;0,1,0)</f>
        <v/>
      </c>
      <c r="U450" s="19">
        <f>U449+IF(LEN($AE$450)&gt;0,1,0)</f>
        <v/>
      </c>
      <c r="V450" s="19">
        <f>V449+IF(LEN($AF$450)&gt;0,1,0)</f>
        <v/>
      </c>
      <c r="X450" s="19">
        <f>IF(ISERROR($B$450),"",IF(ISBLANK($B$450),"",$B$450))</f>
        <v/>
      </c>
      <c r="Y450" s="19">
        <f>IF(ISERROR($C$450),"",IF(ISBLANK($C$450),"",$C$450))</f>
        <v/>
      </c>
      <c r="Z450" s="19">
        <f>IF(ISERROR($D$450),"",IF(ISBLANK($D$450),"",$D$450))</f>
        <v/>
      </c>
      <c r="AA450" s="19">
        <f>IF(ISERROR($E$450),"",IF(ISBLANK($E$450),"",$E$450))</f>
        <v/>
      </c>
      <c r="AB450" s="19">
        <f>IF(ISERROR($F$450),"",IF(ISBLANK($F$450),"",$F$450))</f>
        <v/>
      </c>
      <c r="AC450" s="19">
        <f>IF(ISERROR($G$450),"",IF(ISBLANK($G$450),"",$G$450))</f>
        <v/>
      </c>
      <c r="AD450" s="19">
        <f>IF(ISERROR($H$450),"",IF(ISBLANK($H$450),"",$H$450))</f>
        <v/>
      </c>
      <c r="AE450" s="19">
        <f>IF(ISERROR($I$450),"",IF(ISBLANK($I$450),"",$I$450))</f>
        <v/>
      </c>
      <c r="AF450" s="19">
        <f>IF(ISERROR($J$450),"",IF(ISBLANK($J$450),"",$J$450))</f>
        <v/>
      </c>
      <c r="AG450" s="19">
        <f>ISERROR($B$450)*1+ISERROR($C$450)*1+ISERROR($D$450)*1+ISERROR($E$450)*1+ISERROR($F$450)*1+ISERROR($G$450)*1+ISERROR($H$450)*1+ISERROR($I$450)*1+ISERROR($J$450)*1</f>
        <v/>
      </c>
    </row>
    <row r="451" ht="26" customHeight="1">
      <c r="B451" s="30" t="n"/>
      <c r="C451" s="3" t="n"/>
      <c r="D451" s="3" t="n"/>
      <c r="E451" s="3" t="n"/>
      <c r="F451" s="3" t="n"/>
      <c r="G451" s="3" t="n"/>
      <c r="H451" s="3" t="n"/>
      <c r="I451" s="3" t="n"/>
      <c r="J451" s="3" t="n"/>
      <c r="K451" s="18">
        <f>IF(AG451&gt;0,"O Google leu como fórmula: digite de novo com ' na frente.","")</f>
        <v/>
      </c>
      <c r="N451" s="19">
        <f>N450+IF(LEN($X$451)&gt;0,1,0)</f>
        <v/>
      </c>
      <c r="O451" s="19">
        <f>O450+IF(LEN($Y$451)&gt;0,1,0)</f>
        <v/>
      </c>
      <c r="P451" s="19">
        <f>P450+IF(LEN($Z$451)&gt;0,1,0)</f>
        <v/>
      </c>
      <c r="Q451" s="19">
        <f>Q450+IF(LEN($AA$451)&gt;0,1,0)</f>
        <v/>
      </c>
      <c r="R451" s="19">
        <f>R450+IF(LEN($AB$451)&gt;0,1,0)</f>
        <v/>
      </c>
      <c r="S451" s="19">
        <f>S450+IF(LEN($AC$451)&gt;0,1,0)</f>
        <v/>
      </c>
      <c r="T451" s="19">
        <f>T450+IF(LEN($AD$451)&gt;0,1,0)</f>
        <v/>
      </c>
      <c r="U451" s="19">
        <f>U450+IF(LEN($AE$451)&gt;0,1,0)</f>
        <v/>
      </c>
      <c r="V451" s="19">
        <f>V450+IF(LEN($AF$451)&gt;0,1,0)</f>
        <v/>
      </c>
      <c r="X451" s="19">
        <f>IF(ISERROR($B$451),"",IF(ISBLANK($B$451),"",$B$451))</f>
        <v/>
      </c>
      <c r="Y451" s="19">
        <f>IF(ISERROR($C$451),"",IF(ISBLANK($C$451),"",$C$451))</f>
        <v/>
      </c>
      <c r="Z451" s="19">
        <f>IF(ISERROR($D$451),"",IF(ISBLANK($D$451),"",$D$451))</f>
        <v/>
      </c>
      <c r="AA451" s="19">
        <f>IF(ISERROR($E$451),"",IF(ISBLANK($E$451),"",$E$451))</f>
        <v/>
      </c>
      <c r="AB451" s="19">
        <f>IF(ISERROR($F$451),"",IF(ISBLANK($F$451),"",$F$451))</f>
        <v/>
      </c>
      <c r="AC451" s="19">
        <f>IF(ISERROR($G$451),"",IF(ISBLANK($G$451),"",$G$451))</f>
        <v/>
      </c>
      <c r="AD451" s="19">
        <f>IF(ISERROR($H$451),"",IF(ISBLANK($H$451),"",$H$451))</f>
        <v/>
      </c>
      <c r="AE451" s="19">
        <f>IF(ISERROR($I$451),"",IF(ISBLANK($I$451),"",$I$451))</f>
        <v/>
      </c>
      <c r="AF451" s="19">
        <f>IF(ISERROR($J$451),"",IF(ISBLANK($J$451),"",$J$451))</f>
        <v/>
      </c>
      <c r="AG451" s="19">
        <f>ISERROR($B$451)*1+ISERROR($C$451)*1+ISERROR($D$451)*1+ISERROR($E$451)*1+ISERROR($F$451)*1+ISERROR($G$451)*1+ISERROR($H$451)*1+ISERROR($I$451)*1+ISERROR($J$451)*1</f>
        <v/>
      </c>
    </row>
    <row r="452" ht="26" customHeight="1">
      <c r="B452" s="31" t="n"/>
      <c r="C452" s="28" t="n"/>
      <c r="D452" s="28" t="n"/>
      <c r="E452" s="28" t="n"/>
      <c r="F452" s="28" t="n"/>
      <c r="G452" s="28" t="n"/>
      <c r="H452" s="28" t="n"/>
      <c r="I452" s="28" t="n"/>
      <c r="J452" s="28" t="n"/>
      <c r="K452" s="18">
        <f>IF(AG452&gt;0,"O Google leu como fórmula: digite de novo com ' na frente.","")</f>
        <v/>
      </c>
      <c r="N452" s="19">
        <f>N451+IF(LEN($X$452)&gt;0,1,0)</f>
        <v/>
      </c>
      <c r="O452" s="19">
        <f>O451+IF(LEN($Y$452)&gt;0,1,0)</f>
        <v/>
      </c>
      <c r="P452" s="19">
        <f>P451+IF(LEN($Z$452)&gt;0,1,0)</f>
        <v/>
      </c>
      <c r="Q452" s="19">
        <f>Q451+IF(LEN($AA$452)&gt;0,1,0)</f>
        <v/>
      </c>
      <c r="R452" s="19">
        <f>R451+IF(LEN($AB$452)&gt;0,1,0)</f>
        <v/>
      </c>
      <c r="S452" s="19">
        <f>S451+IF(LEN($AC$452)&gt;0,1,0)</f>
        <v/>
      </c>
      <c r="T452" s="19">
        <f>T451+IF(LEN($AD$452)&gt;0,1,0)</f>
        <v/>
      </c>
      <c r="U452" s="19">
        <f>U451+IF(LEN($AE$452)&gt;0,1,0)</f>
        <v/>
      </c>
      <c r="V452" s="19">
        <f>V451+IF(LEN($AF$452)&gt;0,1,0)</f>
        <v/>
      </c>
      <c r="X452" s="19">
        <f>IF(ISERROR($B$452),"",IF(ISBLANK($B$452),"",$B$452))</f>
        <v/>
      </c>
      <c r="Y452" s="19">
        <f>IF(ISERROR($C$452),"",IF(ISBLANK($C$452),"",$C$452))</f>
        <v/>
      </c>
      <c r="Z452" s="19">
        <f>IF(ISERROR($D$452),"",IF(ISBLANK($D$452),"",$D$452))</f>
        <v/>
      </c>
      <c r="AA452" s="19">
        <f>IF(ISERROR($E$452),"",IF(ISBLANK($E$452),"",$E$452))</f>
        <v/>
      </c>
      <c r="AB452" s="19">
        <f>IF(ISERROR($F$452),"",IF(ISBLANK($F$452),"",$F$452))</f>
        <v/>
      </c>
      <c r="AC452" s="19">
        <f>IF(ISERROR($G$452),"",IF(ISBLANK($G$452),"",$G$452))</f>
        <v/>
      </c>
      <c r="AD452" s="19">
        <f>IF(ISERROR($H$452),"",IF(ISBLANK($H$452),"",$H$452))</f>
        <v/>
      </c>
      <c r="AE452" s="19">
        <f>IF(ISERROR($I$452),"",IF(ISBLANK($I$452),"",$I$452))</f>
        <v/>
      </c>
      <c r="AF452" s="19">
        <f>IF(ISERROR($J$452),"",IF(ISBLANK($J$452),"",$J$452))</f>
        <v/>
      </c>
      <c r="AG452" s="19">
        <f>ISERROR($B$452)*1+ISERROR($C$452)*1+ISERROR($D$452)*1+ISERROR($E$452)*1+ISERROR($F$452)*1+ISERROR($G$452)*1+ISERROR($H$452)*1+ISERROR($I$452)*1+ISERROR($J$452)*1</f>
        <v/>
      </c>
    </row>
    <row r="453" ht="26" customHeight="1">
      <c r="B453" s="30" t="n"/>
      <c r="C453" s="3" t="n"/>
      <c r="D453" s="3" t="n"/>
      <c r="E453" s="3" t="n"/>
      <c r="F453" s="3" t="n"/>
      <c r="G453" s="3" t="n"/>
      <c r="H453" s="3" t="n"/>
      <c r="I453" s="3" t="n"/>
      <c r="J453" s="3" t="n"/>
      <c r="K453" s="18">
        <f>IF(AG453&gt;0,"O Google leu como fórmula: digite de novo com ' na frente.","")</f>
        <v/>
      </c>
      <c r="N453" s="19">
        <f>N452+IF(LEN($X$453)&gt;0,1,0)</f>
        <v/>
      </c>
      <c r="O453" s="19">
        <f>O452+IF(LEN($Y$453)&gt;0,1,0)</f>
        <v/>
      </c>
      <c r="P453" s="19">
        <f>P452+IF(LEN($Z$453)&gt;0,1,0)</f>
        <v/>
      </c>
      <c r="Q453" s="19">
        <f>Q452+IF(LEN($AA$453)&gt;0,1,0)</f>
        <v/>
      </c>
      <c r="R453" s="19">
        <f>R452+IF(LEN($AB$453)&gt;0,1,0)</f>
        <v/>
      </c>
      <c r="S453" s="19">
        <f>S452+IF(LEN($AC$453)&gt;0,1,0)</f>
        <v/>
      </c>
      <c r="T453" s="19">
        <f>T452+IF(LEN($AD$453)&gt;0,1,0)</f>
        <v/>
      </c>
      <c r="U453" s="19">
        <f>U452+IF(LEN($AE$453)&gt;0,1,0)</f>
        <v/>
      </c>
      <c r="V453" s="19">
        <f>V452+IF(LEN($AF$453)&gt;0,1,0)</f>
        <v/>
      </c>
      <c r="X453" s="19">
        <f>IF(ISERROR($B$453),"",IF(ISBLANK($B$453),"",$B$453))</f>
        <v/>
      </c>
      <c r="Y453" s="19">
        <f>IF(ISERROR($C$453),"",IF(ISBLANK($C$453),"",$C$453))</f>
        <v/>
      </c>
      <c r="Z453" s="19">
        <f>IF(ISERROR($D$453),"",IF(ISBLANK($D$453),"",$D$453))</f>
        <v/>
      </c>
      <c r="AA453" s="19">
        <f>IF(ISERROR($E$453),"",IF(ISBLANK($E$453),"",$E$453))</f>
        <v/>
      </c>
      <c r="AB453" s="19">
        <f>IF(ISERROR($F$453),"",IF(ISBLANK($F$453),"",$F$453))</f>
        <v/>
      </c>
      <c r="AC453" s="19">
        <f>IF(ISERROR($G$453),"",IF(ISBLANK($G$453),"",$G$453))</f>
        <v/>
      </c>
      <c r="AD453" s="19">
        <f>IF(ISERROR($H$453),"",IF(ISBLANK($H$453),"",$H$453))</f>
        <v/>
      </c>
      <c r="AE453" s="19">
        <f>IF(ISERROR($I$453),"",IF(ISBLANK($I$453),"",$I$453))</f>
        <v/>
      </c>
      <c r="AF453" s="19">
        <f>IF(ISERROR($J$453),"",IF(ISBLANK($J$453),"",$J$453))</f>
        <v/>
      </c>
      <c r="AG453" s="19">
        <f>ISERROR($B$453)*1+ISERROR($C$453)*1+ISERROR($D$453)*1+ISERROR($E$453)*1+ISERROR($F$453)*1+ISERROR($G$453)*1+ISERROR($H$453)*1+ISERROR($I$453)*1+ISERROR($J$453)*1</f>
        <v/>
      </c>
    </row>
    <row r="454" ht="15" customHeight="1">
      <c r="B454" s="7" t="inlineStr">
        <is>
          <t>Ocupação (NPC)</t>
        </is>
      </c>
      <c r="C454" s="7" t="inlineStr">
        <is>
          <t>Traço de aparência</t>
        </is>
      </c>
      <c r="D454" s="7" t="inlineStr">
        <is>
          <t>Personalidade</t>
        </is>
      </c>
      <c r="E454" s="7" t="inlineStr">
        <is>
          <t>Motivação (sem Caminho)</t>
        </is>
      </c>
      <c r="F454" s="7" t="inlineStr">
        <is>
          <t>Segredo</t>
        </is>
      </c>
      <c r="G454" s="7" t="inlineStr">
        <is>
          <t>Maneirismo e voz</t>
        </is>
      </c>
      <c r="H454" s="7" t="inlineStr">
        <is>
          <t>Caminho do NPC (peso)</t>
        </is>
      </c>
      <c r="I454" s="7" t="inlineStr">
        <is>
          <t>Atitude com o grupo</t>
        </is>
      </c>
      <c r="J454" s="7" t="inlineStr">
        <is>
          <t>Gancho do NPC</t>
        </is>
      </c>
      <c r="N454" s="19">
        <f>N453</f>
        <v/>
      </c>
      <c r="O454" s="19">
        <f>O453</f>
        <v/>
      </c>
      <c r="P454" s="19">
        <f>P453</f>
        <v/>
      </c>
      <c r="Q454" s="19">
        <f>Q453</f>
        <v/>
      </c>
      <c r="R454" s="19">
        <f>R453</f>
        <v/>
      </c>
      <c r="S454" s="19">
        <f>S453</f>
        <v/>
      </c>
      <c r="T454" s="19">
        <f>T453</f>
        <v/>
      </c>
      <c r="U454" s="19">
        <f>U453</f>
        <v/>
      </c>
      <c r="V454" s="19">
        <f>V453</f>
        <v/>
      </c>
      <c r="X454" s="19">
        <f>IF(ISERROR($B$454),"",IF(ISBLANK($B$454),"",$B$454))</f>
        <v/>
      </c>
      <c r="Y454" s="19">
        <f>IF(ISERROR($C$454),"",IF(ISBLANK($C$454),"",$C$454))</f>
        <v/>
      </c>
      <c r="Z454" s="19">
        <f>IF(ISERROR($D$454),"",IF(ISBLANK($D$454),"",$D$454))</f>
        <v/>
      </c>
      <c r="AA454" s="19">
        <f>IF(ISERROR($E$454),"",IF(ISBLANK($E$454),"",$E$454))</f>
        <v/>
      </c>
      <c r="AB454" s="19">
        <f>IF(ISERROR($F$454),"",IF(ISBLANK($F$454),"",$F$454))</f>
        <v/>
      </c>
      <c r="AC454" s="19">
        <f>IF(ISERROR($G$454),"",IF(ISBLANK($G$454),"",$G$454))</f>
        <v/>
      </c>
      <c r="AD454" s="19">
        <f>IF(ISERROR($H$454),"",IF(ISBLANK($H$454),"",$H$454))</f>
        <v/>
      </c>
      <c r="AE454" s="19">
        <f>IF(ISERROR($I$454),"",IF(ISBLANK($I$454),"",$I$454))</f>
        <v/>
      </c>
      <c r="AF454" s="19">
        <f>IF(ISERROR($J$454),"",IF(ISBLANK($J$454),"",$J$454))</f>
        <v/>
      </c>
    </row>
    <row r="455" ht="26" customHeight="1">
      <c r="B455" s="30" t="n"/>
      <c r="C455" s="3" t="n"/>
      <c r="D455" s="3" t="n"/>
      <c r="E455" s="3" t="n"/>
      <c r="F455" s="3" t="n"/>
      <c r="G455" s="3" t="n"/>
      <c r="H455" s="3" t="n"/>
      <c r="I455" s="3" t="n"/>
      <c r="J455" s="3" t="n"/>
      <c r="K455" s="18">
        <f>IF(AG455&gt;0,"O Google leu como fórmula: digite de novo com ' na frente.","")</f>
        <v/>
      </c>
      <c r="N455" s="19">
        <f>N454+IF(LEN($X$455)&gt;0,1,0)</f>
        <v/>
      </c>
      <c r="O455" s="19">
        <f>O454+IF(LEN($Y$455)&gt;0,1,0)</f>
        <v/>
      </c>
      <c r="P455" s="19">
        <f>P454+IF(LEN($Z$455)&gt;0,1,0)</f>
        <v/>
      </c>
      <c r="Q455" s="19">
        <f>Q454+IF(LEN($AA$455)&gt;0,1,0)</f>
        <v/>
      </c>
      <c r="R455" s="19">
        <f>R454+IF(LEN($AB$455)&gt;0,1,0)</f>
        <v/>
      </c>
      <c r="S455" s="19">
        <f>S454+IF(LEN($AC$455)&gt;0,1,0)</f>
        <v/>
      </c>
      <c r="T455" s="19">
        <f>T454+IF(LEN($AD$455)&gt;0,1,0)</f>
        <v/>
      </c>
      <c r="U455" s="19">
        <f>U454+IF(LEN($AE$455)&gt;0,1,0)</f>
        <v/>
      </c>
      <c r="V455" s="19">
        <f>V454+IF(LEN($AF$455)&gt;0,1,0)</f>
        <v/>
      </c>
      <c r="X455" s="19">
        <f>IF(ISERROR($B$455),"",IF(ISBLANK($B$455),"",$B$455))</f>
        <v/>
      </c>
      <c r="Y455" s="19">
        <f>IF(ISERROR($C$455),"",IF(ISBLANK($C$455),"",$C$455))</f>
        <v/>
      </c>
      <c r="Z455" s="19">
        <f>IF(ISERROR($D$455),"",IF(ISBLANK($D$455),"",$D$455))</f>
        <v/>
      </c>
      <c r="AA455" s="19">
        <f>IF(ISERROR($E$455),"",IF(ISBLANK($E$455),"",$E$455))</f>
        <v/>
      </c>
      <c r="AB455" s="19">
        <f>IF(ISERROR($F$455),"",IF(ISBLANK($F$455),"",$F$455))</f>
        <v/>
      </c>
      <c r="AC455" s="19">
        <f>IF(ISERROR($G$455),"",IF(ISBLANK($G$455),"",$G$455))</f>
        <v/>
      </c>
      <c r="AD455" s="19">
        <f>IF(ISERROR($H$455),"",IF(ISBLANK($H$455),"",$H$455))</f>
        <v/>
      </c>
      <c r="AE455" s="19">
        <f>IF(ISERROR($I$455),"",IF(ISBLANK($I$455),"",$I$455))</f>
        <v/>
      </c>
      <c r="AF455" s="19">
        <f>IF(ISERROR($J$455),"",IF(ISBLANK($J$455),"",$J$455))</f>
        <v/>
      </c>
      <c r="AG455" s="19">
        <f>ISERROR($B$455)*1+ISERROR($C$455)*1+ISERROR($D$455)*1+ISERROR($E$455)*1+ISERROR($F$455)*1+ISERROR($G$455)*1+ISERROR($H$455)*1+ISERROR($I$455)*1+ISERROR($J$455)*1</f>
        <v/>
      </c>
    </row>
    <row r="456" ht="26" customHeight="1">
      <c r="B456" s="31" t="n"/>
      <c r="C456" s="28" t="n"/>
      <c r="D456" s="28" t="n"/>
      <c r="E456" s="28" t="n"/>
      <c r="F456" s="28" t="n"/>
      <c r="G456" s="28" t="n"/>
      <c r="H456" s="28" t="n"/>
      <c r="I456" s="28" t="n"/>
      <c r="J456" s="28" t="n"/>
      <c r="K456" s="18">
        <f>IF(AG456&gt;0,"O Google leu como fórmula: digite de novo com ' na frente.","")</f>
        <v/>
      </c>
      <c r="N456" s="19">
        <f>N455+IF(LEN($X$456)&gt;0,1,0)</f>
        <v/>
      </c>
      <c r="O456" s="19">
        <f>O455+IF(LEN($Y$456)&gt;0,1,0)</f>
        <v/>
      </c>
      <c r="P456" s="19">
        <f>P455+IF(LEN($Z$456)&gt;0,1,0)</f>
        <v/>
      </c>
      <c r="Q456" s="19">
        <f>Q455+IF(LEN($AA$456)&gt;0,1,0)</f>
        <v/>
      </c>
      <c r="R456" s="19">
        <f>R455+IF(LEN($AB$456)&gt;0,1,0)</f>
        <v/>
      </c>
      <c r="S456" s="19">
        <f>S455+IF(LEN($AC$456)&gt;0,1,0)</f>
        <v/>
      </c>
      <c r="T456" s="19">
        <f>T455+IF(LEN($AD$456)&gt;0,1,0)</f>
        <v/>
      </c>
      <c r="U456" s="19">
        <f>U455+IF(LEN($AE$456)&gt;0,1,0)</f>
        <v/>
      </c>
      <c r="V456" s="19">
        <f>V455+IF(LEN($AF$456)&gt;0,1,0)</f>
        <v/>
      </c>
      <c r="X456" s="19">
        <f>IF(ISERROR($B$456),"",IF(ISBLANK($B$456),"",$B$456))</f>
        <v/>
      </c>
      <c r="Y456" s="19">
        <f>IF(ISERROR($C$456),"",IF(ISBLANK($C$456),"",$C$456))</f>
        <v/>
      </c>
      <c r="Z456" s="19">
        <f>IF(ISERROR($D$456),"",IF(ISBLANK($D$456),"",$D$456))</f>
        <v/>
      </c>
      <c r="AA456" s="19">
        <f>IF(ISERROR($E$456),"",IF(ISBLANK($E$456),"",$E$456))</f>
        <v/>
      </c>
      <c r="AB456" s="19">
        <f>IF(ISERROR($F$456),"",IF(ISBLANK($F$456),"",$F$456))</f>
        <v/>
      </c>
      <c r="AC456" s="19">
        <f>IF(ISERROR($G$456),"",IF(ISBLANK($G$456),"",$G$456))</f>
        <v/>
      </c>
      <c r="AD456" s="19">
        <f>IF(ISERROR($H$456),"",IF(ISBLANK($H$456),"",$H$456))</f>
        <v/>
      </c>
      <c r="AE456" s="19">
        <f>IF(ISERROR($I$456),"",IF(ISBLANK($I$456),"",$I$456))</f>
        <v/>
      </c>
      <c r="AF456" s="19">
        <f>IF(ISERROR($J$456),"",IF(ISBLANK($J$456),"",$J$456))</f>
        <v/>
      </c>
      <c r="AG456" s="19">
        <f>ISERROR($B$456)*1+ISERROR($C$456)*1+ISERROR($D$456)*1+ISERROR($E$456)*1+ISERROR($F$456)*1+ISERROR($G$456)*1+ISERROR($H$456)*1+ISERROR($I$456)*1+ISERROR($J$456)*1</f>
        <v/>
      </c>
    </row>
    <row r="457" ht="26" customHeight="1">
      <c r="B457" s="30" t="n"/>
      <c r="C457" s="3" t="n"/>
      <c r="D457" s="3" t="n"/>
      <c r="E457" s="3" t="n"/>
      <c r="F457" s="3" t="n"/>
      <c r="G457" s="3" t="n"/>
      <c r="H457" s="3" t="n"/>
      <c r="I457" s="3" t="n"/>
      <c r="J457" s="3" t="n"/>
      <c r="K457" s="18">
        <f>IF(AG457&gt;0,"O Google leu como fórmula: digite de novo com ' na frente.","")</f>
        <v/>
      </c>
      <c r="N457" s="19">
        <f>N456+IF(LEN($X$457)&gt;0,1,0)</f>
        <v/>
      </c>
      <c r="O457" s="19">
        <f>O456+IF(LEN($Y$457)&gt;0,1,0)</f>
        <v/>
      </c>
      <c r="P457" s="19">
        <f>P456+IF(LEN($Z$457)&gt;0,1,0)</f>
        <v/>
      </c>
      <c r="Q457" s="19">
        <f>Q456+IF(LEN($AA$457)&gt;0,1,0)</f>
        <v/>
      </c>
      <c r="R457" s="19">
        <f>R456+IF(LEN($AB$457)&gt;0,1,0)</f>
        <v/>
      </c>
      <c r="S457" s="19">
        <f>S456+IF(LEN($AC$457)&gt;0,1,0)</f>
        <v/>
      </c>
      <c r="T457" s="19">
        <f>T456+IF(LEN($AD$457)&gt;0,1,0)</f>
        <v/>
      </c>
      <c r="U457" s="19">
        <f>U456+IF(LEN($AE$457)&gt;0,1,0)</f>
        <v/>
      </c>
      <c r="V457" s="19">
        <f>V456+IF(LEN($AF$457)&gt;0,1,0)</f>
        <v/>
      </c>
      <c r="X457" s="19">
        <f>IF(ISERROR($B$457),"",IF(ISBLANK($B$457),"",$B$457))</f>
        <v/>
      </c>
      <c r="Y457" s="19">
        <f>IF(ISERROR($C$457),"",IF(ISBLANK($C$457),"",$C$457))</f>
        <v/>
      </c>
      <c r="Z457" s="19">
        <f>IF(ISERROR($D$457),"",IF(ISBLANK($D$457),"",$D$457))</f>
        <v/>
      </c>
      <c r="AA457" s="19">
        <f>IF(ISERROR($E$457),"",IF(ISBLANK($E$457),"",$E$457))</f>
        <v/>
      </c>
      <c r="AB457" s="19">
        <f>IF(ISERROR($F$457),"",IF(ISBLANK($F$457),"",$F$457))</f>
        <v/>
      </c>
      <c r="AC457" s="19">
        <f>IF(ISERROR($G$457),"",IF(ISBLANK($G$457),"",$G$457))</f>
        <v/>
      </c>
      <c r="AD457" s="19">
        <f>IF(ISERROR($H$457),"",IF(ISBLANK($H$457),"",$H$457))</f>
        <v/>
      </c>
      <c r="AE457" s="19">
        <f>IF(ISERROR($I$457),"",IF(ISBLANK($I$457),"",$I$457))</f>
        <v/>
      </c>
      <c r="AF457" s="19">
        <f>IF(ISERROR($J$457),"",IF(ISBLANK($J$457),"",$J$457))</f>
        <v/>
      </c>
      <c r="AG457" s="19">
        <f>ISERROR($B$457)*1+ISERROR($C$457)*1+ISERROR($D$457)*1+ISERROR($E$457)*1+ISERROR($F$457)*1+ISERROR($G$457)*1+ISERROR($H$457)*1+ISERROR($I$457)*1+ISERROR($J$457)*1</f>
        <v/>
      </c>
    </row>
    <row r="458" ht="26" customHeight="1">
      <c r="B458" s="31" t="n"/>
      <c r="C458" s="28" t="n"/>
      <c r="D458" s="28" t="n"/>
      <c r="E458" s="28" t="n"/>
      <c r="F458" s="28" t="n"/>
      <c r="G458" s="28" t="n"/>
      <c r="H458" s="28" t="n"/>
      <c r="I458" s="28" t="n"/>
      <c r="J458" s="28" t="n"/>
      <c r="K458" s="18">
        <f>IF(AG458&gt;0,"O Google leu como fórmula: digite de novo com ' na frente.","")</f>
        <v/>
      </c>
      <c r="N458" s="19">
        <f>N457+IF(LEN($X$458)&gt;0,1,0)</f>
        <v/>
      </c>
      <c r="O458" s="19">
        <f>O457+IF(LEN($Y$458)&gt;0,1,0)</f>
        <v/>
      </c>
      <c r="P458" s="19">
        <f>P457+IF(LEN($Z$458)&gt;0,1,0)</f>
        <v/>
      </c>
      <c r="Q458" s="19">
        <f>Q457+IF(LEN($AA$458)&gt;0,1,0)</f>
        <v/>
      </c>
      <c r="R458" s="19">
        <f>R457+IF(LEN($AB$458)&gt;0,1,0)</f>
        <v/>
      </c>
      <c r="S458" s="19">
        <f>S457+IF(LEN($AC$458)&gt;0,1,0)</f>
        <v/>
      </c>
      <c r="T458" s="19">
        <f>T457+IF(LEN($AD$458)&gt;0,1,0)</f>
        <v/>
      </c>
      <c r="U458" s="19">
        <f>U457+IF(LEN($AE$458)&gt;0,1,0)</f>
        <v/>
      </c>
      <c r="V458" s="19">
        <f>V457+IF(LEN($AF$458)&gt;0,1,0)</f>
        <v/>
      </c>
      <c r="X458" s="19">
        <f>IF(ISERROR($B$458),"",IF(ISBLANK($B$458),"",$B$458))</f>
        <v/>
      </c>
      <c r="Y458" s="19">
        <f>IF(ISERROR($C$458),"",IF(ISBLANK($C$458),"",$C$458))</f>
        <v/>
      </c>
      <c r="Z458" s="19">
        <f>IF(ISERROR($D$458),"",IF(ISBLANK($D$458),"",$D$458))</f>
        <v/>
      </c>
      <c r="AA458" s="19">
        <f>IF(ISERROR($E$458),"",IF(ISBLANK($E$458),"",$E$458))</f>
        <v/>
      </c>
      <c r="AB458" s="19">
        <f>IF(ISERROR($F$458),"",IF(ISBLANK($F$458),"",$F$458))</f>
        <v/>
      </c>
      <c r="AC458" s="19">
        <f>IF(ISERROR($G$458),"",IF(ISBLANK($G$458),"",$G$458))</f>
        <v/>
      </c>
      <c r="AD458" s="19">
        <f>IF(ISERROR($H$458),"",IF(ISBLANK($H$458),"",$H$458))</f>
        <v/>
      </c>
      <c r="AE458" s="19">
        <f>IF(ISERROR($I$458),"",IF(ISBLANK($I$458),"",$I$458))</f>
        <v/>
      </c>
      <c r="AF458" s="19">
        <f>IF(ISERROR($J$458),"",IF(ISBLANK($J$458),"",$J$458))</f>
        <v/>
      </c>
      <c r="AG458" s="19">
        <f>ISERROR($B$458)*1+ISERROR($C$458)*1+ISERROR($D$458)*1+ISERROR($E$458)*1+ISERROR($F$458)*1+ISERROR($G$458)*1+ISERROR($H$458)*1+ISERROR($I$458)*1+ISERROR($J$458)*1</f>
        <v/>
      </c>
    </row>
    <row r="459" ht="26" customHeight="1">
      <c r="B459" s="30" t="n"/>
      <c r="C459" s="3" t="n"/>
      <c r="D459" s="3" t="n"/>
      <c r="E459" s="3" t="n"/>
      <c r="F459" s="3" t="n"/>
      <c r="G459" s="3" t="n"/>
      <c r="H459" s="3" t="n"/>
      <c r="I459" s="3" t="n"/>
      <c r="J459" s="3" t="n"/>
      <c r="K459" s="18">
        <f>IF(AG459&gt;0,"O Google leu como fórmula: digite de novo com ' na frente.","")</f>
        <v/>
      </c>
      <c r="N459" s="19">
        <f>N458+IF(LEN($X$459)&gt;0,1,0)</f>
        <v/>
      </c>
      <c r="O459" s="19">
        <f>O458+IF(LEN($Y$459)&gt;0,1,0)</f>
        <v/>
      </c>
      <c r="P459" s="19">
        <f>P458+IF(LEN($Z$459)&gt;0,1,0)</f>
        <v/>
      </c>
      <c r="Q459" s="19">
        <f>Q458+IF(LEN($AA$459)&gt;0,1,0)</f>
        <v/>
      </c>
      <c r="R459" s="19">
        <f>R458+IF(LEN($AB$459)&gt;0,1,0)</f>
        <v/>
      </c>
      <c r="S459" s="19">
        <f>S458+IF(LEN($AC$459)&gt;0,1,0)</f>
        <v/>
      </c>
      <c r="T459" s="19">
        <f>T458+IF(LEN($AD$459)&gt;0,1,0)</f>
        <v/>
      </c>
      <c r="U459" s="19">
        <f>U458+IF(LEN($AE$459)&gt;0,1,0)</f>
        <v/>
      </c>
      <c r="V459" s="19">
        <f>V458+IF(LEN($AF$459)&gt;0,1,0)</f>
        <v/>
      </c>
      <c r="X459" s="19">
        <f>IF(ISERROR($B$459),"",IF(ISBLANK($B$459),"",$B$459))</f>
        <v/>
      </c>
      <c r="Y459" s="19">
        <f>IF(ISERROR($C$459),"",IF(ISBLANK($C$459),"",$C$459))</f>
        <v/>
      </c>
      <c r="Z459" s="19">
        <f>IF(ISERROR($D$459),"",IF(ISBLANK($D$459),"",$D$459))</f>
        <v/>
      </c>
      <c r="AA459" s="19">
        <f>IF(ISERROR($E$459),"",IF(ISBLANK($E$459),"",$E$459))</f>
        <v/>
      </c>
      <c r="AB459" s="19">
        <f>IF(ISERROR($F$459),"",IF(ISBLANK($F$459),"",$F$459))</f>
        <v/>
      </c>
      <c r="AC459" s="19">
        <f>IF(ISERROR($G$459),"",IF(ISBLANK($G$459),"",$G$459))</f>
        <v/>
      </c>
      <c r="AD459" s="19">
        <f>IF(ISERROR($H$459),"",IF(ISBLANK($H$459),"",$H$459))</f>
        <v/>
      </c>
      <c r="AE459" s="19">
        <f>IF(ISERROR($I$459),"",IF(ISBLANK($I$459),"",$I$459))</f>
        <v/>
      </c>
      <c r="AF459" s="19">
        <f>IF(ISERROR($J$459),"",IF(ISBLANK($J$459),"",$J$459))</f>
        <v/>
      </c>
      <c r="AG459" s="19">
        <f>ISERROR($B$459)*1+ISERROR($C$459)*1+ISERROR($D$459)*1+ISERROR($E$459)*1+ISERROR($F$459)*1+ISERROR($G$459)*1+ISERROR($H$459)*1+ISERROR($I$459)*1+ISERROR($J$459)*1</f>
        <v/>
      </c>
    </row>
    <row r="460" ht="26" customHeight="1">
      <c r="B460" s="31" t="n"/>
      <c r="C460" s="28" t="n"/>
      <c r="D460" s="28" t="n"/>
      <c r="E460" s="28" t="n"/>
      <c r="F460" s="28" t="n"/>
      <c r="G460" s="28" t="n"/>
      <c r="H460" s="28" t="n"/>
      <c r="I460" s="28" t="n"/>
      <c r="J460" s="28" t="n"/>
      <c r="K460" s="18">
        <f>IF(AG460&gt;0,"O Google leu como fórmula: digite de novo com ' na frente.","")</f>
        <v/>
      </c>
      <c r="N460" s="19">
        <f>N459+IF(LEN($X$460)&gt;0,1,0)</f>
        <v/>
      </c>
      <c r="O460" s="19">
        <f>O459+IF(LEN($Y$460)&gt;0,1,0)</f>
        <v/>
      </c>
      <c r="P460" s="19">
        <f>P459+IF(LEN($Z$460)&gt;0,1,0)</f>
        <v/>
      </c>
      <c r="Q460" s="19">
        <f>Q459+IF(LEN($AA$460)&gt;0,1,0)</f>
        <v/>
      </c>
      <c r="R460" s="19">
        <f>R459+IF(LEN($AB$460)&gt;0,1,0)</f>
        <v/>
      </c>
      <c r="S460" s="19">
        <f>S459+IF(LEN($AC$460)&gt;0,1,0)</f>
        <v/>
      </c>
      <c r="T460" s="19">
        <f>T459+IF(LEN($AD$460)&gt;0,1,0)</f>
        <v/>
      </c>
      <c r="U460" s="19">
        <f>U459+IF(LEN($AE$460)&gt;0,1,0)</f>
        <v/>
      </c>
      <c r="V460" s="19">
        <f>V459+IF(LEN($AF$460)&gt;0,1,0)</f>
        <v/>
      </c>
      <c r="X460" s="19">
        <f>IF(ISERROR($B$460),"",IF(ISBLANK($B$460),"",$B$460))</f>
        <v/>
      </c>
      <c r="Y460" s="19">
        <f>IF(ISERROR($C$460),"",IF(ISBLANK($C$460),"",$C$460))</f>
        <v/>
      </c>
      <c r="Z460" s="19">
        <f>IF(ISERROR($D$460),"",IF(ISBLANK($D$460),"",$D$460))</f>
        <v/>
      </c>
      <c r="AA460" s="19">
        <f>IF(ISERROR($E$460),"",IF(ISBLANK($E$460),"",$E$460))</f>
        <v/>
      </c>
      <c r="AB460" s="19">
        <f>IF(ISERROR($F$460),"",IF(ISBLANK($F$460),"",$F$460))</f>
        <v/>
      </c>
      <c r="AC460" s="19">
        <f>IF(ISERROR($G$460),"",IF(ISBLANK($G$460),"",$G$460))</f>
        <v/>
      </c>
      <c r="AD460" s="19">
        <f>IF(ISERROR($H$460),"",IF(ISBLANK($H$460),"",$H$460))</f>
        <v/>
      </c>
      <c r="AE460" s="19">
        <f>IF(ISERROR($I$460),"",IF(ISBLANK($I$460),"",$I$460))</f>
        <v/>
      </c>
      <c r="AF460" s="19">
        <f>IF(ISERROR($J$460),"",IF(ISBLANK($J$460),"",$J$460))</f>
        <v/>
      </c>
      <c r="AG460" s="19">
        <f>ISERROR($B$460)*1+ISERROR($C$460)*1+ISERROR($D$460)*1+ISERROR($E$460)*1+ISERROR($F$460)*1+ISERROR($G$460)*1+ISERROR($H$460)*1+ISERROR($I$460)*1+ISERROR($J$460)*1</f>
        <v/>
      </c>
    </row>
    <row r="461" ht="26" customHeight="1">
      <c r="B461" s="30" t="n"/>
      <c r="C461" s="3" t="n"/>
      <c r="D461" s="3" t="n"/>
      <c r="E461" s="3" t="n"/>
      <c r="F461" s="3" t="n"/>
      <c r="G461" s="3" t="n"/>
      <c r="H461" s="3" t="n"/>
      <c r="I461" s="3" t="n"/>
      <c r="J461" s="3" t="n"/>
      <c r="K461" s="18">
        <f>IF(AG461&gt;0,"O Google leu como fórmula: digite de novo com ' na frente.","")</f>
        <v/>
      </c>
      <c r="N461" s="19">
        <f>N460+IF(LEN($X$461)&gt;0,1,0)</f>
        <v/>
      </c>
      <c r="O461" s="19">
        <f>O460+IF(LEN($Y$461)&gt;0,1,0)</f>
        <v/>
      </c>
      <c r="P461" s="19">
        <f>P460+IF(LEN($Z$461)&gt;0,1,0)</f>
        <v/>
      </c>
      <c r="Q461" s="19">
        <f>Q460+IF(LEN($AA$461)&gt;0,1,0)</f>
        <v/>
      </c>
      <c r="R461" s="19">
        <f>R460+IF(LEN($AB$461)&gt;0,1,0)</f>
        <v/>
      </c>
      <c r="S461" s="19">
        <f>S460+IF(LEN($AC$461)&gt;0,1,0)</f>
        <v/>
      </c>
      <c r="T461" s="19">
        <f>T460+IF(LEN($AD$461)&gt;0,1,0)</f>
        <v/>
      </c>
      <c r="U461" s="19">
        <f>U460+IF(LEN($AE$461)&gt;0,1,0)</f>
        <v/>
      </c>
      <c r="V461" s="19">
        <f>V460+IF(LEN($AF$461)&gt;0,1,0)</f>
        <v/>
      </c>
      <c r="X461" s="19">
        <f>IF(ISERROR($B$461),"",IF(ISBLANK($B$461),"",$B$461))</f>
        <v/>
      </c>
      <c r="Y461" s="19">
        <f>IF(ISERROR($C$461),"",IF(ISBLANK($C$461),"",$C$461))</f>
        <v/>
      </c>
      <c r="Z461" s="19">
        <f>IF(ISERROR($D$461),"",IF(ISBLANK($D$461),"",$D$461))</f>
        <v/>
      </c>
      <c r="AA461" s="19">
        <f>IF(ISERROR($E$461),"",IF(ISBLANK($E$461),"",$E$461))</f>
        <v/>
      </c>
      <c r="AB461" s="19">
        <f>IF(ISERROR($F$461),"",IF(ISBLANK($F$461),"",$F$461))</f>
        <v/>
      </c>
      <c r="AC461" s="19">
        <f>IF(ISERROR($G$461),"",IF(ISBLANK($G$461),"",$G$461))</f>
        <v/>
      </c>
      <c r="AD461" s="19">
        <f>IF(ISERROR($H$461),"",IF(ISBLANK($H$461),"",$H$461))</f>
        <v/>
      </c>
      <c r="AE461" s="19">
        <f>IF(ISERROR($I$461),"",IF(ISBLANK($I$461),"",$I$461))</f>
        <v/>
      </c>
      <c r="AF461" s="19">
        <f>IF(ISERROR($J$461),"",IF(ISBLANK($J$461),"",$J$461))</f>
        <v/>
      </c>
      <c r="AG461" s="19">
        <f>ISERROR($B$461)*1+ISERROR($C$461)*1+ISERROR($D$461)*1+ISERROR($E$461)*1+ISERROR($F$461)*1+ISERROR($G$461)*1+ISERROR($H$461)*1+ISERROR($I$461)*1+ISERROR($J$461)*1</f>
        <v/>
      </c>
    </row>
    <row r="462" ht="26" customHeight="1">
      <c r="B462" s="31" t="n"/>
      <c r="C462" s="28" t="n"/>
      <c r="D462" s="28" t="n"/>
      <c r="E462" s="28" t="n"/>
      <c r="F462" s="28" t="n"/>
      <c r="G462" s="28" t="n"/>
      <c r="H462" s="28" t="n"/>
      <c r="I462" s="28" t="n"/>
      <c r="J462" s="28" t="n"/>
      <c r="K462" s="18">
        <f>IF(AG462&gt;0,"O Google leu como fórmula: digite de novo com ' na frente.","")</f>
        <v/>
      </c>
      <c r="N462" s="19">
        <f>N461+IF(LEN($X$462)&gt;0,1,0)</f>
        <v/>
      </c>
      <c r="O462" s="19">
        <f>O461+IF(LEN($Y$462)&gt;0,1,0)</f>
        <v/>
      </c>
      <c r="P462" s="19">
        <f>P461+IF(LEN($Z$462)&gt;0,1,0)</f>
        <v/>
      </c>
      <c r="Q462" s="19">
        <f>Q461+IF(LEN($AA$462)&gt;0,1,0)</f>
        <v/>
      </c>
      <c r="R462" s="19">
        <f>R461+IF(LEN($AB$462)&gt;0,1,0)</f>
        <v/>
      </c>
      <c r="S462" s="19">
        <f>S461+IF(LEN($AC$462)&gt;0,1,0)</f>
        <v/>
      </c>
      <c r="T462" s="19">
        <f>T461+IF(LEN($AD$462)&gt;0,1,0)</f>
        <v/>
      </c>
      <c r="U462" s="19">
        <f>U461+IF(LEN($AE$462)&gt;0,1,0)</f>
        <v/>
      </c>
      <c r="V462" s="19">
        <f>V461+IF(LEN($AF$462)&gt;0,1,0)</f>
        <v/>
      </c>
      <c r="X462" s="19">
        <f>IF(ISERROR($B$462),"",IF(ISBLANK($B$462),"",$B$462))</f>
        <v/>
      </c>
      <c r="Y462" s="19">
        <f>IF(ISERROR($C$462),"",IF(ISBLANK($C$462),"",$C$462))</f>
        <v/>
      </c>
      <c r="Z462" s="19">
        <f>IF(ISERROR($D$462),"",IF(ISBLANK($D$462),"",$D$462))</f>
        <v/>
      </c>
      <c r="AA462" s="19">
        <f>IF(ISERROR($E$462),"",IF(ISBLANK($E$462),"",$E$462))</f>
        <v/>
      </c>
      <c r="AB462" s="19">
        <f>IF(ISERROR($F$462),"",IF(ISBLANK($F$462),"",$F$462))</f>
        <v/>
      </c>
      <c r="AC462" s="19">
        <f>IF(ISERROR($G$462),"",IF(ISBLANK($G$462),"",$G$462))</f>
        <v/>
      </c>
      <c r="AD462" s="19">
        <f>IF(ISERROR($H$462),"",IF(ISBLANK($H$462),"",$H$462))</f>
        <v/>
      </c>
      <c r="AE462" s="19">
        <f>IF(ISERROR($I$462),"",IF(ISBLANK($I$462),"",$I$462))</f>
        <v/>
      </c>
      <c r="AF462" s="19">
        <f>IF(ISERROR($J$462),"",IF(ISBLANK($J$462),"",$J$462))</f>
        <v/>
      </c>
      <c r="AG462" s="19">
        <f>ISERROR($B$462)*1+ISERROR($C$462)*1+ISERROR($D$462)*1+ISERROR($E$462)*1+ISERROR($F$462)*1+ISERROR($G$462)*1+ISERROR($H$462)*1+ISERROR($I$462)*1+ISERROR($J$462)*1</f>
        <v/>
      </c>
    </row>
    <row r="463" ht="26" customHeight="1">
      <c r="B463" s="30" t="n"/>
      <c r="C463" s="3" t="n"/>
      <c r="D463" s="3" t="n"/>
      <c r="E463" s="3" t="n"/>
      <c r="F463" s="3" t="n"/>
      <c r="G463" s="3" t="n"/>
      <c r="H463" s="3" t="n"/>
      <c r="I463" s="3" t="n"/>
      <c r="J463" s="3" t="n"/>
      <c r="K463" s="18">
        <f>IF(AG463&gt;0,"O Google leu como fórmula: digite de novo com ' na frente.","")</f>
        <v/>
      </c>
      <c r="N463" s="19">
        <f>N462+IF(LEN($X$463)&gt;0,1,0)</f>
        <v/>
      </c>
      <c r="O463" s="19">
        <f>O462+IF(LEN($Y$463)&gt;0,1,0)</f>
        <v/>
      </c>
      <c r="P463" s="19">
        <f>P462+IF(LEN($Z$463)&gt;0,1,0)</f>
        <v/>
      </c>
      <c r="Q463" s="19">
        <f>Q462+IF(LEN($AA$463)&gt;0,1,0)</f>
        <v/>
      </c>
      <c r="R463" s="19">
        <f>R462+IF(LEN($AB$463)&gt;0,1,0)</f>
        <v/>
      </c>
      <c r="S463" s="19">
        <f>S462+IF(LEN($AC$463)&gt;0,1,0)</f>
        <v/>
      </c>
      <c r="T463" s="19">
        <f>T462+IF(LEN($AD$463)&gt;0,1,0)</f>
        <v/>
      </c>
      <c r="U463" s="19">
        <f>U462+IF(LEN($AE$463)&gt;0,1,0)</f>
        <v/>
      </c>
      <c r="V463" s="19">
        <f>V462+IF(LEN($AF$463)&gt;0,1,0)</f>
        <v/>
      </c>
      <c r="X463" s="19">
        <f>IF(ISERROR($B$463),"",IF(ISBLANK($B$463),"",$B$463))</f>
        <v/>
      </c>
      <c r="Y463" s="19">
        <f>IF(ISERROR($C$463),"",IF(ISBLANK($C$463),"",$C$463))</f>
        <v/>
      </c>
      <c r="Z463" s="19">
        <f>IF(ISERROR($D$463),"",IF(ISBLANK($D$463),"",$D$463))</f>
        <v/>
      </c>
      <c r="AA463" s="19">
        <f>IF(ISERROR($E$463),"",IF(ISBLANK($E$463),"",$E$463))</f>
        <v/>
      </c>
      <c r="AB463" s="19">
        <f>IF(ISERROR($F$463),"",IF(ISBLANK($F$463),"",$F$463))</f>
        <v/>
      </c>
      <c r="AC463" s="19">
        <f>IF(ISERROR($G$463),"",IF(ISBLANK($G$463),"",$G$463))</f>
        <v/>
      </c>
      <c r="AD463" s="19">
        <f>IF(ISERROR($H$463),"",IF(ISBLANK($H$463),"",$H$463))</f>
        <v/>
      </c>
      <c r="AE463" s="19">
        <f>IF(ISERROR($I$463),"",IF(ISBLANK($I$463),"",$I$463))</f>
        <v/>
      </c>
      <c r="AF463" s="19">
        <f>IF(ISERROR($J$463),"",IF(ISBLANK($J$463),"",$J$463))</f>
        <v/>
      </c>
      <c r="AG463" s="19">
        <f>ISERROR($B$463)*1+ISERROR($C$463)*1+ISERROR($D$463)*1+ISERROR($E$463)*1+ISERROR($F$463)*1+ISERROR($G$463)*1+ISERROR($H$463)*1+ISERROR($I$463)*1+ISERROR($J$463)*1</f>
        <v/>
      </c>
    </row>
    <row r="464"/>
    <row r="465" ht="20" customHeight="1">
      <c r="A465" s="12" t="inlineStr">
        <is>
          <t>Gerador de aventuras (aba Aventuras) — Sugestão da planilha (H11) (parte 1) — 100 vagas por lista</t>
        </is>
      </c>
    </row>
    <row r="466">
      <c r="A466" s="11" t="inlineStr">
        <is>
          <t>Apague para trocar, use as vagas vazias para ampliar. Não insira linhas: o contador corrido pularia a linha nova.</t>
        </is>
      </c>
    </row>
    <row r="467">
      <c r="A467" s="7" t="inlineStr">
        <is>
          <t>Lista</t>
        </is>
      </c>
      <c r="B467" s="7" t="inlineStr">
        <is>
          <t>Caminho (motivação)</t>
        </is>
      </c>
      <c r="C467" s="7" t="inlineStr">
        <is>
          <t>Motivação por Caminho</t>
        </is>
      </c>
      <c r="D467" s="7" t="inlineStr">
        <is>
          <t>Tipo (objetivo)</t>
        </is>
      </c>
      <c r="E467" s="7" t="inlineStr">
        <is>
          <t>Objetivo por tipo</t>
        </is>
      </c>
      <c r="F467" s="7" t="inlineStr">
        <is>
          <t>Tipo de aventura</t>
        </is>
      </c>
      <c r="G467" s="7" t="inlineStr">
        <is>
          <t>Gancho de aventura</t>
        </is>
      </c>
      <c r="H467" s="7" t="inlineStr">
        <is>
          <t>Local (sabor)</t>
        </is>
      </c>
      <c r="I467" s="7" t="inlineStr">
        <is>
          <t>Complicação</t>
        </is>
      </c>
      <c r="J467" s="7" t="inlineStr">
        <is>
          <t>Reviravolta</t>
        </is>
      </c>
    </row>
    <row r="468">
      <c r="A468" s="8" t="inlineStr">
        <is>
          <t>Fonte</t>
        </is>
      </c>
      <c r="B468" s="13" t="inlineStr">
        <is>
          <t>Sugestão da planilha (H11)</t>
        </is>
      </c>
      <c r="C468" s="13" t="inlineStr">
        <is>
          <t>Sugestão da planilha (H11)</t>
        </is>
      </c>
      <c r="D468" s="13" t="inlineStr">
        <is>
          <t>Sugestão da planilha (H11)</t>
        </is>
      </c>
      <c r="E468" s="13" t="inlineStr">
        <is>
          <t>Sugestão da planilha (H11)</t>
        </is>
      </c>
      <c r="F468" s="13" t="inlineStr">
        <is>
          <t>Sugestão da planilha (H11)</t>
        </is>
      </c>
      <c r="G468" s="13" t="inlineStr">
        <is>
          <t>Sugestão da planilha (H11)</t>
        </is>
      </c>
      <c r="H468" s="13" t="inlineStr">
        <is>
          <t>Sugestão da planilha (H11)</t>
        </is>
      </c>
      <c r="I468" s="13" t="inlineStr">
        <is>
          <t>Sugestão da planilha (H11)</t>
        </is>
      </c>
      <c r="J468" s="13" t="inlineStr">
        <is>
          <t>Sugestão da planilha (H11)</t>
        </is>
      </c>
    </row>
    <row r="469" ht="26" customHeight="1">
      <c r="A469" s="21" t="inlineStr">
        <is>
          <t>Tamanho da lista</t>
        </is>
      </c>
      <c r="B469" s="29">
        <f>N578</f>
        <v/>
      </c>
      <c r="C469" s="38" t="n"/>
      <c r="D469" s="29">
        <f>P578</f>
        <v/>
      </c>
      <c r="E469" s="38" t="n"/>
      <c r="F469" s="29">
        <f>R578</f>
        <v/>
      </c>
      <c r="G469" s="29">
        <f>S578</f>
        <v/>
      </c>
      <c r="H469" s="29">
        <f>T578</f>
        <v/>
      </c>
      <c r="I469" s="29">
        <f>U578</f>
        <v/>
      </c>
      <c r="J469" s="29">
        <f>V578</f>
        <v/>
      </c>
    </row>
    <row r="470" ht="26" customHeight="1">
      <c r="A470" s="8" t="inlineStr">
        <is>
          <t>Aviso</t>
        </is>
      </c>
      <c r="B470" s="18">
        <f>IF(N578&gt;=100,"Lista cheia (100): use Minhas Tabelas para uma lista maior","")</f>
        <v/>
      </c>
      <c r="D470" s="18">
        <f>IF(P578&gt;=100,"Lista cheia (100): use Minhas Tabelas para uma lista maior","")</f>
        <v/>
      </c>
      <c r="F470" s="18">
        <f>IF(R578&gt;=100,"Lista cheia (100): use Minhas Tabelas para uma lista maior","")</f>
        <v/>
      </c>
      <c r="G470" s="18">
        <f>IF(S578&gt;=100,"Lista cheia (100): use Minhas Tabelas para uma lista maior","")</f>
        <v/>
      </c>
      <c r="H470" s="18">
        <f>IF(T578&gt;=100,"Lista cheia (100): use Minhas Tabelas para uma lista maior","")</f>
        <v/>
      </c>
      <c r="I470" s="18">
        <f>IF(U578&gt;=100,"Lista cheia (100): use Minhas Tabelas para uma lista maior","")</f>
        <v/>
      </c>
      <c r="J470" s="18">
        <f>IF(V578&gt;=100,"Lista cheia (100): use Minhas Tabelas para uma lista maior","")</f>
        <v/>
      </c>
    </row>
    <row r="471" ht="15" customHeight="1">
      <c r="B471" s="7" t="inlineStr">
        <is>
          <t>Caminho (motivação)</t>
        </is>
      </c>
      <c r="C471" s="7" t="inlineStr">
        <is>
          <t>Motivação por Caminho</t>
        </is>
      </c>
      <c r="D471" s="7" t="inlineStr">
        <is>
          <t>Tipo (objetivo)</t>
        </is>
      </c>
      <c r="E471" s="7" t="inlineStr">
        <is>
          <t>Objetivo por tipo</t>
        </is>
      </c>
      <c r="F471" s="7" t="inlineStr">
        <is>
          <t>Tipo de aventura</t>
        </is>
      </c>
      <c r="G471" s="7" t="inlineStr">
        <is>
          <t>Gancho de aventura</t>
        </is>
      </c>
      <c r="H471" s="7" t="inlineStr">
        <is>
          <t>Local (sabor)</t>
        </is>
      </c>
      <c r="I471" s="7" t="inlineStr">
        <is>
          <t>Complicação</t>
        </is>
      </c>
      <c r="J471" s="7" t="inlineStr">
        <is>
          <t>Reviravolta</t>
        </is>
      </c>
      <c r="N471" s="19">
        <f>0</f>
        <v/>
      </c>
      <c r="P471" s="19">
        <f>0</f>
        <v/>
      </c>
      <c r="R471" s="19">
        <f>0</f>
        <v/>
      </c>
      <c r="S471" s="19">
        <f>0</f>
        <v/>
      </c>
      <c r="T471" s="19">
        <f>0</f>
        <v/>
      </c>
      <c r="U471" s="19">
        <f>0</f>
        <v/>
      </c>
      <c r="V471" s="19">
        <f>0</f>
        <v/>
      </c>
    </row>
    <row r="472" ht="48" customHeight="1">
      <c r="B472" s="30" t="inlineStr">
        <is>
          <t>A Destruição</t>
        </is>
      </c>
      <c r="C472" s="3" t="inlineStr">
        <is>
          <t>derrubar algo velho que já devia ter caído</t>
        </is>
      </c>
      <c r="D472" s="3" t="inlineStr">
        <is>
          <t>Resgate</t>
        </is>
      </c>
      <c r="E472" s="3" t="inlineStr">
        <is>
          <t>tirar um refém de uma cela antes da transferência</t>
        </is>
      </c>
      <c r="F472" s="3" t="inlineStr">
        <is>
          <t>Resgate</t>
        </is>
      </c>
      <c r="G472" s="3" t="inlineStr">
        <is>
          <t>Uma nave de resgate pede socorro na frequência do grupo, e a voz é de um dos personagens</t>
        </is>
      </c>
      <c r="H472" s="3" t="inlineStr">
        <is>
          <t>um mercado flutuante preso a um asteroide</t>
        </is>
      </c>
      <c r="I472" s="3" t="inlineStr">
        <is>
          <t>o contato do grupo foi preso ontem</t>
        </is>
      </c>
      <c r="J472" s="3" t="inlineStr">
        <is>
          <t>o contratante é o verdadeiro culpado</t>
        </is>
      </c>
      <c r="K472" s="18">
        <f>IF(AG472&gt;0,"O Google leu como fórmula: digite de novo com ' na frente.","")</f>
        <v/>
      </c>
      <c r="N472" s="19">
        <f>N471+IF(LEN($X$472)&gt;0,1,0)</f>
        <v/>
      </c>
      <c r="P472" s="19">
        <f>P471+IF(LEN($Z$472)&gt;0,1,0)</f>
        <v/>
      </c>
      <c r="R472" s="19">
        <f>R471+IF(LEN($AB$472)&gt;0,1,0)</f>
        <v/>
      </c>
      <c r="S472" s="19">
        <f>S471+IF(LEN($AC$472)&gt;0,1,0)</f>
        <v/>
      </c>
      <c r="T472" s="19">
        <f>T471+IF(LEN($AD$472)&gt;0,1,0)</f>
        <v/>
      </c>
      <c r="U472" s="19">
        <f>U471+IF(LEN($AE$472)&gt;0,1,0)</f>
        <v/>
      </c>
      <c r="V472" s="19">
        <f>V471+IF(LEN($AF$472)&gt;0,1,0)</f>
        <v/>
      </c>
      <c r="X472" s="19">
        <f>IF(ISERROR($B$472),"",IF(ISBLANK($B$472),"",$B$472))</f>
        <v/>
      </c>
      <c r="Y472" s="19">
        <f>IF(ISERROR($C$472),"",IF(ISBLANK($C$472),"",$C$472))</f>
        <v/>
      </c>
      <c r="Z472" s="19">
        <f>IF(ISERROR($D$472),"",IF(ISBLANK($D$472),"",$D$472))</f>
        <v/>
      </c>
      <c r="AA472" s="19">
        <f>IF(ISERROR($E$472),"",IF(ISBLANK($E$472),"",$E$472))</f>
        <v/>
      </c>
      <c r="AB472" s="19">
        <f>IF(ISERROR($F$472),"",IF(ISBLANK($F$472),"",$F$472))</f>
        <v/>
      </c>
      <c r="AC472" s="19">
        <f>IF(ISERROR($G$472),"",IF(ISBLANK($G$472),"",$G$472))</f>
        <v/>
      </c>
      <c r="AD472" s="19">
        <f>IF(ISERROR($H$472),"",IF(ISBLANK($H$472),"",$H$472))</f>
        <v/>
      </c>
      <c r="AE472" s="19">
        <f>IF(ISERROR($I$472),"",IF(ISBLANK($I$472),"",$I$472))</f>
        <v/>
      </c>
      <c r="AF472" s="19">
        <f>IF(ISERROR($J$472),"",IF(ISBLANK($J$472),"",$J$472))</f>
        <v/>
      </c>
      <c r="AG472" s="19">
        <f>ISERROR($B$472)*1+ISERROR($C$472)*1+ISERROR($D$472)*1+ISERROR($E$472)*1+ISERROR($F$472)*1+ISERROR($G$472)*1+ISERROR($H$472)*1+ISERROR($I$472)*1+ISERROR($J$472)*1</f>
        <v/>
      </c>
    </row>
    <row r="473" ht="37" customHeight="1">
      <c r="B473" s="31" t="inlineStr">
        <is>
          <t>A Destruição</t>
        </is>
      </c>
      <c r="C473" s="28" t="inlineStr">
        <is>
          <t>testar os próprios limites numa luta de verdade</t>
        </is>
      </c>
      <c r="D473" s="28" t="inlineStr">
        <is>
          <t>Resgate</t>
        </is>
      </c>
      <c r="E473" s="28" t="inlineStr">
        <is>
          <t>encontrar e trazer de volta uma equipe de mineiros presa</t>
        </is>
      </c>
      <c r="F473" s="28" t="inlineStr">
        <is>
          <t>Escolta</t>
        </is>
      </c>
      <c r="G473" s="28" t="inlineStr">
        <is>
          <t>Um cargueiro chega ao porto com a carga trocada por pedras</t>
        </is>
      </c>
      <c r="H473" s="28" t="inlineStr">
        <is>
          <t>uma estufa orbital com plantas que cantam</t>
        </is>
      </c>
      <c r="I473" s="28" t="inlineStr">
        <is>
          <t>a rota mais curta está bloqueada por um desabamento</t>
        </is>
      </c>
      <c r="J473" s="28" t="inlineStr">
        <is>
          <t>a vítima não quer ser salva</t>
        </is>
      </c>
      <c r="K473" s="18">
        <f>IF(AG473&gt;0,"O Google leu como fórmula: digite de novo com ' na frente.","")</f>
        <v/>
      </c>
      <c r="N473" s="19">
        <f>N472+IF(LEN($X$473)&gt;0,1,0)</f>
        <v/>
      </c>
      <c r="P473" s="19">
        <f>P472+IF(LEN($Z$473)&gt;0,1,0)</f>
        <v/>
      </c>
      <c r="R473" s="19">
        <f>R472+IF(LEN($AB$473)&gt;0,1,0)</f>
        <v/>
      </c>
      <c r="S473" s="19">
        <f>S472+IF(LEN($AC$473)&gt;0,1,0)</f>
        <v/>
      </c>
      <c r="T473" s="19">
        <f>T472+IF(LEN($AD$473)&gt;0,1,0)</f>
        <v/>
      </c>
      <c r="U473" s="19">
        <f>U472+IF(LEN($AE$473)&gt;0,1,0)</f>
        <v/>
      </c>
      <c r="V473" s="19">
        <f>V472+IF(LEN($AF$473)&gt;0,1,0)</f>
        <v/>
      </c>
      <c r="X473" s="19">
        <f>IF(ISERROR($B$473),"",IF(ISBLANK($B$473),"",$B$473))</f>
        <v/>
      </c>
      <c r="Y473" s="19">
        <f>IF(ISERROR($C$473),"",IF(ISBLANK($C$473),"",$C$473))</f>
        <v/>
      </c>
      <c r="Z473" s="19">
        <f>IF(ISERROR($D$473),"",IF(ISBLANK($D$473),"",$D$473))</f>
        <v/>
      </c>
      <c r="AA473" s="19">
        <f>IF(ISERROR($E$473),"",IF(ISBLANK($E$473),"",$E$473))</f>
        <v/>
      </c>
      <c r="AB473" s="19">
        <f>IF(ISERROR($F$473),"",IF(ISBLANK($F$473),"",$F$473))</f>
        <v/>
      </c>
      <c r="AC473" s="19">
        <f>IF(ISERROR($G$473),"",IF(ISBLANK($G$473),"",$G$473))</f>
        <v/>
      </c>
      <c r="AD473" s="19">
        <f>IF(ISERROR($H$473),"",IF(ISBLANK($H$473),"",$H$473))</f>
        <v/>
      </c>
      <c r="AE473" s="19">
        <f>IF(ISERROR($I$473),"",IF(ISBLANK($I$473),"",$I$473))</f>
        <v/>
      </c>
      <c r="AF473" s="19">
        <f>IF(ISERROR($J$473),"",IF(ISBLANK($J$473),"",$J$473))</f>
        <v/>
      </c>
      <c r="AG473" s="19">
        <f>ISERROR($B$473)*1+ISERROR($C$473)*1+ISERROR($D$473)*1+ISERROR($E$473)*1+ISERROR($F$473)*1+ISERROR($G$473)*1+ISERROR($H$473)*1+ISERROR($I$473)*1+ISERROR($J$473)*1</f>
        <v/>
      </c>
    </row>
    <row r="474" ht="26" customHeight="1">
      <c r="B474" s="30" t="inlineStr">
        <is>
          <t>A Destruição</t>
        </is>
      </c>
      <c r="C474" s="3" t="inlineStr">
        <is>
          <t>acabar com uma fonte de sofrimento, custe o que custar</t>
        </is>
      </c>
      <c r="D474" s="3" t="inlineStr">
        <is>
          <t>Resgate</t>
        </is>
      </c>
      <c r="E474" s="3" t="inlineStr">
        <is>
          <t>libertar um Intellitron leiloado como peça de reposição</t>
        </is>
      </c>
      <c r="F474" s="3" t="inlineStr">
        <is>
          <t>Investigação</t>
        </is>
      </c>
      <c r="G474" s="3" t="inlineStr">
        <is>
          <t>A luz de uma estação inteira se apaga de madrugada</t>
        </is>
      </c>
      <c r="H474" s="3" t="inlineStr">
        <is>
          <t>um cemitério de naves no anel externo</t>
        </is>
      </c>
      <c r="I474" s="3" t="inlineStr">
        <is>
          <t>outra equipe foi contratada para o mesmo serviço</t>
        </is>
      </c>
      <c r="J474" s="3" t="inlineStr">
        <is>
          <t>o antagonista está tentando impedir algo pior</t>
        </is>
      </c>
      <c r="K474" s="18">
        <f>IF(AG474&gt;0,"O Google leu como fórmula: digite de novo com ' na frente.","")</f>
        <v/>
      </c>
      <c r="N474" s="19">
        <f>N473+IF(LEN($X$474)&gt;0,1,0)</f>
        <v/>
      </c>
      <c r="P474" s="19">
        <f>P473+IF(LEN($Z$474)&gt;0,1,0)</f>
        <v/>
      </c>
      <c r="R474" s="19">
        <f>R473+IF(LEN($AB$474)&gt;0,1,0)</f>
        <v/>
      </c>
      <c r="S474" s="19">
        <f>S473+IF(LEN($AC$474)&gt;0,1,0)</f>
        <v/>
      </c>
      <c r="T474" s="19">
        <f>T473+IF(LEN($AD$474)&gt;0,1,0)</f>
        <v/>
      </c>
      <c r="U474" s="19">
        <f>U473+IF(LEN($AE$474)&gt;0,1,0)</f>
        <v/>
      </c>
      <c r="V474" s="19">
        <f>V473+IF(LEN($AF$474)&gt;0,1,0)</f>
        <v/>
      </c>
      <c r="X474" s="19">
        <f>IF(ISERROR($B$474),"",IF(ISBLANK($B$474),"",$B$474))</f>
        <v/>
      </c>
      <c r="Y474" s="19">
        <f>IF(ISERROR($C$474),"",IF(ISBLANK($C$474),"",$C$474))</f>
        <v/>
      </c>
      <c r="Z474" s="19">
        <f>IF(ISERROR($D$474),"",IF(ISBLANK($D$474),"",$D$474))</f>
        <v/>
      </c>
      <c r="AA474" s="19">
        <f>IF(ISERROR($E$474),"",IF(ISBLANK($E$474),"",$E$474))</f>
        <v/>
      </c>
      <c r="AB474" s="19">
        <f>IF(ISERROR($F$474),"",IF(ISBLANK($F$474),"",$F$474))</f>
        <v/>
      </c>
      <c r="AC474" s="19">
        <f>IF(ISERROR($G$474),"",IF(ISBLANK($G$474),"",$G$474))</f>
        <v/>
      </c>
      <c r="AD474" s="19">
        <f>IF(ISERROR($H$474),"",IF(ISBLANK($H$474),"",$H$474))</f>
        <v/>
      </c>
      <c r="AE474" s="19">
        <f>IF(ISERROR($I$474),"",IF(ISBLANK($I$474),"",$I$474))</f>
        <v/>
      </c>
      <c r="AF474" s="19">
        <f>IF(ISERROR($J$474),"",IF(ISBLANK($J$474),"",$J$474))</f>
        <v/>
      </c>
      <c r="AG474" s="19">
        <f>ISERROR($B$474)*1+ISERROR($C$474)*1+ISERROR($D$474)*1+ISERROR($E$474)*1+ISERROR($F$474)*1+ISERROR($G$474)*1+ISERROR($H$474)*1+ISERROR($I$474)*1+ISERROR($J$474)*1</f>
        <v/>
      </c>
    </row>
    <row r="475" ht="37" customHeight="1">
      <c r="B475" s="31" t="inlineStr">
        <is>
          <t>A Destruição</t>
        </is>
      </c>
      <c r="C475" s="28" t="inlineStr">
        <is>
          <t>romper a corrente que prende a sua gente</t>
        </is>
      </c>
      <c r="D475" s="28" t="inlineStr">
        <is>
          <t>Escolta</t>
        </is>
      </c>
      <c r="E475" s="28" t="inlineStr">
        <is>
          <t>levar um informante até a nave que o espera</t>
        </is>
      </c>
      <c r="F475" s="28" t="inlineStr">
        <is>
          <t>Infiltração</t>
        </is>
      </c>
      <c r="G475" s="28" t="inlineStr">
        <is>
          <t>Um mensageiro morre na porta do grupo com um endereço na mão</t>
        </is>
      </c>
      <c r="H475" s="28" t="inlineStr">
        <is>
          <t>uma vila de mineiros escavada no gelo</t>
        </is>
      </c>
      <c r="I475" s="28" t="inlineStr">
        <is>
          <t>o pagamento chega numa moeda que ninguém aceita</t>
        </is>
      </c>
      <c r="J475" s="28" t="inlineStr">
        <is>
          <t>a carga é uma pessoa</t>
        </is>
      </c>
      <c r="K475" s="18">
        <f>IF(AG475&gt;0,"O Google leu como fórmula: digite de novo com ' na frente.","")</f>
        <v/>
      </c>
      <c r="N475" s="19">
        <f>N474+IF(LEN($X$475)&gt;0,1,0)</f>
        <v/>
      </c>
      <c r="P475" s="19">
        <f>P474+IF(LEN($Z$475)&gt;0,1,0)</f>
        <v/>
      </c>
      <c r="R475" s="19">
        <f>R474+IF(LEN($AB$475)&gt;0,1,0)</f>
        <v/>
      </c>
      <c r="S475" s="19">
        <f>S474+IF(LEN($AC$475)&gt;0,1,0)</f>
        <v/>
      </c>
      <c r="T475" s="19">
        <f>T474+IF(LEN($AD$475)&gt;0,1,0)</f>
        <v/>
      </c>
      <c r="U475" s="19">
        <f>U474+IF(LEN($AE$475)&gt;0,1,0)</f>
        <v/>
      </c>
      <c r="V475" s="19">
        <f>V474+IF(LEN($AF$475)&gt;0,1,0)</f>
        <v/>
      </c>
      <c r="X475" s="19">
        <f>IF(ISERROR($B$475),"",IF(ISBLANK($B$475),"",$B$475))</f>
        <v/>
      </c>
      <c r="Y475" s="19">
        <f>IF(ISERROR($C$475),"",IF(ISBLANK($C$475),"",$C$475))</f>
        <v/>
      </c>
      <c r="Z475" s="19">
        <f>IF(ISERROR($D$475),"",IF(ISBLANK($D$475),"",$D$475))</f>
        <v/>
      </c>
      <c r="AA475" s="19">
        <f>IF(ISERROR($E$475),"",IF(ISBLANK($E$475),"",$E$475))</f>
        <v/>
      </c>
      <c r="AB475" s="19">
        <f>IF(ISERROR($F$475),"",IF(ISBLANK($F$475),"",$F$475))</f>
        <v/>
      </c>
      <c r="AC475" s="19">
        <f>IF(ISERROR($G$475),"",IF(ISBLANK($G$475),"",$G$475))</f>
        <v/>
      </c>
      <c r="AD475" s="19">
        <f>IF(ISERROR($H$475),"",IF(ISBLANK($H$475),"",$H$475))</f>
        <v/>
      </c>
      <c r="AE475" s="19">
        <f>IF(ISERROR($I$475),"",IF(ISBLANK($I$475),"",$I$475))</f>
        <v/>
      </c>
      <c r="AF475" s="19">
        <f>IF(ISERROR($J$475),"",IF(ISBLANK($J$475),"",$J$475))</f>
        <v/>
      </c>
      <c r="AG475" s="19">
        <f>ISERROR($B$475)*1+ISERROR($C$475)*1+ISERROR($D$475)*1+ISERROR($E$475)*1+ISERROR($F$475)*1+ISERROR($G$475)*1+ISERROR($H$475)*1+ISERROR($I$475)*1+ISERROR($J$475)*1</f>
        <v/>
      </c>
    </row>
    <row r="476" ht="37" customHeight="1">
      <c r="B476" s="30" t="inlineStr">
        <is>
          <t>A Destruição</t>
        </is>
      </c>
      <c r="C476" s="3" t="inlineStr">
        <is>
          <t>ver arder o lugar onde sofreu</t>
        </is>
      </c>
      <c r="D476" s="3" t="inlineStr">
        <is>
          <t>Escolta</t>
        </is>
      </c>
      <c r="E476" s="3" t="inlineStr">
        <is>
          <t>proteger uma caravana de suprimentos até a colônia</t>
        </is>
      </c>
      <c r="F476" s="3" t="inlineStr">
        <is>
          <t>Defesa de posição</t>
        </is>
      </c>
      <c r="G476" s="3" t="inlineStr">
        <is>
          <t>Uma criança entrega um desenho do Expresso Astral com uma data futura</t>
        </is>
      </c>
      <c r="H476" s="3" t="inlineStr">
        <is>
          <t>um hotel de luxo numa estação em quarentena</t>
        </is>
      </c>
      <c r="I476" s="3" t="inlineStr">
        <is>
          <t>um personagem é reconhecido por um velho inimigo</t>
        </is>
      </c>
      <c r="J476" s="3" t="inlineStr">
        <is>
          <t>o informante trabalha para os dois lados</t>
        </is>
      </c>
      <c r="K476" s="18">
        <f>IF(AG476&gt;0,"O Google leu como fórmula: digite de novo com ' na frente.","")</f>
        <v/>
      </c>
      <c r="N476" s="19">
        <f>N475+IF(LEN($X$476)&gt;0,1,0)</f>
        <v/>
      </c>
      <c r="P476" s="19">
        <f>P475+IF(LEN($Z$476)&gt;0,1,0)</f>
        <v/>
      </c>
      <c r="R476" s="19">
        <f>R475+IF(LEN($AB$476)&gt;0,1,0)</f>
        <v/>
      </c>
      <c r="S476" s="19">
        <f>S475+IF(LEN($AC$476)&gt;0,1,0)</f>
        <v/>
      </c>
      <c r="T476" s="19">
        <f>T475+IF(LEN($AD$476)&gt;0,1,0)</f>
        <v/>
      </c>
      <c r="U476" s="19">
        <f>U475+IF(LEN($AE$476)&gt;0,1,0)</f>
        <v/>
      </c>
      <c r="V476" s="19">
        <f>V475+IF(LEN($AF$476)&gt;0,1,0)</f>
        <v/>
      </c>
      <c r="X476" s="19">
        <f>IF(ISERROR($B$476),"",IF(ISBLANK($B$476),"",$B$476))</f>
        <v/>
      </c>
      <c r="Y476" s="19">
        <f>IF(ISERROR($C$476),"",IF(ISBLANK($C$476),"",$C$476))</f>
        <v/>
      </c>
      <c r="Z476" s="19">
        <f>IF(ISERROR($D$476),"",IF(ISBLANK($D$476),"",$D$476))</f>
        <v/>
      </c>
      <c r="AA476" s="19">
        <f>IF(ISERROR($E$476),"",IF(ISBLANK($E$476),"",$E$476))</f>
        <v/>
      </c>
      <c r="AB476" s="19">
        <f>IF(ISERROR($F$476),"",IF(ISBLANK($F$476),"",$F$476))</f>
        <v/>
      </c>
      <c r="AC476" s="19">
        <f>IF(ISERROR($G$476),"",IF(ISBLANK($G$476),"",$G$476))</f>
        <v/>
      </c>
      <c r="AD476" s="19">
        <f>IF(ISERROR($H$476),"",IF(ISBLANK($H$476),"",$H$476))</f>
        <v/>
      </c>
      <c r="AE476" s="19">
        <f>IF(ISERROR($I$476),"",IF(ISBLANK($I$476),"",$I$476))</f>
        <v/>
      </c>
      <c r="AF476" s="19">
        <f>IF(ISERROR($J$476),"",IF(ISBLANK($J$476),"",$J$476))</f>
        <v/>
      </c>
      <c r="AG476" s="19">
        <f>ISERROR($B$476)*1+ISERROR($C$476)*1+ISERROR($D$476)*1+ISERROR($E$476)*1+ISERROR($F$476)*1+ISERROR($G$476)*1+ISERROR($H$476)*1+ISERROR($I$476)*1+ISERROR($J$476)*1</f>
        <v/>
      </c>
    </row>
    <row r="477" ht="26" customHeight="1">
      <c r="B477" s="31" t="inlineStr">
        <is>
          <t>A Inexistência</t>
        </is>
      </c>
      <c r="C477" s="28" t="inlineStr">
        <is>
          <t>descobrir se alguma coisa ainda vale a pena</t>
        </is>
      </c>
      <c r="D477" s="28" t="inlineStr">
        <is>
          <t>Escolta</t>
        </is>
      </c>
      <c r="E477" s="28" t="inlineStr">
        <is>
          <t>acompanhar um diplomata por um bairro hostil</t>
        </is>
      </c>
      <c r="F477" s="28" t="inlineStr">
        <is>
          <t>Caçada</t>
        </is>
      </c>
      <c r="G477" s="28" t="inlineStr">
        <is>
          <t>O mercado amanhece fechado e ninguém diz por quê</t>
        </is>
      </c>
      <c r="H477" s="28" t="inlineStr">
        <is>
          <t>um arquivo subterrâneo cheio de goteiras</t>
        </is>
      </c>
      <c r="I477" s="28" t="inlineStr">
        <is>
          <t>a gravidade do lugar muda a cada hora</t>
        </is>
      </c>
      <c r="J477" s="28" t="inlineStr">
        <is>
          <t>o lugar já foi a casa de um dos personagens</t>
        </is>
      </c>
      <c r="K477" s="18">
        <f>IF(AG477&gt;0,"O Google leu como fórmula: digite de novo com ' na frente.","")</f>
        <v/>
      </c>
      <c r="N477" s="19">
        <f>N476+IF(LEN($X$477)&gt;0,1,0)</f>
        <v/>
      </c>
      <c r="P477" s="19">
        <f>P476+IF(LEN($Z$477)&gt;0,1,0)</f>
        <v/>
      </c>
      <c r="R477" s="19">
        <f>R476+IF(LEN($AB$477)&gt;0,1,0)</f>
        <v/>
      </c>
      <c r="S477" s="19">
        <f>S476+IF(LEN($AC$477)&gt;0,1,0)</f>
        <v/>
      </c>
      <c r="T477" s="19">
        <f>T476+IF(LEN($AD$477)&gt;0,1,0)</f>
        <v/>
      </c>
      <c r="U477" s="19">
        <f>U476+IF(LEN($AE$477)&gt;0,1,0)</f>
        <v/>
      </c>
      <c r="V477" s="19">
        <f>V476+IF(LEN($AF$477)&gt;0,1,0)</f>
        <v/>
      </c>
      <c r="X477" s="19">
        <f>IF(ISERROR($B$477),"",IF(ISBLANK($B$477),"",$B$477))</f>
        <v/>
      </c>
      <c r="Y477" s="19">
        <f>IF(ISERROR($C$477),"",IF(ISBLANK($C$477),"",$C$477))</f>
        <v/>
      </c>
      <c r="Z477" s="19">
        <f>IF(ISERROR($D$477),"",IF(ISBLANK($D$477),"",$D$477))</f>
        <v/>
      </c>
      <c r="AA477" s="19">
        <f>IF(ISERROR($E$477),"",IF(ISBLANK($E$477),"",$E$477))</f>
        <v/>
      </c>
      <c r="AB477" s="19">
        <f>IF(ISERROR($F$477),"",IF(ISBLANK($F$477),"",$F$477))</f>
        <v/>
      </c>
      <c r="AC477" s="19">
        <f>IF(ISERROR($G$477),"",IF(ISBLANK($G$477),"",$G$477))</f>
        <v/>
      </c>
      <c r="AD477" s="19">
        <f>IF(ISERROR($H$477),"",IF(ISBLANK($H$477),"",$H$477))</f>
        <v/>
      </c>
      <c r="AE477" s="19">
        <f>IF(ISERROR($I$477),"",IF(ISBLANK($I$477),"",$I$477))</f>
        <v/>
      </c>
      <c r="AF477" s="19">
        <f>IF(ISERROR($J$477),"",IF(ISBLANK($J$477),"",$J$477))</f>
        <v/>
      </c>
      <c r="AG477" s="19">
        <f>ISERROR($B$477)*1+ISERROR($C$477)*1+ISERROR($D$477)*1+ISERROR($E$477)*1+ISERROR($F$477)*1+ISERROR($G$477)*1+ISERROR($H$477)*1+ISERROR($I$477)*1+ISERROR($J$477)*1</f>
        <v/>
      </c>
    </row>
    <row r="478" ht="37" customHeight="1">
      <c r="B478" s="30" t="inlineStr">
        <is>
          <t>A Inexistência</t>
        </is>
      </c>
      <c r="C478" s="3" t="inlineStr">
        <is>
          <t>desaparecer sem deixar dívida</t>
        </is>
      </c>
      <c r="D478" s="3" t="inlineStr">
        <is>
          <t>Investigação</t>
        </is>
      </c>
      <c r="E478" s="3" t="inlineStr">
        <is>
          <t>descobrir quem sabotou o suporte de vida</t>
        </is>
      </c>
      <c r="F478" s="3" t="inlineStr">
        <is>
          <t>Entrega</t>
        </is>
      </c>
      <c r="G478" s="3" t="inlineStr">
        <is>
          <t>Um contrato aparece assinado com o nome de um personagem</t>
        </is>
      </c>
      <c r="H478" s="3" t="inlineStr">
        <is>
          <t>uma torre de comunicação abandonada</t>
        </is>
      </c>
      <c r="I478" s="3" t="inlineStr">
        <is>
          <t>o lugar está em quarentena</t>
        </is>
      </c>
      <c r="J478" s="3" t="inlineStr">
        <is>
          <t>a ameaça foi criada por quem pediu ajuda</t>
        </is>
      </c>
      <c r="K478" s="18">
        <f>IF(AG478&gt;0,"O Google leu como fórmula: digite de novo com ' na frente.","")</f>
        <v/>
      </c>
      <c r="N478" s="19">
        <f>N477+IF(LEN($X$478)&gt;0,1,0)</f>
        <v/>
      </c>
      <c r="P478" s="19">
        <f>P477+IF(LEN($Z$478)&gt;0,1,0)</f>
        <v/>
      </c>
      <c r="R478" s="19">
        <f>R477+IF(LEN($AB$478)&gt;0,1,0)</f>
        <v/>
      </c>
      <c r="S478" s="19">
        <f>S477+IF(LEN($AC$478)&gt;0,1,0)</f>
        <v/>
      </c>
      <c r="T478" s="19">
        <f>T477+IF(LEN($AD$478)&gt;0,1,0)</f>
        <v/>
      </c>
      <c r="U478" s="19">
        <f>U477+IF(LEN($AE$478)&gt;0,1,0)</f>
        <v/>
      </c>
      <c r="V478" s="19">
        <f>V477+IF(LEN($AF$478)&gt;0,1,0)</f>
        <v/>
      </c>
      <c r="X478" s="19">
        <f>IF(ISERROR($B$478),"",IF(ISBLANK($B$478),"",$B$478))</f>
        <v/>
      </c>
      <c r="Y478" s="19">
        <f>IF(ISERROR($C$478),"",IF(ISBLANK($C$478),"",$C$478))</f>
        <v/>
      </c>
      <c r="Z478" s="19">
        <f>IF(ISERROR($D$478),"",IF(ISBLANK($D$478),"",$D$478))</f>
        <v/>
      </c>
      <c r="AA478" s="19">
        <f>IF(ISERROR($E$478),"",IF(ISBLANK($E$478),"",$E$478))</f>
        <v/>
      </c>
      <c r="AB478" s="19">
        <f>IF(ISERROR($F$478),"",IF(ISBLANK($F$478),"",$F$478))</f>
        <v/>
      </c>
      <c r="AC478" s="19">
        <f>IF(ISERROR($G$478),"",IF(ISBLANK($G$478),"",$G$478))</f>
        <v/>
      </c>
      <c r="AD478" s="19">
        <f>IF(ISERROR($H$478),"",IF(ISBLANK($H$478),"",$H$478))</f>
        <v/>
      </c>
      <c r="AE478" s="19">
        <f>IF(ISERROR($I$478),"",IF(ISBLANK($I$478),"",$I$478))</f>
        <v/>
      </c>
      <c r="AF478" s="19">
        <f>IF(ISERROR($J$478),"",IF(ISBLANK($J$478),"",$J$478))</f>
        <v/>
      </c>
      <c r="AG478" s="19">
        <f>ISERROR($B$478)*1+ISERROR($C$478)*1+ISERROR($D$478)*1+ISERROR($E$478)*1+ISERROR($F$478)*1+ISERROR($G$478)*1+ISERROR($H$478)*1+ISERROR($I$478)*1+ISERROR($J$478)*1</f>
        <v/>
      </c>
    </row>
    <row r="479" ht="26" customHeight="1">
      <c r="B479" s="31" t="inlineStr">
        <is>
          <t>A Inexistência</t>
        </is>
      </c>
      <c r="C479" s="28" t="inlineStr">
        <is>
          <t>aceitar uma perda que ainda dói</t>
        </is>
      </c>
      <c r="D479" s="28" t="inlineStr">
        <is>
          <t>Investigação</t>
        </is>
      </c>
      <c r="E479" s="28" t="inlineStr">
        <is>
          <t>achar a origem de um sinal que repete nomes de mortos</t>
        </is>
      </c>
      <c r="F479" s="28" t="inlineStr">
        <is>
          <t>Sabotagem</t>
        </is>
      </c>
      <c r="G479" s="28" t="inlineStr">
        <is>
          <t>Um velho mapa ganha uma rota nova durante a noite</t>
        </is>
      </c>
      <c r="H479" s="28" t="inlineStr">
        <is>
          <t>uma feira de trocas num deserto de vidro</t>
        </is>
      </c>
      <c r="I479" s="28" t="inlineStr">
        <is>
          <t>o equipamento do grupo fica retido na alfândega</t>
        </is>
      </c>
      <c r="J479" s="28" t="inlineStr">
        <is>
          <t>o refém é um impostor</t>
        </is>
      </c>
      <c r="K479" s="18">
        <f>IF(AG479&gt;0,"O Google leu como fórmula: digite de novo com ' na frente.","")</f>
        <v/>
      </c>
      <c r="N479" s="19">
        <f>N478+IF(LEN($X$479)&gt;0,1,0)</f>
        <v/>
      </c>
      <c r="P479" s="19">
        <f>P478+IF(LEN($Z$479)&gt;0,1,0)</f>
        <v/>
      </c>
      <c r="R479" s="19">
        <f>R478+IF(LEN($AB$479)&gt;0,1,0)</f>
        <v/>
      </c>
      <c r="S479" s="19">
        <f>S478+IF(LEN($AC$479)&gt;0,1,0)</f>
        <v/>
      </c>
      <c r="T479" s="19">
        <f>T478+IF(LEN($AD$479)&gt;0,1,0)</f>
        <v/>
      </c>
      <c r="U479" s="19">
        <f>U478+IF(LEN($AE$479)&gt;0,1,0)</f>
        <v/>
      </c>
      <c r="V479" s="19">
        <f>V478+IF(LEN($AF$479)&gt;0,1,0)</f>
        <v/>
      </c>
      <c r="X479" s="19">
        <f>IF(ISERROR($B$479),"",IF(ISBLANK($B$479),"",$B$479))</f>
        <v/>
      </c>
      <c r="Y479" s="19">
        <f>IF(ISERROR($C$479),"",IF(ISBLANK($C$479),"",$C$479))</f>
        <v/>
      </c>
      <c r="Z479" s="19">
        <f>IF(ISERROR($D$479),"",IF(ISBLANK($D$479),"",$D$479))</f>
        <v/>
      </c>
      <c r="AA479" s="19">
        <f>IF(ISERROR($E$479),"",IF(ISBLANK($E$479),"",$E$479))</f>
        <v/>
      </c>
      <c r="AB479" s="19">
        <f>IF(ISERROR($F$479),"",IF(ISBLANK($F$479),"",$F$479))</f>
        <v/>
      </c>
      <c r="AC479" s="19">
        <f>IF(ISERROR($G$479),"",IF(ISBLANK($G$479),"",$G$479))</f>
        <v/>
      </c>
      <c r="AD479" s="19">
        <f>IF(ISERROR($H$479),"",IF(ISBLANK($H$479),"",$H$479))</f>
        <v/>
      </c>
      <c r="AE479" s="19">
        <f>IF(ISERROR($I$479),"",IF(ISBLANK($I$479),"",$I$479))</f>
        <v/>
      </c>
      <c r="AF479" s="19">
        <f>IF(ISERROR($J$479),"",IF(ISBLANK($J$479),"",$J$479))</f>
        <v/>
      </c>
      <c r="AG479" s="19">
        <f>ISERROR($B$479)*1+ISERROR($C$479)*1+ISERROR($D$479)*1+ISERROR($E$479)*1+ISERROR($F$479)*1+ISERROR($G$479)*1+ISERROR($H$479)*1+ISERROR($I$479)*1+ISERROR($J$479)*1</f>
        <v/>
      </c>
    </row>
    <row r="480" ht="26" customHeight="1">
      <c r="B480" s="30" t="inlineStr">
        <is>
          <t>A Inexistência</t>
        </is>
      </c>
      <c r="C480" s="3" t="inlineStr">
        <is>
          <t>encontrar silêncio num mundo barulhento</t>
        </is>
      </c>
      <c r="D480" s="3" t="inlineStr">
        <is>
          <t>Investigação</t>
        </is>
      </c>
      <c r="E480" s="3" t="inlineStr">
        <is>
          <t>provar que um acidente não foi acidente</t>
        </is>
      </c>
      <c r="F480" s="3" t="inlineStr">
        <is>
          <t>Negociação</t>
        </is>
      </c>
      <c r="G480" s="3" t="inlineStr">
        <is>
          <t>A Corporação congela a conta de um aliado do grupo</t>
        </is>
      </c>
      <c r="H480" s="3" t="inlineStr">
        <is>
          <t>um templo dedicado a um Aeon esquecido</t>
        </is>
      </c>
      <c r="I480" s="3" t="inlineStr">
        <is>
          <t>um aliado exige ir junto e só atrapalha</t>
        </is>
      </c>
      <c r="J480" s="3" t="inlineStr">
        <is>
          <t>o prazo era falso: já passou</t>
        </is>
      </c>
      <c r="K480" s="18">
        <f>IF(AG480&gt;0,"O Google leu como fórmula: digite de novo com ' na frente.","")</f>
        <v/>
      </c>
      <c r="N480" s="19">
        <f>N479+IF(LEN($X$480)&gt;0,1,0)</f>
        <v/>
      </c>
      <c r="P480" s="19">
        <f>P479+IF(LEN($Z$480)&gt;0,1,0)</f>
        <v/>
      </c>
      <c r="R480" s="19">
        <f>R479+IF(LEN($AB$480)&gt;0,1,0)</f>
        <v/>
      </c>
      <c r="S480" s="19">
        <f>S479+IF(LEN($AC$480)&gt;0,1,0)</f>
        <v/>
      </c>
      <c r="T480" s="19">
        <f>T479+IF(LEN($AD$480)&gt;0,1,0)</f>
        <v/>
      </c>
      <c r="U480" s="19">
        <f>U479+IF(LEN($AE$480)&gt;0,1,0)</f>
        <v/>
      </c>
      <c r="V480" s="19">
        <f>V479+IF(LEN($AF$480)&gt;0,1,0)</f>
        <v/>
      </c>
      <c r="X480" s="19">
        <f>IF(ISERROR($B$480),"",IF(ISBLANK($B$480),"",$B$480))</f>
        <v/>
      </c>
      <c r="Y480" s="19">
        <f>IF(ISERROR($C$480),"",IF(ISBLANK($C$480),"",$C$480))</f>
        <v/>
      </c>
      <c r="Z480" s="19">
        <f>IF(ISERROR($D$480),"",IF(ISBLANK($D$480),"",$D$480))</f>
        <v/>
      </c>
      <c r="AA480" s="19">
        <f>IF(ISERROR($E$480),"",IF(ISBLANK($E$480),"",$E$480))</f>
        <v/>
      </c>
      <c r="AB480" s="19">
        <f>IF(ISERROR($F$480),"",IF(ISBLANK($F$480),"",$F$480))</f>
        <v/>
      </c>
      <c r="AC480" s="19">
        <f>IF(ISERROR($G$480),"",IF(ISBLANK($G$480),"",$G$480))</f>
        <v/>
      </c>
      <c r="AD480" s="19">
        <f>IF(ISERROR($H$480),"",IF(ISBLANK($H$480),"",$H$480))</f>
        <v/>
      </c>
      <c r="AE480" s="19">
        <f>IF(ISERROR($I$480),"",IF(ISBLANK($I$480),"",$I$480))</f>
        <v/>
      </c>
      <c r="AF480" s="19">
        <f>IF(ISERROR($J$480),"",IF(ISBLANK($J$480),"",$J$480))</f>
        <v/>
      </c>
      <c r="AG480" s="19">
        <f>ISERROR($B$480)*1+ISERROR($C$480)*1+ISERROR($D$480)*1+ISERROR($E$480)*1+ISERROR($F$480)*1+ISERROR($G$480)*1+ISERROR($H$480)*1+ISERROR($I$480)*1+ISERROR($J$480)*1</f>
        <v/>
      </c>
    </row>
    <row r="481" ht="37" customHeight="1">
      <c r="B481" s="31" t="inlineStr">
        <is>
          <t>A Inexistência</t>
        </is>
      </c>
      <c r="C481" s="28" t="inlineStr">
        <is>
          <t>provar que nada é para sempre</t>
        </is>
      </c>
      <c r="D481" s="28" t="inlineStr">
        <is>
          <t>Infiltração</t>
        </is>
      </c>
      <c r="E481" s="28" t="inlineStr">
        <is>
          <t>entrar num arquivo da Corporação e copiar um contrato</t>
        </is>
      </c>
      <c r="F481" s="28" t="inlineStr">
        <is>
          <t>Exploração</t>
        </is>
      </c>
      <c r="G481" s="28" t="inlineStr">
        <is>
          <t>Um sino toca numa colônia que não tem sino</t>
        </is>
      </c>
      <c r="H481" s="28" t="inlineStr">
        <is>
          <t>uma refinaria que nunca desliga</t>
        </is>
      </c>
      <c r="I481" s="28" t="inlineStr">
        <is>
          <t>a Legião declara toque de recolher</t>
        </is>
      </c>
      <c r="J481" s="28" t="inlineStr">
        <is>
          <t>o tesouro é uma lembrança, não um objeto</t>
        </is>
      </c>
      <c r="K481" s="18">
        <f>IF(AG481&gt;0,"O Google leu como fórmula: digite de novo com ' na frente.","")</f>
        <v/>
      </c>
      <c r="N481" s="19">
        <f>N480+IF(LEN($X$481)&gt;0,1,0)</f>
        <v/>
      </c>
      <c r="P481" s="19">
        <f>P480+IF(LEN($Z$481)&gt;0,1,0)</f>
        <v/>
      </c>
      <c r="R481" s="19">
        <f>R480+IF(LEN($AB$481)&gt;0,1,0)</f>
        <v/>
      </c>
      <c r="S481" s="19">
        <f>S480+IF(LEN($AC$481)&gt;0,1,0)</f>
        <v/>
      </c>
      <c r="T481" s="19">
        <f>T480+IF(LEN($AD$481)&gt;0,1,0)</f>
        <v/>
      </c>
      <c r="U481" s="19">
        <f>U480+IF(LEN($AE$481)&gt;0,1,0)</f>
        <v/>
      </c>
      <c r="V481" s="19">
        <f>V480+IF(LEN($AF$481)&gt;0,1,0)</f>
        <v/>
      </c>
      <c r="X481" s="19">
        <f>IF(ISERROR($B$481),"",IF(ISBLANK($B$481),"",$B$481))</f>
        <v/>
      </c>
      <c r="Y481" s="19">
        <f>IF(ISERROR($C$481),"",IF(ISBLANK($C$481),"",$C$481))</f>
        <v/>
      </c>
      <c r="Z481" s="19">
        <f>IF(ISERROR($D$481),"",IF(ISBLANK($D$481),"",$D$481))</f>
        <v/>
      </c>
      <c r="AA481" s="19">
        <f>IF(ISERROR($E$481),"",IF(ISBLANK($E$481),"",$E$481))</f>
        <v/>
      </c>
      <c r="AB481" s="19">
        <f>IF(ISERROR($F$481),"",IF(ISBLANK($F$481),"",$F$481))</f>
        <v/>
      </c>
      <c r="AC481" s="19">
        <f>IF(ISERROR($G$481),"",IF(ISBLANK($G$481),"",$G$481))</f>
        <v/>
      </c>
      <c r="AD481" s="19">
        <f>IF(ISERROR($H$481),"",IF(ISBLANK($H$481),"",$H$481))</f>
        <v/>
      </c>
      <c r="AE481" s="19">
        <f>IF(ISERROR($I$481),"",IF(ISBLANK($I$481),"",$I$481))</f>
        <v/>
      </c>
      <c r="AF481" s="19">
        <f>IF(ISERROR($J$481),"",IF(ISBLANK($J$481),"",$J$481))</f>
        <v/>
      </c>
      <c r="AG481" s="19">
        <f>ISERROR($B$481)*1+ISERROR($C$481)*1+ISERROR($D$481)*1+ISERROR($E$481)*1+ISERROR($F$481)*1+ISERROR($G$481)*1+ISERROR($H$481)*1+ISERROR($I$481)*1+ISERROR($J$481)*1</f>
        <v/>
      </c>
    </row>
    <row r="482" ht="37" customHeight="1">
      <c r="B482" s="30" t="inlineStr">
        <is>
          <t>A Harmonia</t>
        </is>
      </c>
      <c r="C482" s="3" t="inlineStr">
        <is>
          <t>unir dois grupos que se odeiam</t>
        </is>
      </c>
      <c r="D482" s="3" t="inlineStr">
        <is>
          <t>Infiltração</t>
        </is>
      </c>
      <c r="E482" s="3" t="inlineStr">
        <is>
          <t>atravessar um baile de máscaras sem ser reconhecido</t>
        </is>
      </c>
      <c r="F482" s="3" t="inlineStr">
        <is>
          <t>Fuga</t>
        </is>
      </c>
      <c r="G482" s="3" t="inlineStr">
        <is>
          <t>Um minerador sai da mina falando uma língua que não existe</t>
        </is>
      </c>
      <c r="H482" s="3" t="inlineStr">
        <is>
          <t>um porto clandestino escondido numa lua</t>
        </is>
      </c>
      <c r="I482" s="3" t="inlineStr">
        <is>
          <t>uma tempestade de poeira corta a comunicação</t>
        </is>
      </c>
      <c r="J482" s="3" t="inlineStr">
        <is>
          <t>o inimigo derrotado era só um disfarce</t>
        </is>
      </c>
      <c r="K482" s="18">
        <f>IF(AG482&gt;0,"O Google leu como fórmula: digite de novo com ' na frente.","")</f>
        <v/>
      </c>
      <c r="N482" s="19">
        <f>N481+IF(LEN($X$482)&gt;0,1,0)</f>
        <v/>
      </c>
      <c r="P482" s="19">
        <f>P481+IF(LEN($Z$482)&gt;0,1,0)</f>
        <v/>
      </c>
      <c r="R482" s="19">
        <f>R481+IF(LEN($AB$482)&gt;0,1,0)</f>
        <v/>
      </c>
      <c r="S482" s="19">
        <f>S481+IF(LEN($AC$482)&gt;0,1,0)</f>
        <v/>
      </c>
      <c r="T482" s="19">
        <f>T481+IF(LEN($AD$482)&gt;0,1,0)</f>
        <v/>
      </c>
      <c r="U482" s="19">
        <f>U481+IF(LEN($AE$482)&gt;0,1,0)</f>
        <v/>
      </c>
      <c r="V482" s="19">
        <f>V481+IF(LEN($AF$482)&gt;0,1,0)</f>
        <v/>
      </c>
      <c r="X482" s="19">
        <f>IF(ISERROR($B$482),"",IF(ISBLANK($B$482),"",$B$482))</f>
        <v/>
      </c>
      <c r="Y482" s="19">
        <f>IF(ISERROR($C$482),"",IF(ISBLANK($C$482),"",$C$482))</f>
        <v/>
      </c>
      <c r="Z482" s="19">
        <f>IF(ISERROR($D$482),"",IF(ISBLANK($D$482),"",$D$482))</f>
        <v/>
      </c>
      <c r="AA482" s="19">
        <f>IF(ISERROR($E$482),"",IF(ISBLANK($E$482),"",$E$482))</f>
        <v/>
      </c>
      <c r="AB482" s="19">
        <f>IF(ISERROR($F$482),"",IF(ISBLANK($F$482),"",$F$482))</f>
        <v/>
      </c>
      <c r="AC482" s="19">
        <f>IF(ISERROR($G$482),"",IF(ISBLANK($G$482),"",$G$482))</f>
        <v/>
      </c>
      <c r="AD482" s="19">
        <f>IF(ISERROR($H$482),"",IF(ISBLANK($H$482),"",$H$482))</f>
        <v/>
      </c>
      <c r="AE482" s="19">
        <f>IF(ISERROR($I$482),"",IF(ISBLANK($I$482),"",$I$482))</f>
        <v/>
      </c>
      <c r="AF482" s="19">
        <f>IF(ISERROR($J$482),"",IF(ISBLANK($J$482),"",$J$482))</f>
        <v/>
      </c>
      <c r="AG482" s="19">
        <f>ISERROR($B$482)*1+ISERROR($C$482)*1+ISERROR($D$482)*1+ISERROR($E$482)*1+ISERROR($F$482)*1+ISERROR($G$482)*1+ISERROR($H$482)*1+ISERROR($I$482)*1+ISERROR($J$482)*1</f>
        <v/>
      </c>
    </row>
    <row r="483" ht="37" customHeight="1">
      <c r="B483" s="31" t="inlineStr">
        <is>
          <t>A Harmonia</t>
        </is>
      </c>
      <c r="C483" s="28" t="inlineStr">
        <is>
          <t>manter a paz na vizinhança</t>
        </is>
      </c>
      <c r="D483" s="28" t="inlineStr">
        <is>
          <t>Infiltração</t>
        </is>
      </c>
      <c r="E483" s="28" t="inlineStr">
        <is>
          <t>colocar um rastreador na nave de um contrabandista</t>
        </is>
      </c>
      <c r="F483" s="28" t="inlineStr">
        <is>
          <t>Contenção de Fragmentum</t>
        </is>
      </c>
      <c r="G483" s="28" t="inlineStr">
        <is>
          <t>Uma festa de casamento é interrompida por um alarme de lacre</t>
        </is>
      </c>
      <c r="H483" s="28" t="inlineStr">
        <is>
          <t>um bairro construído dentro de um navio encalhado</t>
        </is>
      </c>
      <c r="I483" s="28" t="inlineStr">
        <is>
          <t>o alvo está protegido por uma apólice da Corporação</t>
        </is>
      </c>
      <c r="J483" s="28" t="inlineStr">
        <is>
          <t>a missão era um teste de recrutamento</t>
        </is>
      </c>
      <c r="K483" s="18">
        <f>IF(AG483&gt;0,"O Google leu como fórmula: digite de novo com ' na frente.","")</f>
        <v/>
      </c>
      <c r="N483" s="19">
        <f>N482+IF(LEN($X$483)&gt;0,1,0)</f>
        <v/>
      </c>
      <c r="P483" s="19">
        <f>P482+IF(LEN($Z$483)&gt;0,1,0)</f>
        <v/>
      </c>
      <c r="R483" s="19">
        <f>R482+IF(LEN($AB$483)&gt;0,1,0)</f>
        <v/>
      </c>
      <c r="S483" s="19">
        <f>S482+IF(LEN($AC$483)&gt;0,1,0)</f>
        <v/>
      </c>
      <c r="T483" s="19">
        <f>T482+IF(LEN($AD$483)&gt;0,1,0)</f>
        <v/>
      </c>
      <c r="U483" s="19">
        <f>U482+IF(LEN($AE$483)&gt;0,1,0)</f>
        <v/>
      </c>
      <c r="V483" s="19">
        <f>V482+IF(LEN($AF$483)&gt;0,1,0)</f>
        <v/>
      </c>
      <c r="X483" s="19">
        <f>IF(ISERROR($B$483),"",IF(ISBLANK($B$483),"",$B$483))</f>
        <v/>
      </c>
      <c r="Y483" s="19">
        <f>IF(ISERROR($C$483),"",IF(ISBLANK($C$483),"",$C$483))</f>
        <v/>
      </c>
      <c r="Z483" s="19">
        <f>IF(ISERROR($D$483),"",IF(ISBLANK($D$483),"",$D$483))</f>
        <v/>
      </c>
      <c r="AA483" s="19">
        <f>IF(ISERROR($E$483),"",IF(ISBLANK($E$483),"",$E$483))</f>
        <v/>
      </c>
      <c r="AB483" s="19">
        <f>IF(ISERROR($F$483),"",IF(ISBLANK($F$483),"",$F$483))</f>
        <v/>
      </c>
      <c r="AC483" s="19">
        <f>IF(ISERROR($G$483),"",IF(ISBLANK($G$483),"",$G$483))</f>
        <v/>
      </c>
      <c r="AD483" s="19">
        <f>IF(ISERROR($H$483),"",IF(ISBLANK($H$483),"",$H$483))</f>
        <v/>
      </c>
      <c r="AE483" s="19">
        <f>IF(ISERROR($I$483),"",IF(ISBLANK($I$483),"",$I$483))</f>
        <v/>
      </c>
      <c r="AF483" s="19">
        <f>IF(ISERROR($J$483),"",IF(ISBLANK($J$483),"",$J$483))</f>
        <v/>
      </c>
      <c r="AG483" s="19">
        <f>ISERROR($B$483)*1+ISERROR($C$483)*1+ISERROR($D$483)*1+ISERROR($E$483)*1+ISERROR($F$483)*1+ISERROR($G$483)*1+ISERROR($H$483)*1+ISERROR($I$483)*1+ISERROR($J$483)*1</f>
        <v/>
      </c>
    </row>
    <row r="484" ht="37" customHeight="1">
      <c r="B484" s="30" t="inlineStr">
        <is>
          <t>A Harmonia</t>
        </is>
      </c>
      <c r="C484" s="3" t="inlineStr">
        <is>
          <t>reunir a família espalhada</t>
        </is>
      </c>
      <c r="D484" s="3" t="inlineStr">
        <is>
          <t>Defesa de posição</t>
        </is>
      </c>
      <c r="E484" s="3" t="inlineStr">
        <is>
          <t>segurar uma ponte até a evacuação terminar</t>
        </is>
      </c>
      <c r="F484" s="3" t="inlineStr">
        <is>
          <t>Rastro de Stellaron</t>
        </is>
      </c>
      <c r="G484" s="3" t="inlineStr">
        <is>
          <t>Três desconhecidos pedem a mesma informação ao grupo no mesmo dia</t>
        </is>
      </c>
      <c r="H484" s="3" t="inlineStr">
        <is>
          <t>um laboratório lacrado há cem anos</t>
        </is>
      </c>
      <c r="I484" s="3" t="inlineStr">
        <is>
          <t>a ponte de acesso desaba no meio do caminho</t>
        </is>
      </c>
      <c r="J484" s="3" t="inlineStr">
        <is>
          <t>o mapa leva ao Expresso Astral de outra época</t>
        </is>
      </c>
      <c r="K484" s="18">
        <f>IF(AG484&gt;0,"O Google leu como fórmula: digite de novo com ' na frente.","")</f>
        <v/>
      </c>
      <c r="N484" s="19">
        <f>N483+IF(LEN($X$484)&gt;0,1,0)</f>
        <v/>
      </c>
      <c r="P484" s="19">
        <f>P483+IF(LEN($Z$484)&gt;0,1,0)</f>
        <v/>
      </c>
      <c r="R484" s="19">
        <f>R483+IF(LEN($AB$484)&gt;0,1,0)</f>
        <v/>
      </c>
      <c r="S484" s="19">
        <f>S483+IF(LEN($AC$484)&gt;0,1,0)</f>
        <v/>
      </c>
      <c r="T484" s="19">
        <f>T483+IF(LEN($AD$484)&gt;0,1,0)</f>
        <v/>
      </c>
      <c r="U484" s="19">
        <f>U483+IF(LEN($AE$484)&gt;0,1,0)</f>
        <v/>
      </c>
      <c r="V484" s="19">
        <f>V483+IF(LEN($AF$484)&gt;0,1,0)</f>
        <v/>
      </c>
      <c r="X484" s="19">
        <f>IF(ISERROR($B$484),"",IF(ISBLANK($B$484),"",$B$484))</f>
        <v/>
      </c>
      <c r="Y484" s="19">
        <f>IF(ISERROR($C$484),"",IF(ISBLANK($C$484),"",$C$484))</f>
        <v/>
      </c>
      <c r="Z484" s="19">
        <f>IF(ISERROR($D$484),"",IF(ISBLANK($D$484),"",$D$484))</f>
        <v/>
      </c>
      <c r="AA484" s="19">
        <f>IF(ISERROR($E$484),"",IF(ISBLANK($E$484),"",$E$484))</f>
        <v/>
      </c>
      <c r="AB484" s="19">
        <f>IF(ISERROR($F$484),"",IF(ISBLANK($F$484),"",$F$484))</f>
        <v/>
      </c>
      <c r="AC484" s="19">
        <f>IF(ISERROR($G$484),"",IF(ISBLANK($G$484),"",$G$484))</f>
        <v/>
      </c>
      <c r="AD484" s="19">
        <f>IF(ISERROR($H$484),"",IF(ISBLANK($H$484),"",$H$484))</f>
        <v/>
      </c>
      <c r="AE484" s="19">
        <f>IF(ISERROR($I$484),"",IF(ISBLANK($I$484),"",$I$484))</f>
        <v/>
      </c>
      <c r="AF484" s="19">
        <f>IF(ISERROR($J$484),"",IF(ISBLANK($J$484),"",$J$484))</f>
        <v/>
      </c>
      <c r="AG484" s="19">
        <f>ISERROR($B$484)*1+ISERROR($C$484)*1+ISERROR($D$484)*1+ISERROR($E$484)*1+ISERROR($F$484)*1+ISERROR($G$484)*1+ISERROR($H$484)*1+ISERROR($I$484)*1+ISERROR($J$484)*1</f>
        <v/>
      </c>
    </row>
    <row r="485" ht="15" customHeight="1">
      <c r="B485" s="7" t="inlineStr">
        <is>
          <t>Caminho (motivação)</t>
        </is>
      </c>
      <c r="C485" s="7" t="inlineStr">
        <is>
          <t>Motivação por Caminho</t>
        </is>
      </c>
      <c r="D485" s="7" t="inlineStr">
        <is>
          <t>Tipo (objetivo)</t>
        </is>
      </c>
      <c r="E485" s="7" t="inlineStr">
        <is>
          <t>Objetivo por tipo</t>
        </is>
      </c>
      <c r="F485" s="7" t="inlineStr">
        <is>
          <t>Tipo de aventura</t>
        </is>
      </c>
      <c r="G485" s="7" t="inlineStr">
        <is>
          <t>Gancho de aventura</t>
        </is>
      </c>
      <c r="H485" s="7" t="inlineStr">
        <is>
          <t>Local (sabor)</t>
        </is>
      </c>
      <c r="I485" s="7" t="inlineStr">
        <is>
          <t>Complicação</t>
        </is>
      </c>
      <c r="J485" s="7" t="inlineStr">
        <is>
          <t>Reviravolta</t>
        </is>
      </c>
      <c r="N485" s="19">
        <f>N484</f>
        <v/>
      </c>
      <c r="P485" s="19">
        <f>P484</f>
        <v/>
      </c>
      <c r="R485" s="19">
        <f>R484</f>
        <v/>
      </c>
      <c r="S485" s="19">
        <f>S484</f>
        <v/>
      </c>
      <c r="T485" s="19">
        <f>T484</f>
        <v/>
      </c>
      <c r="U485" s="19">
        <f>U484</f>
        <v/>
      </c>
      <c r="V485" s="19">
        <f>V484</f>
        <v/>
      </c>
      <c r="X485" s="19">
        <f>IF(ISERROR($B$485),"",IF(ISBLANK($B$485),"",$B$485))</f>
        <v/>
      </c>
      <c r="Y485" s="19">
        <f>IF(ISERROR($C$485),"",IF(ISBLANK($C$485),"",$C$485))</f>
        <v/>
      </c>
      <c r="Z485" s="19">
        <f>IF(ISERROR($D$485),"",IF(ISBLANK($D$485),"",$D$485))</f>
        <v/>
      </c>
      <c r="AA485" s="19">
        <f>IF(ISERROR($E$485),"",IF(ISBLANK($E$485),"",$E$485))</f>
        <v/>
      </c>
      <c r="AB485" s="19">
        <f>IF(ISERROR($F$485),"",IF(ISBLANK($F$485),"",$F$485))</f>
        <v/>
      </c>
      <c r="AC485" s="19">
        <f>IF(ISERROR($G$485),"",IF(ISBLANK($G$485),"",$G$485))</f>
        <v/>
      </c>
      <c r="AD485" s="19">
        <f>IF(ISERROR($H$485),"",IF(ISBLANK($H$485),"",$H$485))</f>
        <v/>
      </c>
      <c r="AE485" s="19">
        <f>IF(ISERROR($I$485),"",IF(ISBLANK($I$485),"",$I$485))</f>
        <v/>
      </c>
      <c r="AF485" s="19">
        <f>IF(ISERROR($J$485),"",IF(ISBLANK($J$485),"",$J$485))</f>
        <v/>
      </c>
    </row>
    <row r="486" ht="37" customHeight="1">
      <c r="B486" s="30" t="inlineStr">
        <is>
          <t>A Harmonia</t>
        </is>
      </c>
      <c r="C486" s="3" t="inlineStr">
        <is>
          <t>fazer uma festa que todos lembrem</t>
        </is>
      </c>
      <c r="D486" s="3" t="inlineStr">
        <is>
          <t>Defesa de posição</t>
        </is>
      </c>
      <c r="E486" s="3" t="inlineStr">
        <is>
          <t>manter um gerador funcionando durante o cerco</t>
        </is>
      </c>
      <c r="F486" s="3" t="inlineStr">
        <is>
          <t>Cobrança de dívida</t>
        </is>
      </c>
      <c r="G486" s="3" t="inlineStr">
        <is>
          <t>Um transporte de prisioneiros desvia de rota</t>
        </is>
      </c>
      <c r="H486" s="3" t="inlineStr">
        <is>
          <t>um trem de carga que dá a volta num planeta</t>
        </is>
      </c>
      <c r="I486" s="3" t="inlineStr">
        <is>
          <t>um Tolo Mascarado decide transformar a missão em espetáculo</t>
        </is>
      </c>
      <c r="J486" s="3" t="inlineStr">
        <is>
          <t>dois grupos rivais querem a mesma coisa por motivos opostos</t>
        </is>
      </c>
      <c r="K486" s="18">
        <f>IF(AG486&gt;0,"O Google leu como fórmula: digite de novo com ' na frente.","")</f>
        <v/>
      </c>
      <c r="N486" s="19">
        <f>N485+IF(LEN($X$486)&gt;0,1,0)</f>
        <v/>
      </c>
      <c r="P486" s="19">
        <f>P485+IF(LEN($Z$486)&gt;0,1,0)</f>
        <v/>
      </c>
      <c r="R486" s="19">
        <f>R485+IF(LEN($AB$486)&gt;0,1,0)</f>
        <v/>
      </c>
      <c r="S486" s="19">
        <f>S485+IF(LEN($AC$486)&gt;0,1,0)</f>
        <v/>
      </c>
      <c r="T486" s="19">
        <f>T485+IF(LEN($AD$486)&gt;0,1,0)</f>
        <v/>
      </c>
      <c r="U486" s="19">
        <f>U485+IF(LEN($AE$486)&gt;0,1,0)</f>
        <v/>
      </c>
      <c r="V486" s="19">
        <f>V485+IF(LEN($AF$486)&gt;0,1,0)</f>
        <v/>
      </c>
      <c r="X486" s="19">
        <f>IF(ISERROR($B$486),"",IF(ISBLANK($B$486),"",$B$486))</f>
        <v/>
      </c>
      <c r="Y486" s="19">
        <f>IF(ISERROR($C$486),"",IF(ISBLANK($C$486),"",$C$486))</f>
        <v/>
      </c>
      <c r="Z486" s="19">
        <f>IF(ISERROR($D$486),"",IF(ISBLANK($D$486),"",$D$486))</f>
        <v/>
      </c>
      <c r="AA486" s="19">
        <f>IF(ISERROR($E$486),"",IF(ISBLANK($E$486),"",$E$486))</f>
        <v/>
      </c>
      <c r="AB486" s="19">
        <f>IF(ISERROR($F$486),"",IF(ISBLANK($F$486),"",$F$486))</f>
        <v/>
      </c>
      <c r="AC486" s="19">
        <f>IF(ISERROR($G$486),"",IF(ISBLANK($G$486),"",$G$486))</f>
        <v/>
      </c>
      <c r="AD486" s="19">
        <f>IF(ISERROR($H$486),"",IF(ISBLANK($H$486),"",$H$486))</f>
        <v/>
      </c>
      <c r="AE486" s="19">
        <f>IF(ISERROR($I$486),"",IF(ISBLANK($I$486),"",$I$486))</f>
        <v/>
      </c>
      <c r="AF486" s="19">
        <f>IF(ISERROR($J$486),"",IF(ISBLANK($J$486),"",$J$486))</f>
        <v/>
      </c>
      <c r="AG486" s="19">
        <f>ISERROR($B$486)*1+ISERROR($C$486)*1+ISERROR($D$486)*1+ISERROR($E$486)*1+ISERROR($F$486)*1+ISERROR($G$486)*1+ISERROR($H$486)*1+ISERROR($I$486)*1+ISERROR($J$486)*1</f>
        <v/>
      </c>
    </row>
    <row r="487" ht="37" customHeight="1">
      <c r="B487" s="31" t="inlineStr">
        <is>
          <t>A Harmonia</t>
        </is>
      </c>
      <c r="C487" s="28" t="inlineStr">
        <is>
          <t>achar um lugar onde todos caibam</t>
        </is>
      </c>
      <c r="D487" s="28" t="inlineStr">
        <is>
          <t>Defesa de posição</t>
        </is>
      </c>
      <c r="E487" s="28" t="inlineStr">
        <is>
          <t>proteger um hospital de campanha por uma noite</t>
        </is>
      </c>
      <c r="F487" s="28" t="n"/>
      <c r="G487" s="28" t="inlineStr">
        <is>
          <t>As máquinas de uma oficina começam a construir algo sozinhas</t>
        </is>
      </c>
      <c r="H487" s="28" t="inlineStr">
        <is>
          <t>uma prisão com uma fuga recente</t>
        </is>
      </c>
      <c r="I487" s="28" t="inlineStr">
        <is>
          <t>a energia da estação falha nos piores momentos</t>
        </is>
      </c>
      <c r="J487" s="28" t="inlineStr">
        <is>
          <t>a criatura protege os filhotes</t>
        </is>
      </c>
      <c r="K487" s="18">
        <f>IF(AG487&gt;0,"O Google leu como fórmula: digite de novo com ' na frente.","")</f>
        <v/>
      </c>
      <c r="N487" s="19">
        <f>N486+IF(LEN($X$487)&gt;0,1,0)</f>
        <v/>
      </c>
      <c r="P487" s="19">
        <f>P486+IF(LEN($Z$487)&gt;0,1,0)</f>
        <v/>
      </c>
      <c r="R487" s="19">
        <f>R486+IF(LEN($AB$487)&gt;0,1,0)</f>
        <v/>
      </c>
      <c r="S487" s="19">
        <f>S486+IF(LEN($AC$487)&gt;0,1,0)</f>
        <v/>
      </c>
      <c r="T487" s="19">
        <f>T486+IF(LEN($AD$487)&gt;0,1,0)</f>
        <v/>
      </c>
      <c r="U487" s="19">
        <f>U486+IF(LEN($AE$487)&gt;0,1,0)</f>
        <v/>
      </c>
      <c r="V487" s="19">
        <f>V486+IF(LEN($AF$487)&gt;0,1,0)</f>
        <v/>
      </c>
      <c r="X487" s="19">
        <f>IF(ISERROR($B$487),"",IF(ISBLANK($B$487),"",$B$487))</f>
        <v/>
      </c>
      <c r="Y487" s="19">
        <f>IF(ISERROR($C$487),"",IF(ISBLANK($C$487),"",$C$487))</f>
        <v/>
      </c>
      <c r="Z487" s="19">
        <f>IF(ISERROR($D$487),"",IF(ISBLANK($D$487),"",$D$487))</f>
        <v/>
      </c>
      <c r="AA487" s="19">
        <f>IF(ISERROR($E$487),"",IF(ISBLANK($E$487),"",$E$487))</f>
        <v/>
      </c>
      <c r="AB487" s="19">
        <f>IF(ISERROR($F$487),"",IF(ISBLANK($F$487),"",$F$487))</f>
        <v/>
      </c>
      <c r="AC487" s="19">
        <f>IF(ISERROR($G$487),"",IF(ISBLANK($G$487),"",$G$487))</f>
        <v/>
      </c>
      <c r="AD487" s="19">
        <f>IF(ISERROR($H$487),"",IF(ISBLANK($H$487),"",$H$487))</f>
        <v/>
      </c>
      <c r="AE487" s="19">
        <f>IF(ISERROR($I$487),"",IF(ISBLANK($I$487),"",$I$487))</f>
        <v/>
      </c>
      <c r="AF487" s="19">
        <f>IF(ISERROR($J$487),"",IF(ISBLANK($J$487),"",$J$487))</f>
        <v/>
      </c>
      <c r="AG487" s="19">
        <f>ISERROR($B$487)*1+ISERROR($C$487)*1+ISERROR($D$487)*1+ISERROR($E$487)*1+ISERROR($F$487)*1+ISERROR($G$487)*1+ISERROR($H$487)*1+ISERROR($I$487)*1+ISERROR($J$487)*1</f>
        <v/>
      </c>
    </row>
    <row r="488" ht="26" customHeight="1">
      <c r="B488" s="30" t="inlineStr">
        <is>
          <t>A Abundância</t>
        </is>
      </c>
      <c r="C488" s="3" t="inlineStr">
        <is>
          <t>curar quem ninguém mais quer curar</t>
        </is>
      </c>
      <c r="D488" s="3" t="inlineStr">
        <is>
          <t>Caçada</t>
        </is>
      </c>
      <c r="E488" s="3" t="inlineStr">
        <is>
          <t>rastrear uma criatura do Fragmentum até o ninho</t>
        </is>
      </c>
      <c r="F488" s="3" t="n"/>
      <c r="G488" s="3" t="inlineStr">
        <is>
          <t>O informante de sempre não aparece no encontro marcado</t>
        </is>
      </c>
      <c r="H488" s="3" t="inlineStr">
        <is>
          <t>um teatro de marionetes mecânicas</t>
        </is>
      </c>
      <c r="I488" s="3" t="inlineStr">
        <is>
          <t>o grupo precisa voltar antes da troca de guarda</t>
        </is>
      </c>
      <c r="J488" s="3" t="inlineStr">
        <is>
          <t>o aliado de confiança vendeu o grupo há semanas</t>
        </is>
      </c>
      <c r="K488" s="18">
        <f>IF(AG488&gt;0,"O Google leu como fórmula: digite de novo com ' na frente.","")</f>
        <v/>
      </c>
      <c r="N488" s="19">
        <f>N487+IF(LEN($X$488)&gt;0,1,0)</f>
        <v/>
      </c>
      <c r="P488" s="19">
        <f>P487+IF(LEN($Z$488)&gt;0,1,0)</f>
        <v/>
      </c>
      <c r="R488" s="19">
        <f>R487+IF(LEN($AB$488)&gt;0,1,0)</f>
        <v/>
      </c>
      <c r="S488" s="19">
        <f>S487+IF(LEN($AC$488)&gt;0,1,0)</f>
        <v/>
      </c>
      <c r="T488" s="19">
        <f>T487+IF(LEN($AD$488)&gt;0,1,0)</f>
        <v/>
      </c>
      <c r="U488" s="19">
        <f>U487+IF(LEN($AE$488)&gt;0,1,0)</f>
        <v/>
      </c>
      <c r="V488" s="19">
        <f>V487+IF(LEN($AF$488)&gt;0,1,0)</f>
        <v/>
      </c>
      <c r="X488" s="19">
        <f>IF(ISERROR($B$488),"",IF(ISBLANK($B$488),"",$B$488))</f>
        <v/>
      </c>
      <c r="Y488" s="19">
        <f>IF(ISERROR($C$488),"",IF(ISBLANK($C$488),"",$C$488))</f>
        <v/>
      </c>
      <c r="Z488" s="19">
        <f>IF(ISERROR($D$488),"",IF(ISBLANK($D$488),"",$D$488))</f>
        <v/>
      </c>
      <c r="AA488" s="19">
        <f>IF(ISERROR($E$488),"",IF(ISBLANK($E$488),"",$E$488))</f>
        <v/>
      </c>
      <c r="AB488" s="19">
        <f>IF(ISERROR($F$488),"",IF(ISBLANK($F$488),"",$F$488))</f>
        <v/>
      </c>
      <c r="AC488" s="19">
        <f>IF(ISERROR($G$488),"",IF(ISBLANK($G$488),"",$G$488))</f>
        <v/>
      </c>
      <c r="AD488" s="19">
        <f>IF(ISERROR($H$488),"",IF(ISBLANK($H$488),"",$H$488))</f>
        <v/>
      </c>
      <c r="AE488" s="19">
        <f>IF(ISERROR($I$488),"",IF(ISBLANK($I$488),"",$I$488))</f>
        <v/>
      </c>
      <c r="AF488" s="19">
        <f>IF(ISERROR($J$488),"",IF(ISBLANK($J$488),"",$J$488))</f>
        <v/>
      </c>
      <c r="AG488" s="19">
        <f>ISERROR($B$488)*1+ISERROR($C$488)*1+ISERROR($D$488)*1+ISERROR($E$488)*1+ISERROR($F$488)*1+ISERROR($G$488)*1+ISERROR($H$488)*1+ISERROR($I$488)*1+ISERROR($J$488)*1</f>
        <v/>
      </c>
    </row>
    <row r="489" ht="37" customHeight="1">
      <c r="B489" s="31" t="inlineStr">
        <is>
          <t>A Abundância</t>
        </is>
      </c>
      <c r="C489" s="28" t="inlineStr">
        <is>
          <t>manter alguém vivo a qualquer preço</t>
        </is>
      </c>
      <c r="D489" s="28" t="inlineStr">
        <is>
          <t>Caçada</t>
        </is>
      </c>
      <c r="E489" s="28" t="inlineStr">
        <is>
          <t>capturar vivo um desertor da Legião</t>
        </is>
      </c>
      <c r="F489" s="28" t="n"/>
      <c r="G489" s="28" t="inlineStr">
        <is>
          <t>Um navio-hospital pede abrigo e não deixa ninguém subir a bordo</t>
        </is>
      </c>
      <c r="H489" s="28" t="inlineStr">
        <is>
          <t>uma fazenda de algas num oceano raso</t>
        </is>
      </c>
      <c r="I489" s="28" t="inlineStr">
        <is>
          <t>um inocente fica preso no meio da confusão</t>
        </is>
      </c>
      <c r="J489" s="28" t="inlineStr">
        <is>
          <t>o objeto procurado está dentro de alguém</t>
        </is>
      </c>
      <c r="K489" s="18">
        <f>IF(AG489&gt;0,"O Google leu como fórmula: digite de novo com ' na frente.","")</f>
        <v/>
      </c>
      <c r="N489" s="19">
        <f>N488+IF(LEN($X$489)&gt;0,1,0)</f>
        <v/>
      </c>
      <c r="P489" s="19">
        <f>P488+IF(LEN($Z$489)&gt;0,1,0)</f>
        <v/>
      </c>
      <c r="R489" s="19">
        <f>R488+IF(LEN($AB$489)&gt;0,1,0)</f>
        <v/>
      </c>
      <c r="S489" s="19">
        <f>S488+IF(LEN($AC$489)&gt;0,1,0)</f>
        <v/>
      </c>
      <c r="T489" s="19">
        <f>T488+IF(LEN($AD$489)&gt;0,1,0)</f>
        <v/>
      </c>
      <c r="U489" s="19">
        <f>U488+IF(LEN($AE$489)&gt;0,1,0)</f>
        <v/>
      </c>
      <c r="V489" s="19">
        <f>V488+IF(LEN($AF$489)&gt;0,1,0)</f>
        <v/>
      </c>
      <c r="X489" s="19">
        <f>IF(ISERROR($B$489),"",IF(ISBLANK($B$489),"",$B$489))</f>
        <v/>
      </c>
      <c r="Y489" s="19">
        <f>IF(ISERROR($C$489),"",IF(ISBLANK($C$489),"",$C$489))</f>
        <v/>
      </c>
      <c r="Z489" s="19">
        <f>IF(ISERROR($D$489),"",IF(ISBLANK($D$489),"",$D$489))</f>
        <v/>
      </c>
      <c r="AA489" s="19">
        <f>IF(ISERROR($E$489),"",IF(ISBLANK($E$489),"",$E$489))</f>
        <v/>
      </c>
      <c r="AB489" s="19">
        <f>IF(ISERROR($F$489),"",IF(ISBLANK($F$489),"",$F$489))</f>
        <v/>
      </c>
      <c r="AC489" s="19">
        <f>IF(ISERROR($G$489),"",IF(ISBLANK($G$489),"",$G$489))</f>
        <v/>
      </c>
      <c r="AD489" s="19">
        <f>IF(ISERROR($H$489),"",IF(ISBLANK($H$489),"",$H$489))</f>
        <v/>
      </c>
      <c r="AE489" s="19">
        <f>IF(ISERROR($I$489),"",IF(ISBLANK($I$489),"",$I$489))</f>
        <v/>
      </c>
      <c r="AF489" s="19">
        <f>IF(ISERROR($J$489),"",IF(ISBLANK($J$489),"",$J$489))</f>
        <v/>
      </c>
      <c r="AG489" s="19">
        <f>ISERROR($B$489)*1+ISERROR($C$489)*1+ISERROR($D$489)*1+ISERROR($E$489)*1+ISERROR($F$489)*1+ISERROR($G$489)*1+ISERROR($H$489)*1+ISERROR($I$489)*1+ISERROR($J$489)*1</f>
        <v/>
      </c>
    </row>
    <row r="490" ht="26" customHeight="1">
      <c r="B490" s="30" t="inlineStr">
        <is>
          <t>A Abundância</t>
        </is>
      </c>
      <c r="C490" s="3" t="inlineStr">
        <is>
          <t>plantar algo que dure séculos</t>
        </is>
      </c>
      <c r="D490" s="3" t="inlineStr">
        <is>
          <t>Caçada</t>
        </is>
      </c>
      <c r="E490" s="3" t="inlineStr">
        <is>
          <t>encontrar o Autômato que foge pelos dutos</t>
        </is>
      </c>
      <c r="F490" s="3" t="n"/>
      <c r="G490" s="3" t="inlineStr">
        <is>
          <t>Um bairro inteiro sonha o mesmo sonho</t>
        </is>
      </c>
      <c r="H490" s="3" t="inlineStr">
        <is>
          <t>um observatório numa montanha sem ar</t>
        </is>
      </c>
      <c r="I490" s="3" t="inlineStr">
        <is>
          <t>o contratante muda as condições pela metade</t>
        </is>
      </c>
      <c r="J490" s="3" t="inlineStr">
        <is>
          <t>a colônia inteira sabia e se calou</t>
        </is>
      </c>
      <c r="K490" s="18">
        <f>IF(AG490&gt;0,"O Google leu como fórmula: digite de novo com ' na frente.","")</f>
        <v/>
      </c>
      <c r="N490" s="19">
        <f>N489+IF(LEN($X$490)&gt;0,1,0)</f>
        <v/>
      </c>
      <c r="P490" s="19">
        <f>P489+IF(LEN($Z$490)&gt;0,1,0)</f>
        <v/>
      </c>
      <c r="R490" s="19">
        <f>R489+IF(LEN($AB$490)&gt;0,1,0)</f>
        <v/>
      </c>
      <c r="S490" s="19">
        <f>S489+IF(LEN($AC$490)&gt;0,1,0)</f>
        <v/>
      </c>
      <c r="T490" s="19">
        <f>T489+IF(LEN($AD$490)&gt;0,1,0)</f>
        <v/>
      </c>
      <c r="U490" s="19">
        <f>U489+IF(LEN($AE$490)&gt;0,1,0)</f>
        <v/>
      </c>
      <c r="V490" s="19">
        <f>V489+IF(LEN($AF$490)&gt;0,1,0)</f>
        <v/>
      </c>
      <c r="X490" s="19">
        <f>IF(ISERROR($B$490),"",IF(ISBLANK($B$490),"",$B$490))</f>
        <v/>
      </c>
      <c r="Y490" s="19">
        <f>IF(ISERROR($C$490),"",IF(ISBLANK($C$490),"",$C$490))</f>
        <v/>
      </c>
      <c r="Z490" s="19">
        <f>IF(ISERROR($D$490),"",IF(ISBLANK($D$490),"",$D$490))</f>
        <v/>
      </c>
      <c r="AA490" s="19">
        <f>IF(ISERROR($E$490),"",IF(ISBLANK($E$490),"",$E$490))</f>
        <v/>
      </c>
      <c r="AB490" s="19">
        <f>IF(ISERROR($F$490),"",IF(ISBLANK($F$490),"",$F$490))</f>
        <v/>
      </c>
      <c r="AC490" s="19">
        <f>IF(ISERROR($G$490),"",IF(ISBLANK($G$490),"",$G$490))</f>
        <v/>
      </c>
      <c r="AD490" s="19">
        <f>IF(ISERROR($H$490),"",IF(ISBLANK($H$490),"",$H$490))</f>
        <v/>
      </c>
      <c r="AE490" s="19">
        <f>IF(ISERROR($I$490),"",IF(ISBLANK($I$490),"",$I$490))</f>
        <v/>
      </c>
      <c r="AF490" s="19">
        <f>IF(ISERROR($J$490),"",IF(ISBLANK($J$490),"",$J$490))</f>
        <v/>
      </c>
      <c r="AG490" s="19">
        <f>ISERROR($B$490)*1+ISERROR($C$490)*1+ISERROR($D$490)*1+ISERROR($E$490)*1+ISERROR($F$490)*1+ISERROR($G$490)*1+ISERROR($H$490)*1+ISERROR($I$490)*1+ISERROR($J$490)*1</f>
        <v/>
      </c>
    </row>
    <row r="491" ht="37" customHeight="1">
      <c r="B491" s="31" t="inlineStr">
        <is>
          <t>A Abundância</t>
        </is>
      </c>
      <c r="C491" s="28" t="inlineStr">
        <is>
          <t>devolver a saúde a um mundo doente</t>
        </is>
      </c>
      <c r="D491" s="28" t="inlineStr">
        <is>
          <t>Entrega</t>
        </is>
      </c>
      <c r="E491" s="28" t="inlineStr">
        <is>
          <t>levar um pacote lacrado sem abrir nem perguntar</t>
        </is>
      </c>
      <c r="F491" s="28" t="n"/>
      <c r="G491" s="28" t="inlineStr">
        <is>
          <t>Uma moeda antiga aparece no troco de todo mundo</t>
        </is>
      </c>
      <c r="H491" s="28" t="inlineStr">
        <is>
          <t>uma cidade-mercado sobre pernas de ferro</t>
        </is>
      </c>
      <c r="I491" s="28" t="inlineStr">
        <is>
          <t>uma criatura do Fragmentum aparece onde não devia</t>
        </is>
      </c>
      <c r="J491" s="28" t="inlineStr">
        <is>
          <t>o contrato da Corporação tem uma cláusula que prende o grupo</t>
        </is>
      </c>
      <c r="K491" s="18">
        <f>IF(AG491&gt;0,"O Google leu como fórmula: digite de novo com ' na frente.","")</f>
        <v/>
      </c>
      <c r="N491" s="19">
        <f>N490+IF(LEN($X$491)&gt;0,1,0)</f>
        <v/>
      </c>
      <c r="P491" s="19">
        <f>P490+IF(LEN($Z$491)&gt;0,1,0)</f>
        <v/>
      </c>
      <c r="R491" s="19">
        <f>R490+IF(LEN($AB$491)&gt;0,1,0)</f>
        <v/>
      </c>
      <c r="S491" s="19">
        <f>S490+IF(LEN($AC$491)&gt;0,1,0)</f>
        <v/>
      </c>
      <c r="T491" s="19">
        <f>T490+IF(LEN($AD$491)&gt;0,1,0)</f>
        <v/>
      </c>
      <c r="U491" s="19">
        <f>U490+IF(LEN($AE$491)&gt;0,1,0)</f>
        <v/>
      </c>
      <c r="V491" s="19">
        <f>V490+IF(LEN($AF$491)&gt;0,1,0)</f>
        <v/>
      </c>
      <c r="X491" s="19">
        <f>IF(ISERROR($B$491),"",IF(ISBLANK($B$491),"",$B$491))</f>
        <v/>
      </c>
      <c r="Y491" s="19">
        <f>IF(ISERROR($C$491),"",IF(ISBLANK($C$491),"",$C$491))</f>
        <v/>
      </c>
      <c r="Z491" s="19">
        <f>IF(ISERROR($D$491),"",IF(ISBLANK($D$491),"",$D$491))</f>
        <v/>
      </c>
      <c r="AA491" s="19">
        <f>IF(ISERROR($E$491),"",IF(ISBLANK($E$491),"",$E$491))</f>
        <v/>
      </c>
      <c r="AB491" s="19">
        <f>IF(ISERROR($F$491),"",IF(ISBLANK($F$491),"",$F$491))</f>
        <v/>
      </c>
      <c r="AC491" s="19">
        <f>IF(ISERROR($G$491),"",IF(ISBLANK($G$491),"",$G$491))</f>
        <v/>
      </c>
      <c r="AD491" s="19">
        <f>IF(ISERROR($H$491),"",IF(ISBLANK($H$491),"",$H$491))</f>
        <v/>
      </c>
      <c r="AE491" s="19">
        <f>IF(ISERROR($I$491),"",IF(ISBLANK($I$491),"",$I$491))</f>
        <v/>
      </c>
      <c r="AF491" s="19">
        <f>IF(ISERROR($J$491),"",IF(ISBLANK($J$491),"",$J$491))</f>
        <v/>
      </c>
      <c r="AG491" s="19">
        <f>ISERROR($B$491)*1+ISERROR($C$491)*1+ISERROR($D$491)*1+ISERROR($E$491)*1+ISERROR($F$491)*1+ISERROR($G$491)*1+ISERROR($H$491)*1+ISERROR($I$491)*1+ISERROR($J$491)*1</f>
        <v/>
      </c>
    </row>
    <row r="492" ht="37" customHeight="1">
      <c r="B492" s="30" t="inlineStr">
        <is>
          <t>A Abundância</t>
        </is>
      </c>
      <c r="C492" s="3" t="inlineStr">
        <is>
          <t>encontrar o remédio que salvou e condenou a sua gente</t>
        </is>
      </c>
      <c r="D492" s="3" t="inlineStr">
        <is>
          <t>Entrega</t>
        </is>
      </c>
      <c r="E492" s="3" t="inlineStr">
        <is>
          <t>entregar remédios antes que a colônia feche os portões</t>
        </is>
      </c>
      <c r="F492" s="3" t="n"/>
      <c r="G492" s="3" t="inlineStr">
        <is>
          <t>O rádio da nave capta uma transmissão de vinte anos atrás</t>
        </is>
      </c>
      <c r="H492" s="3" t="inlineStr">
        <is>
          <t>um hospital de campanha num vale nevado</t>
        </is>
      </c>
      <c r="I492" s="3" t="inlineStr">
        <is>
          <t>os moradores não querem ajuda e dizem isso com pedras</t>
        </is>
      </c>
      <c r="J492" s="3" t="inlineStr">
        <is>
          <t>o morto não está morto</t>
        </is>
      </c>
      <c r="K492" s="18">
        <f>IF(AG492&gt;0,"O Google leu como fórmula: digite de novo com ' na frente.","")</f>
        <v/>
      </c>
      <c r="N492" s="19">
        <f>N491+IF(LEN($X$492)&gt;0,1,0)</f>
        <v/>
      </c>
      <c r="P492" s="19">
        <f>P491+IF(LEN($Z$492)&gt;0,1,0)</f>
        <v/>
      </c>
      <c r="R492" s="19">
        <f>R491+IF(LEN($AB$492)&gt;0,1,0)</f>
        <v/>
      </c>
      <c r="S492" s="19">
        <f>S491+IF(LEN($AC$492)&gt;0,1,0)</f>
        <v/>
      </c>
      <c r="T492" s="19">
        <f>T491+IF(LEN($AD$492)&gt;0,1,0)</f>
        <v/>
      </c>
      <c r="U492" s="19">
        <f>U491+IF(LEN($AE$492)&gt;0,1,0)</f>
        <v/>
      </c>
      <c r="V492" s="19">
        <f>V491+IF(LEN($AF$492)&gt;0,1,0)</f>
        <v/>
      </c>
      <c r="X492" s="19">
        <f>IF(ISERROR($B$492),"",IF(ISBLANK($B$492),"",$B$492))</f>
        <v/>
      </c>
      <c r="Y492" s="19">
        <f>IF(ISERROR($C$492),"",IF(ISBLANK($C$492),"",$C$492))</f>
        <v/>
      </c>
      <c r="Z492" s="19">
        <f>IF(ISERROR($D$492),"",IF(ISBLANK($D$492),"",$D$492))</f>
        <v/>
      </c>
      <c r="AA492" s="19">
        <f>IF(ISERROR($E$492),"",IF(ISBLANK($E$492),"",$E$492))</f>
        <v/>
      </c>
      <c r="AB492" s="19">
        <f>IF(ISERROR($F$492),"",IF(ISBLANK($F$492),"",$F$492))</f>
        <v/>
      </c>
      <c r="AC492" s="19">
        <f>IF(ISERROR($G$492),"",IF(ISBLANK($G$492),"",$G$492))</f>
        <v/>
      </c>
      <c r="AD492" s="19">
        <f>IF(ISERROR($H$492),"",IF(ISBLANK($H$492),"",$H$492))</f>
        <v/>
      </c>
      <c r="AE492" s="19">
        <f>IF(ISERROR($I$492),"",IF(ISBLANK($I$492),"",$I$492))</f>
        <v/>
      </c>
      <c r="AF492" s="19">
        <f>IF(ISERROR($J$492),"",IF(ISBLANK($J$492),"",$J$492))</f>
        <v/>
      </c>
      <c r="AG492" s="19">
        <f>ISERROR($B$492)*1+ISERROR($C$492)*1+ISERROR($D$492)*1+ISERROR($E$492)*1+ISERROR($F$492)*1+ISERROR($G$492)*1+ISERROR($H$492)*1+ISERROR($I$492)*1+ISERROR($J$492)*1</f>
        <v/>
      </c>
    </row>
    <row r="493" ht="37" customHeight="1">
      <c r="B493" s="31" t="inlineStr">
        <is>
          <t>A Recordação</t>
        </is>
      </c>
      <c r="C493" s="28" t="inlineStr">
        <is>
          <t>guardar a memória de quem morreu</t>
        </is>
      </c>
      <c r="D493" s="28" t="inlineStr">
        <is>
          <t>Entrega</t>
        </is>
      </c>
      <c r="E493" s="28" t="inlineStr">
        <is>
          <t>fazer chegar uma carta a alguém que não quer ser achado</t>
        </is>
      </c>
      <c r="F493" s="28" t="n"/>
      <c r="G493" s="28" t="inlineStr">
        <is>
          <t>Um soldado da Legião bate à porta pedindo para desertar</t>
        </is>
      </c>
      <c r="H493" s="28" t="inlineStr">
        <is>
          <t>um depósito de sucata que vende de tudo</t>
        </is>
      </c>
      <c r="I493" s="28" t="inlineStr">
        <is>
          <t>o mapa está duas décadas desatualizado</t>
        </is>
      </c>
      <c r="J493" s="28" t="inlineStr">
        <is>
          <t>o sinal de socorro foi enviado pelo próprio antagonista</t>
        </is>
      </c>
      <c r="K493" s="18">
        <f>IF(AG493&gt;0,"O Google leu como fórmula: digite de novo com ' na frente.","")</f>
        <v/>
      </c>
      <c r="N493" s="19">
        <f>N492+IF(LEN($X$493)&gt;0,1,0)</f>
        <v/>
      </c>
      <c r="P493" s="19">
        <f>P492+IF(LEN($Z$493)&gt;0,1,0)</f>
        <v/>
      </c>
      <c r="R493" s="19">
        <f>R492+IF(LEN($AB$493)&gt;0,1,0)</f>
        <v/>
      </c>
      <c r="S493" s="19">
        <f>S492+IF(LEN($AC$493)&gt;0,1,0)</f>
        <v/>
      </c>
      <c r="T493" s="19">
        <f>T492+IF(LEN($AD$493)&gt;0,1,0)</f>
        <v/>
      </c>
      <c r="U493" s="19">
        <f>U492+IF(LEN($AE$493)&gt;0,1,0)</f>
        <v/>
      </c>
      <c r="V493" s="19">
        <f>V492+IF(LEN($AF$493)&gt;0,1,0)</f>
        <v/>
      </c>
      <c r="X493" s="19">
        <f>IF(ISERROR($B$493),"",IF(ISBLANK($B$493),"",$B$493))</f>
        <v/>
      </c>
      <c r="Y493" s="19">
        <f>IF(ISERROR($C$493),"",IF(ISBLANK($C$493),"",$C$493))</f>
        <v/>
      </c>
      <c r="Z493" s="19">
        <f>IF(ISERROR($D$493),"",IF(ISBLANK($D$493),"",$D$493))</f>
        <v/>
      </c>
      <c r="AA493" s="19">
        <f>IF(ISERROR($E$493),"",IF(ISBLANK($E$493),"",$E$493))</f>
        <v/>
      </c>
      <c r="AB493" s="19">
        <f>IF(ISERROR($F$493),"",IF(ISBLANK($F$493),"",$F$493))</f>
        <v/>
      </c>
      <c r="AC493" s="19">
        <f>IF(ISERROR($G$493),"",IF(ISBLANK($G$493),"",$G$493))</f>
        <v/>
      </c>
      <c r="AD493" s="19">
        <f>IF(ISERROR($H$493),"",IF(ISBLANK($H$493),"",$H$493))</f>
        <v/>
      </c>
      <c r="AE493" s="19">
        <f>IF(ISERROR($I$493),"",IF(ISBLANK($I$493),"",$I$493))</f>
        <v/>
      </c>
      <c r="AF493" s="19">
        <f>IF(ISERROR($J$493),"",IF(ISBLANK($J$493),"",$J$493))</f>
        <v/>
      </c>
      <c r="AG493" s="19">
        <f>ISERROR($B$493)*1+ISERROR($C$493)*1+ISERROR($D$493)*1+ISERROR($E$493)*1+ISERROR($F$493)*1+ISERROR($G$493)*1+ISERROR($H$493)*1+ISERROR($I$493)*1+ISERROR($J$493)*1</f>
        <v/>
      </c>
    </row>
    <row r="494" ht="26" customHeight="1">
      <c r="B494" s="30" t="inlineStr">
        <is>
          <t>A Recordação</t>
        </is>
      </c>
      <c r="C494" s="3" t="inlineStr">
        <is>
          <t>recuperar uma lembrança apagada</t>
        </is>
      </c>
      <c r="D494" s="3" t="inlineStr">
        <is>
          <t>Sabotagem</t>
        </is>
      </c>
      <c r="E494" s="3" t="inlineStr">
        <is>
          <t>desligar a forja que alimenta um batalhão</t>
        </is>
      </c>
      <c r="F494" s="3" t="n"/>
      <c r="G494" s="3" t="inlineStr">
        <is>
          <t>A água da estação fica com gosto de ferro</t>
        </is>
      </c>
      <c r="H494" s="3" t="inlineStr">
        <is>
          <t>uma estação de pesquisa sem tripulação</t>
        </is>
      </c>
      <c r="I494" s="3" t="inlineStr">
        <is>
          <t>um dos acessos só abre com a senha de um morto</t>
        </is>
      </c>
      <c r="J494" s="3" t="inlineStr">
        <is>
          <t>a porta trancada protegia o lado de fora</t>
        </is>
      </c>
      <c r="K494" s="18">
        <f>IF(AG494&gt;0,"O Google leu como fórmula: digite de novo com ' na frente.","")</f>
        <v/>
      </c>
      <c r="N494" s="19">
        <f>N493+IF(LEN($X$494)&gt;0,1,0)</f>
        <v/>
      </c>
      <c r="P494" s="19">
        <f>P493+IF(LEN($Z$494)&gt;0,1,0)</f>
        <v/>
      </c>
      <c r="R494" s="19">
        <f>R493+IF(LEN($AB$494)&gt;0,1,0)</f>
        <v/>
      </c>
      <c r="S494" s="19">
        <f>S493+IF(LEN($AC$494)&gt;0,1,0)</f>
        <v/>
      </c>
      <c r="T494" s="19">
        <f>T493+IF(LEN($AD$494)&gt;0,1,0)</f>
        <v/>
      </c>
      <c r="U494" s="19">
        <f>U493+IF(LEN($AE$494)&gt;0,1,0)</f>
        <v/>
      </c>
      <c r="V494" s="19">
        <f>V493+IF(LEN($AF$494)&gt;0,1,0)</f>
        <v/>
      </c>
      <c r="X494" s="19">
        <f>IF(ISERROR($B$494),"",IF(ISBLANK($B$494),"",$B$494))</f>
        <v/>
      </c>
      <c r="Y494" s="19">
        <f>IF(ISERROR($C$494),"",IF(ISBLANK($C$494),"",$C$494))</f>
        <v/>
      </c>
      <c r="Z494" s="19">
        <f>IF(ISERROR($D$494),"",IF(ISBLANK($D$494),"",$D$494))</f>
        <v/>
      </c>
      <c r="AA494" s="19">
        <f>IF(ISERROR($E$494),"",IF(ISBLANK($E$494),"",$E$494))</f>
        <v/>
      </c>
      <c r="AB494" s="19">
        <f>IF(ISERROR($F$494),"",IF(ISBLANK($F$494),"",$F$494))</f>
        <v/>
      </c>
      <c r="AC494" s="19">
        <f>IF(ISERROR($G$494),"",IF(ISBLANK($G$494),"",$G$494))</f>
        <v/>
      </c>
      <c r="AD494" s="19">
        <f>IF(ISERROR($H$494),"",IF(ISBLANK($H$494),"",$H$494))</f>
        <v/>
      </c>
      <c r="AE494" s="19">
        <f>IF(ISERROR($I$494),"",IF(ISBLANK($I$494),"",$I$494))</f>
        <v/>
      </c>
      <c r="AF494" s="19">
        <f>IF(ISERROR($J$494),"",IF(ISBLANK($J$494),"",$J$494))</f>
        <v/>
      </c>
      <c r="AG494" s="19">
        <f>ISERROR($B$494)*1+ISERROR($C$494)*1+ISERROR($D$494)*1+ISERROR($E$494)*1+ISERROR($F$494)*1+ISERROR($G$494)*1+ISERROR($H$494)*1+ISERROR($I$494)*1+ISERROR($J$494)*1</f>
        <v/>
      </c>
    </row>
    <row r="495" ht="37" customHeight="1">
      <c r="B495" s="31" t="inlineStr">
        <is>
          <t>A Recordação</t>
        </is>
      </c>
      <c r="C495" s="28" t="inlineStr">
        <is>
          <t>escrever a história verdadeira de um lugar</t>
        </is>
      </c>
      <c r="D495" s="28" t="inlineStr">
        <is>
          <t>Sabotagem</t>
        </is>
      </c>
      <c r="E495" s="28" t="inlineStr">
        <is>
          <t>apagar os registros de uma apólice</t>
        </is>
      </c>
      <c r="F495" s="28" t="n"/>
      <c r="G495" s="28" t="inlineStr">
        <is>
          <t>Um artista convida o grupo para uma estreia que ainda não tem palco</t>
        </is>
      </c>
      <c r="H495" s="28" t="inlineStr">
        <is>
          <t>o palácio de festas de uma família falida</t>
        </is>
      </c>
      <c r="I495" s="28" t="inlineStr">
        <is>
          <t>a carga é mais pesada do que disseram</t>
        </is>
      </c>
      <c r="J495" s="28" t="inlineStr">
        <is>
          <t>alguém atrasou o grupo de propósito</t>
        </is>
      </c>
      <c r="K495" s="18">
        <f>IF(AG495&gt;0,"O Google leu como fórmula: digite de novo com ' na frente.","")</f>
        <v/>
      </c>
      <c r="N495" s="19">
        <f>N494+IF(LEN($X$495)&gt;0,1,0)</f>
        <v/>
      </c>
      <c r="P495" s="19">
        <f>P494+IF(LEN($Z$495)&gt;0,1,0)</f>
        <v/>
      </c>
      <c r="R495" s="19">
        <f>R494+IF(LEN($AB$495)&gt;0,1,0)</f>
        <v/>
      </c>
      <c r="S495" s="19">
        <f>S494+IF(LEN($AC$495)&gt;0,1,0)</f>
        <v/>
      </c>
      <c r="T495" s="19">
        <f>T494+IF(LEN($AD$495)&gt;0,1,0)</f>
        <v/>
      </c>
      <c r="U495" s="19">
        <f>U494+IF(LEN($AE$495)&gt;0,1,0)</f>
        <v/>
      </c>
      <c r="V495" s="19">
        <f>V494+IF(LEN($AF$495)&gt;0,1,0)</f>
        <v/>
      </c>
      <c r="X495" s="19">
        <f>IF(ISERROR($B$495),"",IF(ISBLANK($B$495),"",$B$495))</f>
        <v/>
      </c>
      <c r="Y495" s="19">
        <f>IF(ISERROR($C$495),"",IF(ISBLANK($C$495),"",$C$495))</f>
        <v/>
      </c>
      <c r="Z495" s="19">
        <f>IF(ISERROR($D$495),"",IF(ISBLANK($D$495),"",$D$495))</f>
        <v/>
      </c>
      <c r="AA495" s="19">
        <f>IF(ISERROR($E$495),"",IF(ISBLANK($E$495),"",$E$495))</f>
        <v/>
      </c>
      <c r="AB495" s="19">
        <f>IF(ISERROR($F$495),"",IF(ISBLANK($F$495),"",$F$495))</f>
        <v/>
      </c>
      <c r="AC495" s="19">
        <f>IF(ISERROR($G$495),"",IF(ISBLANK($G$495),"",$G$495))</f>
        <v/>
      </c>
      <c r="AD495" s="19">
        <f>IF(ISERROR($H$495),"",IF(ISBLANK($H$495),"",$H$495))</f>
        <v/>
      </c>
      <c r="AE495" s="19">
        <f>IF(ISERROR($I$495),"",IF(ISBLANK($I$495),"",$I$495))</f>
        <v/>
      </c>
      <c r="AF495" s="19">
        <f>IF(ISERROR($J$495),"",IF(ISBLANK($J$495),"",$J$495))</f>
        <v/>
      </c>
      <c r="AG495" s="19">
        <f>ISERROR($B$495)*1+ISERROR($C$495)*1+ISERROR($D$495)*1+ISERROR($E$495)*1+ISERROR($F$495)*1+ISERROR($G$495)*1+ISERROR($H$495)*1+ISERROR($I$495)*1+ISERROR($J$495)*1</f>
        <v/>
      </c>
    </row>
    <row r="496" ht="37" customHeight="1">
      <c r="B496" s="30" t="inlineStr">
        <is>
          <t>A Recordação</t>
        </is>
      </c>
      <c r="C496" s="3" t="inlineStr">
        <is>
          <t>encontrar a fotografia que prova o passado</t>
        </is>
      </c>
      <c r="D496" s="3" t="inlineStr">
        <is>
          <t>Sabotagem</t>
        </is>
      </c>
      <c r="E496" s="3" t="inlineStr">
        <is>
          <t>danificar um transmissor sem deixar rastro</t>
        </is>
      </c>
      <c r="F496" s="3" t="n"/>
      <c r="G496" s="3" t="inlineStr">
        <is>
          <t>O dono do bar oferece bebida de graça em troca de um favor estranho</t>
        </is>
      </c>
      <c r="H496" s="3" t="inlineStr">
        <is>
          <t>uma ponte de mil quilômetros entre duas colônias</t>
        </is>
      </c>
      <c r="I496" s="3" t="inlineStr">
        <is>
          <t>o grupo é seguido desde o porto</t>
        </is>
      </c>
      <c r="J496" s="3" t="inlineStr">
        <is>
          <t>a recompensa prometida não existe</t>
        </is>
      </c>
      <c r="K496" s="18">
        <f>IF(AG496&gt;0,"O Google leu como fórmula: digite de novo com ' na frente.","")</f>
        <v/>
      </c>
      <c r="N496" s="19">
        <f>N495+IF(LEN($X$496)&gt;0,1,0)</f>
        <v/>
      </c>
      <c r="P496" s="19">
        <f>P495+IF(LEN($Z$496)&gt;0,1,0)</f>
        <v/>
      </c>
      <c r="R496" s="19">
        <f>R495+IF(LEN($AB$496)&gt;0,1,0)</f>
        <v/>
      </c>
      <c r="S496" s="19">
        <f>S495+IF(LEN($AC$496)&gt;0,1,0)</f>
        <v/>
      </c>
      <c r="T496" s="19">
        <f>T495+IF(LEN($AD$496)&gt;0,1,0)</f>
        <v/>
      </c>
      <c r="U496" s="19">
        <f>U495+IF(LEN($AE$496)&gt;0,1,0)</f>
        <v/>
      </c>
      <c r="V496" s="19">
        <f>V495+IF(LEN($AF$496)&gt;0,1,0)</f>
        <v/>
      </c>
      <c r="X496" s="19">
        <f>IF(ISERROR($B$496),"",IF(ISBLANK($B$496),"",$B$496))</f>
        <v/>
      </c>
      <c r="Y496" s="19">
        <f>IF(ISERROR($C$496),"",IF(ISBLANK($C$496),"",$C$496))</f>
        <v/>
      </c>
      <c r="Z496" s="19">
        <f>IF(ISERROR($D$496),"",IF(ISBLANK($D$496),"",$D$496))</f>
        <v/>
      </c>
      <c r="AA496" s="19">
        <f>IF(ISERROR($E$496),"",IF(ISBLANK($E$496),"",$E$496))</f>
        <v/>
      </c>
      <c r="AB496" s="19">
        <f>IF(ISERROR($F$496),"",IF(ISBLANK($F$496),"",$F$496))</f>
        <v/>
      </c>
      <c r="AC496" s="19">
        <f>IF(ISERROR($G$496),"",IF(ISBLANK($G$496),"",$G$496))</f>
        <v/>
      </c>
      <c r="AD496" s="19">
        <f>IF(ISERROR($H$496),"",IF(ISBLANK($H$496),"",$H$496))</f>
        <v/>
      </c>
      <c r="AE496" s="19">
        <f>IF(ISERROR($I$496),"",IF(ISBLANK($I$496),"",$I$496))</f>
        <v/>
      </c>
      <c r="AF496" s="19">
        <f>IF(ISERROR($J$496),"",IF(ISBLANK($J$496),"",$J$496))</f>
        <v/>
      </c>
      <c r="AG496" s="19">
        <f>ISERROR($B$496)*1+ISERROR($C$496)*1+ISERROR($D$496)*1+ISERROR($E$496)*1+ISERROR($F$496)*1+ISERROR($G$496)*1+ISERROR($H$496)*1+ISERROR($I$496)*1+ISERROR($J$496)*1</f>
        <v/>
      </c>
    </row>
    <row r="497" ht="37" customHeight="1">
      <c r="B497" s="31" t="inlineStr">
        <is>
          <t>A Recordação</t>
        </is>
      </c>
      <c r="C497" s="28" t="inlineStr">
        <is>
          <t>impedir que um nome seja esquecido</t>
        </is>
      </c>
      <c r="D497" s="28" t="inlineStr">
        <is>
          <t>Negociação</t>
        </is>
      </c>
      <c r="E497" s="28" t="inlineStr">
        <is>
          <t>convencer dois clãs a dividir um poço de água</t>
        </is>
      </c>
      <c r="F497" s="28" t="n"/>
      <c r="G497" s="28" t="inlineStr">
        <is>
          <t>Um animal de carga segue o grupo e não vai embora</t>
        </is>
      </c>
      <c r="H497" s="28" t="inlineStr">
        <is>
          <t>um mosteiro silencioso de Intellitrons</t>
        </is>
      </c>
      <c r="I497" s="28" t="inlineStr">
        <is>
          <t>a nave do grupo precisa de conserto urgente</t>
        </is>
      </c>
      <c r="J497" s="28" t="inlineStr">
        <is>
          <t>o antagonista conhece o Propósito de Vida de um personagem</t>
        </is>
      </c>
      <c r="K497" s="18">
        <f>IF(AG497&gt;0,"O Google leu como fórmula: digite de novo com ' na frente.","")</f>
        <v/>
      </c>
      <c r="N497" s="19">
        <f>N496+IF(LEN($X$497)&gt;0,1,0)</f>
        <v/>
      </c>
      <c r="P497" s="19">
        <f>P496+IF(LEN($Z$497)&gt;0,1,0)</f>
        <v/>
      </c>
      <c r="R497" s="19">
        <f>R496+IF(LEN($AB$497)&gt;0,1,0)</f>
        <v/>
      </c>
      <c r="S497" s="19">
        <f>S496+IF(LEN($AC$497)&gt;0,1,0)</f>
        <v/>
      </c>
      <c r="T497" s="19">
        <f>T496+IF(LEN($AD$497)&gt;0,1,0)</f>
        <v/>
      </c>
      <c r="U497" s="19">
        <f>U496+IF(LEN($AE$497)&gt;0,1,0)</f>
        <v/>
      </c>
      <c r="V497" s="19">
        <f>V496+IF(LEN($AF$497)&gt;0,1,0)</f>
        <v/>
      </c>
      <c r="X497" s="19">
        <f>IF(ISERROR($B$497),"",IF(ISBLANK($B$497),"",$B$497))</f>
        <v/>
      </c>
      <c r="Y497" s="19">
        <f>IF(ISERROR($C$497),"",IF(ISBLANK($C$497),"",$C$497))</f>
        <v/>
      </c>
      <c r="Z497" s="19">
        <f>IF(ISERROR($D$497),"",IF(ISBLANK($D$497),"",$D$497))</f>
        <v/>
      </c>
      <c r="AA497" s="19">
        <f>IF(ISERROR($E$497),"",IF(ISBLANK($E$497),"",$E$497))</f>
        <v/>
      </c>
      <c r="AB497" s="19">
        <f>IF(ISERROR($F$497),"",IF(ISBLANK($F$497),"",$F$497))</f>
        <v/>
      </c>
      <c r="AC497" s="19">
        <f>IF(ISERROR($G$497),"",IF(ISBLANK($G$497),"",$G$497))</f>
        <v/>
      </c>
      <c r="AD497" s="19">
        <f>IF(ISERROR($H$497),"",IF(ISBLANK($H$497),"",$H$497))</f>
        <v/>
      </c>
      <c r="AE497" s="19">
        <f>IF(ISERROR($I$497),"",IF(ISBLANK($I$497),"",$I$497))</f>
        <v/>
      </c>
      <c r="AF497" s="19">
        <f>IF(ISERROR($J$497),"",IF(ISBLANK($J$497),"",$J$497))</f>
        <v/>
      </c>
      <c r="AG497" s="19">
        <f>ISERROR($B$497)*1+ISERROR($C$497)*1+ISERROR($D$497)*1+ISERROR($E$497)*1+ISERROR($F$497)*1+ISERROR($G$497)*1+ISERROR($H$497)*1+ISERROR($I$497)*1+ISERROR($J$497)*1</f>
        <v/>
      </c>
    </row>
    <row r="498" ht="37" customHeight="1">
      <c r="B498" s="30" t="inlineStr">
        <is>
          <t>A Erudição</t>
        </is>
      </c>
      <c r="C498" s="3" t="inlineStr">
        <is>
          <t>resolver um enigma que ninguém resolveu</t>
        </is>
      </c>
      <c r="D498" s="3" t="inlineStr">
        <is>
          <t>Negociação</t>
        </is>
      </c>
      <c r="E498" s="3" t="inlineStr">
        <is>
          <t>comprar tempo com a Legião antes do ultimato</t>
        </is>
      </c>
      <c r="F498" s="3" t="n"/>
      <c r="G498" s="3" t="inlineStr">
        <is>
          <t>Um diário é encontrado num duto com o nome do grupo na última página</t>
        </is>
      </c>
      <c r="H498" s="3" t="inlineStr">
        <is>
          <t>uma doca seca cheia de naves inacabadas</t>
        </is>
      </c>
      <c r="I498" s="3" t="inlineStr">
        <is>
          <t>o idioma do lugar mudou desde o último contato</t>
        </is>
      </c>
      <c r="J498" s="3" t="inlineStr">
        <is>
          <t>o verdadeiro alvo era a nave do grupo</t>
        </is>
      </c>
      <c r="K498" s="18">
        <f>IF(AG498&gt;0,"O Google leu como fórmula: digite de novo com ' na frente.","")</f>
        <v/>
      </c>
      <c r="N498" s="19">
        <f>N497+IF(LEN($X$498)&gt;0,1,0)</f>
        <v/>
      </c>
      <c r="P498" s="19">
        <f>P497+IF(LEN($Z$498)&gt;0,1,0)</f>
        <v/>
      </c>
      <c r="R498" s="19">
        <f>R497+IF(LEN($AB$498)&gt;0,1,0)</f>
        <v/>
      </c>
      <c r="S498" s="19">
        <f>S497+IF(LEN($AC$498)&gt;0,1,0)</f>
        <v/>
      </c>
      <c r="T498" s="19">
        <f>T497+IF(LEN($AD$498)&gt;0,1,0)</f>
        <v/>
      </c>
      <c r="U498" s="19">
        <f>U497+IF(LEN($AE$498)&gt;0,1,0)</f>
        <v/>
      </c>
      <c r="V498" s="19">
        <f>V497+IF(LEN($AF$498)&gt;0,1,0)</f>
        <v/>
      </c>
      <c r="X498" s="19">
        <f>IF(ISERROR($B$498),"",IF(ISBLANK($B$498),"",$B$498))</f>
        <v/>
      </c>
      <c r="Y498" s="19">
        <f>IF(ISERROR($C$498),"",IF(ISBLANK($C$498),"",$C$498))</f>
        <v/>
      </c>
      <c r="Z498" s="19">
        <f>IF(ISERROR($D$498),"",IF(ISBLANK($D$498),"",$D$498))</f>
        <v/>
      </c>
      <c r="AA498" s="19">
        <f>IF(ISERROR($E$498),"",IF(ISBLANK($E$498),"",$E$498))</f>
        <v/>
      </c>
      <c r="AB498" s="19">
        <f>IF(ISERROR($F$498),"",IF(ISBLANK($F$498),"",$F$498))</f>
        <v/>
      </c>
      <c r="AC498" s="19">
        <f>IF(ISERROR($G$498),"",IF(ISBLANK($G$498),"",$G$498))</f>
        <v/>
      </c>
      <c r="AD498" s="19">
        <f>IF(ISERROR($H$498),"",IF(ISBLANK($H$498),"",$H$498))</f>
        <v/>
      </c>
      <c r="AE498" s="19">
        <f>IF(ISERROR($I$498),"",IF(ISBLANK($I$498),"",$I$498))</f>
        <v/>
      </c>
      <c r="AF498" s="19">
        <f>IF(ISERROR($J$498),"",IF(ISBLANK($J$498),"",$J$498))</f>
        <v/>
      </c>
      <c r="AG498" s="19">
        <f>ISERROR($B$498)*1+ISERROR($C$498)*1+ISERROR($D$498)*1+ISERROR($E$498)*1+ISERROR($F$498)*1+ISERROR($G$498)*1+ISERROR($H$498)*1+ISERROR($I$498)*1+ISERROR($J$498)*1</f>
        <v/>
      </c>
    </row>
    <row r="499" ht="15" customHeight="1">
      <c r="B499" s="7" t="inlineStr">
        <is>
          <t>Caminho (motivação)</t>
        </is>
      </c>
      <c r="C499" s="7" t="inlineStr">
        <is>
          <t>Motivação por Caminho</t>
        </is>
      </c>
      <c r="D499" s="7" t="inlineStr">
        <is>
          <t>Tipo (objetivo)</t>
        </is>
      </c>
      <c r="E499" s="7" t="inlineStr">
        <is>
          <t>Objetivo por tipo</t>
        </is>
      </c>
      <c r="F499" s="7" t="inlineStr">
        <is>
          <t>Tipo de aventura</t>
        </is>
      </c>
      <c r="G499" s="7" t="inlineStr">
        <is>
          <t>Gancho de aventura</t>
        </is>
      </c>
      <c r="H499" s="7" t="inlineStr">
        <is>
          <t>Local (sabor)</t>
        </is>
      </c>
      <c r="I499" s="7" t="inlineStr">
        <is>
          <t>Complicação</t>
        </is>
      </c>
      <c r="J499" s="7" t="inlineStr">
        <is>
          <t>Reviravolta</t>
        </is>
      </c>
      <c r="N499" s="19">
        <f>N498</f>
        <v/>
      </c>
      <c r="P499" s="19">
        <f>P498</f>
        <v/>
      </c>
      <c r="R499" s="19">
        <f>R498</f>
        <v/>
      </c>
      <c r="S499" s="19">
        <f>S498</f>
        <v/>
      </c>
      <c r="T499" s="19">
        <f>T498</f>
        <v/>
      </c>
      <c r="U499" s="19">
        <f>U498</f>
        <v/>
      </c>
      <c r="V499" s="19">
        <f>V498</f>
        <v/>
      </c>
      <c r="X499" s="19">
        <f>IF(ISERROR($B$499),"",IF(ISBLANK($B$499),"",$B$499))</f>
        <v/>
      </c>
      <c r="Y499" s="19">
        <f>IF(ISERROR($C$499),"",IF(ISBLANK($C$499),"",$C$499))</f>
        <v/>
      </c>
      <c r="Z499" s="19">
        <f>IF(ISERROR($D$499),"",IF(ISBLANK($D$499),"",$D$499))</f>
        <v/>
      </c>
      <c r="AA499" s="19">
        <f>IF(ISERROR($E$499),"",IF(ISBLANK($E$499),"",$E$499))</f>
        <v/>
      </c>
      <c r="AB499" s="19">
        <f>IF(ISERROR($F$499),"",IF(ISBLANK($F$499),"",$F$499))</f>
        <v/>
      </c>
      <c r="AC499" s="19">
        <f>IF(ISERROR($G$499),"",IF(ISBLANK($G$499),"",$G$499))</f>
        <v/>
      </c>
      <c r="AD499" s="19">
        <f>IF(ISERROR($H$499),"",IF(ISBLANK($H$499),"",$H$499))</f>
        <v/>
      </c>
      <c r="AE499" s="19">
        <f>IF(ISERROR($I$499),"",IF(ISBLANK($I$499),"",$I$499))</f>
        <v/>
      </c>
      <c r="AF499" s="19">
        <f>IF(ISERROR($J$499),"",IF(ISBLANK($J$499),"",$J$499))</f>
        <v/>
      </c>
    </row>
    <row r="500" ht="26" customHeight="1">
      <c r="B500" s="30" t="inlineStr">
        <is>
          <t>A Erudição</t>
        </is>
      </c>
      <c r="C500" s="3" t="inlineStr">
        <is>
          <t>entender como um Stellaron funciona</t>
        </is>
      </c>
      <c r="D500" s="3" t="inlineStr">
        <is>
          <t>Negociação</t>
        </is>
      </c>
      <c r="E500" s="3" t="inlineStr">
        <is>
          <t>fechar um acordo com um Tolo Mascarado sem ser enganado</t>
        </is>
      </c>
      <c r="F500" s="3" t="n"/>
      <c r="G500" s="3" t="inlineStr">
        <is>
          <t>Um tremor abre uma passagem sob a praça</t>
        </is>
      </c>
      <c r="H500" s="3" t="inlineStr">
        <is>
          <t>um bairro de refugiados ao redor de um farol</t>
        </is>
      </c>
      <c r="I500" s="3" t="inlineStr">
        <is>
          <t>um dos personagens adoece no caminho</t>
        </is>
      </c>
      <c r="J500" s="3" t="inlineStr">
        <is>
          <t>o lacre foi aberto para salvar alguém</t>
        </is>
      </c>
      <c r="K500" s="18">
        <f>IF(AG500&gt;0,"O Google leu como fórmula: digite de novo com ' na frente.","")</f>
        <v/>
      </c>
      <c r="N500" s="19">
        <f>N499+IF(LEN($X$500)&gt;0,1,0)</f>
        <v/>
      </c>
      <c r="P500" s="19">
        <f>P499+IF(LEN($Z$500)&gt;0,1,0)</f>
        <v/>
      </c>
      <c r="R500" s="19">
        <f>R499+IF(LEN($AB$500)&gt;0,1,0)</f>
        <v/>
      </c>
      <c r="S500" s="19">
        <f>S499+IF(LEN($AC$500)&gt;0,1,0)</f>
        <v/>
      </c>
      <c r="T500" s="19">
        <f>T499+IF(LEN($AD$500)&gt;0,1,0)</f>
        <v/>
      </c>
      <c r="U500" s="19">
        <f>U499+IF(LEN($AE$500)&gt;0,1,0)</f>
        <v/>
      </c>
      <c r="V500" s="19">
        <f>V499+IF(LEN($AF$500)&gt;0,1,0)</f>
        <v/>
      </c>
      <c r="X500" s="19">
        <f>IF(ISERROR($B$500),"",IF(ISBLANK($B$500),"",$B$500))</f>
        <v/>
      </c>
      <c r="Y500" s="19">
        <f>IF(ISERROR($C$500),"",IF(ISBLANK($C$500),"",$C$500))</f>
        <v/>
      </c>
      <c r="Z500" s="19">
        <f>IF(ISERROR($D$500),"",IF(ISBLANK($D$500),"",$D$500))</f>
        <v/>
      </c>
      <c r="AA500" s="19">
        <f>IF(ISERROR($E$500),"",IF(ISBLANK($E$500),"",$E$500))</f>
        <v/>
      </c>
      <c r="AB500" s="19">
        <f>IF(ISERROR($F$500),"",IF(ISBLANK($F$500),"",$F$500))</f>
        <v/>
      </c>
      <c r="AC500" s="19">
        <f>IF(ISERROR($G$500),"",IF(ISBLANK($G$500),"",$G$500))</f>
        <v/>
      </c>
      <c r="AD500" s="19">
        <f>IF(ISERROR($H$500),"",IF(ISBLANK($H$500),"",$H$500))</f>
        <v/>
      </c>
      <c r="AE500" s="19">
        <f>IF(ISERROR($I$500),"",IF(ISBLANK($I$500),"",$I$500))</f>
        <v/>
      </c>
      <c r="AF500" s="19">
        <f>IF(ISERROR($J$500),"",IF(ISBLANK($J$500),"",$J$500))</f>
        <v/>
      </c>
      <c r="AG500" s="19">
        <f>ISERROR($B$500)*1+ISERROR($C$500)*1+ISERROR($D$500)*1+ISERROR($E$500)*1+ISERROR($F$500)*1+ISERROR($G$500)*1+ISERROR($H$500)*1+ISERROR($I$500)*1+ISERROR($J$500)*1</f>
        <v/>
      </c>
    </row>
    <row r="501" ht="26" customHeight="1">
      <c r="B501" s="31" t="inlineStr">
        <is>
          <t>A Erudição</t>
        </is>
      </c>
      <c r="C501" s="28" t="inlineStr">
        <is>
          <t>ler um arquivo proibido</t>
        </is>
      </c>
      <c r="D501" s="28" t="inlineStr">
        <is>
          <t>Exploração</t>
        </is>
      </c>
      <c r="E501" s="28" t="inlineStr">
        <is>
          <t>mapear uma estação abandonada</t>
        </is>
      </c>
      <c r="F501" s="28" t="n"/>
      <c r="G501" s="28" t="inlineStr">
        <is>
          <t>Uma apólice de seguro vence amanhã, e o segurado sumiu</t>
        </is>
      </c>
      <c r="H501" s="28" t="inlineStr">
        <is>
          <t>uma mina de cristal que canta com o vento</t>
        </is>
      </c>
      <c r="I501" s="28" t="inlineStr">
        <is>
          <t>o lugar marcado para o encontro pega fogo</t>
        </is>
      </c>
      <c r="J501" s="28" t="inlineStr">
        <is>
          <t>a facção inimiga oferece uma trégua sincera</t>
        </is>
      </c>
      <c r="K501" s="18">
        <f>IF(AG501&gt;0,"O Google leu como fórmula: digite de novo com ' na frente.","")</f>
        <v/>
      </c>
      <c r="N501" s="19">
        <f>N500+IF(LEN($X$501)&gt;0,1,0)</f>
        <v/>
      </c>
      <c r="P501" s="19">
        <f>P500+IF(LEN($Z$501)&gt;0,1,0)</f>
        <v/>
      </c>
      <c r="R501" s="19">
        <f>R500+IF(LEN($AB$501)&gt;0,1,0)</f>
        <v/>
      </c>
      <c r="S501" s="19">
        <f>S500+IF(LEN($AC$501)&gt;0,1,0)</f>
        <v/>
      </c>
      <c r="T501" s="19">
        <f>T500+IF(LEN($AD$501)&gt;0,1,0)</f>
        <v/>
      </c>
      <c r="U501" s="19">
        <f>U500+IF(LEN($AE$501)&gt;0,1,0)</f>
        <v/>
      </c>
      <c r="V501" s="19">
        <f>V500+IF(LEN($AF$501)&gt;0,1,0)</f>
        <v/>
      </c>
      <c r="X501" s="19">
        <f>IF(ISERROR($B$501),"",IF(ISBLANK($B$501),"",$B$501))</f>
        <v/>
      </c>
      <c r="Y501" s="19">
        <f>IF(ISERROR($C$501),"",IF(ISBLANK($C$501),"",$C$501))</f>
        <v/>
      </c>
      <c r="Z501" s="19">
        <f>IF(ISERROR($D$501),"",IF(ISBLANK($D$501),"",$D$501))</f>
        <v/>
      </c>
      <c r="AA501" s="19">
        <f>IF(ISERROR($E$501),"",IF(ISBLANK($E$501),"",$E$501))</f>
        <v/>
      </c>
      <c r="AB501" s="19">
        <f>IF(ISERROR($F$501),"",IF(ISBLANK($F$501),"",$F$501))</f>
        <v/>
      </c>
      <c r="AC501" s="19">
        <f>IF(ISERROR($G$501),"",IF(ISBLANK($G$501),"",$G$501))</f>
        <v/>
      </c>
      <c r="AD501" s="19">
        <f>IF(ISERROR($H$501),"",IF(ISBLANK($H$501),"",$H$501))</f>
        <v/>
      </c>
      <c r="AE501" s="19">
        <f>IF(ISERROR($I$501),"",IF(ISBLANK($I$501),"",$I$501))</f>
        <v/>
      </c>
      <c r="AF501" s="19">
        <f>IF(ISERROR($J$501),"",IF(ISBLANK($J$501),"",$J$501))</f>
        <v/>
      </c>
      <c r="AG501" s="19">
        <f>ISERROR($B$501)*1+ISERROR($C$501)*1+ISERROR($D$501)*1+ISERROR($E$501)*1+ISERROR($F$501)*1+ISERROR($G$501)*1+ISERROR($H$501)*1+ISERROR($I$501)*1+ISERROR($J$501)*1</f>
        <v/>
      </c>
    </row>
    <row r="502" ht="26" customHeight="1">
      <c r="B502" s="30" t="inlineStr">
        <is>
          <t>A Erudição</t>
        </is>
      </c>
      <c r="C502" s="3" t="inlineStr">
        <is>
          <t>construir uma máquina que pense melhor do que ele</t>
        </is>
      </c>
      <c r="D502" s="3" t="inlineStr">
        <is>
          <t>Exploração</t>
        </is>
      </c>
      <c r="E502" s="3" t="inlineStr">
        <is>
          <t>chegar ao fundo de uma ruína antes dos saqueadores</t>
        </is>
      </c>
      <c r="F502" s="3" t="n"/>
      <c r="G502" s="3" t="inlineStr">
        <is>
          <t>Um retrato do grupo aparece pendurado numa galeria</t>
        </is>
      </c>
      <c r="H502" s="3" t="inlineStr">
        <is>
          <t>uma biblioteca itinerante a bordo de um cargueiro</t>
        </is>
      </c>
      <c r="I502" s="3" t="inlineStr">
        <is>
          <t>o alvo tem um gêmeo</t>
        </is>
      </c>
      <c r="J502" s="3" t="inlineStr">
        <is>
          <t>uma testemunha muda de lado no último minuto</t>
        </is>
      </c>
      <c r="K502" s="18">
        <f>IF(AG502&gt;0,"O Google leu como fórmula: digite de novo com ' na frente.","")</f>
        <v/>
      </c>
      <c r="N502" s="19">
        <f>N501+IF(LEN($X$502)&gt;0,1,0)</f>
        <v/>
      </c>
      <c r="P502" s="19">
        <f>P501+IF(LEN($Z$502)&gt;0,1,0)</f>
        <v/>
      </c>
      <c r="R502" s="19">
        <f>R501+IF(LEN($AB$502)&gt;0,1,0)</f>
        <v/>
      </c>
      <c r="S502" s="19">
        <f>S501+IF(LEN($AC$502)&gt;0,1,0)</f>
        <v/>
      </c>
      <c r="T502" s="19">
        <f>T501+IF(LEN($AD$502)&gt;0,1,0)</f>
        <v/>
      </c>
      <c r="U502" s="19">
        <f>U501+IF(LEN($AE$502)&gt;0,1,0)</f>
        <v/>
      </c>
      <c r="V502" s="19">
        <f>V501+IF(LEN($AF$502)&gt;0,1,0)</f>
        <v/>
      </c>
      <c r="X502" s="19">
        <f>IF(ISERROR($B$502),"",IF(ISBLANK($B$502),"",$B$502))</f>
        <v/>
      </c>
      <c r="Y502" s="19">
        <f>IF(ISERROR($C$502),"",IF(ISBLANK($C$502),"",$C$502))</f>
        <v/>
      </c>
      <c r="Z502" s="19">
        <f>IF(ISERROR($D$502),"",IF(ISBLANK($D$502),"",$D$502))</f>
        <v/>
      </c>
      <c r="AA502" s="19">
        <f>IF(ISERROR($E$502),"",IF(ISBLANK($E$502),"",$E$502))</f>
        <v/>
      </c>
      <c r="AB502" s="19">
        <f>IF(ISERROR($F$502),"",IF(ISBLANK($F$502),"",$F$502))</f>
        <v/>
      </c>
      <c r="AC502" s="19">
        <f>IF(ISERROR($G$502),"",IF(ISBLANK($G$502),"",$G$502))</f>
        <v/>
      </c>
      <c r="AD502" s="19">
        <f>IF(ISERROR($H$502),"",IF(ISBLANK($H$502),"",$H$502))</f>
        <v/>
      </c>
      <c r="AE502" s="19">
        <f>IF(ISERROR($I$502),"",IF(ISBLANK($I$502),"",$I$502))</f>
        <v/>
      </c>
      <c r="AF502" s="19">
        <f>IF(ISERROR($J$502),"",IF(ISBLANK($J$502),"",$J$502))</f>
        <v/>
      </c>
      <c r="AG502" s="19">
        <f>ISERROR($B$502)*1+ISERROR($C$502)*1+ISERROR($D$502)*1+ISERROR($E$502)*1+ISERROR($F$502)*1+ISERROR($G$502)*1+ISERROR($H$502)*1+ISERROR($I$502)*1+ISERROR($J$502)*1</f>
        <v/>
      </c>
    </row>
    <row r="503" ht="37" customHeight="1">
      <c r="B503" s="31" t="inlineStr">
        <is>
          <t>A Erudição</t>
        </is>
      </c>
      <c r="C503" s="28" t="inlineStr">
        <is>
          <t>vencer uma discussão com um gênio</t>
        </is>
      </c>
      <c r="D503" s="28" t="inlineStr">
        <is>
          <t>Exploração</t>
        </is>
      </c>
      <c r="E503" s="28" t="inlineStr">
        <is>
          <t>descobrir o que existe atrás de uma porta que ninguém abriu</t>
        </is>
      </c>
      <c r="F503" s="28" t="n"/>
      <c r="G503" s="28" t="inlineStr">
        <is>
          <t>Uma estação pede ajuda e, quando o grupo chega, diz que ninguém pediu</t>
        </is>
      </c>
      <c r="H503" s="28" t="inlineStr">
        <is>
          <t>um parque de diversões fechado numa lua de gelo</t>
        </is>
      </c>
      <c r="I503" s="28" t="inlineStr">
        <is>
          <t>a Frota de Jade emite uma ordem de inspeção</t>
        </is>
      </c>
      <c r="J503" s="28" t="inlineStr">
        <is>
          <t>o Stellaron não é a causa, é a consequência</t>
        </is>
      </c>
      <c r="K503" s="18">
        <f>IF(AG503&gt;0,"O Google leu como fórmula: digite de novo com ' na frente.","")</f>
        <v/>
      </c>
      <c r="N503" s="19">
        <f>N502+IF(LEN($X$503)&gt;0,1,0)</f>
        <v/>
      </c>
      <c r="P503" s="19">
        <f>P502+IF(LEN($Z$503)&gt;0,1,0)</f>
        <v/>
      </c>
      <c r="R503" s="19">
        <f>R502+IF(LEN($AB$503)&gt;0,1,0)</f>
        <v/>
      </c>
      <c r="S503" s="19">
        <f>S502+IF(LEN($AC$503)&gt;0,1,0)</f>
        <v/>
      </c>
      <c r="T503" s="19">
        <f>T502+IF(LEN($AD$503)&gt;0,1,0)</f>
        <v/>
      </c>
      <c r="U503" s="19">
        <f>U502+IF(LEN($AE$503)&gt;0,1,0)</f>
        <v/>
      </c>
      <c r="V503" s="19">
        <f>V502+IF(LEN($AF$503)&gt;0,1,0)</f>
        <v/>
      </c>
      <c r="X503" s="19">
        <f>IF(ISERROR($B$503),"",IF(ISBLANK($B$503),"",$B$503))</f>
        <v/>
      </c>
      <c r="Y503" s="19">
        <f>IF(ISERROR($C$503),"",IF(ISBLANK($C$503),"",$C$503))</f>
        <v/>
      </c>
      <c r="Z503" s="19">
        <f>IF(ISERROR($D$503),"",IF(ISBLANK($D$503),"",$D$503))</f>
        <v/>
      </c>
      <c r="AA503" s="19">
        <f>IF(ISERROR($E$503),"",IF(ISBLANK($E$503),"",$E$503))</f>
        <v/>
      </c>
      <c r="AB503" s="19">
        <f>IF(ISERROR($F$503),"",IF(ISBLANK($F$503),"",$F$503))</f>
        <v/>
      </c>
      <c r="AC503" s="19">
        <f>IF(ISERROR($G$503),"",IF(ISBLANK($G$503),"",$G$503))</f>
        <v/>
      </c>
      <c r="AD503" s="19">
        <f>IF(ISERROR($H$503),"",IF(ISBLANK($H$503),"",$H$503))</f>
        <v/>
      </c>
      <c r="AE503" s="19">
        <f>IF(ISERROR($I$503),"",IF(ISBLANK($I$503),"",$I$503))</f>
        <v/>
      </c>
      <c r="AF503" s="19">
        <f>IF(ISERROR($J$503),"",IF(ISBLANK($J$503),"",$J$503))</f>
        <v/>
      </c>
      <c r="AG503" s="19">
        <f>ISERROR($B$503)*1+ISERROR($C$503)*1+ISERROR($D$503)*1+ISERROR($E$503)*1+ISERROR($F$503)*1+ISERROR($G$503)*1+ISERROR($H$503)*1+ISERROR($I$503)*1+ISERROR($J$503)*1</f>
        <v/>
      </c>
    </row>
    <row r="504" ht="26" customHeight="1">
      <c r="B504" s="30" t="inlineStr">
        <is>
          <t>A Euforia</t>
        </is>
      </c>
      <c r="C504" s="3" t="inlineStr">
        <is>
          <t>rir na cara do perigo outra vez</t>
        </is>
      </c>
      <c r="D504" s="3" t="inlineStr">
        <is>
          <t>Fuga</t>
        </is>
      </c>
      <c r="E504" s="3" t="inlineStr">
        <is>
          <t>sair do planeta antes do bloqueio</t>
        </is>
      </c>
      <c r="F504" s="3" t="n"/>
      <c r="G504" s="3" t="n"/>
      <c r="H504" s="3" t="n"/>
      <c r="I504" s="3" t="n"/>
      <c r="J504" s="3" t="n"/>
      <c r="K504" s="18">
        <f>IF(AG504&gt;0,"O Google leu como fórmula: digite de novo com ' na frente.","")</f>
        <v/>
      </c>
      <c r="N504" s="19">
        <f>N503+IF(LEN($X$504)&gt;0,1,0)</f>
        <v/>
      </c>
      <c r="P504" s="19">
        <f>P503+IF(LEN($Z$504)&gt;0,1,0)</f>
        <v/>
      </c>
      <c r="R504" s="19">
        <f>R503+IF(LEN($AB$504)&gt;0,1,0)</f>
        <v/>
      </c>
      <c r="S504" s="19">
        <f>S503+IF(LEN($AC$504)&gt;0,1,0)</f>
        <v/>
      </c>
      <c r="T504" s="19">
        <f>T503+IF(LEN($AD$504)&gt;0,1,0)</f>
        <v/>
      </c>
      <c r="U504" s="19">
        <f>U503+IF(LEN($AE$504)&gt;0,1,0)</f>
        <v/>
      </c>
      <c r="V504" s="19">
        <f>V503+IF(LEN($AF$504)&gt;0,1,0)</f>
        <v/>
      </c>
      <c r="X504" s="19">
        <f>IF(ISERROR($B$504),"",IF(ISBLANK($B$504),"",$B$504))</f>
        <v/>
      </c>
      <c r="Y504" s="19">
        <f>IF(ISERROR($C$504),"",IF(ISBLANK($C$504),"",$C$504))</f>
        <v/>
      </c>
      <c r="Z504" s="19">
        <f>IF(ISERROR($D$504),"",IF(ISBLANK($D$504),"",$D$504))</f>
        <v/>
      </c>
      <c r="AA504" s="19">
        <f>IF(ISERROR($E$504),"",IF(ISBLANK($E$504),"",$E$504))</f>
        <v/>
      </c>
      <c r="AB504" s="19">
        <f>IF(ISERROR($F$504),"",IF(ISBLANK($F$504),"",$F$504))</f>
        <v/>
      </c>
      <c r="AC504" s="19">
        <f>IF(ISERROR($G$504),"",IF(ISBLANK($G$504),"",$G$504))</f>
        <v/>
      </c>
      <c r="AD504" s="19">
        <f>IF(ISERROR($H$504),"",IF(ISBLANK($H$504),"",$H$504))</f>
        <v/>
      </c>
      <c r="AE504" s="19">
        <f>IF(ISERROR($I$504),"",IF(ISBLANK($I$504),"",$I$504))</f>
        <v/>
      </c>
      <c r="AF504" s="19">
        <f>IF(ISERROR($J$504),"",IF(ISBLANK($J$504),"",$J$504))</f>
        <v/>
      </c>
      <c r="AG504" s="19">
        <f>ISERROR($B$504)*1+ISERROR($C$504)*1+ISERROR($D$504)*1+ISERROR($E$504)*1+ISERROR($F$504)*1+ISERROR($G$504)*1+ISERROR($H$504)*1+ISERROR($I$504)*1+ISERROR($J$504)*1</f>
        <v/>
      </c>
    </row>
    <row r="505" ht="26" customHeight="1">
      <c r="B505" s="31" t="inlineStr">
        <is>
          <t>A Euforia</t>
        </is>
      </c>
      <c r="C505" s="28" t="inlineStr">
        <is>
          <t>transformar uma tragédia em espetáculo</t>
        </is>
      </c>
      <c r="D505" s="28" t="inlineStr">
        <is>
          <t>Fuga</t>
        </is>
      </c>
      <c r="E505" s="28" t="inlineStr">
        <is>
          <t>escapar de uma prisão orbital com os outros detentos</t>
        </is>
      </c>
      <c r="F505" s="28" t="n"/>
      <c r="G505" s="28" t="n"/>
      <c r="H505" s="28" t="n"/>
      <c r="I505" s="28" t="n"/>
      <c r="J505" s="28" t="n"/>
      <c r="K505" s="18">
        <f>IF(AG505&gt;0,"O Google leu como fórmula: digite de novo com ' na frente.","")</f>
        <v/>
      </c>
      <c r="N505" s="19">
        <f>N504+IF(LEN($X$505)&gt;0,1,0)</f>
        <v/>
      </c>
      <c r="P505" s="19">
        <f>P504+IF(LEN($Z$505)&gt;0,1,0)</f>
        <v/>
      </c>
      <c r="R505" s="19">
        <f>R504+IF(LEN($AB$505)&gt;0,1,0)</f>
        <v/>
      </c>
      <c r="S505" s="19">
        <f>S504+IF(LEN($AC$505)&gt;0,1,0)</f>
        <v/>
      </c>
      <c r="T505" s="19">
        <f>T504+IF(LEN($AD$505)&gt;0,1,0)</f>
        <v/>
      </c>
      <c r="U505" s="19">
        <f>U504+IF(LEN($AE$505)&gt;0,1,0)</f>
        <v/>
      </c>
      <c r="V505" s="19">
        <f>V504+IF(LEN($AF$505)&gt;0,1,0)</f>
        <v/>
      </c>
      <c r="X505" s="19">
        <f>IF(ISERROR($B$505),"",IF(ISBLANK($B$505),"",$B$505))</f>
        <v/>
      </c>
      <c r="Y505" s="19">
        <f>IF(ISERROR($C$505),"",IF(ISBLANK($C$505),"",$C$505))</f>
        <v/>
      </c>
      <c r="Z505" s="19">
        <f>IF(ISERROR($D$505),"",IF(ISBLANK($D$505),"",$D$505))</f>
        <v/>
      </c>
      <c r="AA505" s="19">
        <f>IF(ISERROR($E$505),"",IF(ISBLANK($E$505),"",$E$505))</f>
        <v/>
      </c>
      <c r="AB505" s="19">
        <f>IF(ISERROR($F$505),"",IF(ISBLANK($F$505),"",$F$505))</f>
        <v/>
      </c>
      <c r="AC505" s="19">
        <f>IF(ISERROR($G$505),"",IF(ISBLANK($G$505),"",$G$505))</f>
        <v/>
      </c>
      <c r="AD505" s="19">
        <f>IF(ISERROR($H$505),"",IF(ISBLANK($H$505),"",$H$505))</f>
        <v/>
      </c>
      <c r="AE505" s="19">
        <f>IF(ISERROR($I$505),"",IF(ISBLANK($I$505),"",$I$505))</f>
        <v/>
      </c>
      <c r="AF505" s="19">
        <f>IF(ISERROR($J$505),"",IF(ISBLANK($J$505),"",$J$505))</f>
        <v/>
      </c>
      <c r="AG505" s="19">
        <f>ISERROR($B$505)*1+ISERROR($C$505)*1+ISERROR($D$505)*1+ISERROR($E$505)*1+ISERROR($F$505)*1+ISERROR($G$505)*1+ISERROR($H$505)*1+ISERROR($I$505)*1+ISERROR($J$505)*1</f>
        <v/>
      </c>
    </row>
    <row r="506" ht="26" customHeight="1">
      <c r="B506" s="30" t="inlineStr">
        <is>
          <t>A Euforia</t>
        </is>
      </c>
      <c r="C506" s="3" t="inlineStr">
        <is>
          <t>sentir o coração disparar mais uma vez</t>
        </is>
      </c>
      <c r="D506" s="3" t="inlineStr">
        <is>
          <t>Fuga</t>
        </is>
      </c>
      <c r="E506" s="3" t="inlineStr">
        <is>
          <t>atravessar a cidade com caçadores no encalço</t>
        </is>
      </c>
      <c r="F506" s="3" t="n"/>
      <c r="G506" s="3" t="n"/>
      <c r="H506" s="3" t="n"/>
      <c r="I506" s="3" t="n"/>
      <c r="J506" s="3" t="n"/>
      <c r="K506" s="18">
        <f>IF(AG506&gt;0,"O Google leu como fórmula: digite de novo com ' na frente.","")</f>
        <v/>
      </c>
      <c r="N506" s="19">
        <f>N505+IF(LEN($X$506)&gt;0,1,0)</f>
        <v/>
      </c>
      <c r="P506" s="19">
        <f>P505+IF(LEN($Z$506)&gt;0,1,0)</f>
        <v/>
      </c>
      <c r="R506" s="19">
        <f>R505+IF(LEN($AB$506)&gt;0,1,0)</f>
        <v/>
      </c>
      <c r="S506" s="19">
        <f>S505+IF(LEN($AC$506)&gt;0,1,0)</f>
        <v/>
      </c>
      <c r="T506" s="19">
        <f>T505+IF(LEN($AD$506)&gt;0,1,0)</f>
        <v/>
      </c>
      <c r="U506" s="19">
        <f>U505+IF(LEN($AE$506)&gt;0,1,0)</f>
        <v/>
      </c>
      <c r="V506" s="19">
        <f>V505+IF(LEN($AF$506)&gt;0,1,0)</f>
        <v/>
      </c>
      <c r="X506" s="19">
        <f>IF(ISERROR($B$506),"",IF(ISBLANK($B$506),"",$B$506))</f>
        <v/>
      </c>
      <c r="Y506" s="19">
        <f>IF(ISERROR($C$506),"",IF(ISBLANK($C$506),"",$C$506))</f>
        <v/>
      </c>
      <c r="Z506" s="19">
        <f>IF(ISERROR($D$506),"",IF(ISBLANK($D$506),"",$D$506))</f>
        <v/>
      </c>
      <c r="AA506" s="19">
        <f>IF(ISERROR($E$506),"",IF(ISBLANK($E$506),"",$E$506))</f>
        <v/>
      </c>
      <c r="AB506" s="19">
        <f>IF(ISERROR($F$506),"",IF(ISBLANK($F$506),"",$F$506))</f>
        <v/>
      </c>
      <c r="AC506" s="19">
        <f>IF(ISERROR($G$506),"",IF(ISBLANK($G$506),"",$G$506))</f>
        <v/>
      </c>
      <c r="AD506" s="19">
        <f>IF(ISERROR($H$506),"",IF(ISBLANK($H$506),"",$H$506))</f>
        <v/>
      </c>
      <c r="AE506" s="19">
        <f>IF(ISERROR($I$506),"",IF(ISBLANK($I$506),"",$I$506))</f>
        <v/>
      </c>
      <c r="AF506" s="19">
        <f>IF(ISERROR($J$506),"",IF(ISBLANK($J$506),"",$J$506))</f>
        <v/>
      </c>
      <c r="AG506" s="19">
        <f>ISERROR($B$506)*1+ISERROR($C$506)*1+ISERROR($D$506)*1+ISERROR($E$506)*1+ISERROR($F$506)*1+ISERROR($G$506)*1+ISERROR($H$506)*1+ISERROR($I$506)*1+ISERROR($J$506)*1</f>
        <v/>
      </c>
    </row>
    <row r="507" ht="26" customHeight="1">
      <c r="B507" s="31" t="inlineStr">
        <is>
          <t>A Euforia</t>
        </is>
      </c>
      <c r="C507" s="28" t="inlineStr">
        <is>
          <t>pregar a maior peça da galáxia</t>
        </is>
      </c>
      <c r="D507" s="28" t="inlineStr">
        <is>
          <t>Contenção de Fragmentum</t>
        </is>
      </c>
      <c r="E507" s="28" t="inlineStr">
        <is>
          <t>fechar um lacre que começou a ceder</t>
        </is>
      </c>
      <c r="F507" s="28" t="n"/>
      <c r="G507" s="28" t="n"/>
      <c r="H507" s="28" t="n"/>
      <c r="I507" s="28" t="n"/>
      <c r="J507" s="28" t="n"/>
      <c r="K507" s="18">
        <f>IF(AG507&gt;0,"O Google leu como fórmula: digite de novo com ' na frente.","")</f>
        <v/>
      </c>
      <c r="N507" s="19">
        <f>N506+IF(LEN($X$507)&gt;0,1,0)</f>
        <v/>
      </c>
      <c r="P507" s="19">
        <f>P506+IF(LEN($Z$507)&gt;0,1,0)</f>
        <v/>
      </c>
      <c r="R507" s="19">
        <f>R506+IF(LEN($AB$507)&gt;0,1,0)</f>
        <v/>
      </c>
      <c r="S507" s="19">
        <f>S506+IF(LEN($AC$507)&gt;0,1,0)</f>
        <v/>
      </c>
      <c r="T507" s="19">
        <f>T506+IF(LEN($AD$507)&gt;0,1,0)</f>
        <v/>
      </c>
      <c r="U507" s="19">
        <f>U506+IF(LEN($AE$507)&gt;0,1,0)</f>
        <v/>
      </c>
      <c r="V507" s="19">
        <f>V506+IF(LEN($AF$507)&gt;0,1,0)</f>
        <v/>
      </c>
      <c r="X507" s="19">
        <f>IF(ISERROR($B$507),"",IF(ISBLANK($B$507),"",$B$507))</f>
        <v/>
      </c>
      <c r="Y507" s="19">
        <f>IF(ISERROR($C$507),"",IF(ISBLANK($C$507),"",$C$507))</f>
        <v/>
      </c>
      <c r="Z507" s="19">
        <f>IF(ISERROR($D$507),"",IF(ISBLANK($D$507),"",$D$507))</f>
        <v/>
      </c>
      <c r="AA507" s="19">
        <f>IF(ISERROR($E$507),"",IF(ISBLANK($E$507),"",$E$507))</f>
        <v/>
      </c>
      <c r="AB507" s="19">
        <f>IF(ISERROR($F$507),"",IF(ISBLANK($F$507),"",$F$507))</f>
        <v/>
      </c>
      <c r="AC507" s="19">
        <f>IF(ISERROR($G$507),"",IF(ISBLANK($G$507),"",$G$507))</f>
        <v/>
      </c>
      <c r="AD507" s="19">
        <f>IF(ISERROR($H$507),"",IF(ISBLANK($H$507),"",$H$507))</f>
        <v/>
      </c>
      <c r="AE507" s="19">
        <f>IF(ISERROR($I$507),"",IF(ISBLANK($I$507),"",$I$507))</f>
        <v/>
      </c>
      <c r="AF507" s="19">
        <f>IF(ISERROR($J$507),"",IF(ISBLANK($J$507),"",$J$507))</f>
        <v/>
      </c>
      <c r="AG507" s="19">
        <f>ISERROR($B$507)*1+ISERROR($C$507)*1+ISERROR($D$507)*1+ISERROR($E$507)*1+ISERROR($F$507)*1+ISERROR($G$507)*1+ISERROR($H$507)*1+ISERROR($I$507)*1+ISERROR($J$507)*1</f>
        <v/>
      </c>
    </row>
    <row r="508" ht="26" customHeight="1">
      <c r="B508" s="30" t="inlineStr">
        <is>
          <t>A Euforia</t>
        </is>
      </c>
      <c r="C508" s="3" t="inlineStr">
        <is>
          <t>viver cada noite como se fosse a última</t>
        </is>
      </c>
      <c r="D508" s="3" t="inlineStr">
        <is>
          <t>Contenção de Fragmentum</t>
        </is>
      </c>
      <c r="E508" s="3" t="inlineStr">
        <is>
          <t>isolar um bairro antes que o Fragmentum se espalhe</t>
        </is>
      </c>
      <c r="F508" s="3" t="n"/>
      <c r="G508" s="3" t="n"/>
      <c r="H508" s="3" t="n"/>
      <c r="I508" s="3" t="n"/>
      <c r="J508" s="3" t="n"/>
      <c r="K508" s="18">
        <f>IF(AG508&gt;0,"O Google leu como fórmula: digite de novo com ' na frente.","")</f>
        <v/>
      </c>
      <c r="N508" s="19">
        <f>N507+IF(LEN($X$508)&gt;0,1,0)</f>
        <v/>
      </c>
      <c r="P508" s="19">
        <f>P507+IF(LEN($Z$508)&gt;0,1,0)</f>
        <v/>
      </c>
      <c r="R508" s="19">
        <f>R507+IF(LEN($AB$508)&gt;0,1,0)</f>
        <v/>
      </c>
      <c r="S508" s="19">
        <f>S507+IF(LEN($AC$508)&gt;0,1,0)</f>
        <v/>
      </c>
      <c r="T508" s="19">
        <f>T507+IF(LEN($AD$508)&gt;0,1,0)</f>
        <v/>
      </c>
      <c r="U508" s="19">
        <f>U507+IF(LEN($AE$508)&gt;0,1,0)</f>
        <v/>
      </c>
      <c r="V508" s="19">
        <f>V507+IF(LEN($AF$508)&gt;0,1,0)</f>
        <v/>
      </c>
      <c r="X508" s="19">
        <f>IF(ISERROR($B$508),"",IF(ISBLANK($B$508),"",$B$508))</f>
        <v/>
      </c>
      <c r="Y508" s="19">
        <f>IF(ISERROR($C$508),"",IF(ISBLANK($C$508),"",$C$508))</f>
        <v/>
      </c>
      <c r="Z508" s="19">
        <f>IF(ISERROR($D$508),"",IF(ISBLANK($D$508),"",$D$508))</f>
        <v/>
      </c>
      <c r="AA508" s="19">
        <f>IF(ISERROR($E$508),"",IF(ISBLANK($E$508),"",$E$508))</f>
        <v/>
      </c>
      <c r="AB508" s="19">
        <f>IF(ISERROR($F$508),"",IF(ISBLANK($F$508),"",$F$508))</f>
        <v/>
      </c>
      <c r="AC508" s="19">
        <f>IF(ISERROR($G$508),"",IF(ISBLANK($G$508),"",$G$508))</f>
        <v/>
      </c>
      <c r="AD508" s="19">
        <f>IF(ISERROR($H$508),"",IF(ISBLANK($H$508),"",$H$508))</f>
        <v/>
      </c>
      <c r="AE508" s="19">
        <f>IF(ISERROR($I$508),"",IF(ISBLANK($I$508),"",$I$508))</f>
        <v/>
      </c>
      <c r="AF508" s="19">
        <f>IF(ISERROR($J$508),"",IF(ISBLANK($J$508),"",$J$508))</f>
        <v/>
      </c>
      <c r="AG508" s="19">
        <f>ISERROR($B$508)*1+ISERROR($C$508)*1+ISERROR($D$508)*1+ISERROR($E$508)*1+ISERROR($F$508)*1+ISERROR($G$508)*1+ISERROR($H$508)*1+ISERROR($I$508)*1+ISERROR($J$508)*1</f>
        <v/>
      </c>
    </row>
    <row r="509" ht="26" customHeight="1">
      <c r="B509" s="31" t="inlineStr">
        <is>
          <t>A Caça</t>
        </is>
      </c>
      <c r="C509" s="28" t="inlineStr">
        <is>
          <t>acertar as contas com um alvo antigo</t>
        </is>
      </c>
      <c r="D509" s="28" t="inlineStr">
        <is>
          <t>Contenção de Fragmentum</t>
        </is>
      </c>
      <c r="E509" s="28" t="inlineStr">
        <is>
          <t>queimar o ninho sem derrubar a mina inteira</t>
        </is>
      </c>
      <c r="F509" s="28" t="n"/>
      <c r="G509" s="28" t="n"/>
      <c r="H509" s="28" t="n"/>
      <c r="I509" s="28" t="n"/>
      <c r="J509" s="28" t="n"/>
      <c r="K509" s="18">
        <f>IF(AG509&gt;0,"O Google leu como fórmula: digite de novo com ' na frente.","")</f>
        <v/>
      </c>
      <c r="N509" s="19">
        <f>N508+IF(LEN($X$509)&gt;0,1,0)</f>
        <v/>
      </c>
      <c r="P509" s="19">
        <f>P508+IF(LEN($Z$509)&gt;0,1,0)</f>
        <v/>
      </c>
      <c r="R509" s="19">
        <f>R508+IF(LEN($AB$509)&gt;0,1,0)</f>
        <v/>
      </c>
      <c r="S509" s="19">
        <f>S508+IF(LEN($AC$509)&gt;0,1,0)</f>
        <v/>
      </c>
      <c r="T509" s="19">
        <f>T508+IF(LEN($AD$509)&gt;0,1,0)</f>
        <v/>
      </c>
      <c r="U509" s="19">
        <f>U508+IF(LEN($AE$509)&gt;0,1,0)</f>
        <v/>
      </c>
      <c r="V509" s="19">
        <f>V508+IF(LEN($AF$509)&gt;0,1,0)</f>
        <v/>
      </c>
      <c r="X509" s="19">
        <f>IF(ISERROR($B$509),"",IF(ISBLANK($B$509),"",$B$509))</f>
        <v/>
      </c>
      <c r="Y509" s="19">
        <f>IF(ISERROR($C$509),"",IF(ISBLANK($C$509),"",$C$509))</f>
        <v/>
      </c>
      <c r="Z509" s="19">
        <f>IF(ISERROR($D$509),"",IF(ISBLANK($D$509),"",$D$509))</f>
        <v/>
      </c>
      <c r="AA509" s="19">
        <f>IF(ISERROR($E$509),"",IF(ISBLANK($E$509),"",$E$509))</f>
        <v/>
      </c>
      <c r="AB509" s="19">
        <f>IF(ISERROR($F$509),"",IF(ISBLANK($F$509),"",$F$509))</f>
        <v/>
      </c>
      <c r="AC509" s="19">
        <f>IF(ISERROR($G$509),"",IF(ISBLANK($G$509),"",$G$509))</f>
        <v/>
      </c>
      <c r="AD509" s="19">
        <f>IF(ISERROR($H$509),"",IF(ISBLANK($H$509),"",$H$509))</f>
        <v/>
      </c>
      <c r="AE509" s="19">
        <f>IF(ISERROR($I$509),"",IF(ISBLANK($I$509),"",$I$509))</f>
        <v/>
      </c>
      <c r="AF509" s="19">
        <f>IF(ISERROR($J$509),"",IF(ISBLANK($J$509),"",$J$509))</f>
        <v/>
      </c>
      <c r="AG509" s="19">
        <f>ISERROR($B$509)*1+ISERROR($C$509)*1+ISERROR($D$509)*1+ISERROR($E$509)*1+ISERROR($F$509)*1+ISERROR($G$509)*1+ISERROR($H$509)*1+ISERROR($I$509)*1+ISERROR($J$509)*1</f>
        <v/>
      </c>
    </row>
    <row r="510" ht="26" customHeight="1">
      <c r="B510" s="30" t="inlineStr">
        <is>
          <t>A Caça</t>
        </is>
      </c>
      <c r="C510" s="3" t="inlineStr">
        <is>
          <t>rastrear quem destruiu a sua casa</t>
        </is>
      </c>
      <c r="D510" s="3" t="inlineStr">
        <is>
          <t>Rastro de Stellaron</t>
        </is>
      </c>
      <c r="E510" s="3" t="inlineStr">
        <is>
          <t>seguir as anomalias até a fonte</t>
        </is>
      </c>
      <c r="F510" s="3" t="n"/>
      <c r="G510" s="3" t="n"/>
      <c r="H510" s="3" t="n"/>
      <c r="I510" s="3" t="n"/>
      <c r="J510" s="3" t="n"/>
      <c r="K510" s="18">
        <f>IF(AG510&gt;0,"O Google leu como fórmula: digite de novo com ' na frente.","")</f>
        <v/>
      </c>
      <c r="N510" s="19">
        <f>N509+IF(LEN($X$510)&gt;0,1,0)</f>
        <v/>
      </c>
      <c r="P510" s="19">
        <f>P509+IF(LEN($Z$510)&gt;0,1,0)</f>
        <v/>
      </c>
      <c r="R510" s="19">
        <f>R509+IF(LEN($AB$510)&gt;0,1,0)</f>
        <v/>
      </c>
      <c r="S510" s="19">
        <f>S509+IF(LEN($AC$510)&gt;0,1,0)</f>
        <v/>
      </c>
      <c r="T510" s="19">
        <f>T509+IF(LEN($AD$510)&gt;0,1,0)</f>
        <v/>
      </c>
      <c r="U510" s="19">
        <f>U509+IF(LEN($AE$510)&gt;0,1,0)</f>
        <v/>
      </c>
      <c r="V510" s="19">
        <f>V509+IF(LEN($AF$510)&gt;0,1,0)</f>
        <v/>
      </c>
      <c r="X510" s="19">
        <f>IF(ISERROR($B$510),"",IF(ISBLANK($B$510),"",$B$510))</f>
        <v/>
      </c>
      <c r="Y510" s="19">
        <f>IF(ISERROR($C$510),"",IF(ISBLANK($C$510),"",$C$510))</f>
        <v/>
      </c>
      <c r="Z510" s="19">
        <f>IF(ISERROR($D$510),"",IF(ISBLANK($D$510),"",$D$510))</f>
        <v/>
      </c>
      <c r="AA510" s="19">
        <f>IF(ISERROR($E$510),"",IF(ISBLANK($E$510),"",$E$510))</f>
        <v/>
      </c>
      <c r="AB510" s="19">
        <f>IF(ISERROR($F$510),"",IF(ISBLANK($F$510),"",$F$510))</f>
        <v/>
      </c>
      <c r="AC510" s="19">
        <f>IF(ISERROR($G$510),"",IF(ISBLANK($G$510),"",$G$510))</f>
        <v/>
      </c>
      <c r="AD510" s="19">
        <f>IF(ISERROR($H$510),"",IF(ISBLANK($H$510),"",$H$510))</f>
        <v/>
      </c>
      <c r="AE510" s="19">
        <f>IF(ISERROR($I$510),"",IF(ISBLANK($I$510),"",$I$510))</f>
        <v/>
      </c>
      <c r="AF510" s="19">
        <f>IF(ISERROR($J$510),"",IF(ISBLANK($J$510),"",$J$510))</f>
        <v/>
      </c>
      <c r="AG510" s="19">
        <f>ISERROR($B$510)*1+ISERROR($C$510)*1+ISERROR($D$510)*1+ISERROR($E$510)*1+ISERROR($F$510)*1+ISERROR($G$510)*1+ISERROR($H$510)*1+ISERROR($I$510)*1+ISERROR($J$510)*1</f>
        <v/>
      </c>
    </row>
    <row r="511" ht="26" customHeight="1">
      <c r="B511" s="31" t="inlineStr">
        <is>
          <t>A Caça</t>
        </is>
      </c>
      <c r="C511" s="28" t="inlineStr">
        <is>
          <t>pegar o maior predador do setor</t>
        </is>
      </c>
      <c r="D511" s="28" t="inlineStr">
        <is>
          <t>Rastro de Stellaron</t>
        </is>
      </c>
      <c r="E511" s="28" t="inlineStr">
        <is>
          <t>recuperar um fragmento antes dos Caçadores</t>
        </is>
      </c>
      <c r="F511" s="28" t="n"/>
      <c r="G511" s="28" t="n"/>
      <c r="H511" s="28" t="n"/>
      <c r="I511" s="28" t="n"/>
      <c r="J511" s="28" t="n"/>
      <c r="K511" s="18">
        <f>IF(AG511&gt;0,"O Google leu como fórmula: digite de novo com ' na frente.","")</f>
        <v/>
      </c>
      <c r="N511" s="19">
        <f>N510+IF(LEN($X$511)&gt;0,1,0)</f>
        <v/>
      </c>
      <c r="P511" s="19">
        <f>P510+IF(LEN($Z$511)&gt;0,1,0)</f>
        <v/>
      </c>
      <c r="R511" s="19">
        <f>R510+IF(LEN($AB$511)&gt;0,1,0)</f>
        <v/>
      </c>
      <c r="S511" s="19">
        <f>S510+IF(LEN($AC$511)&gt;0,1,0)</f>
        <v/>
      </c>
      <c r="T511" s="19">
        <f>T510+IF(LEN($AD$511)&gt;0,1,0)</f>
        <v/>
      </c>
      <c r="U511" s="19">
        <f>U510+IF(LEN($AE$511)&gt;0,1,0)</f>
        <v/>
      </c>
      <c r="V511" s="19">
        <f>V510+IF(LEN($AF$511)&gt;0,1,0)</f>
        <v/>
      </c>
      <c r="X511" s="19">
        <f>IF(ISERROR($B$511),"",IF(ISBLANK($B$511),"",$B$511))</f>
        <v/>
      </c>
      <c r="Y511" s="19">
        <f>IF(ISERROR($C$511),"",IF(ISBLANK($C$511),"",$C$511))</f>
        <v/>
      </c>
      <c r="Z511" s="19">
        <f>IF(ISERROR($D$511),"",IF(ISBLANK($D$511),"",$D$511))</f>
        <v/>
      </c>
      <c r="AA511" s="19">
        <f>IF(ISERROR($E$511),"",IF(ISBLANK($E$511),"",$E$511))</f>
        <v/>
      </c>
      <c r="AB511" s="19">
        <f>IF(ISERROR($F$511),"",IF(ISBLANK($F$511),"",$F$511))</f>
        <v/>
      </c>
      <c r="AC511" s="19">
        <f>IF(ISERROR($G$511),"",IF(ISBLANK($G$511),"",$G$511))</f>
        <v/>
      </c>
      <c r="AD511" s="19">
        <f>IF(ISERROR($H$511),"",IF(ISBLANK($H$511),"",$H$511))</f>
        <v/>
      </c>
      <c r="AE511" s="19">
        <f>IF(ISERROR($I$511),"",IF(ISBLANK($I$511),"",$I$511))</f>
        <v/>
      </c>
      <c r="AF511" s="19">
        <f>IF(ISERROR($J$511),"",IF(ISBLANK($J$511),"",$J$511))</f>
        <v/>
      </c>
      <c r="AG511" s="19">
        <f>ISERROR($B$511)*1+ISERROR($C$511)*1+ISERROR($D$511)*1+ISERROR($E$511)*1+ISERROR($F$511)*1+ISERROR($G$511)*1+ISERROR($H$511)*1+ISERROR($I$511)*1+ISERROR($J$511)*1</f>
        <v/>
      </c>
    </row>
    <row r="512" ht="26" customHeight="1">
      <c r="B512" s="30" t="inlineStr">
        <is>
          <t>A Caça</t>
        </is>
      </c>
      <c r="C512" s="3" t="inlineStr">
        <is>
          <t>cumprir um contrato que ninguém aceitou</t>
        </is>
      </c>
      <c r="D512" s="3" t="inlineStr">
        <is>
          <t>Rastro de Stellaron</t>
        </is>
      </c>
      <c r="E512" s="3" t="inlineStr">
        <is>
          <t>descobrir por que as estações do ano trocam em horas</t>
        </is>
      </c>
      <c r="F512" s="3" t="n"/>
      <c r="G512" s="3" t="n"/>
      <c r="H512" s="3" t="n"/>
      <c r="I512" s="3" t="n"/>
      <c r="J512" s="3" t="n"/>
      <c r="K512" s="18">
        <f>IF(AG512&gt;0,"O Google leu como fórmula: digite de novo com ' na frente.","")</f>
        <v/>
      </c>
      <c r="N512" s="19">
        <f>N511+IF(LEN($X$512)&gt;0,1,0)</f>
        <v/>
      </c>
      <c r="P512" s="19">
        <f>P511+IF(LEN($Z$512)&gt;0,1,0)</f>
        <v/>
      </c>
      <c r="R512" s="19">
        <f>R511+IF(LEN($AB$512)&gt;0,1,0)</f>
        <v/>
      </c>
      <c r="S512" s="19">
        <f>S511+IF(LEN($AC$512)&gt;0,1,0)</f>
        <v/>
      </c>
      <c r="T512" s="19">
        <f>T511+IF(LEN($AD$512)&gt;0,1,0)</f>
        <v/>
      </c>
      <c r="U512" s="19">
        <f>U511+IF(LEN($AE$512)&gt;0,1,0)</f>
        <v/>
      </c>
      <c r="V512" s="19">
        <f>V511+IF(LEN($AF$512)&gt;0,1,0)</f>
        <v/>
      </c>
      <c r="X512" s="19">
        <f>IF(ISERROR($B$512),"",IF(ISBLANK($B$512),"",$B$512))</f>
        <v/>
      </c>
      <c r="Y512" s="19">
        <f>IF(ISERROR($C$512),"",IF(ISBLANK($C$512),"",$C$512))</f>
        <v/>
      </c>
      <c r="Z512" s="19">
        <f>IF(ISERROR($D$512),"",IF(ISBLANK($D$512),"",$D$512))</f>
        <v/>
      </c>
      <c r="AA512" s="19">
        <f>IF(ISERROR($E$512),"",IF(ISBLANK($E$512),"",$E$512))</f>
        <v/>
      </c>
      <c r="AB512" s="19">
        <f>IF(ISERROR($F$512),"",IF(ISBLANK($F$512),"",$F$512))</f>
        <v/>
      </c>
      <c r="AC512" s="19">
        <f>IF(ISERROR($G$512),"",IF(ISBLANK($G$512),"",$G$512))</f>
        <v/>
      </c>
      <c r="AD512" s="19">
        <f>IF(ISERROR($H$512),"",IF(ISBLANK($H$512),"",$H$512))</f>
        <v/>
      </c>
      <c r="AE512" s="19">
        <f>IF(ISERROR($I$512),"",IF(ISBLANK($I$512),"",$I$512))</f>
        <v/>
      </c>
      <c r="AF512" s="19">
        <f>IF(ISERROR($J$512),"",IF(ISBLANK($J$512),"",$J$512))</f>
        <v/>
      </c>
      <c r="AG512" s="19">
        <f>ISERROR($B$512)*1+ISERROR($C$512)*1+ISERROR($D$512)*1+ISERROR($E$512)*1+ISERROR($F$512)*1+ISERROR($G$512)*1+ISERROR($H$512)*1+ISERROR($I$512)*1+ISERROR($J$512)*1</f>
        <v/>
      </c>
    </row>
    <row r="513" ht="15" customHeight="1">
      <c r="B513" s="7" t="inlineStr">
        <is>
          <t>Caminho (motivação)</t>
        </is>
      </c>
      <c r="C513" s="7" t="inlineStr">
        <is>
          <t>Motivação por Caminho</t>
        </is>
      </c>
      <c r="D513" s="7" t="inlineStr">
        <is>
          <t>Tipo (objetivo)</t>
        </is>
      </c>
      <c r="E513" s="7" t="inlineStr">
        <is>
          <t>Objetivo por tipo</t>
        </is>
      </c>
      <c r="F513" s="7" t="inlineStr">
        <is>
          <t>Tipo de aventura</t>
        </is>
      </c>
      <c r="G513" s="7" t="inlineStr">
        <is>
          <t>Gancho de aventura</t>
        </is>
      </c>
      <c r="H513" s="7" t="inlineStr">
        <is>
          <t>Local (sabor)</t>
        </is>
      </c>
      <c r="I513" s="7" t="inlineStr">
        <is>
          <t>Complicação</t>
        </is>
      </c>
      <c r="J513" s="7" t="inlineStr">
        <is>
          <t>Reviravolta</t>
        </is>
      </c>
      <c r="N513" s="19">
        <f>N512</f>
        <v/>
      </c>
      <c r="P513" s="19">
        <f>P512</f>
        <v/>
      </c>
      <c r="R513" s="19">
        <f>R512</f>
        <v/>
      </c>
      <c r="S513" s="19">
        <f>S512</f>
        <v/>
      </c>
      <c r="T513" s="19">
        <f>T512</f>
        <v/>
      </c>
      <c r="U513" s="19">
        <f>U512</f>
        <v/>
      </c>
      <c r="V513" s="19">
        <f>V512</f>
        <v/>
      </c>
      <c r="X513" s="19">
        <f>IF(ISERROR($B$513),"",IF(ISBLANK($B$513),"",$B$513))</f>
        <v/>
      </c>
      <c r="Y513" s="19">
        <f>IF(ISERROR($C$513),"",IF(ISBLANK($C$513),"",$C$513))</f>
        <v/>
      </c>
      <c r="Z513" s="19">
        <f>IF(ISERROR($D$513),"",IF(ISBLANK($D$513),"",$D$513))</f>
        <v/>
      </c>
      <c r="AA513" s="19">
        <f>IF(ISERROR($E$513),"",IF(ISBLANK($E$513),"",$E$513))</f>
        <v/>
      </c>
      <c r="AB513" s="19">
        <f>IF(ISERROR($F$513),"",IF(ISBLANK($F$513),"",$F$513))</f>
        <v/>
      </c>
      <c r="AC513" s="19">
        <f>IF(ISERROR($G$513),"",IF(ISBLANK($G$513),"",$G$513))</f>
        <v/>
      </c>
      <c r="AD513" s="19">
        <f>IF(ISERROR($H$513),"",IF(ISBLANK($H$513),"",$H$513))</f>
        <v/>
      </c>
      <c r="AE513" s="19">
        <f>IF(ISERROR($I$513),"",IF(ISBLANK($I$513),"",$I$513))</f>
        <v/>
      </c>
      <c r="AF513" s="19">
        <f>IF(ISERROR($J$513),"",IF(ISBLANK($J$513),"",$J$513))</f>
        <v/>
      </c>
    </row>
    <row r="514" ht="26" customHeight="1">
      <c r="B514" s="30" t="inlineStr">
        <is>
          <t>A Caça</t>
        </is>
      </c>
      <c r="C514" s="3" t="inlineStr">
        <is>
          <t>proteger os seus, caçando antes de ser caçado</t>
        </is>
      </c>
      <c r="D514" s="3" t="inlineStr">
        <is>
          <t>Cobrança de dívida</t>
        </is>
      </c>
      <c r="E514" s="3" t="inlineStr">
        <is>
          <t>cobrar um devedor que fugiu para outro mundo</t>
        </is>
      </c>
      <c r="F514" s="3" t="n"/>
      <c r="G514" s="3" t="n"/>
      <c r="H514" s="3" t="n"/>
      <c r="I514" s="3" t="n"/>
      <c r="J514" s="3" t="n"/>
      <c r="K514" s="18">
        <f>IF(AG514&gt;0,"O Google leu como fórmula: digite de novo com ' na frente.","")</f>
        <v/>
      </c>
      <c r="N514" s="19">
        <f>N513+IF(LEN($X$514)&gt;0,1,0)</f>
        <v/>
      </c>
      <c r="P514" s="19">
        <f>P513+IF(LEN($Z$514)&gt;0,1,0)</f>
        <v/>
      </c>
      <c r="R514" s="19">
        <f>R513+IF(LEN($AB$514)&gt;0,1,0)</f>
        <v/>
      </c>
      <c r="S514" s="19">
        <f>S513+IF(LEN($AC$514)&gt;0,1,0)</f>
        <v/>
      </c>
      <c r="T514" s="19">
        <f>T513+IF(LEN($AD$514)&gt;0,1,0)</f>
        <v/>
      </c>
      <c r="U514" s="19">
        <f>U513+IF(LEN($AE$514)&gt;0,1,0)</f>
        <v/>
      </c>
      <c r="V514" s="19">
        <f>V513+IF(LEN($AF$514)&gt;0,1,0)</f>
        <v/>
      </c>
      <c r="X514" s="19">
        <f>IF(ISERROR($B$514),"",IF(ISBLANK($B$514),"",$B$514))</f>
        <v/>
      </c>
      <c r="Y514" s="19">
        <f>IF(ISERROR($C$514),"",IF(ISBLANK($C$514),"",$C$514))</f>
        <v/>
      </c>
      <c r="Z514" s="19">
        <f>IF(ISERROR($D$514),"",IF(ISBLANK($D$514),"",$D$514))</f>
        <v/>
      </c>
      <c r="AA514" s="19">
        <f>IF(ISERROR($E$514),"",IF(ISBLANK($E$514),"",$E$514))</f>
        <v/>
      </c>
      <c r="AB514" s="19">
        <f>IF(ISERROR($F$514),"",IF(ISBLANK($F$514),"",$F$514))</f>
        <v/>
      </c>
      <c r="AC514" s="19">
        <f>IF(ISERROR($G$514),"",IF(ISBLANK($G$514),"",$G$514))</f>
        <v/>
      </c>
      <c r="AD514" s="19">
        <f>IF(ISERROR($H$514),"",IF(ISBLANK($H$514),"",$H$514))</f>
        <v/>
      </c>
      <c r="AE514" s="19">
        <f>IF(ISERROR($I$514),"",IF(ISBLANK($I$514),"",$I$514))</f>
        <v/>
      </c>
      <c r="AF514" s="19">
        <f>IF(ISERROR($J$514),"",IF(ISBLANK($J$514),"",$J$514))</f>
        <v/>
      </c>
      <c r="AG514" s="19">
        <f>ISERROR($B$514)*1+ISERROR($C$514)*1+ISERROR($D$514)*1+ISERROR($E$514)*1+ISERROR($F$514)*1+ISERROR($G$514)*1+ISERROR($H$514)*1+ISERROR($I$514)*1+ISERROR($J$514)*1</f>
        <v/>
      </c>
    </row>
    <row r="515" ht="26" customHeight="1">
      <c r="B515" s="31" t="inlineStr">
        <is>
          <t>A Preservação</t>
        </is>
      </c>
      <c r="C515" s="28" t="inlineStr">
        <is>
          <t>manter uma muralha de pé mais um dia</t>
        </is>
      </c>
      <c r="D515" s="28" t="inlineStr">
        <is>
          <t>Cobrança de dívida</t>
        </is>
      </c>
      <c r="E515" s="28" t="inlineStr">
        <is>
          <t>recuperar a garantia de um empréstimo</t>
        </is>
      </c>
      <c r="F515" s="28" t="n"/>
      <c r="G515" s="28" t="n"/>
      <c r="H515" s="28" t="n"/>
      <c r="I515" s="28" t="n"/>
      <c r="J515" s="28" t="n"/>
      <c r="K515" s="18">
        <f>IF(AG515&gt;0,"O Google leu como fórmula: digite de novo com ' na frente.","")</f>
        <v/>
      </c>
      <c r="N515" s="19">
        <f>N514+IF(LEN($X$515)&gt;0,1,0)</f>
        <v/>
      </c>
      <c r="P515" s="19">
        <f>P514+IF(LEN($Z$515)&gt;0,1,0)</f>
        <v/>
      </c>
      <c r="R515" s="19">
        <f>R514+IF(LEN($AB$515)&gt;0,1,0)</f>
        <v/>
      </c>
      <c r="S515" s="19">
        <f>S514+IF(LEN($AC$515)&gt;0,1,0)</f>
        <v/>
      </c>
      <c r="T515" s="19">
        <f>T514+IF(LEN($AD$515)&gt;0,1,0)</f>
        <v/>
      </c>
      <c r="U515" s="19">
        <f>U514+IF(LEN($AE$515)&gt;0,1,0)</f>
        <v/>
      </c>
      <c r="V515" s="19">
        <f>V514+IF(LEN($AF$515)&gt;0,1,0)</f>
        <v/>
      </c>
      <c r="X515" s="19">
        <f>IF(ISERROR($B$515),"",IF(ISBLANK($B$515),"",$B$515))</f>
        <v/>
      </c>
      <c r="Y515" s="19">
        <f>IF(ISERROR($C$515),"",IF(ISBLANK($C$515),"",$C$515))</f>
        <v/>
      </c>
      <c r="Z515" s="19">
        <f>IF(ISERROR($D$515),"",IF(ISBLANK($D$515),"",$D$515))</f>
        <v/>
      </c>
      <c r="AA515" s="19">
        <f>IF(ISERROR($E$515),"",IF(ISBLANK($E$515),"",$E$515))</f>
        <v/>
      </c>
      <c r="AB515" s="19">
        <f>IF(ISERROR($F$515),"",IF(ISBLANK($F$515),"",$F$515))</f>
        <v/>
      </c>
      <c r="AC515" s="19">
        <f>IF(ISERROR($G$515),"",IF(ISBLANK($G$515),"",$G$515))</f>
        <v/>
      </c>
      <c r="AD515" s="19">
        <f>IF(ISERROR($H$515),"",IF(ISBLANK($H$515),"",$H$515))</f>
        <v/>
      </c>
      <c r="AE515" s="19">
        <f>IF(ISERROR($I$515),"",IF(ISBLANK($I$515),"",$I$515))</f>
        <v/>
      </c>
      <c r="AF515" s="19">
        <f>IF(ISERROR($J$515),"",IF(ISBLANK($J$515),"",$J$515))</f>
        <v/>
      </c>
      <c r="AG515" s="19">
        <f>ISERROR($B$515)*1+ISERROR($C$515)*1+ISERROR($D$515)*1+ISERROR($E$515)*1+ISERROR($F$515)*1+ISERROR($G$515)*1+ISERROR($H$515)*1+ISERROR($I$515)*1+ISERROR($J$515)*1</f>
        <v/>
      </c>
    </row>
    <row r="516" ht="26" customHeight="1">
      <c r="B516" s="30" t="inlineStr">
        <is>
          <t>A Preservação</t>
        </is>
      </c>
      <c r="C516" s="3" t="inlineStr">
        <is>
          <t>proteger uma colônia esquecida</t>
        </is>
      </c>
      <c r="D516" s="3" t="inlineStr">
        <is>
          <t>Cobrança de dívida</t>
        </is>
      </c>
      <c r="E516" s="3" t="inlineStr">
        <is>
          <t>decidir se a dívida de um velho amigo vale uma briga</t>
        </is>
      </c>
      <c r="F516" s="3" t="n"/>
      <c r="G516" s="3" t="n"/>
      <c r="H516" s="3" t="n"/>
      <c r="I516" s="3" t="n"/>
      <c r="J516" s="3" t="n"/>
      <c r="K516" s="18">
        <f>IF(AG516&gt;0,"O Google leu como fórmula: digite de novo com ' na frente.","")</f>
        <v/>
      </c>
      <c r="N516" s="19">
        <f>N515+IF(LEN($X$516)&gt;0,1,0)</f>
        <v/>
      </c>
      <c r="P516" s="19">
        <f>P515+IF(LEN($Z$516)&gt;0,1,0)</f>
        <v/>
      </c>
      <c r="R516" s="19">
        <f>R515+IF(LEN($AB$516)&gt;0,1,0)</f>
        <v/>
      </c>
      <c r="S516" s="19">
        <f>S515+IF(LEN($AC$516)&gt;0,1,0)</f>
        <v/>
      </c>
      <c r="T516" s="19">
        <f>T515+IF(LEN($AD$516)&gt;0,1,0)</f>
        <v/>
      </c>
      <c r="U516" s="19">
        <f>U515+IF(LEN($AE$516)&gt;0,1,0)</f>
        <v/>
      </c>
      <c r="V516" s="19">
        <f>V515+IF(LEN($AF$516)&gt;0,1,0)</f>
        <v/>
      </c>
      <c r="X516" s="19">
        <f>IF(ISERROR($B$516),"",IF(ISBLANK($B$516),"",$B$516))</f>
        <v/>
      </c>
      <c r="Y516" s="19">
        <f>IF(ISERROR($C$516),"",IF(ISBLANK($C$516),"",$C$516))</f>
        <v/>
      </c>
      <c r="Z516" s="19">
        <f>IF(ISERROR($D$516),"",IF(ISBLANK($D$516),"",$D$516))</f>
        <v/>
      </c>
      <c r="AA516" s="19">
        <f>IF(ISERROR($E$516),"",IF(ISBLANK($E$516),"",$E$516))</f>
        <v/>
      </c>
      <c r="AB516" s="19">
        <f>IF(ISERROR($F$516),"",IF(ISBLANK($F$516),"",$F$516))</f>
        <v/>
      </c>
      <c r="AC516" s="19">
        <f>IF(ISERROR($G$516),"",IF(ISBLANK($G$516),"",$G$516))</f>
        <v/>
      </c>
      <c r="AD516" s="19">
        <f>IF(ISERROR($H$516),"",IF(ISBLANK($H$516),"",$H$516))</f>
        <v/>
      </c>
      <c r="AE516" s="19">
        <f>IF(ISERROR($I$516),"",IF(ISBLANK($I$516),"",$I$516))</f>
        <v/>
      </c>
      <c r="AF516" s="19">
        <f>IF(ISERROR($J$516),"",IF(ISBLANK($J$516),"",$J$516))</f>
        <v/>
      </c>
      <c r="AG516" s="19">
        <f>ISERROR($B$516)*1+ISERROR($C$516)*1+ISERROR($D$516)*1+ISERROR($E$516)*1+ISERROR($F$516)*1+ISERROR($G$516)*1+ISERROR($H$516)*1+ISERROR($I$516)*1+ISERROR($J$516)*1</f>
        <v/>
      </c>
    </row>
    <row r="517" ht="26" customHeight="1">
      <c r="B517" s="31" t="inlineStr">
        <is>
          <t>A Preservação</t>
        </is>
      </c>
      <c r="C517" s="28" t="inlineStr">
        <is>
          <t>cumprir uma promessa feita a um morto</t>
        </is>
      </c>
      <c r="D517" s="28" t="n"/>
      <c r="E517" s="28" t="n"/>
      <c r="F517" s="28" t="n"/>
      <c r="G517" s="28" t="n"/>
      <c r="H517" s="28" t="n"/>
      <c r="I517" s="28" t="n"/>
      <c r="J517" s="28" t="n"/>
      <c r="K517" s="18">
        <f>IF(AG517&gt;0,"O Google leu como fórmula: digite de novo com ' na frente.","")</f>
        <v/>
      </c>
      <c r="N517" s="19">
        <f>N516+IF(LEN($X$517)&gt;0,1,0)</f>
        <v/>
      </c>
      <c r="P517" s="19">
        <f>P516+IF(LEN($Z$517)&gt;0,1,0)</f>
        <v/>
      </c>
      <c r="R517" s="19">
        <f>R516+IF(LEN($AB$517)&gt;0,1,0)</f>
        <v/>
      </c>
      <c r="S517" s="19">
        <f>S516+IF(LEN($AC$517)&gt;0,1,0)</f>
        <v/>
      </c>
      <c r="T517" s="19">
        <f>T516+IF(LEN($AD$517)&gt;0,1,0)</f>
        <v/>
      </c>
      <c r="U517" s="19">
        <f>U516+IF(LEN($AE$517)&gt;0,1,0)</f>
        <v/>
      </c>
      <c r="V517" s="19">
        <f>V516+IF(LEN($AF$517)&gt;0,1,0)</f>
        <v/>
      </c>
      <c r="X517" s="19">
        <f>IF(ISERROR($B$517),"",IF(ISBLANK($B$517),"",$B$517))</f>
        <v/>
      </c>
      <c r="Y517" s="19">
        <f>IF(ISERROR($C$517),"",IF(ISBLANK($C$517),"",$C$517))</f>
        <v/>
      </c>
      <c r="Z517" s="19">
        <f>IF(ISERROR($D$517),"",IF(ISBLANK($D$517),"",$D$517))</f>
        <v/>
      </c>
      <c r="AA517" s="19">
        <f>IF(ISERROR($E$517),"",IF(ISBLANK($E$517),"",$E$517))</f>
        <v/>
      </c>
      <c r="AB517" s="19">
        <f>IF(ISERROR($F$517),"",IF(ISBLANK($F$517),"",$F$517))</f>
        <v/>
      </c>
      <c r="AC517" s="19">
        <f>IF(ISERROR($G$517),"",IF(ISBLANK($G$517),"",$G$517))</f>
        <v/>
      </c>
      <c r="AD517" s="19">
        <f>IF(ISERROR($H$517),"",IF(ISBLANK($H$517),"",$H$517))</f>
        <v/>
      </c>
      <c r="AE517" s="19">
        <f>IF(ISERROR($I$517),"",IF(ISBLANK($I$517),"",$I$517))</f>
        <v/>
      </c>
      <c r="AF517" s="19">
        <f>IF(ISERROR($J$517),"",IF(ISBLANK($J$517),"",$J$517))</f>
        <v/>
      </c>
      <c r="AG517" s="19">
        <f>ISERROR($B$517)*1+ISERROR($C$517)*1+ISERROR($D$517)*1+ISERROR($E$517)*1+ISERROR($F$517)*1+ISERROR($G$517)*1+ISERROR($H$517)*1+ISERROR($I$517)*1+ISERROR($J$517)*1</f>
        <v/>
      </c>
    </row>
    <row r="518" ht="26" customHeight="1">
      <c r="B518" s="30" t="inlineStr">
        <is>
          <t>A Preservação</t>
        </is>
      </c>
      <c r="C518" s="3" t="inlineStr">
        <is>
          <t>guardar a porta que não pode abrir</t>
        </is>
      </c>
      <c r="D518" s="3" t="n"/>
      <c r="E518" s="3" t="n"/>
      <c r="F518" s="3" t="n"/>
      <c r="G518" s="3" t="n"/>
      <c r="H518" s="3" t="n"/>
      <c r="I518" s="3" t="n"/>
      <c r="J518" s="3" t="n"/>
      <c r="K518" s="18">
        <f>IF(AG518&gt;0,"O Google leu como fórmula: digite de novo com ' na frente.","")</f>
        <v/>
      </c>
      <c r="N518" s="19">
        <f>N517+IF(LEN($X$518)&gt;0,1,0)</f>
        <v/>
      </c>
      <c r="P518" s="19">
        <f>P517+IF(LEN($Z$518)&gt;0,1,0)</f>
        <v/>
      </c>
      <c r="R518" s="19">
        <f>R517+IF(LEN($AB$518)&gt;0,1,0)</f>
        <v/>
      </c>
      <c r="S518" s="19">
        <f>S517+IF(LEN($AC$518)&gt;0,1,0)</f>
        <v/>
      </c>
      <c r="T518" s="19">
        <f>T517+IF(LEN($AD$518)&gt;0,1,0)</f>
        <v/>
      </c>
      <c r="U518" s="19">
        <f>U517+IF(LEN($AE$518)&gt;0,1,0)</f>
        <v/>
      </c>
      <c r="V518" s="19">
        <f>V517+IF(LEN($AF$518)&gt;0,1,0)</f>
        <v/>
      </c>
      <c r="X518" s="19">
        <f>IF(ISERROR($B$518),"",IF(ISBLANK($B$518),"",$B$518))</f>
        <v/>
      </c>
      <c r="Y518" s="19">
        <f>IF(ISERROR($C$518),"",IF(ISBLANK($C$518),"",$C$518))</f>
        <v/>
      </c>
      <c r="Z518" s="19">
        <f>IF(ISERROR($D$518),"",IF(ISBLANK($D$518),"",$D$518))</f>
        <v/>
      </c>
      <c r="AA518" s="19">
        <f>IF(ISERROR($E$518),"",IF(ISBLANK($E$518),"",$E$518))</f>
        <v/>
      </c>
      <c r="AB518" s="19">
        <f>IF(ISERROR($F$518),"",IF(ISBLANK($F$518),"",$F$518))</f>
        <v/>
      </c>
      <c r="AC518" s="19">
        <f>IF(ISERROR($G$518),"",IF(ISBLANK($G$518),"",$G$518))</f>
        <v/>
      </c>
      <c r="AD518" s="19">
        <f>IF(ISERROR($H$518),"",IF(ISBLANK($H$518),"",$H$518))</f>
        <v/>
      </c>
      <c r="AE518" s="19">
        <f>IF(ISERROR($I$518),"",IF(ISBLANK($I$518),"",$I$518))</f>
        <v/>
      </c>
      <c r="AF518" s="19">
        <f>IF(ISERROR($J$518),"",IF(ISBLANK($J$518),"",$J$518))</f>
        <v/>
      </c>
      <c r="AG518" s="19">
        <f>ISERROR($B$518)*1+ISERROR($C$518)*1+ISERROR($D$518)*1+ISERROR($E$518)*1+ISERROR($F$518)*1+ISERROR($G$518)*1+ISERROR($H$518)*1+ISERROR($I$518)*1+ISERROR($J$518)*1</f>
        <v/>
      </c>
    </row>
    <row r="519" ht="26" customHeight="1">
      <c r="B519" s="31" t="inlineStr">
        <is>
          <t>A Preservação</t>
        </is>
      </c>
      <c r="C519" s="28" t="inlineStr">
        <is>
          <t>construir um abrigo para quem não tem nenhum</t>
        </is>
      </c>
      <c r="D519" s="28" t="n"/>
      <c r="E519" s="28" t="n"/>
      <c r="F519" s="28" t="n"/>
      <c r="G519" s="28" t="n"/>
      <c r="H519" s="28" t="n"/>
      <c r="I519" s="28" t="n"/>
      <c r="J519" s="28" t="n"/>
      <c r="K519" s="18">
        <f>IF(AG519&gt;0,"O Google leu como fórmula: digite de novo com ' na frente.","")</f>
        <v/>
      </c>
      <c r="N519" s="19">
        <f>N518+IF(LEN($X$519)&gt;0,1,0)</f>
        <v/>
      </c>
      <c r="P519" s="19">
        <f>P518+IF(LEN($Z$519)&gt;0,1,0)</f>
        <v/>
      </c>
      <c r="R519" s="19">
        <f>R518+IF(LEN($AB$519)&gt;0,1,0)</f>
        <v/>
      </c>
      <c r="S519" s="19">
        <f>S518+IF(LEN($AC$519)&gt;0,1,0)</f>
        <v/>
      </c>
      <c r="T519" s="19">
        <f>T518+IF(LEN($AD$519)&gt;0,1,0)</f>
        <v/>
      </c>
      <c r="U519" s="19">
        <f>U518+IF(LEN($AE$519)&gt;0,1,0)</f>
        <v/>
      </c>
      <c r="V519" s="19">
        <f>V518+IF(LEN($AF$519)&gt;0,1,0)</f>
        <v/>
      </c>
      <c r="X519" s="19">
        <f>IF(ISERROR($B$519),"",IF(ISBLANK($B$519),"",$B$519))</f>
        <v/>
      </c>
      <c r="Y519" s="19">
        <f>IF(ISERROR($C$519),"",IF(ISBLANK($C$519),"",$C$519))</f>
        <v/>
      </c>
      <c r="Z519" s="19">
        <f>IF(ISERROR($D$519),"",IF(ISBLANK($D$519),"",$D$519))</f>
        <v/>
      </c>
      <c r="AA519" s="19">
        <f>IF(ISERROR($E$519),"",IF(ISBLANK($E$519),"",$E$519))</f>
        <v/>
      </c>
      <c r="AB519" s="19">
        <f>IF(ISERROR($F$519),"",IF(ISBLANK($F$519),"",$F$519))</f>
        <v/>
      </c>
      <c r="AC519" s="19">
        <f>IF(ISERROR($G$519),"",IF(ISBLANK($G$519),"",$G$519))</f>
        <v/>
      </c>
      <c r="AD519" s="19">
        <f>IF(ISERROR($H$519),"",IF(ISBLANK($H$519),"",$H$519))</f>
        <v/>
      </c>
      <c r="AE519" s="19">
        <f>IF(ISERROR($I$519),"",IF(ISBLANK($I$519),"",$I$519))</f>
        <v/>
      </c>
      <c r="AF519" s="19">
        <f>IF(ISERROR($J$519),"",IF(ISBLANK($J$519),"",$J$519))</f>
        <v/>
      </c>
      <c r="AG519" s="19">
        <f>ISERROR($B$519)*1+ISERROR($C$519)*1+ISERROR($D$519)*1+ISERROR($E$519)*1+ISERROR($F$519)*1+ISERROR($G$519)*1+ISERROR($H$519)*1+ISERROR($I$519)*1+ISERROR($J$519)*1</f>
        <v/>
      </c>
    </row>
    <row r="520" ht="26" customHeight="1">
      <c r="B520" s="30" t="n"/>
      <c r="C520" s="3" t="n"/>
      <c r="D520" s="3" t="n"/>
      <c r="E520" s="3" t="n"/>
      <c r="F520" s="3" t="n"/>
      <c r="G520" s="3" t="n"/>
      <c r="H520" s="3" t="n"/>
      <c r="I520" s="3" t="n"/>
      <c r="J520" s="3" t="n"/>
      <c r="K520" s="18">
        <f>IF(AG520&gt;0,"O Google leu como fórmula: digite de novo com ' na frente.","")</f>
        <v/>
      </c>
      <c r="N520" s="19">
        <f>N519+IF(LEN($X$520)&gt;0,1,0)</f>
        <v/>
      </c>
      <c r="P520" s="19">
        <f>P519+IF(LEN($Z$520)&gt;0,1,0)</f>
        <v/>
      </c>
      <c r="R520" s="19">
        <f>R519+IF(LEN($AB$520)&gt;0,1,0)</f>
        <v/>
      </c>
      <c r="S520" s="19">
        <f>S519+IF(LEN($AC$520)&gt;0,1,0)</f>
        <v/>
      </c>
      <c r="T520" s="19">
        <f>T519+IF(LEN($AD$520)&gt;0,1,0)</f>
        <v/>
      </c>
      <c r="U520" s="19">
        <f>U519+IF(LEN($AE$520)&gt;0,1,0)</f>
        <v/>
      </c>
      <c r="V520" s="19">
        <f>V519+IF(LEN($AF$520)&gt;0,1,0)</f>
        <v/>
      </c>
      <c r="X520" s="19">
        <f>IF(ISERROR($B$520),"",IF(ISBLANK($B$520),"",$B$520))</f>
        <v/>
      </c>
      <c r="Y520" s="19">
        <f>IF(ISERROR($C$520),"",IF(ISBLANK($C$520),"",$C$520))</f>
        <v/>
      </c>
      <c r="Z520" s="19">
        <f>IF(ISERROR($D$520),"",IF(ISBLANK($D$520),"",$D$520))</f>
        <v/>
      </c>
      <c r="AA520" s="19">
        <f>IF(ISERROR($E$520),"",IF(ISBLANK($E$520),"",$E$520))</f>
        <v/>
      </c>
      <c r="AB520" s="19">
        <f>IF(ISERROR($F$520),"",IF(ISBLANK($F$520),"",$F$520))</f>
        <v/>
      </c>
      <c r="AC520" s="19">
        <f>IF(ISERROR($G$520),"",IF(ISBLANK($G$520),"",$G$520))</f>
        <v/>
      </c>
      <c r="AD520" s="19">
        <f>IF(ISERROR($H$520),"",IF(ISBLANK($H$520),"",$H$520))</f>
        <v/>
      </c>
      <c r="AE520" s="19">
        <f>IF(ISERROR($I$520),"",IF(ISBLANK($I$520),"",$I$520))</f>
        <v/>
      </c>
      <c r="AF520" s="19">
        <f>IF(ISERROR($J$520),"",IF(ISBLANK($J$520),"",$J$520))</f>
        <v/>
      </c>
      <c r="AG520" s="19">
        <f>ISERROR($B$520)*1+ISERROR($C$520)*1+ISERROR($D$520)*1+ISERROR($E$520)*1+ISERROR($F$520)*1+ISERROR($G$520)*1+ISERROR($H$520)*1+ISERROR($I$520)*1+ISERROR($J$520)*1</f>
        <v/>
      </c>
    </row>
    <row r="521" ht="26" customHeight="1">
      <c r="B521" s="31" t="n"/>
      <c r="C521" s="28" t="n"/>
      <c r="D521" s="28" t="n"/>
      <c r="E521" s="28" t="n"/>
      <c r="F521" s="28" t="n"/>
      <c r="G521" s="28" t="n"/>
      <c r="H521" s="28" t="n"/>
      <c r="I521" s="28" t="n"/>
      <c r="J521" s="28" t="n"/>
      <c r="K521" s="18">
        <f>IF(AG521&gt;0,"O Google leu como fórmula: digite de novo com ' na frente.","")</f>
        <v/>
      </c>
      <c r="N521" s="19">
        <f>N520+IF(LEN($X$521)&gt;0,1,0)</f>
        <v/>
      </c>
      <c r="P521" s="19">
        <f>P520+IF(LEN($Z$521)&gt;0,1,0)</f>
        <v/>
      </c>
      <c r="R521" s="19">
        <f>R520+IF(LEN($AB$521)&gt;0,1,0)</f>
        <v/>
      </c>
      <c r="S521" s="19">
        <f>S520+IF(LEN($AC$521)&gt;0,1,0)</f>
        <v/>
      </c>
      <c r="T521" s="19">
        <f>T520+IF(LEN($AD$521)&gt;0,1,0)</f>
        <v/>
      </c>
      <c r="U521" s="19">
        <f>U520+IF(LEN($AE$521)&gt;0,1,0)</f>
        <v/>
      </c>
      <c r="V521" s="19">
        <f>V520+IF(LEN($AF$521)&gt;0,1,0)</f>
        <v/>
      </c>
      <c r="X521" s="19">
        <f>IF(ISERROR($B$521),"",IF(ISBLANK($B$521),"",$B$521))</f>
        <v/>
      </c>
      <c r="Y521" s="19">
        <f>IF(ISERROR($C$521),"",IF(ISBLANK($C$521),"",$C$521))</f>
        <v/>
      </c>
      <c r="Z521" s="19">
        <f>IF(ISERROR($D$521),"",IF(ISBLANK($D$521),"",$D$521))</f>
        <v/>
      </c>
      <c r="AA521" s="19">
        <f>IF(ISERROR($E$521),"",IF(ISBLANK($E$521),"",$E$521))</f>
        <v/>
      </c>
      <c r="AB521" s="19">
        <f>IF(ISERROR($F$521),"",IF(ISBLANK($F$521),"",$F$521))</f>
        <v/>
      </c>
      <c r="AC521" s="19">
        <f>IF(ISERROR($G$521),"",IF(ISBLANK($G$521),"",$G$521))</f>
        <v/>
      </c>
      <c r="AD521" s="19">
        <f>IF(ISERROR($H$521),"",IF(ISBLANK($H$521),"",$H$521))</f>
        <v/>
      </c>
      <c r="AE521" s="19">
        <f>IF(ISERROR($I$521),"",IF(ISBLANK($I$521),"",$I$521))</f>
        <v/>
      </c>
      <c r="AF521" s="19">
        <f>IF(ISERROR($J$521),"",IF(ISBLANK($J$521),"",$J$521))</f>
        <v/>
      </c>
      <c r="AG521" s="19">
        <f>ISERROR($B$521)*1+ISERROR($C$521)*1+ISERROR($D$521)*1+ISERROR($E$521)*1+ISERROR($F$521)*1+ISERROR($G$521)*1+ISERROR($H$521)*1+ISERROR($I$521)*1+ISERROR($J$521)*1</f>
        <v/>
      </c>
    </row>
    <row r="522" ht="26" customHeight="1">
      <c r="B522" s="30" t="n"/>
      <c r="C522" s="3" t="n"/>
      <c r="D522" s="3" t="n"/>
      <c r="E522" s="3" t="n"/>
      <c r="F522" s="3" t="n"/>
      <c r="G522" s="3" t="n"/>
      <c r="H522" s="3" t="n"/>
      <c r="I522" s="3" t="n"/>
      <c r="J522" s="3" t="n"/>
      <c r="K522" s="18">
        <f>IF(AG522&gt;0,"O Google leu como fórmula: digite de novo com ' na frente.","")</f>
        <v/>
      </c>
      <c r="N522" s="19">
        <f>N521+IF(LEN($X$522)&gt;0,1,0)</f>
        <v/>
      </c>
      <c r="P522" s="19">
        <f>P521+IF(LEN($Z$522)&gt;0,1,0)</f>
        <v/>
      </c>
      <c r="R522" s="19">
        <f>R521+IF(LEN($AB$522)&gt;0,1,0)</f>
        <v/>
      </c>
      <c r="S522" s="19">
        <f>S521+IF(LEN($AC$522)&gt;0,1,0)</f>
        <v/>
      </c>
      <c r="T522" s="19">
        <f>T521+IF(LEN($AD$522)&gt;0,1,0)</f>
        <v/>
      </c>
      <c r="U522" s="19">
        <f>U521+IF(LEN($AE$522)&gt;0,1,0)</f>
        <v/>
      </c>
      <c r="V522" s="19">
        <f>V521+IF(LEN($AF$522)&gt;0,1,0)</f>
        <v/>
      </c>
      <c r="X522" s="19">
        <f>IF(ISERROR($B$522),"",IF(ISBLANK($B$522),"",$B$522))</f>
        <v/>
      </c>
      <c r="Y522" s="19">
        <f>IF(ISERROR($C$522),"",IF(ISBLANK($C$522),"",$C$522))</f>
        <v/>
      </c>
      <c r="Z522" s="19">
        <f>IF(ISERROR($D$522),"",IF(ISBLANK($D$522),"",$D$522))</f>
        <v/>
      </c>
      <c r="AA522" s="19">
        <f>IF(ISERROR($E$522),"",IF(ISBLANK($E$522),"",$E$522))</f>
        <v/>
      </c>
      <c r="AB522" s="19">
        <f>IF(ISERROR($F$522),"",IF(ISBLANK($F$522),"",$F$522))</f>
        <v/>
      </c>
      <c r="AC522" s="19">
        <f>IF(ISERROR($G$522),"",IF(ISBLANK($G$522),"",$G$522))</f>
        <v/>
      </c>
      <c r="AD522" s="19">
        <f>IF(ISERROR($H$522),"",IF(ISBLANK($H$522),"",$H$522))</f>
        <v/>
      </c>
      <c r="AE522" s="19">
        <f>IF(ISERROR($I$522),"",IF(ISBLANK($I$522),"",$I$522))</f>
        <v/>
      </c>
      <c r="AF522" s="19">
        <f>IF(ISERROR($J$522),"",IF(ISBLANK($J$522),"",$J$522))</f>
        <v/>
      </c>
      <c r="AG522" s="19">
        <f>ISERROR($B$522)*1+ISERROR($C$522)*1+ISERROR($D$522)*1+ISERROR($E$522)*1+ISERROR($F$522)*1+ISERROR($G$522)*1+ISERROR($H$522)*1+ISERROR($I$522)*1+ISERROR($J$522)*1</f>
        <v/>
      </c>
    </row>
    <row r="523" ht="26" customHeight="1">
      <c r="B523" s="31" t="n"/>
      <c r="C523" s="28" t="n"/>
      <c r="D523" s="28" t="n"/>
      <c r="E523" s="28" t="n"/>
      <c r="F523" s="28" t="n"/>
      <c r="G523" s="28" t="n"/>
      <c r="H523" s="28" t="n"/>
      <c r="I523" s="28" t="n"/>
      <c r="J523" s="28" t="n"/>
      <c r="K523" s="18">
        <f>IF(AG523&gt;0,"O Google leu como fórmula: digite de novo com ' na frente.","")</f>
        <v/>
      </c>
      <c r="N523" s="19">
        <f>N522+IF(LEN($X$523)&gt;0,1,0)</f>
        <v/>
      </c>
      <c r="P523" s="19">
        <f>P522+IF(LEN($Z$523)&gt;0,1,0)</f>
        <v/>
      </c>
      <c r="R523" s="19">
        <f>R522+IF(LEN($AB$523)&gt;0,1,0)</f>
        <v/>
      </c>
      <c r="S523" s="19">
        <f>S522+IF(LEN($AC$523)&gt;0,1,0)</f>
        <v/>
      </c>
      <c r="T523" s="19">
        <f>T522+IF(LEN($AD$523)&gt;0,1,0)</f>
        <v/>
      </c>
      <c r="U523" s="19">
        <f>U522+IF(LEN($AE$523)&gt;0,1,0)</f>
        <v/>
      </c>
      <c r="V523" s="19">
        <f>V522+IF(LEN($AF$523)&gt;0,1,0)</f>
        <v/>
      </c>
      <c r="X523" s="19">
        <f>IF(ISERROR($B$523),"",IF(ISBLANK($B$523),"",$B$523))</f>
        <v/>
      </c>
      <c r="Y523" s="19">
        <f>IF(ISERROR($C$523),"",IF(ISBLANK($C$523),"",$C$523))</f>
        <v/>
      </c>
      <c r="Z523" s="19">
        <f>IF(ISERROR($D$523),"",IF(ISBLANK($D$523),"",$D$523))</f>
        <v/>
      </c>
      <c r="AA523" s="19">
        <f>IF(ISERROR($E$523),"",IF(ISBLANK($E$523),"",$E$523))</f>
        <v/>
      </c>
      <c r="AB523" s="19">
        <f>IF(ISERROR($F$523),"",IF(ISBLANK($F$523),"",$F$523))</f>
        <v/>
      </c>
      <c r="AC523" s="19">
        <f>IF(ISERROR($G$523),"",IF(ISBLANK($G$523),"",$G$523))</f>
        <v/>
      </c>
      <c r="AD523" s="19">
        <f>IF(ISERROR($H$523),"",IF(ISBLANK($H$523),"",$H$523))</f>
        <v/>
      </c>
      <c r="AE523" s="19">
        <f>IF(ISERROR($I$523),"",IF(ISBLANK($I$523),"",$I$523))</f>
        <v/>
      </c>
      <c r="AF523" s="19">
        <f>IF(ISERROR($J$523),"",IF(ISBLANK($J$523),"",$J$523))</f>
        <v/>
      </c>
      <c r="AG523" s="19">
        <f>ISERROR($B$523)*1+ISERROR($C$523)*1+ISERROR($D$523)*1+ISERROR($E$523)*1+ISERROR($F$523)*1+ISERROR($G$523)*1+ISERROR($H$523)*1+ISERROR($I$523)*1+ISERROR($J$523)*1</f>
        <v/>
      </c>
    </row>
    <row r="524" ht="26" customHeight="1">
      <c r="B524" s="30" t="n"/>
      <c r="C524" s="3" t="n"/>
      <c r="D524" s="3" t="n"/>
      <c r="E524" s="3" t="n"/>
      <c r="F524" s="3" t="n"/>
      <c r="G524" s="3" t="n"/>
      <c r="H524" s="3" t="n"/>
      <c r="I524" s="3" t="n"/>
      <c r="J524" s="3" t="n"/>
      <c r="K524" s="18">
        <f>IF(AG524&gt;0,"O Google leu como fórmula: digite de novo com ' na frente.","")</f>
        <v/>
      </c>
      <c r="N524" s="19">
        <f>N523+IF(LEN($X$524)&gt;0,1,0)</f>
        <v/>
      </c>
      <c r="P524" s="19">
        <f>P523+IF(LEN($Z$524)&gt;0,1,0)</f>
        <v/>
      </c>
      <c r="R524" s="19">
        <f>R523+IF(LEN($AB$524)&gt;0,1,0)</f>
        <v/>
      </c>
      <c r="S524" s="19">
        <f>S523+IF(LEN($AC$524)&gt;0,1,0)</f>
        <v/>
      </c>
      <c r="T524" s="19">
        <f>T523+IF(LEN($AD$524)&gt;0,1,0)</f>
        <v/>
      </c>
      <c r="U524" s="19">
        <f>U523+IF(LEN($AE$524)&gt;0,1,0)</f>
        <v/>
      </c>
      <c r="V524" s="19">
        <f>V523+IF(LEN($AF$524)&gt;0,1,0)</f>
        <v/>
      </c>
      <c r="X524" s="19">
        <f>IF(ISERROR($B$524),"",IF(ISBLANK($B$524),"",$B$524))</f>
        <v/>
      </c>
      <c r="Y524" s="19">
        <f>IF(ISERROR($C$524),"",IF(ISBLANK($C$524),"",$C$524))</f>
        <v/>
      </c>
      <c r="Z524" s="19">
        <f>IF(ISERROR($D$524),"",IF(ISBLANK($D$524),"",$D$524))</f>
        <v/>
      </c>
      <c r="AA524" s="19">
        <f>IF(ISERROR($E$524),"",IF(ISBLANK($E$524),"",$E$524))</f>
        <v/>
      </c>
      <c r="AB524" s="19">
        <f>IF(ISERROR($F$524),"",IF(ISBLANK($F$524),"",$F$524))</f>
        <v/>
      </c>
      <c r="AC524" s="19">
        <f>IF(ISERROR($G$524),"",IF(ISBLANK($G$524),"",$G$524))</f>
        <v/>
      </c>
      <c r="AD524" s="19">
        <f>IF(ISERROR($H$524),"",IF(ISBLANK($H$524),"",$H$524))</f>
        <v/>
      </c>
      <c r="AE524" s="19">
        <f>IF(ISERROR($I$524),"",IF(ISBLANK($I$524),"",$I$524))</f>
        <v/>
      </c>
      <c r="AF524" s="19">
        <f>IF(ISERROR($J$524),"",IF(ISBLANK($J$524),"",$J$524))</f>
        <v/>
      </c>
      <c r="AG524" s="19">
        <f>ISERROR($B$524)*1+ISERROR($C$524)*1+ISERROR($D$524)*1+ISERROR($E$524)*1+ISERROR($F$524)*1+ISERROR($G$524)*1+ISERROR($H$524)*1+ISERROR($I$524)*1+ISERROR($J$524)*1</f>
        <v/>
      </c>
    </row>
    <row r="525" ht="26" customHeight="1">
      <c r="B525" s="31" t="n"/>
      <c r="C525" s="28" t="n"/>
      <c r="D525" s="28" t="n"/>
      <c r="E525" s="28" t="n"/>
      <c r="F525" s="28" t="n"/>
      <c r="G525" s="28" t="n"/>
      <c r="H525" s="28" t="n"/>
      <c r="I525" s="28" t="n"/>
      <c r="J525" s="28" t="n"/>
      <c r="K525" s="18">
        <f>IF(AG525&gt;0,"O Google leu como fórmula: digite de novo com ' na frente.","")</f>
        <v/>
      </c>
      <c r="N525" s="19">
        <f>N524+IF(LEN($X$525)&gt;0,1,0)</f>
        <v/>
      </c>
      <c r="P525" s="19">
        <f>P524+IF(LEN($Z$525)&gt;0,1,0)</f>
        <v/>
      </c>
      <c r="R525" s="19">
        <f>R524+IF(LEN($AB$525)&gt;0,1,0)</f>
        <v/>
      </c>
      <c r="S525" s="19">
        <f>S524+IF(LEN($AC$525)&gt;0,1,0)</f>
        <v/>
      </c>
      <c r="T525" s="19">
        <f>T524+IF(LEN($AD$525)&gt;0,1,0)</f>
        <v/>
      </c>
      <c r="U525" s="19">
        <f>U524+IF(LEN($AE$525)&gt;0,1,0)</f>
        <v/>
      </c>
      <c r="V525" s="19">
        <f>V524+IF(LEN($AF$525)&gt;0,1,0)</f>
        <v/>
      </c>
      <c r="X525" s="19">
        <f>IF(ISERROR($B$525),"",IF(ISBLANK($B$525),"",$B$525))</f>
        <v/>
      </c>
      <c r="Y525" s="19">
        <f>IF(ISERROR($C$525),"",IF(ISBLANK($C$525),"",$C$525))</f>
        <v/>
      </c>
      <c r="Z525" s="19">
        <f>IF(ISERROR($D$525),"",IF(ISBLANK($D$525),"",$D$525))</f>
        <v/>
      </c>
      <c r="AA525" s="19">
        <f>IF(ISERROR($E$525),"",IF(ISBLANK($E$525),"",$E$525))</f>
        <v/>
      </c>
      <c r="AB525" s="19">
        <f>IF(ISERROR($F$525),"",IF(ISBLANK($F$525),"",$F$525))</f>
        <v/>
      </c>
      <c r="AC525" s="19">
        <f>IF(ISERROR($G$525),"",IF(ISBLANK($G$525),"",$G$525))</f>
        <v/>
      </c>
      <c r="AD525" s="19">
        <f>IF(ISERROR($H$525),"",IF(ISBLANK($H$525),"",$H$525))</f>
        <v/>
      </c>
      <c r="AE525" s="19">
        <f>IF(ISERROR($I$525),"",IF(ISBLANK($I$525),"",$I$525))</f>
        <v/>
      </c>
      <c r="AF525" s="19">
        <f>IF(ISERROR($J$525),"",IF(ISBLANK($J$525),"",$J$525))</f>
        <v/>
      </c>
      <c r="AG525" s="19">
        <f>ISERROR($B$525)*1+ISERROR($C$525)*1+ISERROR($D$525)*1+ISERROR($E$525)*1+ISERROR($F$525)*1+ISERROR($G$525)*1+ISERROR($H$525)*1+ISERROR($I$525)*1+ISERROR($J$525)*1</f>
        <v/>
      </c>
    </row>
    <row r="526" ht="26" customHeight="1">
      <c r="B526" s="30" t="n"/>
      <c r="C526" s="3" t="n"/>
      <c r="D526" s="3" t="n"/>
      <c r="E526" s="3" t="n"/>
      <c r="F526" s="3" t="n"/>
      <c r="G526" s="3" t="n"/>
      <c r="H526" s="3" t="n"/>
      <c r="I526" s="3" t="n"/>
      <c r="J526" s="3" t="n"/>
      <c r="K526" s="18">
        <f>IF(AG526&gt;0,"O Google leu como fórmula: digite de novo com ' na frente.","")</f>
        <v/>
      </c>
      <c r="N526" s="19">
        <f>N525+IF(LEN($X$526)&gt;0,1,0)</f>
        <v/>
      </c>
      <c r="P526" s="19">
        <f>P525+IF(LEN($Z$526)&gt;0,1,0)</f>
        <v/>
      </c>
      <c r="R526" s="19">
        <f>R525+IF(LEN($AB$526)&gt;0,1,0)</f>
        <v/>
      </c>
      <c r="S526" s="19">
        <f>S525+IF(LEN($AC$526)&gt;0,1,0)</f>
        <v/>
      </c>
      <c r="T526" s="19">
        <f>T525+IF(LEN($AD$526)&gt;0,1,0)</f>
        <v/>
      </c>
      <c r="U526" s="19">
        <f>U525+IF(LEN($AE$526)&gt;0,1,0)</f>
        <v/>
      </c>
      <c r="V526" s="19">
        <f>V525+IF(LEN($AF$526)&gt;0,1,0)</f>
        <v/>
      </c>
      <c r="X526" s="19">
        <f>IF(ISERROR($B$526),"",IF(ISBLANK($B$526),"",$B$526))</f>
        <v/>
      </c>
      <c r="Y526" s="19">
        <f>IF(ISERROR($C$526),"",IF(ISBLANK($C$526),"",$C$526))</f>
        <v/>
      </c>
      <c r="Z526" s="19">
        <f>IF(ISERROR($D$526),"",IF(ISBLANK($D$526),"",$D$526))</f>
        <v/>
      </c>
      <c r="AA526" s="19">
        <f>IF(ISERROR($E$526),"",IF(ISBLANK($E$526),"",$E$526))</f>
        <v/>
      </c>
      <c r="AB526" s="19">
        <f>IF(ISERROR($F$526),"",IF(ISBLANK($F$526),"",$F$526))</f>
        <v/>
      </c>
      <c r="AC526" s="19">
        <f>IF(ISERROR($G$526),"",IF(ISBLANK($G$526),"",$G$526))</f>
        <v/>
      </c>
      <c r="AD526" s="19">
        <f>IF(ISERROR($H$526),"",IF(ISBLANK($H$526),"",$H$526))</f>
        <v/>
      </c>
      <c r="AE526" s="19">
        <f>IF(ISERROR($I$526),"",IF(ISBLANK($I$526),"",$I$526))</f>
        <v/>
      </c>
      <c r="AF526" s="19">
        <f>IF(ISERROR($J$526),"",IF(ISBLANK($J$526),"",$J$526))</f>
        <v/>
      </c>
      <c r="AG526" s="19">
        <f>ISERROR($B$526)*1+ISERROR($C$526)*1+ISERROR($D$526)*1+ISERROR($E$526)*1+ISERROR($F$526)*1+ISERROR($G$526)*1+ISERROR($H$526)*1+ISERROR($I$526)*1+ISERROR($J$526)*1</f>
        <v/>
      </c>
    </row>
    <row r="527" ht="15" customHeight="1">
      <c r="B527" s="7" t="inlineStr">
        <is>
          <t>Caminho (motivação)</t>
        </is>
      </c>
      <c r="C527" s="7" t="inlineStr">
        <is>
          <t>Motivação por Caminho</t>
        </is>
      </c>
      <c r="D527" s="7" t="inlineStr">
        <is>
          <t>Tipo (objetivo)</t>
        </is>
      </c>
      <c r="E527" s="7" t="inlineStr">
        <is>
          <t>Objetivo por tipo</t>
        </is>
      </c>
      <c r="F527" s="7" t="inlineStr">
        <is>
          <t>Tipo de aventura</t>
        </is>
      </c>
      <c r="G527" s="7" t="inlineStr">
        <is>
          <t>Gancho de aventura</t>
        </is>
      </c>
      <c r="H527" s="7" t="inlineStr">
        <is>
          <t>Local (sabor)</t>
        </is>
      </c>
      <c r="I527" s="7" t="inlineStr">
        <is>
          <t>Complicação</t>
        </is>
      </c>
      <c r="J527" s="7" t="inlineStr">
        <is>
          <t>Reviravolta</t>
        </is>
      </c>
      <c r="N527" s="19">
        <f>N526</f>
        <v/>
      </c>
      <c r="P527" s="19">
        <f>P526</f>
        <v/>
      </c>
      <c r="R527" s="19">
        <f>R526</f>
        <v/>
      </c>
      <c r="S527" s="19">
        <f>S526</f>
        <v/>
      </c>
      <c r="T527" s="19">
        <f>T526</f>
        <v/>
      </c>
      <c r="U527" s="19">
        <f>U526</f>
        <v/>
      </c>
      <c r="V527" s="19">
        <f>V526</f>
        <v/>
      </c>
      <c r="X527" s="19">
        <f>IF(ISERROR($B$527),"",IF(ISBLANK($B$527),"",$B$527))</f>
        <v/>
      </c>
      <c r="Y527" s="19">
        <f>IF(ISERROR($C$527),"",IF(ISBLANK($C$527),"",$C$527))</f>
        <v/>
      </c>
      <c r="Z527" s="19">
        <f>IF(ISERROR($D$527),"",IF(ISBLANK($D$527),"",$D$527))</f>
        <v/>
      </c>
      <c r="AA527" s="19">
        <f>IF(ISERROR($E$527),"",IF(ISBLANK($E$527),"",$E$527))</f>
        <v/>
      </c>
      <c r="AB527" s="19">
        <f>IF(ISERROR($F$527),"",IF(ISBLANK($F$527),"",$F$527))</f>
        <v/>
      </c>
      <c r="AC527" s="19">
        <f>IF(ISERROR($G$527),"",IF(ISBLANK($G$527),"",$G$527))</f>
        <v/>
      </c>
      <c r="AD527" s="19">
        <f>IF(ISERROR($H$527),"",IF(ISBLANK($H$527),"",$H$527))</f>
        <v/>
      </c>
      <c r="AE527" s="19">
        <f>IF(ISERROR($I$527),"",IF(ISBLANK($I$527),"",$I$527))</f>
        <v/>
      </c>
      <c r="AF527" s="19">
        <f>IF(ISERROR($J$527),"",IF(ISBLANK($J$527),"",$J$527))</f>
        <v/>
      </c>
    </row>
    <row r="528" ht="26" customHeight="1">
      <c r="B528" s="30" t="n"/>
      <c r="C528" s="3" t="n"/>
      <c r="D528" s="3" t="n"/>
      <c r="E528" s="3" t="n"/>
      <c r="F528" s="3" t="n"/>
      <c r="G528" s="3" t="n"/>
      <c r="H528" s="3" t="n"/>
      <c r="I528" s="3" t="n"/>
      <c r="J528" s="3" t="n"/>
      <c r="K528" s="18">
        <f>IF(AG528&gt;0,"O Google leu como fórmula: digite de novo com ' na frente.","")</f>
        <v/>
      </c>
      <c r="N528" s="19">
        <f>N527+IF(LEN($X$528)&gt;0,1,0)</f>
        <v/>
      </c>
      <c r="P528" s="19">
        <f>P527+IF(LEN($Z$528)&gt;0,1,0)</f>
        <v/>
      </c>
      <c r="R528" s="19">
        <f>R527+IF(LEN($AB$528)&gt;0,1,0)</f>
        <v/>
      </c>
      <c r="S528" s="19">
        <f>S527+IF(LEN($AC$528)&gt;0,1,0)</f>
        <v/>
      </c>
      <c r="T528" s="19">
        <f>T527+IF(LEN($AD$528)&gt;0,1,0)</f>
        <v/>
      </c>
      <c r="U528" s="19">
        <f>U527+IF(LEN($AE$528)&gt;0,1,0)</f>
        <v/>
      </c>
      <c r="V528" s="19">
        <f>V527+IF(LEN($AF$528)&gt;0,1,0)</f>
        <v/>
      </c>
      <c r="X528" s="19">
        <f>IF(ISERROR($B$528),"",IF(ISBLANK($B$528),"",$B$528))</f>
        <v/>
      </c>
      <c r="Y528" s="19">
        <f>IF(ISERROR($C$528),"",IF(ISBLANK($C$528),"",$C$528))</f>
        <v/>
      </c>
      <c r="Z528" s="19">
        <f>IF(ISERROR($D$528),"",IF(ISBLANK($D$528),"",$D$528))</f>
        <v/>
      </c>
      <c r="AA528" s="19">
        <f>IF(ISERROR($E$528),"",IF(ISBLANK($E$528),"",$E$528))</f>
        <v/>
      </c>
      <c r="AB528" s="19">
        <f>IF(ISERROR($F$528),"",IF(ISBLANK($F$528),"",$F$528))</f>
        <v/>
      </c>
      <c r="AC528" s="19">
        <f>IF(ISERROR($G$528),"",IF(ISBLANK($G$528),"",$G$528))</f>
        <v/>
      </c>
      <c r="AD528" s="19">
        <f>IF(ISERROR($H$528),"",IF(ISBLANK($H$528),"",$H$528))</f>
        <v/>
      </c>
      <c r="AE528" s="19">
        <f>IF(ISERROR($I$528),"",IF(ISBLANK($I$528),"",$I$528))</f>
        <v/>
      </c>
      <c r="AF528" s="19">
        <f>IF(ISERROR($J$528),"",IF(ISBLANK($J$528),"",$J$528))</f>
        <v/>
      </c>
      <c r="AG528" s="19">
        <f>ISERROR($B$528)*1+ISERROR($C$528)*1+ISERROR($D$528)*1+ISERROR($E$528)*1+ISERROR($F$528)*1+ISERROR($G$528)*1+ISERROR($H$528)*1+ISERROR($I$528)*1+ISERROR($J$528)*1</f>
        <v/>
      </c>
    </row>
    <row r="529" ht="26" customHeight="1">
      <c r="B529" s="31" t="n"/>
      <c r="C529" s="28" t="n"/>
      <c r="D529" s="28" t="n"/>
      <c r="E529" s="28" t="n"/>
      <c r="F529" s="28" t="n"/>
      <c r="G529" s="28" t="n"/>
      <c r="H529" s="28" t="n"/>
      <c r="I529" s="28" t="n"/>
      <c r="J529" s="28" t="n"/>
      <c r="K529" s="18">
        <f>IF(AG529&gt;0,"O Google leu como fórmula: digite de novo com ' na frente.","")</f>
        <v/>
      </c>
      <c r="N529" s="19">
        <f>N528+IF(LEN($X$529)&gt;0,1,0)</f>
        <v/>
      </c>
      <c r="P529" s="19">
        <f>P528+IF(LEN($Z$529)&gt;0,1,0)</f>
        <v/>
      </c>
      <c r="R529" s="19">
        <f>R528+IF(LEN($AB$529)&gt;0,1,0)</f>
        <v/>
      </c>
      <c r="S529" s="19">
        <f>S528+IF(LEN($AC$529)&gt;0,1,0)</f>
        <v/>
      </c>
      <c r="T529" s="19">
        <f>T528+IF(LEN($AD$529)&gt;0,1,0)</f>
        <v/>
      </c>
      <c r="U529" s="19">
        <f>U528+IF(LEN($AE$529)&gt;0,1,0)</f>
        <v/>
      </c>
      <c r="V529" s="19">
        <f>V528+IF(LEN($AF$529)&gt;0,1,0)</f>
        <v/>
      </c>
      <c r="X529" s="19">
        <f>IF(ISERROR($B$529),"",IF(ISBLANK($B$529),"",$B$529))</f>
        <v/>
      </c>
      <c r="Y529" s="19">
        <f>IF(ISERROR($C$529),"",IF(ISBLANK($C$529),"",$C$529))</f>
        <v/>
      </c>
      <c r="Z529" s="19">
        <f>IF(ISERROR($D$529),"",IF(ISBLANK($D$529),"",$D$529))</f>
        <v/>
      </c>
      <c r="AA529" s="19">
        <f>IF(ISERROR($E$529),"",IF(ISBLANK($E$529),"",$E$529))</f>
        <v/>
      </c>
      <c r="AB529" s="19">
        <f>IF(ISERROR($F$529),"",IF(ISBLANK($F$529),"",$F$529))</f>
        <v/>
      </c>
      <c r="AC529" s="19">
        <f>IF(ISERROR($G$529),"",IF(ISBLANK($G$529),"",$G$529))</f>
        <v/>
      </c>
      <c r="AD529" s="19">
        <f>IF(ISERROR($H$529),"",IF(ISBLANK($H$529),"",$H$529))</f>
        <v/>
      </c>
      <c r="AE529" s="19">
        <f>IF(ISERROR($I$529),"",IF(ISBLANK($I$529),"",$I$529))</f>
        <v/>
      </c>
      <c r="AF529" s="19">
        <f>IF(ISERROR($J$529),"",IF(ISBLANK($J$529),"",$J$529))</f>
        <v/>
      </c>
      <c r="AG529" s="19">
        <f>ISERROR($B$529)*1+ISERROR($C$529)*1+ISERROR($D$529)*1+ISERROR($E$529)*1+ISERROR($F$529)*1+ISERROR($G$529)*1+ISERROR($H$529)*1+ISERROR($I$529)*1+ISERROR($J$529)*1</f>
        <v/>
      </c>
    </row>
    <row r="530" ht="26" customHeight="1">
      <c r="B530" s="30" t="n"/>
      <c r="C530" s="3" t="n"/>
      <c r="D530" s="3" t="n"/>
      <c r="E530" s="3" t="n"/>
      <c r="F530" s="3" t="n"/>
      <c r="G530" s="3" t="n"/>
      <c r="H530" s="3" t="n"/>
      <c r="I530" s="3" t="n"/>
      <c r="J530" s="3" t="n"/>
      <c r="K530" s="18">
        <f>IF(AG530&gt;0,"O Google leu como fórmula: digite de novo com ' na frente.","")</f>
        <v/>
      </c>
      <c r="N530" s="19">
        <f>N529+IF(LEN($X$530)&gt;0,1,0)</f>
        <v/>
      </c>
      <c r="P530" s="19">
        <f>P529+IF(LEN($Z$530)&gt;0,1,0)</f>
        <v/>
      </c>
      <c r="R530" s="19">
        <f>R529+IF(LEN($AB$530)&gt;0,1,0)</f>
        <v/>
      </c>
      <c r="S530" s="19">
        <f>S529+IF(LEN($AC$530)&gt;0,1,0)</f>
        <v/>
      </c>
      <c r="T530" s="19">
        <f>T529+IF(LEN($AD$530)&gt;0,1,0)</f>
        <v/>
      </c>
      <c r="U530" s="19">
        <f>U529+IF(LEN($AE$530)&gt;0,1,0)</f>
        <v/>
      </c>
      <c r="V530" s="19">
        <f>V529+IF(LEN($AF$530)&gt;0,1,0)</f>
        <v/>
      </c>
      <c r="X530" s="19">
        <f>IF(ISERROR($B$530),"",IF(ISBLANK($B$530),"",$B$530))</f>
        <v/>
      </c>
      <c r="Y530" s="19">
        <f>IF(ISERROR($C$530),"",IF(ISBLANK($C$530),"",$C$530))</f>
        <v/>
      </c>
      <c r="Z530" s="19">
        <f>IF(ISERROR($D$530),"",IF(ISBLANK($D$530),"",$D$530))</f>
        <v/>
      </c>
      <c r="AA530" s="19">
        <f>IF(ISERROR($E$530),"",IF(ISBLANK($E$530),"",$E$530))</f>
        <v/>
      </c>
      <c r="AB530" s="19">
        <f>IF(ISERROR($F$530),"",IF(ISBLANK($F$530),"",$F$530))</f>
        <v/>
      </c>
      <c r="AC530" s="19">
        <f>IF(ISERROR($G$530),"",IF(ISBLANK($G$530),"",$G$530))</f>
        <v/>
      </c>
      <c r="AD530" s="19">
        <f>IF(ISERROR($H$530),"",IF(ISBLANK($H$530),"",$H$530))</f>
        <v/>
      </c>
      <c r="AE530" s="19">
        <f>IF(ISERROR($I$530),"",IF(ISBLANK($I$530),"",$I$530))</f>
        <v/>
      </c>
      <c r="AF530" s="19">
        <f>IF(ISERROR($J$530),"",IF(ISBLANK($J$530),"",$J$530))</f>
        <v/>
      </c>
      <c r="AG530" s="19">
        <f>ISERROR($B$530)*1+ISERROR($C$530)*1+ISERROR($D$530)*1+ISERROR($E$530)*1+ISERROR($F$530)*1+ISERROR($G$530)*1+ISERROR($H$530)*1+ISERROR($I$530)*1+ISERROR($J$530)*1</f>
        <v/>
      </c>
    </row>
    <row r="531" ht="26" customHeight="1">
      <c r="B531" s="31" t="n"/>
      <c r="C531" s="28" t="n"/>
      <c r="D531" s="28" t="n"/>
      <c r="E531" s="28" t="n"/>
      <c r="F531" s="28" t="n"/>
      <c r="G531" s="28" t="n"/>
      <c r="H531" s="28" t="n"/>
      <c r="I531" s="28" t="n"/>
      <c r="J531" s="28" t="n"/>
      <c r="K531" s="18">
        <f>IF(AG531&gt;0,"O Google leu como fórmula: digite de novo com ' na frente.","")</f>
        <v/>
      </c>
      <c r="N531" s="19">
        <f>N530+IF(LEN($X$531)&gt;0,1,0)</f>
        <v/>
      </c>
      <c r="P531" s="19">
        <f>P530+IF(LEN($Z$531)&gt;0,1,0)</f>
        <v/>
      </c>
      <c r="R531" s="19">
        <f>R530+IF(LEN($AB$531)&gt;0,1,0)</f>
        <v/>
      </c>
      <c r="S531" s="19">
        <f>S530+IF(LEN($AC$531)&gt;0,1,0)</f>
        <v/>
      </c>
      <c r="T531" s="19">
        <f>T530+IF(LEN($AD$531)&gt;0,1,0)</f>
        <v/>
      </c>
      <c r="U531" s="19">
        <f>U530+IF(LEN($AE$531)&gt;0,1,0)</f>
        <v/>
      </c>
      <c r="V531" s="19">
        <f>V530+IF(LEN($AF$531)&gt;0,1,0)</f>
        <v/>
      </c>
      <c r="X531" s="19">
        <f>IF(ISERROR($B$531),"",IF(ISBLANK($B$531),"",$B$531))</f>
        <v/>
      </c>
      <c r="Y531" s="19">
        <f>IF(ISERROR($C$531),"",IF(ISBLANK($C$531),"",$C$531))</f>
        <v/>
      </c>
      <c r="Z531" s="19">
        <f>IF(ISERROR($D$531),"",IF(ISBLANK($D$531),"",$D$531))</f>
        <v/>
      </c>
      <c r="AA531" s="19">
        <f>IF(ISERROR($E$531),"",IF(ISBLANK($E$531),"",$E$531))</f>
        <v/>
      </c>
      <c r="AB531" s="19">
        <f>IF(ISERROR($F$531),"",IF(ISBLANK($F$531),"",$F$531))</f>
        <v/>
      </c>
      <c r="AC531" s="19">
        <f>IF(ISERROR($G$531),"",IF(ISBLANK($G$531),"",$G$531))</f>
        <v/>
      </c>
      <c r="AD531" s="19">
        <f>IF(ISERROR($H$531),"",IF(ISBLANK($H$531),"",$H$531))</f>
        <v/>
      </c>
      <c r="AE531" s="19">
        <f>IF(ISERROR($I$531),"",IF(ISBLANK($I$531),"",$I$531))</f>
        <v/>
      </c>
      <c r="AF531" s="19">
        <f>IF(ISERROR($J$531),"",IF(ISBLANK($J$531),"",$J$531))</f>
        <v/>
      </c>
      <c r="AG531" s="19">
        <f>ISERROR($B$531)*1+ISERROR($C$531)*1+ISERROR($D$531)*1+ISERROR($E$531)*1+ISERROR($F$531)*1+ISERROR($G$531)*1+ISERROR($H$531)*1+ISERROR($I$531)*1+ISERROR($J$531)*1</f>
        <v/>
      </c>
    </row>
    <row r="532" ht="26" customHeight="1">
      <c r="B532" s="30" t="n"/>
      <c r="C532" s="3" t="n"/>
      <c r="D532" s="3" t="n"/>
      <c r="E532" s="3" t="n"/>
      <c r="F532" s="3" t="n"/>
      <c r="G532" s="3" t="n"/>
      <c r="H532" s="3" t="n"/>
      <c r="I532" s="3" t="n"/>
      <c r="J532" s="3" t="n"/>
      <c r="K532" s="18">
        <f>IF(AG532&gt;0,"O Google leu como fórmula: digite de novo com ' na frente.","")</f>
        <v/>
      </c>
      <c r="N532" s="19">
        <f>N531+IF(LEN($X$532)&gt;0,1,0)</f>
        <v/>
      </c>
      <c r="P532" s="19">
        <f>P531+IF(LEN($Z$532)&gt;0,1,0)</f>
        <v/>
      </c>
      <c r="R532" s="19">
        <f>R531+IF(LEN($AB$532)&gt;0,1,0)</f>
        <v/>
      </c>
      <c r="S532" s="19">
        <f>S531+IF(LEN($AC$532)&gt;0,1,0)</f>
        <v/>
      </c>
      <c r="T532" s="19">
        <f>T531+IF(LEN($AD$532)&gt;0,1,0)</f>
        <v/>
      </c>
      <c r="U532" s="19">
        <f>U531+IF(LEN($AE$532)&gt;0,1,0)</f>
        <v/>
      </c>
      <c r="V532" s="19">
        <f>V531+IF(LEN($AF$532)&gt;0,1,0)</f>
        <v/>
      </c>
      <c r="X532" s="19">
        <f>IF(ISERROR($B$532),"",IF(ISBLANK($B$532),"",$B$532))</f>
        <v/>
      </c>
      <c r="Y532" s="19">
        <f>IF(ISERROR($C$532),"",IF(ISBLANK($C$532),"",$C$532))</f>
        <v/>
      </c>
      <c r="Z532" s="19">
        <f>IF(ISERROR($D$532),"",IF(ISBLANK($D$532),"",$D$532))</f>
        <v/>
      </c>
      <c r="AA532" s="19">
        <f>IF(ISERROR($E$532),"",IF(ISBLANK($E$532),"",$E$532))</f>
        <v/>
      </c>
      <c r="AB532" s="19">
        <f>IF(ISERROR($F$532),"",IF(ISBLANK($F$532),"",$F$532))</f>
        <v/>
      </c>
      <c r="AC532" s="19">
        <f>IF(ISERROR($G$532),"",IF(ISBLANK($G$532),"",$G$532))</f>
        <v/>
      </c>
      <c r="AD532" s="19">
        <f>IF(ISERROR($H$532),"",IF(ISBLANK($H$532),"",$H$532))</f>
        <v/>
      </c>
      <c r="AE532" s="19">
        <f>IF(ISERROR($I$532),"",IF(ISBLANK($I$532),"",$I$532))</f>
        <v/>
      </c>
      <c r="AF532" s="19">
        <f>IF(ISERROR($J$532),"",IF(ISBLANK($J$532),"",$J$532))</f>
        <v/>
      </c>
      <c r="AG532" s="19">
        <f>ISERROR($B$532)*1+ISERROR($C$532)*1+ISERROR($D$532)*1+ISERROR($E$532)*1+ISERROR($F$532)*1+ISERROR($G$532)*1+ISERROR($H$532)*1+ISERROR($I$532)*1+ISERROR($J$532)*1</f>
        <v/>
      </c>
    </row>
    <row r="533" ht="26" customHeight="1">
      <c r="B533" s="31" t="n"/>
      <c r="C533" s="28" t="n"/>
      <c r="D533" s="28" t="n"/>
      <c r="E533" s="28" t="n"/>
      <c r="F533" s="28" t="n"/>
      <c r="G533" s="28" t="n"/>
      <c r="H533" s="28" t="n"/>
      <c r="I533" s="28" t="n"/>
      <c r="J533" s="28" t="n"/>
      <c r="K533" s="18">
        <f>IF(AG533&gt;0,"O Google leu como fórmula: digite de novo com ' na frente.","")</f>
        <v/>
      </c>
      <c r="N533" s="19">
        <f>N532+IF(LEN($X$533)&gt;0,1,0)</f>
        <v/>
      </c>
      <c r="P533" s="19">
        <f>P532+IF(LEN($Z$533)&gt;0,1,0)</f>
        <v/>
      </c>
      <c r="R533" s="19">
        <f>R532+IF(LEN($AB$533)&gt;0,1,0)</f>
        <v/>
      </c>
      <c r="S533" s="19">
        <f>S532+IF(LEN($AC$533)&gt;0,1,0)</f>
        <v/>
      </c>
      <c r="T533" s="19">
        <f>T532+IF(LEN($AD$533)&gt;0,1,0)</f>
        <v/>
      </c>
      <c r="U533" s="19">
        <f>U532+IF(LEN($AE$533)&gt;0,1,0)</f>
        <v/>
      </c>
      <c r="V533" s="19">
        <f>V532+IF(LEN($AF$533)&gt;0,1,0)</f>
        <v/>
      </c>
      <c r="X533" s="19">
        <f>IF(ISERROR($B$533),"",IF(ISBLANK($B$533),"",$B$533))</f>
        <v/>
      </c>
      <c r="Y533" s="19">
        <f>IF(ISERROR($C$533),"",IF(ISBLANK($C$533),"",$C$533))</f>
        <v/>
      </c>
      <c r="Z533" s="19">
        <f>IF(ISERROR($D$533),"",IF(ISBLANK($D$533),"",$D$533))</f>
        <v/>
      </c>
      <c r="AA533" s="19">
        <f>IF(ISERROR($E$533),"",IF(ISBLANK($E$533),"",$E$533))</f>
        <v/>
      </c>
      <c r="AB533" s="19">
        <f>IF(ISERROR($F$533),"",IF(ISBLANK($F$533),"",$F$533))</f>
        <v/>
      </c>
      <c r="AC533" s="19">
        <f>IF(ISERROR($G$533),"",IF(ISBLANK($G$533),"",$G$533))</f>
        <v/>
      </c>
      <c r="AD533" s="19">
        <f>IF(ISERROR($H$533),"",IF(ISBLANK($H$533),"",$H$533))</f>
        <v/>
      </c>
      <c r="AE533" s="19">
        <f>IF(ISERROR($I$533),"",IF(ISBLANK($I$533),"",$I$533))</f>
        <v/>
      </c>
      <c r="AF533" s="19">
        <f>IF(ISERROR($J$533),"",IF(ISBLANK($J$533),"",$J$533))</f>
        <v/>
      </c>
      <c r="AG533" s="19">
        <f>ISERROR($B$533)*1+ISERROR($C$533)*1+ISERROR($D$533)*1+ISERROR($E$533)*1+ISERROR($F$533)*1+ISERROR($G$533)*1+ISERROR($H$533)*1+ISERROR($I$533)*1+ISERROR($J$533)*1</f>
        <v/>
      </c>
    </row>
    <row r="534" ht="26" customHeight="1">
      <c r="B534" s="30" t="n"/>
      <c r="C534" s="3" t="n"/>
      <c r="D534" s="3" t="n"/>
      <c r="E534" s="3" t="n"/>
      <c r="F534" s="3" t="n"/>
      <c r="G534" s="3" t="n"/>
      <c r="H534" s="3" t="n"/>
      <c r="I534" s="3" t="n"/>
      <c r="J534" s="3" t="n"/>
      <c r="K534" s="18">
        <f>IF(AG534&gt;0,"O Google leu como fórmula: digite de novo com ' na frente.","")</f>
        <v/>
      </c>
      <c r="N534" s="19">
        <f>N533+IF(LEN($X$534)&gt;0,1,0)</f>
        <v/>
      </c>
      <c r="P534" s="19">
        <f>P533+IF(LEN($Z$534)&gt;0,1,0)</f>
        <v/>
      </c>
      <c r="R534" s="19">
        <f>R533+IF(LEN($AB$534)&gt;0,1,0)</f>
        <v/>
      </c>
      <c r="S534" s="19">
        <f>S533+IF(LEN($AC$534)&gt;0,1,0)</f>
        <v/>
      </c>
      <c r="T534" s="19">
        <f>T533+IF(LEN($AD$534)&gt;0,1,0)</f>
        <v/>
      </c>
      <c r="U534" s="19">
        <f>U533+IF(LEN($AE$534)&gt;0,1,0)</f>
        <v/>
      </c>
      <c r="V534" s="19">
        <f>V533+IF(LEN($AF$534)&gt;0,1,0)</f>
        <v/>
      </c>
      <c r="X534" s="19">
        <f>IF(ISERROR($B$534),"",IF(ISBLANK($B$534),"",$B$534))</f>
        <v/>
      </c>
      <c r="Y534" s="19">
        <f>IF(ISERROR($C$534),"",IF(ISBLANK($C$534),"",$C$534))</f>
        <v/>
      </c>
      <c r="Z534" s="19">
        <f>IF(ISERROR($D$534),"",IF(ISBLANK($D$534),"",$D$534))</f>
        <v/>
      </c>
      <c r="AA534" s="19">
        <f>IF(ISERROR($E$534),"",IF(ISBLANK($E$534),"",$E$534))</f>
        <v/>
      </c>
      <c r="AB534" s="19">
        <f>IF(ISERROR($F$534),"",IF(ISBLANK($F$534),"",$F$534))</f>
        <v/>
      </c>
      <c r="AC534" s="19">
        <f>IF(ISERROR($G$534),"",IF(ISBLANK($G$534),"",$G$534))</f>
        <v/>
      </c>
      <c r="AD534" s="19">
        <f>IF(ISERROR($H$534),"",IF(ISBLANK($H$534),"",$H$534))</f>
        <v/>
      </c>
      <c r="AE534" s="19">
        <f>IF(ISERROR($I$534),"",IF(ISBLANK($I$534),"",$I$534))</f>
        <v/>
      </c>
      <c r="AF534" s="19">
        <f>IF(ISERROR($J$534),"",IF(ISBLANK($J$534),"",$J$534))</f>
        <v/>
      </c>
      <c r="AG534" s="19">
        <f>ISERROR($B$534)*1+ISERROR($C$534)*1+ISERROR($D$534)*1+ISERROR($E$534)*1+ISERROR($F$534)*1+ISERROR($G$534)*1+ISERROR($H$534)*1+ISERROR($I$534)*1+ISERROR($J$534)*1</f>
        <v/>
      </c>
    </row>
    <row r="535" ht="26" customHeight="1">
      <c r="B535" s="31" t="n"/>
      <c r="C535" s="28" t="n"/>
      <c r="D535" s="28" t="n"/>
      <c r="E535" s="28" t="n"/>
      <c r="F535" s="28" t="n"/>
      <c r="G535" s="28" t="n"/>
      <c r="H535" s="28" t="n"/>
      <c r="I535" s="28" t="n"/>
      <c r="J535" s="28" t="n"/>
      <c r="K535" s="18">
        <f>IF(AG535&gt;0,"O Google leu como fórmula: digite de novo com ' na frente.","")</f>
        <v/>
      </c>
      <c r="N535" s="19">
        <f>N534+IF(LEN($X$535)&gt;0,1,0)</f>
        <v/>
      </c>
      <c r="P535" s="19">
        <f>P534+IF(LEN($Z$535)&gt;0,1,0)</f>
        <v/>
      </c>
      <c r="R535" s="19">
        <f>R534+IF(LEN($AB$535)&gt;0,1,0)</f>
        <v/>
      </c>
      <c r="S535" s="19">
        <f>S534+IF(LEN($AC$535)&gt;0,1,0)</f>
        <v/>
      </c>
      <c r="T535" s="19">
        <f>T534+IF(LEN($AD$535)&gt;0,1,0)</f>
        <v/>
      </c>
      <c r="U535" s="19">
        <f>U534+IF(LEN($AE$535)&gt;0,1,0)</f>
        <v/>
      </c>
      <c r="V535" s="19">
        <f>V534+IF(LEN($AF$535)&gt;0,1,0)</f>
        <v/>
      </c>
      <c r="X535" s="19">
        <f>IF(ISERROR($B$535),"",IF(ISBLANK($B$535),"",$B$535))</f>
        <v/>
      </c>
      <c r="Y535" s="19">
        <f>IF(ISERROR($C$535),"",IF(ISBLANK($C$535),"",$C$535))</f>
        <v/>
      </c>
      <c r="Z535" s="19">
        <f>IF(ISERROR($D$535),"",IF(ISBLANK($D$535),"",$D$535))</f>
        <v/>
      </c>
      <c r="AA535" s="19">
        <f>IF(ISERROR($E$535),"",IF(ISBLANK($E$535),"",$E$535))</f>
        <v/>
      </c>
      <c r="AB535" s="19">
        <f>IF(ISERROR($F$535),"",IF(ISBLANK($F$535),"",$F$535))</f>
        <v/>
      </c>
      <c r="AC535" s="19">
        <f>IF(ISERROR($G$535),"",IF(ISBLANK($G$535),"",$G$535))</f>
        <v/>
      </c>
      <c r="AD535" s="19">
        <f>IF(ISERROR($H$535),"",IF(ISBLANK($H$535),"",$H$535))</f>
        <v/>
      </c>
      <c r="AE535" s="19">
        <f>IF(ISERROR($I$535),"",IF(ISBLANK($I$535),"",$I$535))</f>
        <v/>
      </c>
      <c r="AF535" s="19">
        <f>IF(ISERROR($J$535),"",IF(ISBLANK($J$535),"",$J$535))</f>
        <v/>
      </c>
      <c r="AG535" s="19">
        <f>ISERROR($B$535)*1+ISERROR($C$535)*1+ISERROR($D$535)*1+ISERROR($E$535)*1+ISERROR($F$535)*1+ISERROR($G$535)*1+ISERROR($H$535)*1+ISERROR($I$535)*1+ISERROR($J$535)*1</f>
        <v/>
      </c>
    </row>
    <row r="536" ht="26" customHeight="1">
      <c r="B536" s="30" t="n"/>
      <c r="C536" s="3" t="n"/>
      <c r="D536" s="3" t="n"/>
      <c r="E536" s="3" t="n"/>
      <c r="F536" s="3" t="n"/>
      <c r="G536" s="3" t="n"/>
      <c r="H536" s="3" t="n"/>
      <c r="I536" s="3" t="n"/>
      <c r="J536" s="3" t="n"/>
      <c r="K536" s="18">
        <f>IF(AG536&gt;0,"O Google leu como fórmula: digite de novo com ' na frente.","")</f>
        <v/>
      </c>
      <c r="N536" s="19">
        <f>N535+IF(LEN($X$536)&gt;0,1,0)</f>
        <v/>
      </c>
      <c r="P536" s="19">
        <f>P535+IF(LEN($Z$536)&gt;0,1,0)</f>
        <v/>
      </c>
      <c r="R536" s="19">
        <f>R535+IF(LEN($AB$536)&gt;0,1,0)</f>
        <v/>
      </c>
      <c r="S536" s="19">
        <f>S535+IF(LEN($AC$536)&gt;0,1,0)</f>
        <v/>
      </c>
      <c r="T536" s="19">
        <f>T535+IF(LEN($AD$536)&gt;0,1,0)</f>
        <v/>
      </c>
      <c r="U536" s="19">
        <f>U535+IF(LEN($AE$536)&gt;0,1,0)</f>
        <v/>
      </c>
      <c r="V536" s="19">
        <f>V535+IF(LEN($AF$536)&gt;0,1,0)</f>
        <v/>
      </c>
      <c r="X536" s="19">
        <f>IF(ISERROR($B$536),"",IF(ISBLANK($B$536),"",$B$536))</f>
        <v/>
      </c>
      <c r="Y536" s="19">
        <f>IF(ISERROR($C$536),"",IF(ISBLANK($C$536),"",$C$536))</f>
        <v/>
      </c>
      <c r="Z536" s="19">
        <f>IF(ISERROR($D$536),"",IF(ISBLANK($D$536),"",$D$536))</f>
        <v/>
      </c>
      <c r="AA536" s="19">
        <f>IF(ISERROR($E$536),"",IF(ISBLANK($E$536),"",$E$536))</f>
        <v/>
      </c>
      <c r="AB536" s="19">
        <f>IF(ISERROR($F$536),"",IF(ISBLANK($F$536),"",$F$536))</f>
        <v/>
      </c>
      <c r="AC536" s="19">
        <f>IF(ISERROR($G$536),"",IF(ISBLANK($G$536),"",$G$536))</f>
        <v/>
      </c>
      <c r="AD536" s="19">
        <f>IF(ISERROR($H$536),"",IF(ISBLANK($H$536),"",$H$536))</f>
        <v/>
      </c>
      <c r="AE536" s="19">
        <f>IF(ISERROR($I$536),"",IF(ISBLANK($I$536),"",$I$536))</f>
        <v/>
      </c>
      <c r="AF536" s="19">
        <f>IF(ISERROR($J$536),"",IF(ISBLANK($J$536),"",$J$536))</f>
        <v/>
      </c>
      <c r="AG536" s="19">
        <f>ISERROR($B$536)*1+ISERROR($C$536)*1+ISERROR($D$536)*1+ISERROR($E$536)*1+ISERROR($F$536)*1+ISERROR($G$536)*1+ISERROR($H$536)*1+ISERROR($I$536)*1+ISERROR($J$536)*1</f>
        <v/>
      </c>
    </row>
    <row r="537" ht="26" customHeight="1">
      <c r="B537" s="31" t="n"/>
      <c r="C537" s="28" t="n"/>
      <c r="D537" s="28" t="n"/>
      <c r="E537" s="28" t="n"/>
      <c r="F537" s="28" t="n"/>
      <c r="G537" s="28" t="n"/>
      <c r="H537" s="28" t="n"/>
      <c r="I537" s="28" t="n"/>
      <c r="J537" s="28" t="n"/>
      <c r="K537" s="18">
        <f>IF(AG537&gt;0,"O Google leu como fórmula: digite de novo com ' na frente.","")</f>
        <v/>
      </c>
      <c r="N537" s="19">
        <f>N536+IF(LEN($X$537)&gt;0,1,0)</f>
        <v/>
      </c>
      <c r="P537" s="19">
        <f>P536+IF(LEN($Z$537)&gt;0,1,0)</f>
        <v/>
      </c>
      <c r="R537" s="19">
        <f>R536+IF(LEN($AB$537)&gt;0,1,0)</f>
        <v/>
      </c>
      <c r="S537" s="19">
        <f>S536+IF(LEN($AC$537)&gt;0,1,0)</f>
        <v/>
      </c>
      <c r="T537" s="19">
        <f>T536+IF(LEN($AD$537)&gt;0,1,0)</f>
        <v/>
      </c>
      <c r="U537" s="19">
        <f>U536+IF(LEN($AE$537)&gt;0,1,0)</f>
        <v/>
      </c>
      <c r="V537" s="19">
        <f>V536+IF(LEN($AF$537)&gt;0,1,0)</f>
        <v/>
      </c>
      <c r="X537" s="19">
        <f>IF(ISERROR($B$537),"",IF(ISBLANK($B$537),"",$B$537))</f>
        <v/>
      </c>
      <c r="Y537" s="19">
        <f>IF(ISERROR($C$537),"",IF(ISBLANK($C$537),"",$C$537))</f>
        <v/>
      </c>
      <c r="Z537" s="19">
        <f>IF(ISERROR($D$537),"",IF(ISBLANK($D$537),"",$D$537))</f>
        <v/>
      </c>
      <c r="AA537" s="19">
        <f>IF(ISERROR($E$537),"",IF(ISBLANK($E$537),"",$E$537))</f>
        <v/>
      </c>
      <c r="AB537" s="19">
        <f>IF(ISERROR($F$537),"",IF(ISBLANK($F$537),"",$F$537))</f>
        <v/>
      </c>
      <c r="AC537" s="19">
        <f>IF(ISERROR($G$537),"",IF(ISBLANK($G$537),"",$G$537))</f>
        <v/>
      </c>
      <c r="AD537" s="19">
        <f>IF(ISERROR($H$537),"",IF(ISBLANK($H$537),"",$H$537))</f>
        <v/>
      </c>
      <c r="AE537" s="19">
        <f>IF(ISERROR($I$537),"",IF(ISBLANK($I$537),"",$I$537))</f>
        <v/>
      </c>
      <c r="AF537" s="19">
        <f>IF(ISERROR($J$537),"",IF(ISBLANK($J$537),"",$J$537))</f>
        <v/>
      </c>
      <c r="AG537" s="19">
        <f>ISERROR($B$537)*1+ISERROR($C$537)*1+ISERROR($D$537)*1+ISERROR($E$537)*1+ISERROR($F$537)*1+ISERROR($G$537)*1+ISERROR($H$537)*1+ISERROR($I$537)*1+ISERROR($J$537)*1</f>
        <v/>
      </c>
    </row>
    <row r="538" ht="26" customHeight="1">
      <c r="B538" s="30" t="n"/>
      <c r="C538" s="3" t="n"/>
      <c r="D538" s="3" t="n"/>
      <c r="E538" s="3" t="n"/>
      <c r="F538" s="3" t="n"/>
      <c r="G538" s="3" t="n"/>
      <c r="H538" s="3" t="n"/>
      <c r="I538" s="3" t="n"/>
      <c r="J538" s="3" t="n"/>
      <c r="K538" s="18">
        <f>IF(AG538&gt;0,"O Google leu como fórmula: digite de novo com ' na frente.","")</f>
        <v/>
      </c>
      <c r="N538" s="19">
        <f>N537+IF(LEN($X$538)&gt;0,1,0)</f>
        <v/>
      </c>
      <c r="P538" s="19">
        <f>P537+IF(LEN($Z$538)&gt;0,1,0)</f>
        <v/>
      </c>
      <c r="R538" s="19">
        <f>R537+IF(LEN($AB$538)&gt;0,1,0)</f>
        <v/>
      </c>
      <c r="S538" s="19">
        <f>S537+IF(LEN($AC$538)&gt;0,1,0)</f>
        <v/>
      </c>
      <c r="T538" s="19">
        <f>T537+IF(LEN($AD$538)&gt;0,1,0)</f>
        <v/>
      </c>
      <c r="U538" s="19">
        <f>U537+IF(LEN($AE$538)&gt;0,1,0)</f>
        <v/>
      </c>
      <c r="V538" s="19">
        <f>V537+IF(LEN($AF$538)&gt;0,1,0)</f>
        <v/>
      </c>
      <c r="X538" s="19">
        <f>IF(ISERROR($B$538),"",IF(ISBLANK($B$538),"",$B$538))</f>
        <v/>
      </c>
      <c r="Y538" s="19">
        <f>IF(ISERROR($C$538),"",IF(ISBLANK($C$538),"",$C$538))</f>
        <v/>
      </c>
      <c r="Z538" s="19">
        <f>IF(ISERROR($D$538),"",IF(ISBLANK($D$538),"",$D$538))</f>
        <v/>
      </c>
      <c r="AA538" s="19">
        <f>IF(ISERROR($E$538),"",IF(ISBLANK($E$538),"",$E$538))</f>
        <v/>
      </c>
      <c r="AB538" s="19">
        <f>IF(ISERROR($F$538),"",IF(ISBLANK($F$538),"",$F$538))</f>
        <v/>
      </c>
      <c r="AC538" s="19">
        <f>IF(ISERROR($G$538),"",IF(ISBLANK($G$538),"",$G$538))</f>
        <v/>
      </c>
      <c r="AD538" s="19">
        <f>IF(ISERROR($H$538),"",IF(ISBLANK($H$538),"",$H$538))</f>
        <v/>
      </c>
      <c r="AE538" s="19">
        <f>IF(ISERROR($I$538),"",IF(ISBLANK($I$538),"",$I$538))</f>
        <v/>
      </c>
      <c r="AF538" s="19">
        <f>IF(ISERROR($J$538),"",IF(ISBLANK($J$538),"",$J$538))</f>
        <v/>
      </c>
      <c r="AG538" s="19">
        <f>ISERROR($B$538)*1+ISERROR($C$538)*1+ISERROR($D$538)*1+ISERROR($E$538)*1+ISERROR($F$538)*1+ISERROR($G$538)*1+ISERROR($H$538)*1+ISERROR($I$538)*1+ISERROR($J$538)*1</f>
        <v/>
      </c>
    </row>
    <row r="539" ht="26" customHeight="1">
      <c r="B539" s="31" t="n"/>
      <c r="C539" s="28" t="n"/>
      <c r="D539" s="28" t="n"/>
      <c r="E539" s="28" t="n"/>
      <c r="F539" s="28" t="n"/>
      <c r="G539" s="28" t="n"/>
      <c r="H539" s="28" t="n"/>
      <c r="I539" s="28" t="n"/>
      <c r="J539" s="28" t="n"/>
      <c r="K539" s="18">
        <f>IF(AG539&gt;0,"O Google leu como fórmula: digite de novo com ' na frente.","")</f>
        <v/>
      </c>
      <c r="N539" s="19">
        <f>N538+IF(LEN($X$539)&gt;0,1,0)</f>
        <v/>
      </c>
      <c r="P539" s="19">
        <f>P538+IF(LEN($Z$539)&gt;0,1,0)</f>
        <v/>
      </c>
      <c r="R539" s="19">
        <f>R538+IF(LEN($AB$539)&gt;0,1,0)</f>
        <v/>
      </c>
      <c r="S539" s="19">
        <f>S538+IF(LEN($AC$539)&gt;0,1,0)</f>
        <v/>
      </c>
      <c r="T539" s="19">
        <f>T538+IF(LEN($AD$539)&gt;0,1,0)</f>
        <v/>
      </c>
      <c r="U539" s="19">
        <f>U538+IF(LEN($AE$539)&gt;0,1,0)</f>
        <v/>
      </c>
      <c r="V539" s="19">
        <f>V538+IF(LEN($AF$539)&gt;0,1,0)</f>
        <v/>
      </c>
      <c r="X539" s="19">
        <f>IF(ISERROR($B$539),"",IF(ISBLANK($B$539),"",$B$539))</f>
        <v/>
      </c>
      <c r="Y539" s="19">
        <f>IF(ISERROR($C$539),"",IF(ISBLANK($C$539),"",$C$539))</f>
        <v/>
      </c>
      <c r="Z539" s="19">
        <f>IF(ISERROR($D$539),"",IF(ISBLANK($D$539),"",$D$539))</f>
        <v/>
      </c>
      <c r="AA539" s="19">
        <f>IF(ISERROR($E$539),"",IF(ISBLANK($E$539),"",$E$539))</f>
        <v/>
      </c>
      <c r="AB539" s="19">
        <f>IF(ISERROR($F$539),"",IF(ISBLANK($F$539),"",$F$539))</f>
        <v/>
      </c>
      <c r="AC539" s="19">
        <f>IF(ISERROR($G$539),"",IF(ISBLANK($G$539),"",$G$539))</f>
        <v/>
      </c>
      <c r="AD539" s="19">
        <f>IF(ISERROR($H$539),"",IF(ISBLANK($H$539),"",$H$539))</f>
        <v/>
      </c>
      <c r="AE539" s="19">
        <f>IF(ISERROR($I$539),"",IF(ISBLANK($I$539),"",$I$539))</f>
        <v/>
      </c>
      <c r="AF539" s="19">
        <f>IF(ISERROR($J$539),"",IF(ISBLANK($J$539),"",$J$539))</f>
        <v/>
      </c>
      <c r="AG539" s="19">
        <f>ISERROR($B$539)*1+ISERROR($C$539)*1+ISERROR($D$539)*1+ISERROR($E$539)*1+ISERROR($F$539)*1+ISERROR($G$539)*1+ISERROR($H$539)*1+ISERROR($I$539)*1+ISERROR($J$539)*1</f>
        <v/>
      </c>
    </row>
    <row r="540" ht="26" customHeight="1">
      <c r="B540" s="30" t="n"/>
      <c r="C540" s="3" t="n"/>
      <c r="D540" s="3" t="n"/>
      <c r="E540" s="3" t="n"/>
      <c r="F540" s="3" t="n"/>
      <c r="G540" s="3" t="n"/>
      <c r="H540" s="3" t="n"/>
      <c r="I540" s="3" t="n"/>
      <c r="J540" s="3" t="n"/>
      <c r="K540" s="18">
        <f>IF(AG540&gt;0,"O Google leu como fórmula: digite de novo com ' na frente.","")</f>
        <v/>
      </c>
      <c r="N540" s="19">
        <f>N539+IF(LEN($X$540)&gt;0,1,0)</f>
        <v/>
      </c>
      <c r="P540" s="19">
        <f>P539+IF(LEN($Z$540)&gt;0,1,0)</f>
        <v/>
      </c>
      <c r="R540" s="19">
        <f>R539+IF(LEN($AB$540)&gt;0,1,0)</f>
        <v/>
      </c>
      <c r="S540" s="19">
        <f>S539+IF(LEN($AC$540)&gt;0,1,0)</f>
        <v/>
      </c>
      <c r="T540" s="19">
        <f>T539+IF(LEN($AD$540)&gt;0,1,0)</f>
        <v/>
      </c>
      <c r="U540" s="19">
        <f>U539+IF(LEN($AE$540)&gt;0,1,0)</f>
        <v/>
      </c>
      <c r="V540" s="19">
        <f>V539+IF(LEN($AF$540)&gt;0,1,0)</f>
        <v/>
      </c>
      <c r="X540" s="19">
        <f>IF(ISERROR($B$540),"",IF(ISBLANK($B$540),"",$B$540))</f>
        <v/>
      </c>
      <c r="Y540" s="19">
        <f>IF(ISERROR($C$540),"",IF(ISBLANK($C$540),"",$C$540))</f>
        <v/>
      </c>
      <c r="Z540" s="19">
        <f>IF(ISERROR($D$540),"",IF(ISBLANK($D$540),"",$D$540))</f>
        <v/>
      </c>
      <c r="AA540" s="19">
        <f>IF(ISERROR($E$540),"",IF(ISBLANK($E$540),"",$E$540))</f>
        <v/>
      </c>
      <c r="AB540" s="19">
        <f>IF(ISERROR($F$540),"",IF(ISBLANK($F$540),"",$F$540))</f>
        <v/>
      </c>
      <c r="AC540" s="19">
        <f>IF(ISERROR($G$540),"",IF(ISBLANK($G$540),"",$G$540))</f>
        <v/>
      </c>
      <c r="AD540" s="19">
        <f>IF(ISERROR($H$540),"",IF(ISBLANK($H$540),"",$H$540))</f>
        <v/>
      </c>
      <c r="AE540" s="19">
        <f>IF(ISERROR($I$540),"",IF(ISBLANK($I$540),"",$I$540))</f>
        <v/>
      </c>
      <c r="AF540" s="19">
        <f>IF(ISERROR($J$540),"",IF(ISBLANK($J$540),"",$J$540))</f>
        <v/>
      </c>
      <c r="AG540" s="19">
        <f>ISERROR($B$540)*1+ISERROR($C$540)*1+ISERROR($D$540)*1+ISERROR($E$540)*1+ISERROR($F$540)*1+ISERROR($G$540)*1+ISERROR($H$540)*1+ISERROR($I$540)*1+ISERROR($J$540)*1</f>
        <v/>
      </c>
    </row>
    <row r="541" ht="15" customHeight="1">
      <c r="B541" s="7" t="inlineStr">
        <is>
          <t>Caminho (motivação)</t>
        </is>
      </c>
      <c r="C541" s="7" t="inlineStr">
        <is>
          <t>Motivação por Caminho</t>
        </is>
      </c>
      <c r="D541" s="7" t="inlineStr">
        <is>
          <t>Tipo (objetivo)</t>
        </is>
      </c>
      <c r="E541" s="7" t="inlineStr">
        <is>
          <t>Objetivo por tipo</t>
        </is>
      </c>
      <c r="F541" s="7" t="inlineStr">
        <is>
          <t>Tipo de aventura</t>
        </is>
      </c>
      <c r="G541" s="7" t="inlineStr">
        <is>
          <t>Gancho de aventura</t>
        </is>
      </c>
      <c r="H541" s="7" t="inlineStr">
        <is>
          <t>Local (sabor)</t>
        </is>
      </c>
      <c r="I541" s="7" t="inlineStr">
        <is>
          <t>Complicação</t>
        </is>
      </c>
      <c r="J541" s="7" t="inlineStr">
        <is>
          <t>Reviravolta</t>
        </is>
      </c>
      <c r="N541" s="19">
        <f>N540</f>
        <v/>
      </c>
      <c r="P541" s="19">
        <f>P540</f>
        <v/>
      </c>
      <c r="R541" s="19">
        <f>R540</f>
        <v/>
      </c>
      <c r="S541" s="19">
        <f>S540</f>
        <v/>
      </c>
      <c r="T541" s="19">
        <f>T540</f>
        <v/>
      </c>
      <c r="U541" s="19">
        <f>U540</f>
        <v/>
      </c>
      <c r="V541" s="19">
        <f>V540</f>
        <v/>
      </c>
      <c r="X541" s="19">
        <f>IF(ISERROR($B$541),"",IF(ISBLANK($B$541),"",$B$541))</f>
        <v/>
      </c>
      <c r="Y541" s="19">
        <f>IF(ISERROR($C$541),"",IF(ISBLANK($C$541),"",$C$541))</f>
        <v/>
      </c>
      <c r="Z541" s="19">
        <f>IF(ISERROR($D$541),"",IF(ISBLANK($D$541),"",$D$541))</f>
        <v/>
      </c>
      <c r="AA541" s="19">
        <f>IF(ISERROR($E$541),"",IF(ISBLANK($E$541),"",$E$541))</f>
        <v/>
      </c>
      <c r="AB541" s="19">
        <f>IF(ISERROR($F$541),"",IF(ISBLANK($F$541),"",$F$541))</f>
        <v/>
      </c>
      <c r="AC541" s="19">
        <f>IF(ISERROR($G$541),"",IF(ISBLANK($G$541),"",$G$541))</f>
        <v/>
      </c>
      <c r="AD541" s="19">
        <f>IF(ISERROR($H$541),"",IF(ISBLANK($H$541),"",$H$541))</f>
        <v/>
      </c>
      <c r="AE541" s="19">
        <f>IF(ISERROR($I$541),"",IF(ISBLANK($I$541),"",$I$541))</f>
        <v/>
      </c>
      <c r="AF541" s="19">
        <f>IF(ISERROR($J$541),"",IF(ISBLANK($J$541),"",$J$541))</f>
        <v/>
      </c>
    </row>
    <row r="542" ht="26" customHeight="1">
      <c r="B542" s="30" t="n"/>
      <c r="C542" s="3" t="n"/>
      <c r="D542" s="3" t="n"/>
      <c r="E542" s="3" t="n"/>
      <c r="F542" s="3" t="n"/>
      <c r="G542" s="3" t="n"/>
      <c r="H542" s="3" t="n"/>
      <c r="I542" s="3" t="n"/>
      <c r="J542" s="3" t="n"/>
      <c r="K542" s="18">
        <f>IF(AG542&gt;0,"O Google leu como fórmula: digite de novo com ' na frente.","")</f>
        <v/>
      </c>
      <c r="N542" s="19">
        <f>N541+IF(LEN($X$542)&gt;0,1,0)</f>
        <v/>
      </c>
      <c r="P542" s="19">
        <f>P541+IF(LEN($Z$542)&gt;0,1,0)</f>
        <v/>
      </c>
      <c r="R542" s="19">
        <f>R541+IF(LEN($AB$542)&gt;0,1,0)</f>
        <v/>
      </c>
      <c r="S542" s="19">
        <f>S541+IF(LEN($AC$542)&gt;0,1,0)</f>
        <v/>
      </c>
      <c r="T542" s="19">
        <f>T541+IF(LEN($AD$542)&gt;0,1,0)</f>
        <v/>
      </c>
      <c r="U542" s="19">
        <f>U541+IF(LEN($AE$542)&gt;0,1,0)</f>
        <v/>
      </c>
      <c r="V542" s="19">
        <f>V541+IF(LEN($AF$542)&gt;0,1,0)</f>
        <v/>
      </c>
      <c r="X542" s="19">
        <f>IF(ISERROR($B$542),"",IF(ISBLANK($B$542),"",$B$542))</f>
        <v/>
      </c>
      <c r="Y542" s="19">
        <f>IF(ISERROR($C$542),"",IF(ISBLANK($C$542),"",$C$542))</f>
        <v/>
      </c>
      <c r="Z542" s="19">
        <f>IF(ISERROR($D$542),"",IF(ISBLANK($D$542),"",$D$542))</f>
        <v/>
      </c>
      <c r="AA542" s="19">
        <f>IF(ISERROR($E$542),"",IF(ISBLANK($E$542),"",$E$542))</f>
        <v/>
      </c>
      <c r="AB542" s="19">
        <f>IF(ISERROR($F$542),"",IF(ISBLANK($F$542),"",$F$542))</f>
        <v/>
      </c>
      <c r="AC542" s="19">
        <f>IF(ISERROR($G$542),"",IF(ISBLANK($G$542),"",$G$542))</f>
        <v/>
      </c>
      <c r="AD542" s="19">
        <f>IF(ISERROR($H$542),"",IF(ISBLANK($H$542),"",$H$542))</f>
        <v/>
      </c>
      <c r="AE542" s="19">
        <f>IF(ISERROR($I$542),"",IF(ISBLANK($I$542),"",$I$542))</f>
        <v/>
      </c>
      <c r="AF542" s="19">
        <f>IF(ISERROR($J$542),"",IF(ISBLANK($J$542),"",$J$542))</f>
        <v/>
      </c>
      <c r="AG542" s="19">
        <f>ISERROR($B$542)*1+ISERROR($C$542)*1+ISERROR($D$542)*1+ISERROR($E$542)*1+ISERROR($F$542)*1+ISERROR($G$542)*1+ISERROR($H$542)*1+ISERROR($I$542)*1+ISERROR($J$542)*1</f>
        <v/>
      </c>
    </row>
    <row r="543" ht="26" customHeight="1">
      <c r="B543" s="31" t="n"/>
      <c r="C543" s="28" t="n"/>
      <c r="D543" s="28" t="n"/>
      <c r="E543" s="28" t="n"/>
      <c r="F543" s="28" t="n"/>
      <c r="G543" s="28" t="n"/>
      <c r="H543" s="28" t="n"/>
      <c r="I543" s="28" t="n"/>
      <c r="J543" s="28" t="n"/>
      <c r="K543" s="18">
        <f>IF(AG543&gt;0,"O Google leu como fórmula: digite de novo com ' na frente.","")</f>
        <v/>
      </c>
      <c r="N543" s="19">
        <f>N542+IF(LEN($X$543)&gt;0,1,0)</f>
        <v/>
      </c>
      <c r="P543" s="19">
        <f>P542+IF(LEN($Z$543)&gt;0,1,0)</f>
        <v/>
      </c>
      <c r="R543" s="19">
        <f>R542+IF(LEN($AB$543)&gt;0,1,0)</f>
        <v/>
      </c>
      <c r="S543" s="19">
        <f>S542+IF(LEN($AC$543)&gt;0,1,0)</f>
        <v/>
      </c>
      <c r="T543" s="19">
        <f>T542+IF(LEN($AD$543)&gt;0,1,0)</f>
        <v/>
      </c>
      <c r="U543" s="19">
        <f>U542+IF(LEN($AE$543)&gt;0,1,0)</f>
        <v/>
      </c>
      <c r="V543" s="19">
        <f>V542+IF(LEN($AF$543)&gt;0,1,0)</f>
        <v/>
      </c>
      <c r="X543" s="19">
        <f>IF(ISERROR($B$543),"",IF(ISBLANK($B$543),"",$B$543))</f>
        <v/>
      </c>
      <c r="Y543" s="19">
        <f>IF(ISERROR($C$543),"",IF(ISBLANK($C$543),"",$C$543))</f>
        <v/>
      </c>
      <c r="Z543" s="19">
        <f>IF(ISERROR($D$543),"",IF(ISBLANK($D$543),"",$D$543))</f>
        <v/>
      </c>
      <c r="AA543" s="19">
        <f>IF(ISERROR($E$543),"",IF(ISBLANK($E$543),"",$E$543))</f>
        <v/>
      </c>
      <c r="AB543" s="19">
        <f>IF(ISERROR($F$543),"",IF(ISBLANK($F$543),"",$F$543))</f>
        <v/>
      </c>
      <c r="AC543" s="19">
        <f>IF(ISERROR($G$543),"",IF(ISBLANK($G$543),"",$G$543))</f>
        <v/>
      </c>
      <c r="AD543" s="19">
        <f>IF(ISERROR($H$543),"",IF(ISBLANK($H$543),"",$H$543))</f>
        <v/>
      </c>
      <c r="AE543" s="19">
        <f>IF(ISERROR($I$543),"",IF(ISBLANK($I$543),"",$I$543))</f>
        <v/>
      </c>
      <c r="AF543" s="19">
        <f>IF(ISERROR($J$543),"",IF(ISBLANK($J$543),"",$J$543))</f>
        <v/>
      </c>
      <c r="AG543" s="19">
        <f>ISERROR($B$543)*1+ISERROR($C$543)*1+ISERROR($D$543)*1+ISERROR($E$543)*1+ISERROR($F$543)*1+ISERROR($G$543)*1+ISERROR($H$543)*1+ISERROR($I$543)*1+ISERROR($J$543)*1</f>
        <v/>
      </c>
    </row>
    <row r="544" ht="26" customHeight="1">
      <c r="B544" s="30" t="n"/>
      <c r="C544" s="3" t="n"/>
      <c r="D544" s="3" t="n"/>
      <c r="E544" s="3" t="n"/>
      <c r="F544" s="3" t="n"/>
      <c r="G544" s="3" t="n"/>
      <c r="H544" s="3" t="n"/>
      <c r="I544" s="3" t="n"/>
      <c r="J544" s="3" t="n"/>
      <c r="K544" s="18">
        <f>IF(AG544&gt;0,"O Google leu como fórmula: digite de novo com ' na frente.","")</f>
        <v/>
      </c>
      <c r="N544" s="19">
        <f>N543+IF(LEN($X$544)&gt;0,1,0)</f>
        <v/>
      </c>
      <c r="P544" s="19">
        <f>P543+IF(LEN($Z$544)&gt;0,1,0)</f>
        <v/>
      </c>
      <c r="R544" s="19">
        <f>R543+IF(LEN($AB$544)&gt;0,1,0)</f>
        <v/>
      </c>
      <c r="S544" s="19">
        <f>S543+IF(LEN($AC$544)&gt;0,1,0)</f>
        <v/>
      </c>
      <c r="T544" s="19">
        <f>T543+IF(LEN($AD$544)&gt;0,1,0)</f>
        <v/>
      </c>
      <c r="U544" s="19">
        <f>U543+IF(LEN($AE$544)&gt;0,1,0)</f>
        <v/>
      </c>
      <c r="V544" s="19">
        <f>V543+IF(LEN($AF$544)&gt;0,1,0)</f>
        <v/>
      </c>
      <c r="X544" s="19">
        <f>IF(ISERROR($B$544),"",IF(ISBLANK($B$544),"",$B$544))</f>
        <v/>
      </c>
      <c r="Y544" s="19">
        <f>IF(ISERROR($C$544),"",IF(ISBLANK($C$544),"",$C$544))</f>
        <v/>
      </c>
      <c r="Z544" s="19">
        <f>IF(ISERROR($D$544),"",IF(ISBLANK($D$544),"",$D$544))</f>
        <v/>
      </c>
      <c r="AA544" s="19">
        <f>IF(ISERROR($E$544),"",IF(ISBLANK($E$544),"",$E$544))</f>
        <v/>
      </c>
      <c r="AB544" s="19">
        <f>IF(ISERROR($F$544),"",IF(ISBLANK($F$544),"",$F$544))</f>
        <v/>
      </c>
      <c r="AC544" s="19">
        <f>IF(ISERROR($G$544),"",IF(ISBLANK($G$544),"",$G$544))</f>
        <v/>
      </c>
      <c r="AD544" s="19">
        <f>IF(ISERROR($H$544),"",IF(ISBLANK($H$544),"",$H$544))</f>
        <v/>
      </c>
      <c r="AE544" s="19">
        <f>IF(ISERROR($I$544),"",IF(ISBLANK($I$544),"",$I$544))</f>
        <v/>
      </c>
      <c r="AF544" s="19">
        <f>IF(ISERROR($J$544),"",IF(ISBLANK($J$544),"",$J$544))</f>
        <v/>
      </c>
      <c r="AG544" s="19">
        <f>ISERROR($B$544)*1+ISERROR($C$544)*1+ISERROR($D$544)*1+ISERROR($E$544)*1+ISERROR($F$544)*1+ISERROR($G$544)*1+ISERROR($H$544)*1+ISERROR($I$544)*1+ISERROR($J$544)*1</f>
        <v/>
      </c>
    </row>
    <row r="545" ht="26" customHeight="1">
      <c r="B545" s="31" t="n"/>
      <c r="C545" s="28" t="n"/>
      <c r="D545" s="28" t="n"/>
      <c r="E545" s="28" t="n"/>
      <c r="F545" s="28" t="n"/>
      <c r="G545" s="28" t="n"/>
      <c r="H545" s="28" t="n"/>
      <c r="I545" s="28" t="n"/>
      <c r="J545" s="28" t="n"/>
      <c r="K545" s="18">
        <f>IF(AG545&gt;0,"O Google leu como fórmula: digite de novo com ' na frente.","")</f>
        <v/>
      </c>
      <c r="N545" s="19">
        <f>N544+IF(LEN($X$545)&gt;0,1,0)</f>
        <v/>
      </c>
      <c r="P545" s="19">
        <f>P544+IF(LEN($Z$545)&gt;0,1,0)</f>
        <v/>
      </c>
      <c r="R545" s="19">
        <f>R544+IF(LEN($AB$545)&gt;0,1,0)</f>
        <v/>
      </c>
      <c r="S545" s="19">
        <f>S544+IF(LEN($AC$545)&gt;0,1,0)</f>
        <v/>
      </c>
      <c r="T545" s="19">
        <f>T544+IF(LEN($AD$545)&gt;0,1,0)</f>
        <v/>
      </c>
      <c r="U545" s="19">
        <f>U544+IF(LEN($AE$545)&gt;0,1,0)</f>
        <v/>
      </c>
      <c r="V545" s="19">
        <f>V544+IF(LEN($AF$545)&gt;0,1,0)</f>
        <v/>
      </c>
      <c r="X545" s="19">
        <f>IF(ISERROR($B$545),"",IF(ISBLANK($B$545),"",$B$545))</f>
        <v/>
      </c>
      <c r="Y545" s="19">
        <f>IF(ISERROR($C$545),"",IF(ISBLANK($C$545),"",$C$545))</f>
        <v/>
      </c>
      <c r="Z545" s="19">
        <f>IF(ISERROR($D$545),"",IF(ISBLANK($D$545),"",$D$545))</f>
        <v/>
      </c>
      <c r="AA545" s="19">
        <f>IF(ISERROR($E$545),"",IF(ISBLANK($E$545),"",$E$545))</f>
        <v/>
      </c>
      <c r="AB545" s="19">
        <f>IF(ISERROR($F$545),"",IF(ISBLANK($F$545),"",$F$545))</f>
        <v/>
      </c>
      <c r="AC545" s="19">
        <f>IF(ISERROR($G$545),"",IF(ISBLANK($G$545),"",$G$545))</f>
        <v/>
      </c>
      <c r="AD545" s="19">
        <f>IF(ISERROR($H$545),"",IF(ISBLANK($H$545),"",$H$545))</f>
        <v/>
      </c>
      <c r="AE545" s="19">
        <f>IF(ISERROR($I$545),"",IF(ISBLANK($I$545),"",$I$545))</f>
        <v/>
      </c>
      <c r="AF545" s="19">
        <f>IF(ISERROR($J$545),"",IF(ISBLANK($J$545),"",$J$545))</f>
        <v/>
      </c>
      <c r="AG545" s="19">
        <f>ISERROR($B$545)*1+ISERROR($C$545)*1+ISERROR($D$545)*1+ISERROR($E$545)*1+ISERROR($F$545)*1+ISERROR($G$545)*1+ISERROR($H$545)*1+ISERROR($I$545)*1+ISERROR($J$545)*1</f>
        <v/>
      </c>
    </row>
    <row r="546" ht="26" customHeight="1">
      <c r="B546" s="30" t="n"/>
      <c r="C546" s="3" t="n"/>
      <c r="D546" s="3" t="n"/>
      <c r="E546" s="3" t="n"/>
      <c r="F546" s="3" t="n"/>
      <c r="G546" s="3" t="n"/>
      <c r="H546" s="3" t="n"/>
      <c r="I546" s="3" t="n"/>
      <c r="J546" s="3" t="n"/>
      <c r="K546" s="18">
        <f>IF(AG546&gt;0,"O Google leu como fórmula: digite de novo com ' na frente.","")</f>
        <v/>
      </c>
      <c r="N546" s="19">
        <f>N545+IF(LEN($X$546)&gt;0,1,0)</f>
        <v/>
      </c>
      <c r="P546" s="19">
        <f>P545+IF(LEN($Z$546)&gt;0,1,0)</f>
        <v/>
      </c>
      <c r="R546" s="19">
        <f>R545+IF(LEN($AB$546)&gt;0,1,0)</f>
        <v/>
      </c>
      <c r="S546" s="19">
        <f>S545+IF(LEN($AC$546)&gt;0,1,0)</f>
        <v/>
      </c>
      <c r="T546" s="19">
        <f>T545+IF(LEN($AD$546)&gt;0,1,0)</f>
        <v/>
      </c>
      <c r="U546" s="19">
        <f>U545+IF(LEN($AE$546)&gt;0,1,0)</f>
        <v/>
      </c>
      <c r="V546" s="19">
        <f>V545+IF(LEN($AF$546)&gt;0,1,0)</f>
        <v/>
      </c>
      <c r="X546" s="19">
        <f>IF(ISERROR($B$546),"",IF(ISBLANK($B$546),"",$B$546))</f>
        <v/>
      </c>
      <c r="Y546" s="19">
        <f>IF(ISERROR($C$546),"",IF(ISBLANK($C$546),"",$C$546))</f>
        <v/>
      </c>
      <c r="Z546" s="19">
        <f>IF(ISERROR($D$546),"",IF(ISBLANK($D$546),"",$D$546))</f>
        <v/>
      </c>
      <c r="AA546" s="19">
        <f>IF(ISERROR($E$546),"",IF(ISBLANK($E$546),"",$E$546))</f>
        <v/>
      </c>
      <c r="AB546" s="19">
        <f>IF(ISERROR($F$546),"",IF(ISBLANK($F$546),"",$F$546))</f>
        <v/>
      </c>
      <c r="AC546" s="19">
        <f>IF(ISERROR($G$546),"",IF(ISBLANK($G$546),"",$G$546))</f>
        <v/>
      </c>
      <c r="AD546" s="19">
        <f>IF(ISERROR($H$546),"",IF(ISBLANK($H$546),"",$H$546))</f>
        <v/>
      </c>
      <c r="AE546" s="19">
        <f>IF(ISERROR($I$546),"",IF(ISBLANK($I$546),"",$I$546))</f>
        <v/>
      </c>
      <c r="AF546" s="19">
        <f>IF(ISERROR($J$546),"",IF(ISBLANK($J$546),"",$J$546))</f>
        <v/>
      </c>
      <c r="AG546" s="19">
        <f>ISERROR($B$546)*1+ISERROR($C$546)*1+ISERROR($D$546)*1+ISERROR($E$546)*1+ISERROR($F$546)*1+ISERROR($G$546)*1+ISERROR($H$546)*1+ISERROR($I$546)*1+ISERROR($J$546)*1</f>
        <v/>
      </c>
    </row>
    <row r="547" ht="26" customHeight="1">
      <c r="B547" s="31" t="n"/>
      <c r="C547" s="28" t="n"/>
      <c r="D547" s="28" t="n"/>
      <c r="E547" s="28" t="n"/>
      <c r="F547" s="28" t="n"/>
      <c r="G547" s="28" t="n"/>
      <c r="H547" s="28" t="n"/>
      <c r="I547" s="28" t="n"/>
      <c r="J547" s="28" t="n"/>
      <c r="K547" s="18">
        <f>IF(AG547&gt;0,"O Google leu como fórmula: digite de novo com ' na frente.","")</f>
        <v/>
      </c>
      <c r="N547" s="19">
        <f>N546+IF(LEN($X$547)&gt;0,1,0)</f>
        <v/>
      </c>
      <c r="P547" s="19">
        <f>P546+IF(LEN($Z$547)&gt;0,1,0)</f>
        <v/>
      </c>
      <c r="R547" s="19">
        <f>R546+IF(LEN($AB$547)&gt;0,1,0)</f>
        <v/>
      </c>
      <c r="S547" s="19">
        <f>S546+IF(LEN($AC$547)&gt;0,1,0)</f>
        <v/>
      </c>
      <c r="T547" s="19">
        <f>T546+IF(LEN($AD$547)&gt;0,1,0)</f>
        <v/>
      </c>
      <c r="U547" s="19">
        <f>U546+IF(LEN($AE$547)&gt;0,1,0)</f>
        <v/>
      </c>
      <c r="V547" s="19">
        <f>V546+IF(LEN($AF$547)&gt;0,1,0)</f>
        <v/>
      </c>
      <c r="X547" s="19">
        <f>IF(ISERROR($B$547),"",IF(ISBLANK($B$547),"",$B$547))</f>
        <v/>
      </c>
      <c r="Y547" s="19">
        <f>IF(ISERROR($C$547),"",IF(ISBLANK($C$547),"",$C$547))</f>
        <v/>
      </c>
      <c r="Z547" s="19">
        <f>IF(ISERROR($D$547),"",IF(ISBLANK($D$547),"",$D$547))</f>
        <v/>
      </c>
      <c r="AA547" s="19">
        <f>IF(ISERROR($E$547),"",IF(ISBLANK($E$547),"",$E$547))</f>
        <v/>
      </c>
      <c r="AB547" s="19">
        <f>IF(ISERROR($F$547),"",IF(ISBLANK($F$547),"",$F$547))</f>
        <v/>
      </c>
      <c r="AC547" s="19">
        <f>IF(ISERROR($G$547),"",IF(ISBLANK($G$547),"",$G$547))</f>
        <v/>
      </c>
      <c r="AD547" s="19">
        <f>IF(ISERROR($H$547),"",IF(ISBLANK($H$547),"",$H$547))</f>
        <v/>
      </c>
      <c r="AE547" s="19">
        <f>IF(ISERROR($I$547),"",IF(ISBLANK($I$547),"",$I$547))</f>
        <v/>
      </c>
      <c r="AF547" s="19">
        <f>IF(ISERROR($J$547),"",IF(ISBLANK($J$547),"",$J$547))</f>
        <v/>
      </c>
      <c r="AG547" s="19">
        <f>ISERROR($B$547)*1+ISERROR($C$547)*1+ISERROR($D$547)*1+ISERROR($E$547)*1+ISERROR($F$547)*1+ISERROR($G$547)*1+ISERROR($H$547)*1+ISERROR($I$547)*1+ISERROR($J$547)*1</f>
        <v/>
      </c>
    </row>
    <row r="548" ht="26" customHeight="1">
      <c r="B548" s="30" t="n"/>
      <c r="C548" s="3" t="n"/>
      <c r="D548" s="3" t="n"/>
      <c r="E548" s="3" t="n"/>
      <c r="F548" s="3" t="n"/>
      <c r="G548" s="3" t="n"/>
      <c r="H548" s="3" t="n"/>
      <c r="I548" s="3" t="n"/>
      <c r="J548" s="3" t="n"/>
      <c r="K548" s="18">
        <f>IF(AG548&gt;0,"O Google leu como fórmula: digite de novo com ' na frente.","")</f>
        <v/>
      </c>
      <c r="N548" s="19">
        <f>N547+IF(LEN($X$548)&gt;0,1,0)</f>
        <v/>
      </c>
      <c r="P548" s="19">
        <f>P547+IF(LEN($Z$548)&gt;0,1,0)</f>
        <v/>
      </c>
      <c r="R548" s="19">
        <f>R547+IF(LEN($AB$548)&gt;0,1,0)</f>
        <v/>
      </c>
      <c r="S548" s="19">
        <f>S547+IF(LEN($AC$548)&gt;0,1,0)</f>
        <v/>
      </c>
      <c r="T548" s="19">
        <f>T547+IF(LEN($AD$548)&gt;0,1,0)</f>
        <v/>
      </c>
      <c r="U548" s="19">
        <f>U547+IF(LEN($AE$548)&gt;0,1,0)</f>
        <v/>
      </c>
      <c r="V548" s="19">
        <f>V547+IF(LEN($AF$548)&gt;0,1,0)</f>
        <v/>
      </c>
      <c r="X548" s="19">
        <f>IF(ISERROR($B$548),"",IF(ISBLANK($B$548),"",$B$548))</f>
        <v/>
      </c>
      <c r="Y548" s="19">
        <f>IF(ISERROR($C$548),"",IF(ISBLANK($C$548),"",$C$548))</f>
        <v/>
      </c>
      <c r="Z548" s="19">
        <f>IF(ISERROR($D$548),"",IF(ISBLANK($D$548),"",$D$548))</f>
        <v/>
      </c>
      <c r="AA548" s="19">
        <f>IF(ISERROR($E$548),"",IF(ISBLANK($E$548),"",$E$548))</f>
        <v/>
      </c>
      <c r="AB548" s="19">
        <f>IF(ISERROR($F$548),"",IF(ISBLANK($F$548),"",$F$548))</f>
        <v/>
      </c>
      <c r="AC548" s="19">
        <f>IF(ISERROR($G$548),"",IF(ISBLANK($G$548),"",$G$548))</f>
        <v/>
      </c>
      <c r="AD548" s="19">
        <f>IF(ISERROR($H$548),"",IF(ISBLANK($H$548),"",$H$548))</f>
        <v/>
      </c>
      <c r="AE548" s="19">
        <f>IF(ISERROR($I$548),"",IF(ISBLANK($I$548),"",$I$548))</f>
        <v/>
      </c>
      <c r="AF548" s="19">
        <f>IF(ISERROR($J$548),"",IF(ISBLANK($J$548),"",$J$548))</f>
        <v/>
      </c>
      <c r="AG548" s="19">
        <f>ISERROR($B$548)*1+ISERROR($C$548)*1+ISERROR($D$548)*1+ISERROR($E$548)*1+ISERROR($F$548)*1+ISERROR($G$548)*1+ISERROR($H$548)*1+ISERROR($I$548)*1+ISERROR($J$548)*1</f>
        <v/>
      </c>
    </row>
    <row r="549" ht="26" customHeight="1">
      <c r="B549" s="31" t="n"/>
      <c r="C549" s="28" t="n"/>
      <c r="D549" s="28" t="n"/>
      <c r="E549" s="28" t="n"/>
      <c r="F549" s="28" t="n"/>
      <c r="G549" s="28" t="n"/>
      <c r="H549" s="28" t="n"/>
      <c r="I549" s="28" t="n"/>
      <c r="J549" s="28" t="n"/>
      <c r="K549" s="18">
        <f>IF(AG549&gt;0,"O Google leu como fórmula: digite de novo com ' na frente.","")</f>
        <v/>
      </c>
      <c r="N549" s="19">
        <f>N548+IF(LEN($X$549)&gt;0,1,0)</f>
        <v/>
      </c>
      <c r="P549" s="19">
        <f>P548+IF(LEN($Z$549)&gt;0,1,0)</f>
        <v/>
      </c>
      <c r="R549" s="19">
        <f>R548+IF(LEN($AB$549)&gt;0,1,0)</f>
        <v/>
      </c>
      <c r="S549" s="19">
        <f>S548+IF(LEN($AC$549)&gt;0,1,0)</f>
        <v/>
      </c>
      <c r="T549" s="19">
        <f>T548+IF(LEN($AD$549)&gt;0,1,0)</f>
        <v/>
      </c>
      <c r="U549" s="19">
        <f>U548+IF(LEN($AE$549)&gt;0,1,0)</f>
        <v/>
      </c>
      <c r="V549" s="19">
        <f>V548+IF(LEN($AF$549)&gt;0,1,0)</f>
        <v/>
      </c>
      <c r="X549" s="19">
        <f>IF(ISERROR($B$549),"",IF(ISBLANK($B$549),"",$B$549))</f>
        <v/>
      </c>
      <c r="Y549" s="19">
        <f>IF(ISERROR($C$549),"",IF(ISBLANK($C$549),"",$C$549))</f>
        <v/>
      </c>
      <c r="Z549" s="19">
        <f>IF(ISERROR($D$549),"",IF(ISBLANK($D$549),"",$D$549))</f>
        <v/>
      </c>
      <c r="AA549" s="19">
        <f>IF(ISERROR($E$549),"",IF(ISBLANK($E$549),"",$E$549))</f>
        <v/>
      </c>
      <c r="AB549" s="19">
        <f>IF(ISERROR($F$549),"",IF(ISBLANK($F$549),"",$F$549))</f>
        <v/>
      </c>
      <c r="AC549" s="19">
        <f>IF(ISERROR($G$549),"",IF(ISBLANK($G$549),"",$G$549))</f>
        <v/>
      </c>
      <c r="AD549" s="19">
        <f>IF(ISERROR($H$549),"",IF(ISBLANK($H$549),"",$H$549))</f>
        <v/>
      </c>
      <c r="AE549" s="19">
        <f>IF(ISERROR($I$549),"",IF(ISBLANK($I$549),"",$I$549))</f>
        <v/>
      </c>
      <c r="AF549" s="19">
        <f>IF(ISERROR($J$549),"",IF(ISBLANK($J$549),"",$J$549))</f>
        <v/>
      </c>
      <c r="AG549" s="19">
        <f>ISERROR($B$549)*1+ISERROR($C$549)*1+ISERROR($D$549)*1+ISERROR($E$549)*1+ISERROR($F$549)*1+ISERROR($G$549)*1+ISERROR($H$549)*1+ISERROR($I$549)*1+ISERROR($J$549)*1</f>
        <v/>
      </c>
    </row>
    <row r="550" ht="26" customHeight="1">
      <c r="B550" s="30" t="n"/>
      <c r="C550" s="3" t="n"/>
      <c r="D550" s="3" t="n"/>
      <c r="E550" s="3" t="n"/>
      <c r="F550" s="3" t="n"/>
      <c r="G550" s="3" t="n"/>
      <c r="H550" s="3" t="n"/>
      <c r="I550" s="3" t="n"/>
      <c r="J550" s="3" t="n"/>
      <c r="K550" s="18">
        <f>IF(AG550&gt;0,"O Google leu como fórmula: digite de novo com ' na frente.","")</f>
        <v/>
      </c>
      <c r="N550" s="19">
        <f>N549+IF(LEN($X$550)&gt;0,1,0)</f>
        <v/>
      </c>
      <c r="P550" s="19">
        <f>P549+IF(LEN($Z$550)&gt;0,1,0)</f>
        <v/>
      </c>
      <c r="R550" s="19">
        <f>R549+IF(LEN($AB$550)&gt;0,1,0)</f>
        <v/>
      </c>
      <c r="S550" s="19">
        <f>S549+IF(LEN($AC$550)&gt;0,1,0)</f>
        <v/>
      </c>
      <c r="T550" s="19">
        <f>T549+IF(LEN($AD$550)&gt;0,1,0)</f>
        <v/>
      </c>
      <c r="U550" s="19">
        <f>U549+IF(LEN($AE$550)&gt;0,1,0)</f>
        <v/>
      </c>
      <c r="V550" s="19">
        <f>V549+IF(LEN($AF$550)&gt;0,1,0)</f>
        <v/>
      </c>
      <c r="X550" s="19">
        <f>IF(ISERROR($B$550),"",IF(ISBLANK($B$550),"",$B$550))</f>
        <v/>
      </c>
      <c r="Y550" s="19">
        <f>IF(ISERROR($C$550),"",IF(ISBLANK($C$550),"",$C$550))</f>
        <v/>
      </c>
      <c r="Z550" s="19">
        <f>IF(ISERROR($D$550),"",IF(ISBLANK($D$550),"",$D$550))</f>
        <v/>
      </c>
      <c r="AA550" s="19">
        <f>IF(ISERROR($E$550),"",IF(ISBLANK($E$550),"",$E$550))</f>
        <v/>
      </c>
      <c r="AB550" s="19">
        <f>IF(ISERROR($F$550),"",IF(ISBLANK($F$550),"",$F$550))</f>
        <v/>
      </c>
      <c r="AC550" s="19">
        <f>IF(ISERROR($G$550),"",IF(ISBLANK($G$550),"",$G$550))</f>
        <v/>
      </c>
      <c r="AD550" s="19">
        <f>IF(ISERROR($H$550),"",IF(ISBLANK($H$550),"",$H$550))</f>
        <v/>
      </c>
      <c r="AE550" s="19">
        <f>IF(ISERROR($I$550),"",IF(ISBLANK($I$550),"",$I$550))</f>
        <v/>
      </c>
      <c r="AF550" s="19">
        <f>IF(ISERROR($J$550),"",IF(ISBLANK($J$550),"",$J$550))</f>
        <v/>
      </c>
      <c r="AG550" s="19">
        <f>ISERROR($B$550)*1+ISERROR($C$550)*1+ISERROR($D$550)*1+ISERROR($E$550)*1+ISERROR($F$550)*1+ISERROR($G$550)*1+ISERROR($H$550)*1+ISERROR($I$550)*1+ISERROR($J$550)*1</f>
        <v/>
      </c>
    </row>
    <row r="551" ht="26" customHeight="1">
      <c r="B551" s="31" t="n"/>
      <c r="C551" s="28" t="n"/>
      <c r="D551" s="28" t="n"/>
      <c r="E551" s="28" t="n"/>
      <c r="F551" s="28" t="n"/>
      <c r="G551" s="28" t="n"/>
      <c r="H551" s="28" t="n"/>
      <c r="I551" s="28" t="n"/>
      <c r="J551" s="28" t="n"/>
      <c r="K551" s="18">
        <f>IF(AG551&gt;0,"O Google leu como fórmula: digite de novo com ' na frente.","")</f>
        <v/>
      </c>
      <c r="N551" s="19">
        <f>N550+IF(LEN($X$551)&gt;0,1,0)</f>
        <v/>
      </c>
      <c r="P551" s="19">
        <f>P550+IF(LEN($Z$551)&gt;0,1,0)</f>
        <v/>
      </c>
      <c r="R551" s="19">
        <f>R550+IF(LEN($AB$551)&gt;0,1,0)</f>
        <v/>
      </c>
      <c r="S551" s="19">
        <f>S550+IF(LEN($AC$551)&gt;0,1,0)</f>
        <v/>
      </c>
      <c r="T551" s="19">
        <f>T550+IF(LEN($AD$551)&gt;0,1,0)</f>
        <v/>
      </c>
      <c r="U551" s="19">
        <f>U550+IF(LEN($AE$551)&gt;0,1,0)</f>
        <v/>
      </c>
      <c r="V551" s="19">
        <f>V550+IF(LEN($AF$551)&gt;0,1,0)</f>
        <v/>
      </c>
      <c r="X551" s="19">
        <f>IF(ISERROR($B$551),"",IF(ISBLANK($B$551),"",$B$551))</f>
        <v/>
      </c>
      <c r="Y551" s="19">
        <f>IF(ISERROR($C$551),"",IF(ISBLANK($C$551),"",$C$551))</f>
        <v/>
      </c>
      <c r="Z551" s="19">
        <f>IF(ISERROR($D$551),"",IF(ISBLANK($D$551),"",$D$551))</f>
        <v/>
      </c>
      <c r="AA551" s="19">
        <f>IF(ISERROR($E$551),"",IF(ISBLANK($E$551),"",$E$551))</f>
        <v/>
      </c>
      <c r="AB551" s="19">
        <f>IF(ISERROR($F$551),"",IF(ISBLANK($F$551),"",$F$551))</f>
        <v/>
      </c>
      <c r="AC551" s="19">
        <f>IF(ISERROR($G$551),"",IF(ISBLANK($G$551),"",$G$551))</f>
        <v/>
      </c>
      <c r="AD551" s="19">
        <f>IF(ISERROR($H$551),"",IF(ISBLANK($H$551),"",$H$551))</f>
        <v/>
      </c>
      <c r="AE551" s="19">
        <f>IF(ISERROR($I$551),"",IF(ISBLANK($I$551),"",$I$551))</f>
        <v/>
      </c>
      <c r="AF551" s="19">
        <f>IF(ISERROR($J$551),"",IF(ISBLANK($J$551),"",$J$551))</f>
        <v/>
      </c>
      <c r="AG551" s="19">
        <f>ISERROR($B$551)*1+ISERROR($C$551)*1+ISERROR($D$551)*1+ISERROR($E$551)*1+ISERROR($F$551)*1+ISERROR($G$551)*1+ISERROR($H$551)*1+ISERROR($I$551)*1+ISERROR($J$551)*1</f>
        <v/>
      </c>
    </row>
    <row r="552" ht="26" customHeight="1">
      <c r="B552" s="30" t="n"/>
      <c r="C552" s="3" t="n"/>
      <c r="D552" s="3" t="n"/>
      <c r="E552" s="3" t="n"/>
      <c r="F552" s="3" t="n"/>
      <c r="G552" s="3" t="n"/>
      <c r="H552" s="3" t="n"/>
      <c r="I552" s="3" t="n"/>
      <c r="J552" s="3" t="n"/>
      <c r="K552" s="18">
        <f>IF(AG552&gt;0,"O Google leu como fórmula: digite de novo com ' na frente.","")</f>
        <v/>
      </c>
      <c r="N552" s="19">
        <f>N551+IF(LEN($X$552)&gt;0,1,0)</f>
        <v/>
      </c>
      <c r="P552" s="19">
        <f>P551+IF(LEN($Z$552)&gt;0,1,0)</f>
        <v/>
      </c>
      <c r="R552" s="19">
        <f>R551+IF(LEN($AB$552)&gt;0,1,0)</f>
        <v/>
      </c>
      <c r="S552" s="19">
        <f>S551+IF(LEN($AC$552)&gt;0,1,0)</f>
        <v/>
      </c>
      <c r="T552" s="19">
        <f>T551+IF(LEN($AD$552)&gt;0,1,0)</f>
        <v/>
      </c>
      <c r="U552" s="19">
        <f>U551+IF(LEN($AE$552)&gt;0,1,0)</f>
        <v/>
      </c>
      <c r="V552" s="19">
        <f>V551+IF(LEN($AF$552)&gt;0,1,0)</f>
        <v/>
      </c>
      <c r="X552" s="19">
        <f>IF(ISERROR($B$552),"",IF(ISBLANK($B$552),"",$B$552))</f>
        <v/>
      </c>
      <c r="Y552" s="19">
        <f>IF(ISERROR($C$552),"",IF(ISBLANK($C$552),"",$C$552))</f>
        <v/>
      </c>
      <c r="Z552" s="19">
        <f>IF(ISERROR($D$552),"",IF(ISBLANK($D$552),"",$D$552))</f>
        <v/>
      </c>
      <c r="AA552" s="19">
        <f>IF(ISERROR($E$552),"",IF(ISBLANK($E$552),"",$E$552))</f>
        <v/>
      </c>
      <c r="AB552" s="19">
        <f>IF(ISERROR($F$552),"",IF(ISBLANK($F$552),"",$F$552))</f>
        <v/>
      </c>
      <c r="AC552" s="19">
        <f>IF(ISERROR($G$552),"",IF(ISBLANK($G$552),"",$G$552))</f>
        <v/>
      </c>
      <c r="AD552" s="19">
        <f>IF(ISERROR($H$552),"",IF(ISBLANK($H$552),"",$H$552))</f>
        <v/>
      </c>
      <c r="AE552" s="19">
        <f>IF(ISERROR($I$552),"",IF(ISBLANK($I$552),"",$I$552))</f>
        <v/>
      </c>
      <c r="AF552" s="19">
        <f>IF(ISERROR($J$552),"",IF(ISBLANK($J$552),"",$J$552))</f>
        <v/>
      </c>
      <c r="AG552" s="19">
        <f>ISERROR($B$552)*1+ISERROR($C$552)*1+ISERROR($D$552)*1+ISERROR($E$552)*1+ISERROR($F$552)*1+ISERROR($G$552)*1+ISERROR($H$552)*1+ISERROR($I$552)*1+ISERROR($J$552)*1</f>
        <v/>
      </c>
    </row>
    <row r="553" ht="26" customHeight="1">
      <c r="B553" s="31" t="n"/>
      <c r="C553" s="28" t="n"/>
      <c r="D553" s="28" t="n"/>
      <c r="E553" s="28" t="n"/>
      <c r="F553" s="28" t="n"/>
      <c r="G553" s="28" t="n"/>
      <c r="H553" s="28" t="n"/>
      <c r="I553" s="28" t="n"/>
      <c r="J553" s="28" t="n"/>
      <c r="K553" s="18">
        <f>IF(AG553&gt;0,"O Google leu como fórmula: digite de novo com ' na frente.","")</f>
        <v/>
      </c>
      <c r="N553" s="19">
        <f>N552+IF(LEN($X$553)&gt;0,1,0)</f>
        <v/>
      </c>
      <c r="P553" s="19">
        <f>P552+IF(LEN($Z$553)&gt;0,1,0)</f>
        <v/>
      </c>
      <c r="R553" s="19">
        <f>R552+IF(LEN($AB$553)&gt;0,1,0)</f>
        <v/>
      </c>
      <c r="S553" s="19">
        <f>S552+IF(LEN($AC$553)&gt;0,1,0)</f>
        <v/>
      </c>
      <c r="T553" s="19">
        <f>T552+IF(LEN($AD$553)&gt;0,1,0)</f>
        <v/>
      </c>
      <c r="U553" s="19">
        <f>U552+IF(LEN($AE$553)&gt;0,1,0)</f>
        <v/>
      </c>
      <c r="V553" s="19">
        <f>V552+IF(LEN($AF$553)&gt;0,1,0)</f>
        <v/>
      </c>
      <c r="X553" s="19">
        <f>IF(ISERROR($B$553),"",IF(ISBLANK($B$553),"",$B$553))</f>
        <v/>
      </c>
      <c r="Y553" s="19">
        <f>IF(ISERROR($C$553),"",IF(ISBLANK($C$553),"",$C$553))</f>
        <v/>
      </c>
      <c r="Z553" s="19">
        <f>IF(ISERROR($D$553),"",IF(ISBLANK($D$553),"",$D$553))</f>
        <v/>
      </c>
      <c r="AA553" s="19">
        <f>IF(ISERROR($E$553),"",IF(ISBLANK($E$553),"",$E$553))</f>
        <v/>
      </c>
      <c r="AB553" s="19">
        <f>IF(ISERROR($F$553),"",IF(ISBLANK($F$553),"",$F$553))</f>
        <v/>
      </c>
      <c r="AC553" s="19">
        <f>IF(ISERROR($G$553),"",IF(ISBLANK($G$553),"",$G$553))</f>
        <v/>
      </c>
      <c r="AD553" s="19">
        <f>IF(ISERROR($H$553),"",IF(ISBLANK($H$553),"",$H$553))</f>
        <v/>
      </c>
      <c r="AE553" s="19">
        <f>IF(ISERROR($I$553),"",IF(ISBLANK($I$553),"",$I$553))</f>
        <v/>
      </c>
      <c r="AF553" s="19">
        <f>IF(ISERROR($J$553),"",IF(ISBLANK($J$553),"",$J$553))</f>
        <v/>
      </c>
      <c r="AG553" s="19">
        <f>ISERROR($B$553)*1+ISERROR($C$553)*1+ISERROR($D$553)*1+ISERROR($E$553)*1+ISERROR($F$553)*1+ISERROR($G$553)*1+ISERROR($H$553)*1+ISERROR($I$553)*1+ISERROR($J$553)*1</f>
        <v/>
      </c>
    </row>
    <row r="554" ht="26" customHeight="1">
      <c r="B554" s="30" t="n"/>
      <c r="C554" s="3" t="n"/>
      <c r="D554" s="3" t="n"/>
      <c r="E554" s="3" t="n"/>
      <c r="F554" s="3" t="n"/>
      <c r="G554" s="3" t="n"/>
      <c r="H554" s="3" t="n"/>
      <c r="I554" s="3" t="n"/>
      <c r="J554" s="3" t="n"/>
      <c r="K554" s="18">
        <f>IF(AG554&gt;0,"O Google leu como fórmula: digite de novo com ' na frente.","")</f>
        <v/>
      </c>
      <c r="N554" s="19">
        <f>N553+IF(LEN($X$554)&gt;0,1,0)</f>
        <v/>
      </c>
      <c r="P554" s="19">
        <f>P553+IF(LEN($Z$554)&gt;0,1,0)</f>
        <v/>
      </c>
      <c r="R554" s="19">
        <f>R553+IF(LEN($AB$554)&gt;0,1,0)</f>
        <v/>
      </c>
      <c r="S554" s="19">
        <f>S553+IF(LEN($AC$554)&gt;0,1,0)</f>
        <v/>
      </c>
      <c r="T554" s="19">
        <f>T553+IF(LEN($AD$554)&gt;0,1,0)</f>
        <v/>
      </c>
      <c r="U554" s="19">
        <f>U553+IF(LEN($AE$554)&gt;0,1,0)</f>
        <v/>
      </c>
      <c r="V554" s="19">
        <f>V553+IF(LEN($AF$554)&gt;0,1,0)</f>
        <v/>
      </c>
      <c r="X554" s="19">
        <f>IF(ISERROR($B$554),"",IF(ISBLANK($B$554),"",$B$554))</f>
        <v/>
      </c>
      <c r="Y554" s="19">
        <f>IF(ISERROR($C$554),"",IF(ISBLANK($C$554),"",$C$554))</f>
        <v/>
      </c>
      <c r="Z554" s="19">
        <f>IF(ISERROR($D$554),"",IF(ISBLANK($D$554),"",$D$554))</f>
        <v/>
      </c>
      <c r="AA554" s="19">
        <f>IF(ISERROR($E$554),"",IF(ISBLANK($E$554),"",$E$554))</f>
        <v/>
      </c>
      <c r="AB554" s="19">
        <f>IF(ISERROR($F$554),"",IF(ISBLANK($F$554),"",$F$554))</f>
        <v/>
      </c>
      <c r="AC554" s="19">
        <f>IF(ISERROR($G$554),"",IF(ISBLANK($G$554),"",$G$554))</f>
        <v/>
      </c>
      <c r="AD554" s="19">
        <f>IF(ISERROR($H$554),"",IF(ISBLANK($H$554),"",$H$554))</f>
        <v/>
      </c>
      <c r="AE554" s="19">
        <f>IF(ISERROR($I$554),"",IF(ISBLANK($I$554),"",$I$554))</f>
        <v/>
      </c>
      <c r="AF554" s="19">
        <f>IF(ISERROR($J$554),"",IF(ISBLANK($J$554),"",$J$554))</f>
        <v/>
      </c>
      <c r="AG554" s="19">
        <f>ISERROR($B$554)*1+ISERROR($C$554)*1+ISERROR($D$554)*1+ISERROR($E$554)*1+ISERROR($F$554)*1+ISERROR($G$554)*1+ISERROR($H$554)*1+ISERROR($I$554)*1+ISERROR($J$554)*1</f>
        <v/>
      </c>
    </row>
    <row r="555" ht="15" customHeight="1">
      <c r="B555" s="7" t="inlineStr">
        <is>
          <t>Caminho (motivação)</t>
        </is>
      </c>
      <c r="C555" s="7" t="inlineStr">
        <is>
          <t>Motivação por Caminho</t>
        </is>
      </c>
      <c r="D555" s="7" t="inlineStr">
        <is>
          <t>Tipo (objetivo)</t>
        </is>
      </c>
      <c r="E555" s="7" t="inlineStr">
        <is>
          <t>Objetivo por tipo</t>
        </is>
      </c>
      <c r="F555" s="7" t="inlineStr">
        <is>
          <t>Tipo de aventura</t>
        </is>
      </c>
      <c r="G555" s="7" t="inlineStr">
        <is>
          <t>Gancho de aventura</t>
        </is>
      </c>
      <c r="H555" s="7" t="inlineStr">
        <is>
          <t>Local (sabor)</t>
        </is>
      </c>
      <c r="I555" s="7" t="inlineStr">
        <is>
          <t>Complicação</t>
        </is>
      </c>
      <c r="J555" s="7" t="inlineStr">
        <is>
          <t>Reviravolta</t>
        </is>
      </c>
      <c r="N555" s="19">
        <f>N554</f>
        <v/>
      </c>
      <c r="P555" s="19">
        <f>P554</f>
        <v/>
      </c>
      <c r="R555" s="19">
        <f>R554</f>
        <v/>
      </c>
      <c r="S555" s="19">
        <f>S554</f>
        <v/>
      </c>
      <c r="T555" s="19">
        <f>T554</f>
        <v/>
      </c>
      <c r="U555" s="19">
        <f>U554</f>
        <v/>
      </c>
      <c r="V555" s="19">
        <f>V554</f>
        <v/>
      </c>
      <c r="X555" s="19">
        <f>IF(ISERROR($B$555),"",IF(ISBLANK($B$555),"",$B$555))</f>
        <v/>
      </c>
      <c r="Y555" s="19">
        <f>IF(ISERROR($C$555),"",IF(ISBLANK($C$555),"",$C$555))</f>
        <v/>
      </c>
      <c r="Z555" s="19">
        <f>IF(ISERROR($D$555),"",IF(ISBLANK($D$555),"",$D$555))</f>
        <v/>
      </c>
      <c r="AA555" s="19">
        <f>IF(ISERROR($E$555),"",IF(ISBLANK($E$555),"",$E$555))</f>
        <v/>
      </c>
      <c r="AB555" s="19">
        <f>IF(ISERROR($F$555),"",IF(ISBLANK($F$555),"",$F$555))</f>
        <v/>
      </c>
      <c r="AC555" s="19">
        <f>IF(ISERROR($G$555),"",IF(ISBLANK($G$555),"",$G$555))</f>
        <v/>
      </c>
      <c r="AD555" s="19">
        <f>IF(ISERROR($H$555),"",IF(ISBLANK($H$555),"",$H$555))</f>
        <v/>
      </c>
      <c r="AE555" s="19">
        <f>IF(ISERROR($I$555),"",IF(ISBLANK($I$555),"",$I$555))</f>
        <v/>
      </c>
      <c r="AF555" s="19">
        <f>IF(ISERROR($J$555),"",IF(ISBLANK($J$555),"",$J$555))</f>
        <v/>
      </c>
    </row>
    <row r="556" ht="26" customHeight="1">
      <c r="B556" s="30" t="n"/>
      <c r="C556" s="3" t="n"/>
      <c r="D556" s="3" t="n"/>
      <c r="E556" s="3" t="n"/>
      <c r="F556" s="3" t="n"/>
      <c r="G556" s="3" t="n"/>
      <c r="H556" s="3" t="n"/>
      <c r="I556" s="3" t="n"/>
      <c r="J556" s="3" t="n"/>
      <c r="K556" s="18">
        <f>IF(AG556&gt;0,"O Google leu como fórmula: digite de novo com ' na frente.","")</f>
        <v/>
      </c>
      <c r="N556" s="19">
        <f>N555+IF(LEN($X$556)&gt;0,1,0)</f>
        <v/>
      </c>
      <c r="P556" s="19">
        <f>P555+IF(LEN($Z$556)&gt;0,1,0)</f>
        <v/>
      </c>
      <c r="R556" s="19">
        <f>R555+IF(LEN($AB$556)&gt;0,1,0)</f>
        <v/>
      </c>
      <c r="S556" s="19">
        <f>S555+IF(LEN($AC$556)&gt;0,1,0)</f>
        <v/>
      </c>
      <c r="T556" s="19">
        <f>T555+IF(LEN($AD$556)&gt;0,1,0)</f>
        <v/>
      </c>
      <c r="U556" s="19">
        <f>U555+IF(LEN($AE$556)&gt;0,1,0)</f>
        <v/>
      </c>
      <c r="V556" s="19">
        <f>V555+IF(LEN($AF$556)&gt;0,1,0)</f>
        <v/>
      </c>
      <c r="X556" s="19">
        <f>IF(ISERROR($B$556),"",IF(ISBLANK($B$556),"",$B$556))</f>
        <v/>
      </c>
      <c r="Y556" s="19">
        <f>IF(ISERROR($C$556),"",IF(ISBLANK($C$556),"",$C$556))</f>
        <v/>
      </c>
      <c r="Z556" s="19">
        <f>IF(ISERROR($D$556),"",IF(ISBLANK($D$556),"",$D$556))</f>
        <v/>
      </c>
      <c r="AA556" s="19">
        <f>IF(ISERROR($E$556),"",IF(ISBLANK($E$556),"",$E$556))</f>
        <v/>
      </c>
      <c r="AB556" s="19">
        <f>IF(ISERROR($F$556),"",IF(ISBLANK($F$556),"",$F$556))</f>
        <v/>
      </c>
      <c r="AC556" s="19">
        <f>IF(ISERROR($G$556),"",IF(ISBLANK($G$556),"",$G$556))</f>
        <v/>
      </c>
      <c r="AD556" s="19">
        <f>IF(ISERROR($H$556),"",IF(ISBLANK($H$556),"",$H$556))</f>
        <v/>
      </c>
      <c r="AE556" s="19">
        <f>IF(ISERROR($I$556),"",IF(ISBLANK($I$556),"",$I$556))</f>
        <v/>
      </c>
      <c r="AF556" s="19">
        <f>IF(ISERROR($J$556),"",IF(ISBLANK($J$556),"",$J$556))</f>
        <v/>
      </c>
      <c r="AG556" s="19">
        <f>ISERROR($B$556)*1+ISERROR($C$556)*1+ISERROR($D$556)*1+ISERROR($E$556)*1+ISERROR($F$556)*1+ISERROR($G$556)*1+ISERROR($H$556)*1+ISERROR($I$556)*1+ISERROR($J$556)*1</f>
        <v/>
      </c>
    </row>
    <row r="557" ht="26" customHeight="1">
      <c r="B557" s="31" t="n"/>
      <c r="C557" s="28" t="n"/>
      <c r="D557" s="28" t="n"/>
      <c r="E557" s="28" t="n"/>
      <c r="F557" s="28" t="n"/>
      <c r="G557" s="28" t="n"/>
      <c r="H557" s="28" t="n"/>
      <c r="I557" s="28" t="n"/>
      <c r="J557" s="28" t="n"/>
      <c r="K557" s="18">
        <f>IF(AG557&gt;0,"O Google leu como fórmula: digite de novo com ' na frente.","")</f>
        <v/>
      </c>
      <c r="N557" s="19">
        <f>N556+IF(LEN($X$557)&gt;0,1,0)</f>
        <v/>
      </c>
      <c r="P557" s="19">
        <f>P556+IF(LEN($Z$557)&gt;0,1,0)</f>
        <v/>
      </c>
      <c r="R557" s="19">
        <f>R556+IF(LEN($AB$557)&gt;0,1,0)</f>
        <v/>
      </c>
      <c r="S557" s="19">
        <f>S556+IF(LEN($AC$557)&gt;0,1,0)</f>
        <v/>
      </c>
      <c r="T557" s="19">
        <f>T556+IF(LEN($AD$557)&gt;0,1,0)</f>
        <v/>
      </c>
      <c r="U557" s="19">
        <f>U556+IF(LEN($AE$557)&gt;0,1,0)</f>
        <v/>
      </c>
      <c r="V557" s="19">
        <f>V556+IF(LEN($AF$557)&gt;0,1,0)</f>
        <v/>
      </c>
      <c r="X557" s="19">
        <f>IF(ISERROR($B$557),"",IF(ISBLANK($B$557),"",$B$557))</f>
        <v/>
      </c>
      <c r="Y557" s="19">
        <f>IF(ISERROR($C$557),"",IF(ISBLANK($C$557),"",$C$557))</f>
        <v/>
      </c>
      <c r="Z557" s="19">
        <f>IF(ISERROR($D$557),"",IF(ISBLANK($D$557),"",$D$557))</f>
        <v/>
      </c>
      <c r="AA557" s="19">
        <f>IF(ISERROR($E$557),"",IF(ISBLANK($E$557),"",$E$557))</f>
        <v/>
      </c>
      <c r="AB557" s="19">
        <f>IF(ISERROR($F$557),"",IF(ISBLANK($F$557),"",$F$557))</f>
        <v/>
      </c>
      <c r="AC557" s="19">
        <f>IF(ISERROR($G$557),"",IF(ISBLANK($G$557),"",$G$557))</f>
        <v/>
      </c>
      <c r="AD557" s="19">
        <f>IF(ISERROR($H$557),"",IF(ISBLANK($H$557),"",$H$557))</f>
        <v/>
      </c>
      <c r="AE557" s="19">
        <f>IF(ISERROR($I$557),"",IF(ISBLANK($I$557),"",$I$557))</f>
        <v/>
      </c>
      <c r="AF557" s="19">
        <f>IF(ISERROR($J$557),"",IF(ISBLANK($J$557),"",$J$557))</f>
        <v/>
      </c>
      <c r="AG557" s="19">
        <f>ISERROR($B$557)*1+ISERROR($C$557)*1+ISERROR($D$557)*1+ISERROR($E$557)*1+ISERROR($F$557)*1+ISERROR($G$557)*1+ISERROR($H$557)*1+ISERROR($I$557)*1+ISERROR($J$557)*1</f>
        <v/>
      </c>
    </row>
    <row r="558" ht="26" customHeight="1">
      <c r="B558" s="30" t="n"/>
      <c r="C558" s="3" t="n"/>
      <c r="D558" s="3" t="n"/>
      <c r="E558" s="3" t="n"/>
      <c r="F558" s="3" t="n"/>
      <c r="G558" s="3" t="n"/>
      <c r="H558" s="3" t="n"/>
      <c r="I558" s="3" t="n"/>
      <c r="J558" s="3" t="n"/>
      <c r="K558" s="18">
        <f>IF(AG558&gt;0,"O Google leu como fórmula: digite de novo com ' na frente.","")</f>
        <v/>
      </c>
      <c r="N558" s="19">
        <f>N557+IF(LEN($X$558)&gt;0,1,0)</f>
        <v/>
      </c>
      <c r="P558" s="19">
        <f>P557+IF(LEN($Z$558)&gt;0,1,0)</f>
        <v/>
      </c>
      <c r="R558" s="19">
        <f>R557+IF(LEN($AB$558)&gt;0,1,0)</f>
        <v/>
      </c>
      <c r="S558" s="19">
        <f>S557+IF(LEN($AC$558)&gt;0,1,0)</f>
        <v/>
      </c>
      <c r="T558" s="19">
        <f>T557+IF(LEN($AD$558)&gt;0,1,0)</f>
        <v/>
      </c>
      <c r="U558" s="19">
        <f>U557+IF(LEN($AE$558)&gt;0,1,0)</f>
        <v/>
      </c>
      <c r="V558" s="19">
        <f>V557+IF(LEN($AF$558)&gt;0,1,0)</f>
        <v/>
      </c>
      <c r="X558" s="19">
        <f>IF(ISERROR($B$558),"",IF(ISBLANK($B$558),"",$B$558))</f>
        <v/>
      </c>
      <c r="Y558" s="19">
        <f>IF(ISERROR($C$558),"",IF(ISBLANK($C$558),"",$C$558))</f>
        <v/>
      </c>
      <c r="Z558" s="19">
        <f>IF(ISERROR($D$558),"",IF(ISBLANK($D$558),"",$D$558))</f>
        <v/>
      </c>
      <c r="AA558" s="19">
        <f>IF(ISERROR($E$558),"",IF(ISBLANK($E$558),"",$E$558))</f>
        <v/>
      </c>
      <c r="AB558" s="19">
        <f>IF(ISERROR($F$558),"",IF(ISBLANK($F$558),"",$F$558))</f>
        <v/>
      </c>
      <c r="AC558" s="19">
        <f>IF(ISERROR($G$558),"",IF(ISBLANK($G$558),"",$G$558))</f>
        <v/>
      </c>
      <c r="AD558" s="19">
        <f>IF(ISERROR($H$558),"",IF(ISBLANK($H$558),"",$H$558))</f>
        <v/>
      </c>
      <c r="AE558" s="19">
        <f>IF(ISERROR($I$558),"",IF(ISBLANK($I$558),"",$I$558))</f>
        <v/>
      </c>
      <c r="AF558" s="19">
        <f>IF(ISERROR($J$558),"",IF(ISBLANK($J$558),"",$J$558))</f>
        <v/>
      </c>
      <c r="AG558" s="19">
        <f>ISERROR($B$558)*1+ISERROR($C$558)*1+ISERROR($D$558)*1+ISERROR($E$558)*1+ISERROR($F$558)*1+ISERROR($G$558)*1+ISERROR($H$558)*1+ISERROR($I$558)*1+ISERROR($J$558)*1</f>
        <v/>
      </c>
    </row>
    <row r="559" ht="26" customHeight="1">
      <c r="B559" s="31" t="n"/>
      <c r="C559" s="28" t="n"/>
      <c r="D559" s="28" t="n"/>
      <c r="E559" s="28" t="n"/>
      <c r="F559" s="28" t="n"/>
      <c r="G559" s="28" t="n"/>
      <c r="H559" s="28" t="n"/>
      <c r="I559" s="28" t="n"/>
      <c r="J559" s="28" t="n"/>
      <c r="K559" s="18">
        <f>IF(AG559&gt;0,"O Google leu como fórmula: digite de novo com ' na frente.","")</f>
        <v/>
      </c>
      <c r="N559" s="19">
        <f>N558+IF(LEN($X$559)&gt;0,1,0)</f>
        <v/>
      </c>
      <c r="P559" s="19">
        <f>P558+IF(LEN($Z$559)&gt;0,1,0)</f>
        <v/>
      </c>
      <c r="R559" s="19">
        <f>R558+IF(LEN($AB$559)&gt;0,1,0)</f>
        <v/>
      </c>
      <c r="S559" s="19">
        <f>S558+IF(LEN($AC$559)&gt;0,1,0)</f>
        <v/>
      </c>
      <c r="T559" s="19">
        <f>T558+IF(LEN($AD$559)&gt;0,1,0)</f>
        <v/>
      </c>
      <c r="U559" s="19">
        <f>U558+IF(LEN($AE$559)&gt;0,1,0)</f>
        <v/>
      </c>
      <c r="V559" s="19">
        <f>V558+IF(LEN($AF$559)&gt;0,1,0)</f>
        <v/>
      </c>
      <c r="X559" s="19">
        <f>IF(ISERROR($B$559),"",IF(ISBLANK($B$559),"",$B$559))</f>
        <v/>
      </c>
      <c r="Y559" s="19">
        <f>IF(ISERROR($C$559),"",IF(ISBLANK($C$559),"",$C$559))</f>
        <v/>
      </c>
      <c r="Z559" s="19">
        <f>IF(ISERROR($D$559),"",IF(ISBLANK($D$559),"",$D$559))</f>
        <v/>
      </c>
      <c r="AA559" s="19">
        <f>IF(ISERROR($E$559),"",IF(ISBLANK($E$559),"",$E$559))</f>
        <v/>
      </c>
      <c r="AB559" s="19">
        <f>IF(ISERROR($F$559),"",IF(ISBLANK($F$559),"",$F$559))</f>
        <v/>
      </c>
      <c r="AC559" s="19">
        <f>IF(ISERROR($G$559),"",IF(ISBLANK($G$559),"",$G$559))</f>
        <v/>
      </c>
      <c r="AD559" s="19">
        <f>IF(ISERROR($H$559),"",IF(ISBLANK($H$559),"",$H$559))</f>
        <v/>
      </c>
      <c r="AE559" s="19">
        <f>IF(ISERROR($I$559),"",IF(ISBLANK($I$559),"",$I$559))</f>
        <v/>
      </c>
      <c r="AF559" s="19">
        <f>IF(ISERROR($J$559),"",IF(ISBLANK($J$559),"",$J$559))</f>
        <v/>
      </c>
      <c r="AG559" s="19">
        <f>ISERROR($B$559)*1+ISERROR($C$559)*1+ISERROR($D$559)*1+ISERROR($E$559)*1+ISERROR($F$559)*1+ISERROR($G$559)*1+ISERROR($H$559)*1+ISERROR($I$559)*1+ISERROR($J$559)*1</f>
        <v/>
      </c>
    </row>
    <row r="560" ht="26" customHeight="1">
      <c r="B560" s="30" t="n"/>
      <c r="C560" s="3" t="n"/>
      <c r="D560" s="3" t="n"/>
      <c r="E560" s="3" t="n"/>
      <c r="F560" s="3" t="n"/>
      <c r="G560" s="3" t="n"/>
      <c r="H560" s="3" t="n"/>
      <c r="I560" s="3" t="n"/>
      <c r="J560" s="3" t="n"/>
      <c r="K560" s="18">
        <f>IF(AG560&gt;0,"O Google leu como fórmula: digite de novo com ' na frente.","")</f>
        <v/>
      </c>
      <c r="N560" s="19">
        <f>N559+IF(LEN($X$560)&gt;0,1,0)</f>
        <v/>
      </c>
      <c r="P560" s="19">
        <f>P559+IF(LEN($Z$560)&gt;0,1,0)</f>
        <v/>
      </c>
      <c r="R560" s="19">
        <f>R559+IF(LEN($AB$560)&gt;0,1,0)</f>
        <v/>
      </c>
      <c r="S560" s="19">
        <f>S559+IF(LEN($AC$560)&gt;0,1,0)</f>
        <v/>
      </c>
      <c r="T560" s="19">
        <f>T559+IF(LEN($AD$560)&gt;0,1,0)</f>
        <v/>
      </c>
      <c r="U560" s="19">
        <f>U559+IF(LEN($AE$560)&gt;0,1,0)</f>
        <v/>
      </c>
      <c r="V560" s="19">
        <f>V559+IF(LEN($AF$560)&gt;0,1,0)</f>
        <v/>
      </c>
      <c r="X560" s="19">
        <f>IF(ISERROR($B$560),"",IF(ISBLANK($B$560),"",$B$560))</f>
        <v/>
      </c>
      <c r="Y560" s="19">
        <f>IF(ISERROR($C$560),"",IF(ISBLANK($C$560),"",$C$560))</f>
        <v/>
      </c>
      <c r="Z560" s="19">
        <f>IF(ISERROR($D$560),"",IF(ISBLANK($D$560),"",$D$560))</f>
        <v/>
      </c>
      <c r="AA560" s="19">
        <f>IF(ISERROR($E$560),"",IF(ISBLANK($E$560),"",$E$560))</f>
        <v/>
      </c>
      <c r="AB560" s="19">
        <f>IF(ISERROR($F$560),"",IF(ISBLANK($F$560),"",$F$560))</f>
        <v/>
      </c>
      <c r="AC560" s="19">
        <f>IF(ISERROR($G$560),"",IF(ISBLANK($G$560),"",$G$560))</f>
        <v/>
      </c>
      <c r="AD560" s="19">
        <f>IF(ISERROR($H$560),"",IF(ISBLANK($H$560),"",$H$560))</f>
        <v/>
      </c>
      <c r="AE560" s="19">
        <f>IF(ISERROR($I$560),"",IF(ISBLANK($I$560),"",$I$560))</f>
        <v/>
      </c>
      <c r="AF560" s="19">
        <f>IF(ISERROR($J$560),"",IF(ISBLANK($J$560),"",$J$560))</f>
        <v/>
      </c>
      <c r="AG560" s="19">
        <f>ISERROR($B$560)*1+ISERROR($C$560)*1+ISERROR($D$560)*1+ISERROR($E$560)*1+ISERROR($F$560)*1+ISERROR($G$560)*1+ISERROR($H$560)*1+ISERROR($I$560)*1+ISERROR($J$560)*1</f>
        <v/>
      </c>
    </row>
    <row r="561" ht="26" customHeight="1">
      <c r="B561" s="31" t="n"/>
      <c r="C561" s="28" t="n"/>
      <c r="D561" s="28" t="n"/>
      <c r="E561" s="28" t="n"/>
      <c r="F561" s="28" t="n"/>
      <c r="G561" s="28" t="n"/>
      <c r="H561" s="28" t="n"/>
      <c r="I561" s="28" t="n"/>
      <c r="J561" s="28" t="n"/>
      <c r="K561" s="18">
        <f>IF(AG561&gt;0,"O Google leu como fórmula: digite de novo com ' na frente.","")</f>
        <v/>
      </c>
      <c r="N561" s="19">
        <f>N560+IF(LEN($X$561)&gt;0,1,0)</f>
        <v/>
      </c>
      <c r="P561" s="19">
        <f>P560+IF(LEN($Z$561)&gt;0,1,0)</f>
        <v/>
      </c>
      <c r="R561" s="19">
        <f>R560+IF(LEN($AB$561)&gt;0,1,0)</f>
        <v/>
      </c>
      <c r="S561" s="19">
        <f>S560+IF(LEN($AC$561)&gt;0,1,0)</f>
        <v/>
      </c>
      <c r="T561" s="19">
        <f>T560+IF(LEN($AD$561)&gt;0,1,0)</f>
        <v/>
      </c>
      <c r="U561" s="19">
        <f>U560+IF(LEN($AE$561)&gt;0,1,0)</f>
        <v/>
      </c>
      <c r="V561" s="19">
        <f>V560+IF(LEN($AF$561)&gt;0,1,0)</f>
        <v/>
      </c>
      <c r="X561" s="19">
        <f>IF(ISERROR($B$561),"",IF(ISBLANK($B$561),"",$B$561))</f>
        <v/>
      </c>
      <c r="Y561" s="19">
        <f>IF(ISERROR($C$561),"",IF(ISBLANK($C$561),"",$C$561))</f>
        <v/>
      </c>
      <c r="Z561" s="19">
        <f>IF(ISERROR($D$561),"",IF(ISBLANK($D$561),"",$D$561))</f>
        <v/>
      </c>
      <c r="AA561" s="19">
        <f>IF(ISERROR($E$561),"",IF(ISBLANK($E$561),"",$E$561))</f>
        <v/>
      </c>
      <c r="AB561" s="19">
        <f>IF(ISERROR($F$561),"",IF(ISBLANK($F$561),"",$F$561))</f>
        <v/>
      </c>
      <c r="AC561" s="19">
        <f>IF(ISERROR($G$561),"",IF(ISBLANK($G$561),"",$G$561))</f>
        <v/>
      </c>
      <c r="AD561" s="19">
        <f>IF(ISERROR($H$561),"",IF(ISBLANK($H$561),"",$H$561))</f>
        <v/>
      </c>
      <c r="AE561" s="19">
        <f>IF(ISERROR($I$561),"",IF(ISBLANK($I$561),"",$I$561))</f>
        <v/>
      </c>
      <c r="AF561" s="19">
        <f>IF(ISERROR($J$561),"",IF(ISBLANK($J$561),"",$J$561))</f>
        <v/>
      </c>
      <c r="AG561" s="19">
        <f>ISERROR($B$561)*1+ISERROR($C$561)*1+ISERROR($D$561)*1+ISERROR($E$561)*1+ISERROR($F$561)*1+ISERROR($G$561)*1+ISERROR($H$561)*1+ISERROR($I$561)*1+ISERROR($J$561)*1</f>
        <v/>
      </c>
    </row>
    <row r="562" ht="26" customHeight="1">
      <c r="B562" s="30" t="n"/>
      <c r="C562" s="3" t="n"/>
      <c r="D562" s="3" t="n"/>
      <c r="E562" s="3" t="n"/>
      <c r="F562" s="3" t="n"/>
      <c r="G562" s="3" t="n"/>
      <c r="H562" s="3" t="n"/>
      <c r="I562" s="3" t="n"/>
      <c r="J562" s="3" t="n"/>
      <c r="K562" s="18">
        <f>IF(AG562&gt;0,"O Google leu como fórmula: digite de novo com ' na frente.","")</f>
        <v/>
      </c>
      <c r="N562" s="19">
        <f>N561+IF(LEN($X$562)&gt;0,1,0)</f>
        <v/>
      </c>
      <c r="P562" s="19">
        <f>P561+IF(LEN($Z$562)&gt;0,1,0)</f>
        <v/>
      </c>
      <c r="R562" s="19">
        <f>R561+IF(LEN($AB$562)&gt;0,1,0)</f>
        <v/>
      </c>
      <c r="S562" s="19">
        <f>S561+IF(LEN($AC$562)&gt;0,1,0)</f>
        <v/>
      </c>
      <c r="T562" s="19">
        <f>T561+IF(LEN($AD$562)&gt;0,1,0)</f>
        <v/>
      </c>
      <c r="U562" s="19">
        <f>U561+IF(LEN($AE$562)&gt;0,1,0)</f>
        <v/>
      </c>
      <c r="V562" s="19">
        <f>V561+IF(LEN($AF$562)&gt;0,1,0)</f>
        <v/>
      </c>
      <c r="X562" s="19">
        <f>IF(ISERROR($B$562),"",IF(ISBLANK($B$562),"",$B$562))</f>
        <v/>
      </c>
      <c r="Y562" s="19">
        <f>IF(ISERROR($C$562),"",IF(ISBLANK($C$562),"",$C$562))</f>
        <v/>
      </c>
      <c r="Z562" s="19">
        <f>IF(ISERROR($D$562),"",IF(ISBLANK($D$562),"",$D$562))</f>
        <v/>
      </c>
      <c r="AA562" s="19">
        <f>IF(ISERROR($E$562),"",IF(ISBLANK($E$562),"",$E$562))</f>
        <v/>
      </c>
      <c r="AB562" s="19">
        <f>IF(ISERROR($F$562),"",IF(ISBLANK($F$562),"",$F$562))</f>
        <v/>
      </c>
      <c r="AC562" s="19">
        <f>IF(ISERROR($G$562),"",IF(ISBLANK($G$562),"",$G$562))</f>
        <v/>
      </c>
      <c r="AD562" s="19">
        <f>IF(ISERROR($H$562),"",IF(ISBLANK($H$562),"",$H$562))</f>
        <v/>
      </c>
      <c r="AE562" s="19">
        <f>IF(ISERROR($I$562),"",IF(ISBLANK($I$562),"",$I$562))</f>
        <v/>
      </c>
      <c r="AF562" s="19">
        <f>IF(ISERROR($J$562),"",IF(ISBLANK($J$562),"",$J$562))</f>
        <v/>
      </c>
      <c r="AG562" s="19">
        <f>ISERROR($B$562)*1+ISERROR($C$562)*1+ISERROR($D$562)*1+ISERROR($E$562)*1+ISERROR($F$562)*1+ISERROR($G$562)*1+ISERROR($H$562)*1+ISERROR($I$562)*1+ISERROR($J$562)*1</f>
        <v/>
      </c>
    </row>
    <row r="563" ht="26" customHeight="1">
      <c r="B563" s="31" t="n"/>
      <c r="C563" s="28" t="n"/>
      <c r="D563" s="28" t="n"/>
      <c r="E563" s="28" t="n"/>
      <c r="F563" s="28" t="n"/>
      <c r="G563" s="28" t="n"/>
      <c r="H563" s="28" t="n"/>
      <c r="I563" s="28" t="n"/>
      <c r="J563" s="28" t="n"/>
      <c r="K563" s="18">
        <f>IF(AG563&gt;0,"O Google leu como fórmula: digite de novo com ' na frente.","")</f>
        <v/>
      </c>
      <c r="N563" s="19">
        <f>N562+IF(LEN($X$563)&gt;0,1,0)</f>
        <v/>
      </c>
      <c r="P563" s="19">
        <f>P562+IF(LEN($Z$563)&gt;0,1,0)</f>
        <v/>
      </c>
      <c r="R563" s="19">
        <f>R562+IF(LEN($AB$563)&gt;0,1,0)</f>
        <v/>
      </c>
      <c r="S563" s="19">
        <f>S562+IF(LEN($AC$563)&gt;0,1,0)</f>
        <v/>
      </c>
      <c r="T563" s="19">
        <f>T562+IF(LEN($AD$563)&gt;0,1,0)</f>
        <v/>
      </c>
      <c r="U563" s="19">
        <f>U562+IF(LEN($AE$563)&gt;0,1,0)</f>
        <v/>
      </c>
      <c r="V563" s="19">
        <f>V562+IF(LEN($AF$563)&gt;0,1,0)</f>
        <v/>
      </c>
      <c r="X563" s="19">
        <f>IF(ISERROR($B$563),"",IF(ISBLANK($B$563),"",$B$563))</f>
        <v/>
      </c>
      <c r="Y563" s="19">
        <f>IF(ISERROR($C$563),"",IF(ISBLANK($C$563),"",$C$563))</f>
        <v/>
      </c>
      <c r="Z563" s="19">
        <f>IF(ISERROR($D$563),"",IF(ISBLANK($D$563),"",$D$563))</f>
        <v/>
      </c>
      <c r="AA563" s="19">
        <f>IF(ISERROR($E$563),"",IF(ISBLANK($E$563),"",$E$563))</f>
        <v/>
      </c>
      <c r="AB563" s="19">
        <f>IF(ISERROR($F$563),"",IF(ISBLANK($F$563),"",$F$563))</f>
        <v/>
      </c>
      <c r="AC563" s="19">
        <f>IF(ISERROR($G$563),"",IF(ISBLANK($G$563),"",$G$563))</f>
        <v/>
      </c>
      <c r="AD563" s="19">
        <f>IF(ISERROR($H$563),"",IF(ISBLANK($H$563),"",$H$563))</f>
        <v/>
      </c>
      <c r="AE563" s="19">
        <f>IF(ISERROR($I$563),"",IF(ISBLANK($I$563),"",$I$563))</f>
        <v/>
      </c>
      <c r="AF563" s="19">
        <f>IF(ISERROR($J$563),"",IF(ISBLANK($J$563),"",$J$563))</f>
        <v/>
      </c>
      <c r="AG563" s="19">
        <f>ISERROR($B$563)*1+ISERROR($C$563)*1+ISERROR($D$563)*1+ISERROR($E$563)*1+ISERROR($F$563)*1+ISERROR($G$563)*1+ISERROR($H$563)*1+ISERROR($I$563)*1+ISERROR($J$563)*1</f>
        <v/>
      </c>
    </row>
    <row r="564" ht="26" customHeight="1">
      <c r="B564" s="30" t="n"/>
      <c r="C564" s="3" t="n"/>
      <c r="D564" s="3" t="n"/>
      <c r="E564" s="3" t="n"/>
      <c r="F564" s="3" t="n"/>
      <c r="G564" s="3" t="n"/>
      <c r="H564" s="3" t="n"/>
      <c r="I564" s="3" t="n"/>
      <c r="J564" s="3" t="n"/>
      <c r="K564" s="18">
        <f>IF(AG564&gt;0,"O Google leu como fórmula: digite de novo com ' na frente.","")</f>
        <v/>
      </c>
      <c r="N564" s="19">
        <f>N563+IF(LEN($X$564)&gt;0,1,0)</f>
        <v/>
      </c>
      <c r="P564" s="19">
        <f>P563+IF(LEN($Z$564)&gt;0,1,0)</f>
        <v/>
      </c>
      <c r="R564" s="19">
        <f>R563+IF(LEN($AB$564)&gt;0,1,0)</f>
        <v/>
      </c>
      <c r="S564" s="19">
        <f>S563+IF(LEN($AC$564)&gt;0,1,0)</f>
        <v/>
      </c>
      <c r="T564" s="19">
        <f>T563+IF(LEN($AD$564)&gt;0,1,0)</f>
        <v/>
      </c>
      <c r="U564" s="19">
        <f>U563+IF(LEN($AE$564)&gt;0,1,0)</f>
        <v/>
      </c>
      <c r="V564" s="19">
        <f>V563+IF(LEN($AF$564)&gt;0,1,0)</f>
        <v/>
      </c>
      <c r="X564" s="19">
        <f>IF(ISERROR($B$564),"",IF(ISBLANK($B$564),"",$B$564))</f>
        <v/>
      </c>
      <c r="Y564" s="19">
        <f>IF(ISERROR($C$564),"",IF(ISBLANK($C$564),"",$C$564))</f>
        <v/>
      </c>
      <c r="Z564" s="19">
        <f>IF(ISERROR($D$564),"",IF(ISBLANK($D$564),"",$D$564))</f>
        <v/>
      </c>
      <c r="AA564" s="19">
        <f>IF(ISERROR($E$564),"",IF(ISBLANK($E$564),"",$E$564))</f>
        <v/>
      </c>
      <c r="AB564" s="19">
        <f>IF(ISERROR($F$564),"",IF(ISBLANK($F$564),"",$F$564))</f>
        <v/>
      </c>
      <c r="AC564" s="19">
        <f>IF(ISERROR($G$564),"",IF(ISBLANK($G$564),"",$G$564))</f>
        <v/>
      </c>
      <c r="AD564" s="19">
        <f>IF(ISERROR($H$564),"",IF(ISBLANK($H$564),"",$H$564))</f>
        <v/>
      </c>
      <c r="AE564" s="19">
        <f>IF(ISERROR($I$564),"",IF(ISBLANK($I$564),"",$I$564))</f>
        <v/>
      </c>
      <c r="AF564" s="19">
        <f>IF(ISERROR($J$564),"",IF(ISBLANK($J$564),"",$J$564))</f>
        <v/>
      </c>
      <c r="AG564" s="19">
        <f>ISERROR($B$564)*1+ISERROR($C$564)*1+ISERROR($D$564)*1+ISERROR($E$564)*1+ISERROR($F$564)*1+ISERROR($G$564)*1+ISERROR($H$564)*1+ISERROR($I$564)*1+ISERROR($J$564)*1</f>
        <v/>
      </c>
    </row>
    <row r="565" ht="26" customHeight="1">
      <c r="B565" s="31" t="n"/>
      <c r="C565" s="28" t="n"/>
      <c r="D565" s="28" t="n"/>
      <c r="E565" s="28" t="n"/>
      <c r="F565" s="28" t="n"/>
      <c r="G565" s="28" t="n"/>
      <c r="H565" s="28" t="n"/>
      <c r="I565" s="28" t="n"/>
      <c r="J565" s="28" t="n"/>
      <c r="K565" s="18">
        <f>IF(AG565&gt;0,"O Google leu como fórmula: digite de novo com ' na frente.","")</f>
        <v/>
      </c>
      <c r="N565" s="19">
        <f>N564+IF(LEN($X$565)&gt;0,1,0)</f>
        <v/>
      </c>
      <c r="P565" s="19">
        <f>P564+IF(LEN($Z$565)&gt;0,1,0)</f>
        <v/>
      </c>
      <c r="R565" s="19">
        <f>R564+IF(LEN($AB$565)&gt;0,1,0)</f>
        <v/>
      </c>
      <c r="S565" s="19">
        <f>S564+IF(LEN($AC$565)&gt;0,1,0)</f>
        <v/>
      </c>
      <c r="T565" s="19">
        <f>T564+IF(LEN($AD$565)&gt;0,1,0)</f>
        <v/>
      </c>
      <c r="U565" s="19">
        <f>U564+IF(LEN($AE$565)&gt;0,1,0)</f>
        <v/>
      </c>
      <c r="V565" s="19">
        <f>V564+IF(LEN($AF$565)&gt;0,1,0)</f>
        <v/>
      </c>
      <c r="X565" s="19">
        <f>IF(ISERROR($B$565),"",IF(ISBLANK($B$565),"",$B$565))</f>
        <v/>
      </c>
      <c r="Y565" s="19">
        <f>IF(ISERROR($C$565),"",IF(ISBLANK($C$565),"",$C$565))</f>
        <v/>
      </c>
      <c r="Z565" s="19">
        <f>IF(ISERROR($D$565),"",IF(ISBLANK($D$565),"",$D$565))</f>
        <v/>
      </c>
      <c r="AA565" s="19">
        <f>IF(ISERROR($E$565),"",IF(ISBLANK($E$565),"",$E$565))</f>
        <v/>
      </c>
      <c r="AB565" s="19">
        <f>IF(ISERROR($F$565),"",IF(ISBLANK($F$565),"",$F$565))</f>
        <v/>
      </c>
      <c r="AC565" s="19">
        <f>IF(ISERROR($G$565),"",IF(ISBLANK($G$565),"",$G$565))</f>
        <v/>
      </c>
      <c r="AD565" s="19">
        <f>IF(ISERROR($H$565),"",IF(ISBLANK($H$565),"",$H$565))</f>
        <v/>
      </c>
      <c r="AE565" s="19">
        <f>IF(ISERROR($I$565),"",IF(ISBLANK($I$565),"",$I$565))</f>
        <v/>
      </c>
      <c r="AF565" s="19">
        <f>IF(ISERROR($J$565),"",IF(ISBLANK($J$565),"",$J$565))</f>
        <v/>
      </c>
      <c r="AG565" s="19">
        <f>ISERROR($B$565)*1+ISERROR($C$565)*1+ISERROR($D$565)*1+ISERROR($E$565)*1+ISERROR($F$565)*1+ISERROR($G$565)*1+ISERROR($H$565)*1+ISERROR($I$565)*1+ISERROR($J$565)*1</f>
        <v/>
      </c>
    </row>
    <row r="566" ht="26" customHeight="1">
      <c r="B566" s="30" t="n"/>
      <c r="C566" s="3" t="n"/>
      <c r="D566" s="3" t="n"/>
      <c r="E566" s="3" t="n"/>
      <c r="F566" s="3" t="n"/>
      <c r="G566" s="3" t="n"/>
      <c r="H566" s="3" t="n"/>
      <c r="I566" s="3" t="n"/>
      <c r="J566" s="3" t="n"/>
      <c r="K566" s="18">
        <f>IF(AG566&gt;0,"O Google leu como fórmula: digite de novo com ' na frente.","")</f>
        <v/>
      </c>
      <c r="N566" s="19">
        <f>N565+IF(LEN($X$566)&gt;0,1,0)</f>
        <v/>
      </c>
      <c r="P566" s="19">
        <f>P565+IF(LEN($Z$566)&gt;0,1,0)</f>
        <v/>
      </c>
      <c r="R566" s="19">
        <f>R565+IF(LEN($AB$566)&gt;0,1,0)</f>
        <v/>
      </c>
      <c r="S566" s="19">
        <f>S565+IF(LEN($AC$566)&gt;0,1,0)</f>
        <v/>
      </c>
      <c r="T566" s="19">
        <f>T565+IF(LEN($AD$566)&gt;0,1,0)</f>
        <v/>
      </c>
      <c r="U566" s="19">
        <f>U565+IF(LEN($AE$566)&gt;0,1,0)</f>
        <v/>
      </c>
      <c r="V566" s="19">
        <f>V565+IF(LEN($AF$566)&gt;0,1,0)</f>
        <v/>
      </c>
      <c r="X566" s="19">
        <f>IF(ISERROR($B$566),"",IF(ISBLANK($B$566),"",$B$566))</f>
        <v/>
      </c>
      <c r="Y566" s="19">
        <f>IF(ISERROR($C$566),"",IF(ISBLANK($C$566),"",$C$566))</f>
        <v/>
      </c>
      <c r="Z566" s="19">
        <f>IF(ISERROR($D$566),"",IF(ISBLANK($D$566),"",$D$566))</f>
        <v/>
      </c>
      <c r="AA566" s="19">
        <f>IF(ISERROR($E$566),"",IF(ISBLANK($E$566),"",$E$566))</f>
        <v/>
      </c>
      <c r="AB566" s="19">
        <f>IF(ISERROR($F$566),"",IF(ISBLANK($F$566),"",$F$566))</f>
        <v/>
      </c>
      <c r="AC566" s="19">
        <f>IF(ISERROR($G$566),"",IF(ISBLANK($G$566),"",$G$566))</f>
        <v/>
      </c>
      <c r="AD566" s="19">
        <f>IF(ISERROR($H$566),"",IF(ISBLANK($H$566),"",$H$566))</f>
        <v/>
      </c>
      <c r="AE566" s="19">
        <f>IF(ISERROR($I$566),"",IF(ISBLANK($I$566),"",$I$566))</f>
        <v/>
      </c>
      <c r="AF566" s="19">
        <f>IF(ISERROR($J$566),"",IF(ISBLANK($J$566),"",$J$566))</f>
        <v/>
      </c>
      <c r="AG566" s="19">
        <f>ISERROR($B$566)*1+ISERROR($C$566)*1+ISERROR($D$566)*1+ISERROR($E$566)*1+ISERROR($F$566)*1+ISERROR($G$566)*1+ISERROR($H$566)*1+ISERROR($I$566)*1+ISERROR($J$566)*1</f>
        <v/>
      </c>
    </row>
    <row r="567" ht="26" customHeight="1">
      <c r="B567" s="31" t="n"/>
      <c r="C567" s="28" t="n"/>
      <c r="D567" s="28" t="n"/>
      <c r="E567" s="28" t="n"/>
      <c r="F567" s="28" t="n"/>
      <c r="G567" s="28" t="n"/>
      <c r="H567" s="28" t="n"/>
      <c r="I567" s="28" t="n"/>
      <c r="J567" s="28" t="n"/>
      <c r="K567" s="18">
        <f>IF(AG567&gt;0,"O Google leu como fórmula: digite de novo com ' na frente.","")</f>
        <v/>
      </c>
      <c r="N567" s="19">
        <f>N566+IF(LEN($X$567)&gt;0,1,0)</f>
        <v/>
      </c>
      <c r="P567" s="19">
        <f>P566+IF(LEN($Z$567)&gt;0,1,0)</f>
        <v/>
      </c>
      <c r="R567" s="19">
        <f>R566+IF(LEN($AB$567)&gt;0,1,0)</f>
        <v/>
      </c>
      <c r="S567" s="19">
        <f>S566+IF(LEN($AC$567)&gt;0,1,0)</f>
        <v/>
      </c>
      <c r="T567" s="19">
        <f>T566+IF(LEN($AD$567)&gt;0,1,0)</f>
        <v/>
      </c>
      <c r="U567" s="19">
        <f>U566+IF(LEN($AE$567)&gt;0,1,0)</f>
        <v/>
      </c>
      <c r="V567" s="19">
        <f>V566+IF(LEN($AF$567)&gt;0,1,0)</f>
        <v/>
      </c>
      <c r="X567" s="19">
        <f>IF(ISERROR($B$567),"",IF(ISBLANK($B$567),"",$B$567))</f>
        <v/>
      </c>
      <c r="Y567" s="19">
        <f>IF(ISERROR($C$567),"",IF(ISBLANK($C$567),"",$C$567))</f>
        <v/>
      </c>
      <c r="Z567" s="19">
        <f>IF(ISERROR($D$567),"",IF(ISBLANK($D$567),"",$D$567))</f>
        <v/>
      </c>
      <c r="AA567" s="19">
        <f>IF(ISERROR($E$567),"",IF(ISBLANK($E$567),"",$E$567))</f>
        <v/>
      </c>
      <c r="AB567" s="19">
        <f>IF(ISERROR($F$567),"",IF(ISBLANK($F$567),"",$F$567))</f>
        <v/>
      </c>
      <c r="AC567" s="19">
        <f>IF(ISERROR($G$567),"",IF(ISBLANK($G$567),"",$G$567))</f>
        <v/>
      </c>
      <c r="AD567" s="19">
        <f>IF(ISERROR($H$567),"",IF(ISBLANK($H$567),"",$H$567))</f>
        <v/>
      </c>
      <c r="AE567" s="19">
        <f>IF(ISERROR($I$567),"",IF(ISBLANK($I$567),"",$I$567))</f>
        <v/>
      </c>
      <c r="AF567" s="19">
        <f>IF(ISERROR($J$567),"",IF(ISBLANK($J$567),"",$J$567))</f>
        <v/>
      </c>
      <c r="AG567" s="19">
        <f>ISERROR($B$567)*1+ISERROR($C$567)*1+ISERROR($D$567)*1+ISERROR($E$567)*1+ISERROR($F$567)*1+ISERROR($G$567)*1+ISERROR($H$567)*1+ISERROR($I$567)*1+ISERROR($J$567)*1</f>
        <v/>
      </c>
    </row>
    <row r="568" ht="26" customHeight="1">
      <c r="B568" s="30" t="n"/>
      <c r="C568" s="3" t="n"/>
      <c r="D568" s="3" t="n"/>
      <c r="E568" s="3" t="n"/>
      <c r="F568" s="3" t="n"/>
      <c r="G568" s="3" t="n"/>
      <c r="H568" s="3" t="n"/>
      <c r="I568" s="3" t="n"/>
      <c r="J568" s="3" t="n"/>
      <c r="K568" s="18">
        <f>IF(AG568&gt;0,"O Google leu como fórmula: digite de novo com ' na frente.","")</f>
        <v/>
      </c>
      <c r="N568" s="19">
        <f>N567+IF(LEN($X$568)&gt;0,1,0)</f>
        <v/>
      </c>
      <c r="P568" s="19">
        <f>P567+IF(LEN($Z$568)&gt;0,1,0)</f>
        <v/>
      </c>
      <c r="R568" s="19">
        <f>R567+IF(LEN($AB$568)&gt;0,1,0)</f>
        <v/>
      </c>
      <c r="S568" s="19">
        <f>S567+IF(LEN($AC$568)&gt;0,1,0)</f>
        <v/>
      </c>
      <c r="T568" s="19">
        <f>T567+IF(LEN($AD$568)&gt;0,1,0)</f>
        <v/>
      </c>
      <c r="U568" s="19">
        <f>U567+IF(LEN($AE$568)&gt;0,1,0)</f>
        <v/>
      </c>
      <c r="V568" s="19">
        <f>V567+IF(LEN($AF$568)&gt;0,1,0)</f>
        <v/>
      </c>
      <c r="X568" s="19">
        <f>IF(ISERROR($B$568),"",IF(ISBLANK($B$568),"",$B$568))</f>
        <v/>
      </c>
      <c r="Y568" s="19">
        <f>IF(ISERROR($C$568),"",IF(ISBLANK($C$568),"",$C$568))</f>
        <v/>
      </c>
      <c r="Z568" s="19">
        <f>IF(ISERROR($D$568),"",IF(ISBLANK($D$568),"",$D$568))</f>
        <v/>
      </c>
      <c r="AA568" s="19">
        <f>IF(ISERROR($E$568),"",IF(ISBLANK($E$568),"",$E$568))</f>
        <v/>
      </c>
      <c r="AB568" s="19">
        <f>IF(ISERROR($F$568),"",IF(ISBLANK($F$568),"",$F$568))</f>
        <v/>
      </c>
      <c r="AC568" s="19">
        <f>IF(ISERROR($G$568),"",IF(ISBLANK($G$568),"",$G$568))</f>
        <v/>
      </c>
      <c r="AD568" s="19">
        <f>IF(ISERROR($H$568),"",IF(ISBLANK($H$568),"",$H$568))</f>
        <v/>
      </c>
      <c r="AE568" s="19">
        <f>IF(ISERROR($I$568),"",IF(ISBLANK($I$568),"",$I$568))</f>
        <v/>
      </c>
      <c r="AF568" s="19">
        <f>IF(ISERROR($J$568),"",IF(ISBLANK($J$568),"",$J$568))</f>
        <v/>
      </c>
      <c r="AG568" s="19">
        <f>ISERROR($B$568)*1+ISERROR($C$568)*1+ISERROR($D$568)*1+ISERROR($E$568)*1+ISERROR($F$568)*1+ISERROR($G$568)*1+ISERROR($H$568)*1+ISERROR($I$568)*1+ISERROR($J$568)*1</f>
        <v/>
      </c>
    </row>
    <row r="569" ht="15" customHeight="1">
      <c r="B569" s="7" t="inlineStr">
        <is>
          <t>Caminho (motivação)</t>
        </is>
      </c>
      <c r="C569" s="7" t="inlineStr">
        <is>
          <t>Motivação por Caminho</t>
        </is>
      </c>
      <c r="D569" s="7" t="inlineStr">
        <is>
          <t>Tipo (objetivo)</t>
        </is>
      </c>
      <c r="E569" s="7" t="inlineStr">
        <is>
          <t>Objetivo por tipo</t>
        </is>
      </c>
      <c r="F569" s="7" t="inlineStr">
        <is>
          <t>Tipo de aventura</t>
        </is>
      </c>
      <c r="G569" s="7" t="inlineStr">
        <is>
          <t>Gancho de aventura</t>
        </is>
      </c>
      <c r="H569" s="7" t="inlineStr">
        <is>
          <t>Local (sabor)</t>
        </is>
      </c>
      <c r="I569" s="7" t="inlineStr">
        <is>
          <t>Complicação</t>
        </is>
      </c>
      <c r="J569" s="7" t="inlineStr">
        <is>
          <t>Reviravolta</t>
        </is>
      </c>
      <c r="N569" s="19">
        <f>N568</f>
        <v/>
      </c>
      <c r="P569" s="19">
        <f>P568</f>
        <v/>
      </c>
      <c r="R569" s="19">
        <f>R568</f>
        <v/>
      </c>
      <c r="S569" s="19">
        <f>S568</f>
        <v/>
      </c>
      <c r="T569" s="19">
        <f>T568</f>
        <v/>
      </c>
      <c r="U569" s="19">
        <f>U568</f>
        <v/>
      </c>
      <c r="V569" s="19">
        <f>V568</f>
        <v/>
      </c>
      <c r="X569" s="19">
        <f>IF(ISERROR($B$569),"",IF(ISBLANK($B$569),"",$B$569))</f>
        <v/>
      </c>
      <c r="Y569" s="19">
        <f>IF(ISERROR($C$569),"",IF(ISBLANK($C$569),"",$C$569))</f>
        <v/>
      </c>
      <c r="Z569" s="19">
        <f>IF(ISERROR($D$569),"",IF(ISBLANK($D$569),"",$D$569))</f>
        <v/>
      </c>
      <c r="AA569" s="19">
        <f>IF(ISERROR($E$569),"",IF(ISBLANK($E$569),"",$E$569))</f>
        <v/>
      </c>
      <c r="AB569" s="19">
        <f>IF(ISERROR($F$569),"",IF(ISBLANK($F$569),"",$F$569))</f>
        <v/>
      </c>
      <c r="AC569" s="19">
        <f>IF(ISERROR($G$569),"",IF(ISBLANK($G$569),"",$G$569))</f>
        <v/>
      </c>
      <c r="AD569" s="19">
        <f>IF(ISERROR($H$569),"",IF(ISBLANK($H$569),"",$H$569))</f>
        <v/>
      </c>
      <c r="AE569" s="19">
        <f>IF(ISERROR($I$569),"",IF(ISBLANK($I$569),"",$I$569))</f>
        <v/>
      </c>
      <c r="AF569" s="19">
        <f>IF(ISERROR($J$569),"",IF(ISBLANK($J$569),"",$J$569))</f>
        <v/>
      </c>
    </row>
    <row r="570" ht="26" customHeight="1">
      <c r="B570" s="30" t="n"/>
      <c r="C570" s="3" t="n"/>
      <c r="D570" s="3" t="n"/>
      <c r="E570" s="3" t="n"/>
      <c r="F570" s="3" t="n"/>
      <c r="G570" s="3" t="n"/>
      <c r="H570" s="3" t="n"/>
      <c r="I570" s="3" t="n"/>
      <c r="J570" s="3" t="n"/>
      <c r="K570" s="18">
        <f>IF(AG570&gt;0,"O Google leu como fórmula: digite de novo com ' na frente.","")</f>
        <v/>
      </c>
      <c r="N570" s="19">
        <f>N569+IF(LEN($X$570)&gt;0,1,0)</f>
        <v/>
      </c>
      <c r="P570" s="19">
        <f>P569+IF(LEN($Z$570)&gt;0,1,0)</f>
        <v/>
      </c>
      <c r="R570" s="19">
        <f>R569+IF(LEN($AB$570)&gt;0,1,0)</f>
        <v/>
      </c>
      <c r="S570" s="19">
        <f>S569+IF(LEN($AC$570)&gt;0,1,0)</f>
        <v/>
      </c>
      <c r="T570" s="19">
        <f>T569+IF(LEN($AD$570)&gt;0,1,0)</f>
        <v/>
      </c>
      <c r="U570" s="19">
        <f>U569+IF(LEN($AE$570)&gt;0,1,0)</f>
        <v/>
      </c>
      <c r="V570" s="19">
        <f>V569+IF(LEN($AF$570)&gt;0,1,0)</f>
        <v/>
      </c>
      <c r="X570" s="19">
        <f>IF(ISERROR($B$570),"",IF(ISBLANK($B$570),"",$B$570))</f>
        <v/>
      </c>
      <c r="Y570" s="19">
        <f>IF(ISERROR($C$570),"",IF(ISBLANK($C$570),"",$C$570))</f>
        <v/>
      </c>
      <c r="Z570" s="19">
        <f>IF(ISERROR($D$570),"",IF(ISBLANK($D$570),"",$D$570))</f>
        <v/>
      </c>
      <c r="AA570" s="19">
        <f>IF(ISERROR($E$570),"",IF(ISBLANK($E$570),"",$E$570))</f>
        <v/>
      </c>
      <c r="AB570" s="19">
        <f>IF(ISERROR($F$570),"",IF(ISBLANK($F$570),"",$F$570))</f>
        <v/>
      </c>
      <c r="AC570" s="19">
        <f>IF(ISERROR($G$570),"",IF(ISBLANK($G$570),"",$G$570))</f>
        <v/>
      </c>
      <c r="AD570" s="19">
        <f>IF(ISERROR($H$570),"",IF(ISBLANK($H$570),"",$H$570))</f>
        <v/>
      </c>
      <c r="AE570" s="19">
        <f>IF(ISERROR($I$570),"",IF(ISBLANK($I$570),"",$I$570))</f>
        <v/>
      </c>
      <c r="AF570" s="19">
        <f>IF(ISERROR($J$570),"",IF(ISBLANK($J$570),"",$J$570))</f>
        <v/>
      </c>
      <c r="AG570" s="19">
        <f>ISERROR($B$570)*1+ISERROR($C$570)*1+ISERROR($D$570)*1+ISERROR($E$570)*1+ISERROR($F$570)*1+ISERROR($G$570)*1+ISERROR($H$570)*1+ISERROR($I$570)*1+ISERROR($J$570)*1</f>
        <v/>
      </c>
    </row>
    <row r="571" ht="26" customHeight="1">
      <c r="B571" s="31" t="n"/>
      <c r="C571" s="28" t="n"/>
      <c r="D571" s="28" t="n"/>
      <c r="E571" s="28" t="n"/>
      <c r="F571" s="28" t="n"/>
      <c r="G571" s="28" t="n"/>
      <c r="H571" s="28" t="n"/>
      <c r="I571" s="28" t="n"/>
      <c r="J571" s="28" t="n"/>
      <c r="K571" s="18">
        <f>IF(AG571&gt;0,"O Google leu como fórmula: digite de novo com ' na frente.","")</f>
        <v/>
      </c>
      <c r="N571" s="19">
        <f>N570+IF(LEN($X$571)&gt;0,1,0)</f>
        <v/>
      </c>
      <c r="P571" s="19">
        <f>P570+IF(LEN($Z$571)&gt;0,1,0)</f>
        <v/>
      </c>
      <c r="R571" s="19">
        <f>R570+IF(LEN($AB$571)&gt;0,1,0)</f>
        <v/>
      </c>
      <c r="S571" s="19">
        <f>S570+IF(LEN($AC$571)&gt;0,1,0)</f>
        <v/>
      </c>
      <c r="T571" s="19">
        <f>T570+IF(LEN($AD$571)&gt;0,1,0)</f>
        <v/>
      </c>
      <c r="U571" s="19">
        <f>U570+IF(LEN($AE$571)&gt;0,1,0)</f>
        <v/>
      </c>
      <c r="V571" s="19">
        <f>V570+IF(LEN($AF$571)&gt;0,1,0)</f>
        <v/>
      </c>
      <c r="X571" s="19">
        <f>IF(ISERROR($B$571),"",IF(ISBLANK($B$571),"",$B$571))</f>
        <v/>
      </c>
      <c r="Y571" s="19">
        <f>IF(ISERROR($C$571),"",IF(ISBLANK($C$571),"",$C$571))</f>
        <v/>
      </c>
      <c r="Z571" s="19">
        <f>IF(ISERROR($D$571),"",IF(ISBLANK($D$571),"",$D$571))</f>
        <v/>
      </c>
      <c r="AA571" s="19">
        <f>IF(ISERROR($E$571),"",IF(ISBLANK($E$571),"",$E$571))</f>
        <v/>
      </c>
      <c r="AB571" s="19">
        <f>IF(ISERROR($F$571),"",IF(ISBLANK($F$571),"",$F$571))</f>
        <v/>
      </c>
      <c r="AC571" s="19">
        <f>IF(ISERROR($G$571),"",IF(ISBLANK($G$571),"",$G$571))</f>
        <v/>
      </c>
      <c r="AD571" s="19">
        <f>IF(ISERROR($H$571),"",IF(ISBLANK($H$571),"",$H$571))</f>
        <v/>
      </c>
      <c r="AE571" s="19">
        <f>IF(ISERROR($I$571),"",IF(ISBLANK($I$571),"",$I$571))</f>
        <v/>
      </c>
      <c r="AF571" s="19">
        <f>IF(ISERROR($J$571),"",IF(ISBLANK($J$571),"",$J$571))</f>
        <v/>
      </c>
      <c r="AG571" s="19">
        <f>ISERROR($B$571)*1+ISERROR($C$571)*1+ISERROR($D$571)*1+ISERROR($E$571)*1+ISERROR($F$571)*1+ISERROR($G$571)*1+ISERROR($H$571)*1+ISERROR($I$571)*1+ISERROR($J$571)*1</f>
        <v/>
      </c>
    </row>
    <row r="572" ht="26" customHeight="1">
      <c r="B572" s="30" t="n"/>
      <c r="C572" s="3" t="n"/>
      <c r="D572" s="3" t="n"/>
      <c r="E572" s="3" t="n"/>
      <c r="F572" s="3" t="n"/>
      <c r="G572" s="3" t="n"/>
      <c r="H572" s="3" t="n"/>
      <c r="I572" s="3" t="n"/>
      <c r="J572" s="3" t="n"/>
      <c r="K572" s="18">
        <f>IF(AG572&gt;0,"O Google leu como fórmula: digite de novo com ' na frente.","")</f>
        <v/>
      </c>
      <c r="N572" s="19">
        <f>N571+IF(LEN($X$572)&gt;0,1,0)</f>
        <v/>
      </c>
      <c r="P572" s="19">
        <f>P571+IF(LEN($Z$572)&gt;0,1,0)</f>
        <v/>
      </c>
      <c r="R572" s="19">
        <f>R571+IF(LEN($AB$572)&gt;0,1,0)</f>
        <v/>
      </c>
      <c r="S572" s="19">
        <f>S571+IF(LEN($AC$572)&gt;0,1,0)</f>
        <v/>
      </c>
      <c r="T572" s="19">
        <f>T571+IF(LEN($AD$572)&gt;0,1,0)</f>
        <v/>
      </c>
      <c r="U572" s="19">
        <f>U571+IF(LEN($AE$572)&gt;0,1,0)</f>
        <v/>
      </c>
      <c r="V572" s="19">
        <f>V571+IF(LEN($AF$572)&gt;0,1,0)</f>
        <v/>
      </c>
      <c r="X572" s="19">
        <f>IF(ISERROR($B$572),"",IF(ISBLANK($B$572),"",$B$572))</f>
        <v/>
      </c>
      <c r="Y572" s="19">
        <f>IF(ISERROR($C$572),"",IF(ISBLANK($C$572),"",$C$572))</f>
        <v/>
      </c>
      <c r="Z572" s="19">
        <f>IF(ISERROR($D$572),"",IF(ISBLANK($D$572),"",$D$572))</f>
        <v/>
      </c>
      <c r="AA572" s="19">
        <f>IF(ISERROR($E$572),"",IF(ISBLANK($E$572),"",$E$572))</f>
        <v/>
      </c>
      <c r="AB572" s="19">
        <f>IF(ISERROR($F$572),"",IF(ISBLANK($F$572),"",$F$572))</f>
        <v/>
      </c>
      <c r="AC572" s="19">
        <f>IF(ISERROR($G$572),"",IF(ISBLANK($G$572),"",$G$572))</f>
        <v/>
      </c>
      <c r="AD572" s="19">
        <f>IF(ISERROR($H$572),"",IF(ISBLANK($H$572),"",$H$572))</f>
        <v/>
      </c>
      <c r="AE572" s="19">
        <f>IF(ISERROR($I$572),"",IF(ISBLANK($I$572),"",$I$572))</f>
        <v/>
      </c>
      <c r="AF572" s="19">
        <f>IF(ISERROR($J$572),"",IF(ISBLANK($J$572),"",$J$572))</f>
        <v/>
      </c>
      <c r="AG572" s="19">
        <f>ISERROR($B$572)*1+ISERROR($C$572)*1+ISERROR($D$572)*1+ISERROR($E$572)*1+ISERROR($F$572)*1+ISERROR($G$572)*1+ISERROR($H$572)*1+ISERROR($I$572)*1+ISERROR($J$572)*1</f>
        <v/>
      </c>
    </row>
    <row r="573" ht="26" customHeight="1">
      <c r="B573" s="31" t="n"/>
      <c r="C573" s="28" t="n"/>
      <c r="D573" s="28" t="n"/>
      <c r="E573" s="28" t="n"/>
      <c r="F573" s="28" t="n"/>
      <c r="G573" s="28" t="n"/>
      <c r="H573" s="28" t="n"/>
      <c r="I573" s="28" t="n"/>
      <c r="J573" s="28" t="n"/>
      <c r="K573" s="18">
        <f>IF(AG573&gt;0,"O Google leu como fórmula: digite de novo com ' na frente.","")</f>
        <v/>
      </c>
      <c r="N573" s="19">
        <f>N572+IF(LEN($X$573)&gt;0,1,0)</f>
        <v/>
      </c>
      <c r="P573" s="19">
        <f>P572+IF(LEN($Z$573)&gt;0,1,0)</f>
        <v/>
      </c>
      <c r="R573" s="19">
        <f>R572+IF(LEN($AB$573)&gt;0,1,0)</f>
        <v/>
      </c>
      <c r="S573" s="19">
        <f>S572+IF(LEN($AC$573)&gt;0,1,0)</f>
        <v/>
      </c>
      <c r="T573" s="19">
        <f>T572+IF(LEN($AD$573)&gt;0,1,0)</f>
        <v/>
      </c>
      <c r="U573" s="19">
        <f>U572+IF(LEN($AE$573)&gt;0,1,0)</f>
        <v/>
      </c>
      <c r="V573" s="19">
        <f>V572+IF(LEN($AF$573)&gt;0,1,0)</f>
        <v/>
      </c>
      <c r="X573" s="19">
        <f>IF(ISERROR($B$573),"",IF(ISBLANK($B$573),"",$B$573))</f>
        <v/>
      </c>
      <c r="Y573" s="19">
        <f>IF(ISERROR($C$573),"",IF(ISBLANK($C$573),"",$C$573))</f>
        <v/>
      </c>
      <c r="Z573" s="19">
        <f>IF(ISERROR($D$573),"",IF(ISBLANK($D$573),"",$D$573))</f>
        <v/>
      </c>
      <c r="AA573" s="19">
        <f>IF(ISERROR($E$573),"",IF(ISBLANK($E$573),"",$E$573))</f>
        <v/>
      </c>
      <c r="AB573" s="19">
        <f>IF(ISERROR($F$573),"",IF(ISBLANK($F$573),"",$F$573))</f>
        <v/>
      </c>
      <c r="AC573" s="19">
        <f>IF(ISERROR($G$573),"",IF(ISBLANK($G$573),"",$G$573))</f>
        <v/>
      </c>
      <c r="AD573" s="19">
        <f>IF(ISERROR($H$573),"",IF(ISBLANK($H$573),"",$H$573))</f>
        <v/>
      </c>
      <c r="AE573" s="19">
        <f>IF(ISERROR($I$573),"",IF(ISBLANK($I$573),"",$I$573))</f>
        <v/>
      </c>
      <c r="AF573" s="19">
        <f>IF(ISERROR($J$573),"",IF(ISBLANK($J$573),"",$J$573))</f>
        <v/>
      </c>
      <c r="AG573" s="19">
        <f>ISERROR($B$573)*1+ISERROR($C$573)*1+ISERROR($D$573)*1+ISERROR($E$573)*1+ISERROR($F$573)*1+ISERROR($G$573)*1+ISERROR($H$573)*1+ISERROR($I$573)*1+ISERROR($J$573)*1</f>
        <v/>
      </c>
    </row>
    <row r="574" ht="26" customHeight="1">
      <c r="B574" s="30" t="n"/>
      <c r="C574" s="3" t="n"/>
      <c r="D574" s="3" t="n"/>
      <c r="E574" s="3" t="n"/>
      <c r="F574" s="3" t="n"/>
      <c r="G574" s="3" t="n"/>
      <c r="H574" s="3" t="n"/>
      <c r="I574" s="3" t="n"/>
      <c r="J574" s="3" t="n"/>
      <c r="K574" s="18">
        <f>IF(AG574&gt;0,"O Google leu como fórmula: digite de novo com ' na frente.","")</f>
        <v/>
      </c>
      <c r="N574" s="19">
        <f>N573+IF(LEN($X$574)&gt;0,1,0)</f>
        <v/>
      </c>
      <c r="P574" s="19">
        <f>P573+IF(LEN($Z$574)&gt;0,1,0)</f>
        <v/>
      </c>
      <c r="R574" s="19">
        <f>R573+IF(LEN($AB$574)&gt;0,1,0)</f>
        <v/>
      </c>
      <c r="S574" s="19">
        <f>S573+IF(LEN($AC$574)&gt;0,1,0)</f>
        <v/>
      </c>
      <c r="T574" s="19">
        <f>T573+IF(LEN($AD$574)&gt;0,1,0)</f>
        <v/>
      </c>
      <c r="U574" s="19">
        <f>U573+IF(LEN($AE$574)&gt;0,1,0)</f>
        <v/>
      </c>
      <c r="V574" s="19">
        <f>V573+IF(LEN($AF$574)&gt;0,1,0)</f>
        <v/>
      </c>
      <c r="X574" s="19">
        <f>IF(ISERROR($B$574),"",IF(ISBLANK($B$574),"",$B$574))</f>
        <v/>
      </c>
      <c r="Y574" s="19">
        <f>IF(ISERROR($C$574),"",IF(ISBLANK($C$574),"",$C$574))</f>
        <v/>
      </c>
      <c r="Z574" s="19">
        <f>IF(ISERROR($D$574),"",IF(ISBLANK($D$574),"",$D$574))</f>
        <v/>
      </c>
      <c r="AA574" s="19">
        <f>IF(ISERROR($E$574),"",IF(ISBLANK($E$574),"",$E$574))</f>
        <v/>
      </c>
      <c r="AB574" s="19">
        <f>IF(ISERROR($F$574),"",IF(ISBLANK($F$574),"",$F$574))</f>
        <v/>
      </c>
      <c r="AC574" s="19">
        <f>IF(ISERROR($G$574),"",IF(ISBLANK($G$574),"",$G$574))</f>
        <v/>
      </c>
      <c r="AD574" s="19">
        <f>IF(ISERROR($H$574),"",IF(ISBLANK($H$574),"",$H$574))</f>
        <v/>
      </c>
      <c r="AE574" s="19">
        <f>IF(ISERROR($I$574),"",IF(ISBLANK($I$574),"",$I$574))</f>
        <v/>
      </c>
      <c r="AF574" s="19">
        <f>IF(ISERROR($J$574),"",IF(ISBLANK($J$574),"",$J$574))</f>
        <v/>
      </c>
      <c r="AG574" s="19">
        <f>ISERROR($B$574)*1+ISERROR($C$574)*1+ISERROR($D$574)*1+ISERROR($E$574)*1+ISERROR($F$574)*1+ISERROR($G$574)*1+ISERROR($H$574)*1+ISERROR($I$574)*1+ISERROR($J$574)*1</f>
        <v/>
      </c>
    </row>
    <row r="575" ht="26" customHeight="1">
      <c r="B575" s="31" t="n"/>
      <c r="C575" s="28" t="n"/>
      <c r="D575" s="28" t="n"/>
      <c r="E575" s="28" t="n"/>
      <c r="F575" s="28" t="n"/>
      <c r="G575" s="28" t="n"/>
      <c r="H575" s="28" t="n"/>
      <c r="I575" s="28" t="n"/>
      <c r="J575" s="28" t="n"/>
      <c r="K575" s="18">
        <f>IF(AG575&gt;0,"O Google leu como fórmula: digite de novo com ' na frente.","")</f>
        <v/>
      </c>
      <c r="N575" s="19">
        <f>N574+IF(LEN($X$575)&gt;0,1,0)</f>
        <v/>
      </c>
      <c r="P575" s="19">
        <f>P574+IF(LEN($Z$575)&gt;0,1,0)</f>
        <v/>
      </c>
      <c r="R575" s="19">
        <f>R574+IF(LEN($AB$575)&gt;0,1,0)</f>
        <v/>
      </c>
      <c r="S575" s="19">
        <f>S574+IF(LEN($AC$575)&gt;0,1,0)</f>
        <v/>
      </c>
      <c r="T575" s="19">
        <f>T574+IF(LEN($AD$575)&gt;0,1,0)</f>
        <v/>
      </c>
      <c r="U575" s="19">
        <f>U574+IF(LEN($AE$575)&gt;0,1,0)</f>
        <v/>
      </c>
      <c r="V575" s="19">
        <f>V574+IF(LEN($AF$575)&gt;0,1,0)</f>
        <v/>
      </c>
      <c r="X575" s="19">
        <f>IF(ISERROR($B$575),"",IF(ISBLANK($B$575),"",$B$575))</f>
        <v/>
      </c>
      <c r="Y575" s="19">
        <f>IF(ISERROR($C$575),"",IF(ISBLANK($C$575),"",$C$575))</f>
        <v/>
      </c>
      <c r="Z575" s="19">
        <f>IF(ISERROR($D$575),"",IF(ISBLANK($D$575),"",$D$575))</f>
        <v/>
      </c>
      <c r="AA575" s="19">
        <f>IF(ISERROR($E$575),"",IF(ISBLANK($E$575),"",$E$575))</f>
        <v/>
      </c>
      <c r="AB575" s="19">
        <f>IF(ISERROR($F$575),"",IF(ISBLANK($F$575),"",$F$575))</f>
        <v/>
      </c>
      <c r="AC575" s="19">
        <f>IF(ISERROR($G$575),"",IF(ISBLANK($G$575),"",$G$575))</f>
        <v/>
      </c>
      <c r="AD575" s="19">
        <f>IF(ISERROR($H$575),"",IF(ISBLANK($H$575),"",$H$575))</f>
        <v/>
      </c>
      <c r="AE575" s="19">
        <f>IF(ISERROR($I$575),"",IF(ISBLANK($I$575),"",$I$575))</f>
        <v/>
      </c>
      <c r="AF575" s="19">
        <f>IF(ISERROR($J$575),"",IF(ISBLANK($J$575),"",$J$575))</f>
        <v/>
      </c>
      <c r="AG575" s="19">
        <f>ISERROR($B$575)*1+ISERROR($C$575)*1+ISERROR($D$575)*1+ISERROR($E$575)*1+ISERROR($F$575)*1+ISERROR($G$575)*1+ISERROR($H$575)*1+ISERROR($I$575)*1+ISERROR($J$575)*1</f>
        <v/>
      </c>
    </row>
    <row r="576" ht="26" customHeight="1">
      <c r="B576" s="30" t="n"/>
      <c r="C576" s="3" t="n"/>
      <c r="D576" s="3" t="n"/>
      <c r="E576" s="3" t="n"/>
      <c r="F576" s="3" t="n"/>
      <c r="G576" s="3" t="n"/>
      <c r="H576" s="3" t="n"/>
      <c r="I576" s="3" t="n"/>
      <c r="J576" s="3" t="n"/>
      <c r="K576" s="18">
        <f>IF(AG576&gt;0,"O Google leu como fórmula: digite de novo com ' na frente.","")</f>
        <v/>
      </c>
      <c r="N576" s="19">
        <f>N575+IF(LEN($X$576)&gt;0,1,0)</f>
        <v/>
      </c>
      <c r="P576" s="19">
        <f>P575+IF(LEN($Z$576)&gt;0,1,0)</f>
        <v/>
      </c>
      <c r="R576" s="19">
        <f>R575+IF(LEN($AB$576)&gt;0,1,0)</f>
        <v/>
      </c>
      <c r="S576" s="19">
        <f>S575+IF(LEN($AC$576)&gt;0,1,0)</f>
        <v/>
      </c>
      <c r="T576" s="19">
        <f>T575+IF(LEN($AD$576)&gt;0,1,0)</f>
        <v/>
      </c>
      <c r="U576" s="19">
        <f>U575+IF(LEN($AE$576)&gt;0,1,0)</f>
        <v/>
      </c>
      <c r="V576" s="19">
        <f>V575+IF(LEN($AF$576)&gt;0,1,0)</f>
        <v/>
      </c>
      <c r="X576" s="19">
        <f>IF(ISERROR($B$576),"",IF(ISBLANK($B$576),"",$B$576))</f>
        <v/>
      </c>
      <c r="Y576" s="19">
        <f>IF(ISERROR($C$576),"",IF(ISBLANK($C$576),"",$C$576))</f>
        <v/>
      </c>
      <c r="Z576" s="19">
        <f>IF(ISERROR($D$576),"",IF(ISBLANK($D$576),"",$D$576))</f>
        <v/>
      </c>
      <c r="AA576" s="19">
        <f>IF(ISERROR($E$576),"",IF(ISBLANK($E$576),"",$E$576))</f>
        <v/>
      </c>
      <c r="AB576" s="19">
        <f>IF(ISERROR($F$576),"",IF(ISBLANK($F$576),"",$F$576))</f>
        <v/>
      </c>
      <c r="AC576" s="19">
        <f>IF(ISERROR($G$576),"",IF(ISBLANK($G$576),"",$G$576))</f>
        <v/>
      </c>
      <c r="AD576" s="19">
        <f>IF(ISERROR($H$576),"",IF(ISBLANK($H$576),"",$H$576))</f>
        <v/>
      </c>
      <c r="AE576" s="19">
        <f>IF(ISERROR($I$576),"",IF(ISBLANK($I$576),"",$I$576))</f>
        <v/>
      </c>
      <c r="AF576" s="19">
        <f>IF(ISERROR($J$576),"",IF(ISBLANK($J$576),"",$J$576))</f>
        <v/>
      </c>
      <c r="AG576" s="19">
        <f>ISERROR($B$576)*1+ISERROR($C$576)*1+ISERROR($D$576)*1+ISERROR($E$576)*1+ISERROR($F$576)*1+ISERROR($G$576)*1+ISERROR($H$576)*1+ISERROR($I$576)*1+ISERROR($J$576)*1</f>
        <v/>
      </c>
    </row>
    <row r="577" ht="26" customHeight="1">
      <c r="B577" s="31" t="n"/>
      <c r="C577" s="28" t="n"/>
      <c r="D577" s="28" t="n"/>
      <c r="E577" s="28" t="n"/>
      <c r="F577" s="28" t="n"/>
      <c r="G577" s="28" t="n"/>
      <c r="H577" s="28" t="n"/>
      <c r="I577" s="28" t="n"/>
      <c r="J577" s="28" t="n"/>
      <c r="K577" s="18">
        <f>IF(AG577&gt;0,"O Google leu como fórmula: digite de novo com ' na frente.","")</f>
        <v/>
      </c>
      <c r="N577" s="19">
        <f>N576+IF(LEN($X$577)&gt;0,1,0)</f>
        <v/>
      </c>
      <c r="P577" s="19">
        <f>P576+IF(LEN($Z$577)&gt;0,1,0)</f>
        <v/>
      </c>
      <c r="R577" s="19">
        <f>R576+IF(LEN($AB$577)&gt;0,1,0)</f>
        <v/>
      </c>
      <c r="S577" s="19">
        <f>S576+IF(LEN($AC$577)&gt;0,1,0)</f>
        <v/>
      </c>
      <c r="T577" s="19">
        <f>T576+IF(LEN($AD$577)&gt;0,1,0)</f>
        <v/>
      </c>
      <c r="U577" s="19">
        <f>U576+IF(LEN($AE$577)&gt;0,1,0)</f>
        <v/>
      </c>
      <c r="V577" s="19">
        <f>V576+IF(LEN($AF$577)&gt;0,1,0)</f>
        <v/>
      </c>
      <c r="X577" s="19">
        <f>IF(ISERROR($B$577),"",IF(ISBLANK($B$577),"",$B$577))</f>
        <v/>
      </c>
      <c r="Y577" s="19">
        <f>IF(ISERROR($C$577),"",IF(ISBLANK($C$577),"",$C$577))</f>
        <v/>
      </c>
      <c r="Z577" s="19">
        <f>IF(ISERROR($D$577),"",IF(ISBLANK($D$577),"",$D$577))</f>
        <v/>
      </c>
      <c r="AA577" s="19">
        <f>IF(ISERROR($E$577),"",IF(ISBLANK($E$577),"",$E$577))</f>
        <v/>
      </c>
      <c r="AB577" s="19">
        <f>IF(ISERROR($F$577),"",IF(ISBLANK($F$577),"",$F$577))</f>
        <v/>
      </c>
      <c r="AC577" s="19">
        <f>IF(ISERROR($G$577),"",IF(ISBLANK($G$577),"",$G$577))</f>
        <v/>
      </c>
      <c r="AD577" s="19">
        <f>IF(ISERROR($H$577),"",IF(ISBLANK($H$577),"",$H$577))</f>
        <v/>
      </c>
      <c r="AE577" s="19">
        <f>IF(ISERROR($I$577),"",IF(ISBLANK($I$577),"",$I$577))</f>
        <v/>
      </c>
      <c r="AF577" s="19">
        <f>IF(ISERROR($J$577),"",IF(ISBLANK($J$577),"",$J$577))</f>
        <v/>
      </c>
      <c r="AG577" s="19">
        <f>ISERROR($B$577)*1+ISERROR($C$577)*1+ISERROR($D$577)*1+ISERROR($E$577)*1+ISERROR($F$577)*1+ISERROR($G$577)*1+ISERROR($H$577)*1+ISERROR($I$577)*1+ISERROR($J$577)*1</f>
        <v/>
      </c>
    </row>
    <row r="578" ht="26" customHeight="1">
      <c r="B578" s="30" t="n"/>
      <c r="C578" s="3" t="n"/>
      <c r="D578" s="3" t="n"/>
      <c r="E578" s="3" t="n"/>
      <c r="F578" s="3" t="n"/>
      <c r="G578" s="3" t="n"/>
      <c r="H578" s="3" t="n"/>
      <c r="I578" s="3" t="n"/>
      <c r="J578" s="3" t="n"/>
      <c r="K578" s="18">
        <f>IF(AG578&gt;0,"O Google leu como fórmula: digite de novo com ' na frente.","")</f>
        <v/>
      </c>
      <c r="N578" s="19">
        <f>N577+IF(LEN($X$578)&gt;0,1,0)</f>
        <v/>
      </c>
      <c r="P578" s="19">
        <f>P577+IF(LEN($Z$578)&gt;0,1,0)</f>
        <v/>
      </c>
      <c r="R578" s="19">
        <f>R577+IF(LEN($AB$578)&gt;0,1,0)</f>
        <v/>
      </c>
      <c r="S578" s="19">
        <f>S577+IF(LEN($AC$578)&gt;0,1,0)</f>
        <v/>
      </c>
      <c r="T578" s="19">
        <f>T577+IF(LEN($AD$578)&gt;0,1,0)</f>
        <v/>
      </c>
      <c r="U578" s="19">
        <f>U577+IF(LEN($AE$578)&gt;0,1,0)</f>
        <v/>
      </c>
      <c r="V578" s="19">
        <f>V577+IF(LEN($AF$578)&gt;0,1,0)</f>
        <v/>
      </c>
      <c r="X578" s="19">
        <f>IF(ISERROR($B$578),"",IF(ISBLANK($B$578),"",$B$578))</f>
        <v/>
      </c>
      <c r="Y578" s="19">
        <f>IF(ISERROR($C$578),"",IF(ISBLANK($C$578),"",$C$578))</f>
        <v/>
      </c>
      <c r="Z578" s="19">
        <f>IF(ISERROR($D$578),"",IF(ISBLANK($D$578),"",$D$578))</f>
        <v/>
      </c>
      <c r="AA578" s="19">
        <f>IF(ISERROR($E$578),"",IF(ISBLANK($E$578),"",$E$578))</f>
        <v/>
      </c>
      <c r="AB578" s="19">
        <f>IF(ISERROR($F$578),"",IF(ISBLANK($F$578),"",$F$578))</f>
        <v/>
      </c>
      <c r="AC578" s="19">
        <f>IF(ISERROR($G$578),"",IF(ISBLANK($G$578),"",$G$578))</f>
        <v/>
      </c>
      <c r="AD578" s="19">
        <f>IF(ISERROR($H$578),"",IF(ISBLANK($H$578),"",$H$578))</f>
        <v/>
      </c>
      <c r="AE578" s="19">
        <f>IF(ISERROR($I$578),"",IF(ISBLANK($I$578),"",$I$578))</f>
        <v/>
      </c>
      <c r="AF578" s="19">
        <f>IF(ISERROR($J$578),"",IF(ISBLANK($J$578),"",$J$578))</f>
        <v/>
      </c>
      <c r="AG578" s="19">
        <f>ISERROR($B$578)*1+ISERROR($C$578)*1+ISERROR($D$578)*1+ISERROR($E$578)*1+ISERROR($F$578)*1+ISERROR($G$578)*1+ISERROR($H$578)*1+ISERROR($I$578)*1+ISERROR($J$578)*1</f>
        <v/>
      </c>
    </row>
    <row r="579"/>
    <row r="580" ht="46" customHeight="1">
      <c r="A580" s="47" t="inlineStr">
        <is>
          <t>Gerador de aventuras (aba Aventuras) — Sugestão da planilha (H11) (parte 2) — 100 vagas por lista</t>
        </is>
      </c>
    </row>
    <row r="581" ht="37" customHeight="1">
      <c r="A581" s="11" t="inlineStr">
        <is>
          <t>Apague para trocar, use as vagas vazias para ampliar. Não insira linhas: o contador corrido pularia a linha nova.</t>
        </is>
      </c>
    </row>
    <row r="582">
      <c r="A582" s="7" t="inlineStr">
        <is>
          <t>Lista</t>
        </is>
      </c>
      <c r="B582" s="7" t="inlineStr">
        <is>
          <t>Prazo ou risco</t>
        </is>
      </c>
    </row>
    <row r="583" ht="26" customHeight="1">
      <c r="A583" s="8" t="inlineStr">
        <is>
          <t>Fonte</t>
        </is>
      </c>
      <c r="B583" s="13" t="inlineStr">
        <is>
          <t>Livro 27.7 (3 primeiras) + Sugestão da planilha (H11)</t>
        </is>
      </c>
    </row>
    <row r="584" ht="26" customHeight="1">
      <c r="A584" s="21" t="inlineStr">
        <is>
          <t>Tamanho da lista</t>
        </is>
      </c>
      <c r="B584" s="29">
        <f>N693</f>
        <v/>
      </c>
    </row>
    <row r="585" ht="26" customHeight="1">
      <c r="A585" s="8" t="inlineStr">
        <is>
          <t>Aviso</t>
        </is>
      </c>
      <c r="B585" s="18">
        <f>IF(N693&gt;=100,"Lista cheia (100): use Minhas Tabelas para uma lista maior","")</f>
        <v/>
      </c>
    </row>
    <row r="586" ht="15" customHeight="1">
      <c r="B586" s="7" t="inlineStr">
        <is>
          <t>Prazo ou risco</t>
        </is>
      </c>
      <c r="N586" s="19">
        <f>0</f>
        <v/>
      </c>
    </row>
    <row r="587" ht="26" customHeight="1">
      <c r="B587" s="30" t="inlineStr">
        <is>
          <t>a nave parte ao amanhecer</t>
        </is>
      </c>
      <c r="K587" s="18">
        <f>IF(AG587&gt;0,"O Google leu como fórmula: digite de novo com ' na frente.","")</f>
        <v/>
      </c>
      <c r="N587" s="19">
        <f>N586+IF(LEN($X$587)&gt;0,1,0)</f>
        <v/>
      </c>
      <c r="X587" s="19">
        <f>IF(ISERROR($B$587),"",IF(ISBLANK($B$587),"",$B$587))</f>
        <v/>
      </c>
      <c r="AG587" s="19">
        <f>ISERROR($B$587)*1</f>
        <v/>
      </c>
    </row>
    <row r="588" ht="26" customHeight="1">
      <c r="B588" s="31" t="inlineStr">
        <is>
          <t>o lacre não aguenta mais um dia</t>
        </is>
      </c>
      <c r="K588" s="18">
        <f>IF(AG588&gt;0,"O Google leu como fórmula: digite de novo com ' na frente.","")</f>
        <v/>
      </c>
      <c r="N588" s="19">
        <f>N587+IF(LEN($X$588)&gt;0,1,0)</f>
        <v/>
      </c>
      <c r="X588" s="19">
        <f>IF(ISERROR($B$588),"",IF(ISBLANK($B$588),"",$B$588))</f>
        <v/>
      </c>
      <c r="AG588" s="19">
        <f>ISERROR($B$588)*1</f>
        <v/>
      </c>
    </row>
    <row r="589" ht="26" customHeight="1">
      <c r="B589" s="30" t="inlineStr">
        <is>
          <t>a escolta chega em seis horas</t>
        </is>
      </c>
      <c r="K589" s="18">
        <f>IF(AG589&gt;0,"O Google leu como fórmula: digite de novo com ' na frente.","")</f>
        <v/>
      </c>
      <c r="N589" s="19">
        <f>N588+IF(LEN($X$589)&gt;0,1,0)</f>
        <v/>
      </c>
      <c r="X589" s="19">
        <f>IF(ISERROR($B$589),"",IF(ISBLANK($B$589),"",$B$589))</f>
        <v/>
      </c>
      <c r="AG589" s="19">
        <f>ISERROR($B$589)*1</f>
        <v/>
      </c>
    </row>
    <row r="590" ht="26" customHeight="1">
      <c r="B590" s="31" t="inlineStr">
        <is>
          <t>o leilão termina à meia-noite</t>
        </is>
      </c>
      <c r="K590" s="18">
        <f>IF(AG590&gt;0,"O Google leu como fórmula: digite de novo com ' na frente.","")</f>
        <v/>
      </c>
      <c r="N590" s="19">
        <f>N589+IF(LEN($X$590)&gt;0,1,0)</f>
        <v/>
      </c>
      <c r="X590" s="19">
        <f>IF(ISERROR($B$590),"",IF(ISBLANK($B$590),"",$B$590))</f>
        <v/>
      </c>
      <c r="AG590" s="19">
        <f>ISERROR($B$590)*1</f>
        <v/>
      </c>
    </row>
    <row r="591" ht="26" customHeight="1">
      <c r="B591" s="30" t="inlineStr">
        <is>
          <t>a maré de radiação volta em dois dias</t>
        </is>
      </c>
      <c r="K591" s="18">
        <f>IF(AG591&gt;0,"O Google leu como fórmula: digite de novo com ' na frente.","")</f>
        <v/>
      </c>
      <c r="N591" s="19">
        <f>N590+IF(LEN($X$591)&gt;0,1,0)</f>
        <v/>
      </c>
      <c r="X591" s="19">
        <f>IF(ISERROR($B$591),"",IF(ISBLANK($B$591),"",$B$591))</f>
        <v/>
      </c>
      <c r="AG591" s="19">
        <f>ISERROR($B$591)*1</f>
        <v/>
      </c>
    </row>
    <row r="592" ht="26" customHeight="1">
      <c r="B592" s="31" t="inlineStr">
        <is>
          <t>o julgamento é amanhã cedo</t>
        </is>
      </c>
      <c r="K592" s="18">
        <f>IF(AG592&gt;0,"O Google leu como fórmula: digite de novo com ' na frente.","")</f>
        <v/>
      </c>
      <c r="N592" s="19">
        <f>N591+IF(LEN($X$592)&gt;0,1,0)</f>
        <v/>
      </c>
      <c r="X592" s="19">
        <f>IF(ISERROR($B$592),"",IF(ISBLANK($B$592),"",$B$592))</f>
        <v/>
      </c>
      <c r="AG592" s="19">
        <f>ISERROR($B$592)*1</f>
        <v/>
      </c>
    </row>
    <row r="593" ht="26" customHeight="1">
      <c r="B593" s="30" t="inlineStr">
        <is>
          <t>o oxigênio da estação dura três turnos de trabalho</t>
        </is>
      </c>
      <c r="K593" s="18">
        <f>IF(AG593&gt;0,"O Google leu como fórmula: digite de novo com ' na frente.","")</f>
        <v/>
      </c>
      <c r="N593" s="19">
        <f>N592+IF(LEN($X$593)&gt;0,1,0)</f>
        <v/>
      </c>
      <c r="X593" s="19">
        <f>IF(ISERROR($B$593),"",IF(ISBLANK($B$593),"",$B$593))</f>
        <v/>
      </c>
      <c r="AG593" s="19">
        <f>ISERROR($B$593)*1</f>
        <v/>
      </c>
    </row>
    <row r="594" ht="26" customHeight="1">
      <c r="B594" s="31" t="inlineStr">
        <is>
          <t>o ultimato vence em três dias</t>
        </is>
      </c>
      <c r="K594" s="18">
        <f>IF(AG594&gt;0,"O Google leu como fórmula: digite de novo com ' na frente.","")</f>
        <v/>
      </c>
      <c r="N594" s="19">
        <f>N593+IF(LEN($X$594)&gt;0,1,0)</f>
        <v/>
      </c>
      <c r="X594" s="19">
        <f>IF(ISERROR($B$594),"",IF(ISBLANK($B$594),"",$B$594))</f>
        <v/>
      </c>
      <c r="AG594" s="19">
        <f>ISERROR($B$594)*1</f>
        <v/>
      </c>
    </row>
    <row r="595" ht="26" customHeight="1">
      <c r="B595" s="30" t="inlineStr">
        <is>
          <t>a janela de lançamento fecha ao pôr do sol</t>
        </is>
      </c>
      <c r="K595" s="18">
        <f>IF(AG595&gt;0,"O Google leu como fórmula: digite de novo com ' na frente.","")</f>
        <v/>
      </c>
      <c r="N595" s="19">
        <f>N594+IF(LEN($X$595)&gt;0,1,0)</f>
        <v/>
      </c>
      <c r="X595" s="19">
        <f>IF(ISERROR($B$595),"",IF(ISBLANK($B$595),"",$B$595))</f>
        <v/>
      </c>
      <c r="AG595" s="19">
        <f>ISERROR($B$595)*1</f>
        <v/>
      </c>
    </row>
    <row r="596" ht="26" customHeight="1">
      <c r="B596" s="31" t="inlineStr">
        <is>
          <t>a carga estraga em quarenta horas</t>
        </is>
      </c>
      <c r="K596" s="18">
        <f>IF(AG596&gt;0,"O Google leu como fórmula: digite de novo com ' na frente.","")</f>
        <v/>
      </c>
      <c r="N596" s="19">
        <f>N595+IF(LEN($X$596)&gt;0,1,0)</f>
        <v/>
      </c>
      <c r="X596" s="19">
        <f>IF(ISERROR($B$596),"",IF(ISBLANK($B$596),"",$B$596))</f>
        <v/>
      </c>
      <c r="AG596" s="19">
        <f>ISERROR($B$596)*1</f>
        <v/>
      </c>
    </row>
    <row r="597" ht="26" customHeight="1">
      <c r="B597" s="30" t="inlineStr">
        <is>
          <t>o refém será transferido na próxima troca de guarda</t>
        </is>
      </c>
      <c r="K597" s="18">
        <f>IF(AG597&gt;0,"O Google leu como fórmula: digite de novo com ' na frente.","")</f>
        <v/>
      </c>
      <c r="N597" s="19">
        <f>N596+IF(LEN($X$597)&gt;0,1,0)</f>
        <v/>
      </c>
      <c r="X597" s="19">
        <f>IF(ISERROR($B$597),"",IF(ISBLANK($B$597),"",$B$597))</f>
        <v/>
      </c>
      <c r="AG597" s="19">
        <f>ISERROR($B$597)*1</f>
        <v/>
      </c>
    </row>
    <row r="598" ht="26" customHeight="1">
      <c r="B598" s="31" t="inlineStr">
        <is>
          <t>a ponte será demolida no fim da semana</t>
        </is>
      </c>
      <c r="K598" s="18">
        <f>IF(AG598&gt;0,"O Google leu como fórmula: digite de novo com ' na frente.","")</f>
        <v/>
      </c>
      <c r="N598" s="19">
        <f>N597+IF(LEN($X$598)&gt;0,1,0)</f>
        <v/>
      </c>
      <c r="X598" s="19">
        <f>IF(ISERROR($B$598),"",IF(ISBLANK($B$598),"",$B$598))</f>
        <v/>
      </c>
      <c r="AG598" s="19">
        <f>ISERROR($B$598)*1</f>
        <v/>
      </c>
    </row>
    <row r="599" ht="26" customHeight="1">
      <c r="B599" s="30" t="inlineStr">
        <is>
          <t>o eclipse dura só uma hora</t>
        </is>
      </c>
      <c r="K599" s="18">
        <f>IF(AG599&gt;0,"O Google leu como fórmula: digite de novo com ' na frente.","")</f>
        <v/>
      </c>
      <c r="N599" s="19">
        <f>N598+IF(LEN($X$599)&gt;0,1,0)</f>
        <v/>
      </c>
      <c r="X599" s="19">
        <f>IF(ISERROR($B$599),"",IF(ISBLANK($B$599),"",$B$599))</f>
        <v/>
      </c>
      <c r="AG599" s="19">
        <f>ISERROR($B$599)*1</f>
        <v/>
      </c>
    </row>
    <row r="600" ht="15" customHeight="1">
      <c r="B600" s="7" t="inlineStr">
        <is>
          <t>Prazo ou risco</t>
        </is>
      </c>
      <c r="N600" s="19">
        <f>N599</f>
        <v/>
      </c>
      <c r="X600" s="19">
        <f>IF(ISERROR($B$600),"",IF(ISBLANK($B$600),"",$B$600))</f>
        <v/>
      </c>
    </row>
    <row r="601" ht="26" customHeight="1">
      <c r="B601" s="30" t="inlineStr">
        <is>
          <t>a festa acaba quando a música parar</t>
        </is>
      </c>
      <c r="K601" s="18">
        <f>IF(AG601&gt;0,"O Google leu como fórmula: digite de novo com ' na frente.","")</f>
        <v/>
      </c>
      <c r="N601" s="19">
        <f>N600+IF(LEN($X$601)&gt;0,1,0)</f>
        <v/>
      </c>
      <c r="X601" s="19">
        <f>IF(ISERROR($B$601),"",IF(ISBLANK($B$601),"",$B$601))</f>
        <v/>
      </c>
      <c r="AG601" s="19">
        <f>ISERROR($B$601)*1</f>
        <v/>
      </c>
    </row>
    <row r="602" ht="26" customHeight="1">
      <c r="B602" s="31" t="inlineStr">
        <is>
          <t>a tempestade chega antes do jantar</t>
        </is>
      </c>
      <c r="K602" s="18">
        <f>IF(AG602&gt;0,"O Google leu como fórmula: digite de novo com ' na frente.","")</f>
        <v/>
      </c>
      <c r="N602" s="19">
        <f>N601+IF(LEN($X$602)&gt;0,1,0)</f>
        <v/>
      </c>
      <c r="X602" s="19">
        <f>IF(ISERROR($B$602),"",IF(ISBLANK($B$602),"",$B$602))</f>
        <v/>
      </c>
      <c r="AG602" s="19">
        <f>ISERROR($B$602)*1</f>
        <v/>
      </c>
    </row>
    <row r="603" ht="26" customHeight="1">
      <c r="B603" s="30" t="inlineStr">
        <is>
          <t>o contrato expira no fim do mês</t>
        </is>
      </c>
      <c r="K603" s="18">
        <f>IF(AG603&gt;0,"O Google leu como fórmula: digite de novo com ' na frente.","")</f>
        <v/>
      </c>
      <c r="N603" s="19">
        <f>N602+IF(LEN($X$603)&gt;0,1,0)</f>
        <v/>
      </c>
      <c r="X603" s="19">
        <f>IF(ISERROR($B$603),"",IF(ISBLANK($B$603),"",$B$603))</f>
        <v/>
      </c>
      <c r="AG603" s="19">
        <f>ISERROR($B$603)*1</f>
        <v/>
      </c>
    </row>
    <row r="604" ht="26" customHeight="1">
      <c r="B604" s="31" t="inlineStr">
        <is>
          <t>o reator esfria em doze horas</t>
        </is>
      </c>
      <c r="K604" s="18">
        <f>IF(AG604&gt;0,"O Google leu como fórmula: digite de novo com ' na frente.","")</f>
        <v/>
      </c>
      <c r="N604" s="19">
        <f>N603+IF(LEN($X$604)&gt;0,1,0)</f>
        <v/>
      </c>
      <c r="X604" s="19">
        <f>IF(ISERROR($B$604),"",IF(ISBLANK($B$604),"",$B$604))</f>
        <v/>
      </c>
      <c r="AG604" s="19">
        <f>ISERROR($B$604)*1</f>
        <v/>
      </c>
    </row>
    <row r="605" ht="26" customHeight="1">
      <c r="B605" s="30" t="inlineStr">
        <is>
          <t>a frota parte no próximo salto</t>
        </is>
      </c>
      <c r="K605" s="18">
        <f>IF(AG605&gt;0,"O Google leu como fórmula: digite de novo com ' na frente.","")</f>
        <v/>
      </c>
      <c r="N605" s="19">
        <f>N604+IF(LEN($X$605)&gt;0,1,0)</f>
        <v/>
      </c>
      <c r="X605" s="19">
        <f>IF(ISERROR($B$605),"",IF(ISBLANK($B$605),"",$B$605))</f>
        <v/>
      </c>
      <c r="AG605" s="19">
        <f>ISERROR($B$605)*1</f>
        <v/>
      </c>
    </row>
    <row r="606" ht="26" customHeight="1">
      <c r="B606" s="31" t="inlineStr">
        <is>
          <t>a testemunha embarca hoje à noite</t>
        </is>
      </c>
      <c r="K606" s="18">
        <f>IF(AG606&gt;0,"O Google leu como fórmula: digite de novo com ' na frente.","")</f>
        <v/>
      </c>
      <c r="N606" s="19">
        <f>N605+IF(LEN($X$606)&gt;0,1,0)</f>
        <v/>
      </c>
      <c r="X606" s="19">
        <f>IF(ISERROR($B$606),"",IF(ISBLANK($B$606),"",$B$606))</f>
        <v/>
      </c>
      <c r="AG606" s="19">
        <f>ISERROR($B$606)*1</f>
        <v/>
      </c>
    </row>
    <row r="607" ht="26" customHeight="1">
      <c r="B607" s="30" t="inlineStr">
        <is>
          <t>o sinal se apaga em seis dias</t>
        </is>
      </c>
      <c r="K607" s="18">
        <f>IF(AG607&gt;0,"O Google leu como fórmula: digite de novo com ' na frente.","")</f>
        <v/>
      </c>
      <c r="N607" s="19">
        <f>N606+IF(LEN($X$607)&gt;0,1,0)</f>
        <v/>
      </c>
      <c r="X607" s="19">
        <f>IF(ISERROR($B$607),"",IF(ISBLANK($B$607),"",$B$607))</f>
        <v/>
      </c>
      <c r="AG607" s="19">
        <f>ISERROR($B$607)*1</f>
        <v/>
      </c>
    </row>
    <row r="608" ht="26" customHeight="1">
      <c r="B608" s="31" t="inlineStr">
        <is>
          <t>o inverno fecha as estradas em uma semana</t>
        </is>
      </c>
      <c r="K608" s="18">
        <f>IF(AG608&gt;0,"O Google leu como fórmula: digite de novo com ' na frente.","")</f>
        <v/>
      </c>
      <c r="N608" s="19">
        <f>N607+IF(LEN($X$608)&gt;0,1,0)</f>
        <v/>
      </c>
      <c r="X608" s="19">
        <f>IF(ISERROR($B$608),"",IF(ISBLANK($B$608),"",$B$608))</f>
        <v/>
      </c>
      <c r="AG608" s="19">
        <f>ISERROR($B$608)*1</f>
        <v/>
      </c>
    </row>
    <row r="609" ht="26" customHeight="1">
      <c r="B609" s="30" t="n"/>
      <c r="K609" s="18">
        <f>IF(AG609&gt;0,"O Google leu como fórmula: digite de novo com ' na frente.","")</f>
        <v/>
      </c>
      <c r="N609" s="19">
        <f>N608+IF(LEN($X$609)&gt;0,1,0)</f>
        <v/>
      </c>
      <c r="X609" s="19">
        <f>IF(ISERROR($B$609),"",IF(ISBLANK($B$609),"",$B$609))</f>
        <v/>
      </c>
      <c r="AG609" s="19">
        <f>ISERROR($B$609)*1</f>
        <v/>
      </c>
    </row>
    <row r="610" ht="26" customHeight="1">
      <c r="B610" s="31" t="n"/>
      <c r="K610" s="18">
        <f>IF(AG610&gt;0,"O Google leu como fórmula: digite de novo com ' na frente.","")</f>
        <v/>
      </c>
      <c r="N610" s="19">
        <f>N609+IF(LEN($X$610)&gt;0,1,0)</f>
        <v/>
      </c>
      <c r="X610" s="19">
        <f>IF(ISERROR($B$610),"",IF(ISBLANK($B$610),"",$B$610))</f>
        <v/>
      </c>
      <c r="AG610" s="19">
        <f>ISERROR($B$610)*1</f>
        <v/>
      </c>
    </row>
    <row r="611" ht="26" customHeight="1">
      <c r="B611" s="30" t="n"/>
      <c r="K611" s="18">
        <f>IF(AG611&gt;0,"O Google leu como fórmula: digite de novo com ' na frente.","")</f>
        <v/>
      </c>
      <c r="N611" s="19">
        <f>N610+IF(LEN($X$611)&gt;0,1,0)</f>
        <v/>
      </c>
      <c r="X611" s="19">
        <f>IF(ISERROR($B$611),"",IF(ISBLANK($B$611),"",$B$611))</f>
        <v/>
      </c>
      <c r="AG611" s="19">
        <f>ISERROR($B$611)*1</f>
        <v/>
      </c>
    </row>
    <row r="612" ht="26" customHeight="1">
      <c r="B612" s="31" t="n"/>
      <c r="K612" s="18">
        <f>IF(AG612&gt;0,"O Google leu como fórmula: digite de novo com ' na frente.","")</f>
        <v/>
      </c>
      <c r="N612" s="19">
        <f>N611+IF(LEN($X$612)&gt;0,1,0)</f>
        <v/>
      </c>
      <c r="X612" s="19">
        <f>IF(ISERROR($B$612),"",IF(ISBLANK($B$612),"",$B$612))</f>
        <v/>
      </c>
      <c r="AG612" s="19">
        <f>ISERROR($B$612)*1</f>
        <v/>
      </c>
    </row>
    <row r="613" ht="26" customHeight="1">
      <c r="B613" s="30" t="n"/>
      <c r="K613" s="18">
        <f>IF(AG613&gt;0,"O Google leu como fórmula: digite de novo com ' na frente.","")</f>
        <v/>
      </c>
      <c r="N613" s="19">
        <f>N612+IF(LEN($X$613)&gt;0,1,0)</f>
        <v/>
      </c>
      <c r="X613" s="19">
        <f>IF(ISERROR($B$613),"",IF(ISBLANK($B$613),"",$B$613))</f>
        <v/>
      </c>
      <c r="AG613" s="19">
        <f>ISERROR($B$613)*1</f>
        <v/>
      </c>
    </row>
    <row r="614" ht="15" customHeight="1">
      <c r="B614" s="7" t="inlineStr">
        <is>
          <t>Prazo ou risco</t>
        </is>
      </c>
      <c r="N614" s="19">
        <f>N613</f>
        <v/>
      </c>
      <c r="X614" s="19">
        <f>IF(ISERROR($B$614),"",IF(ISBLANK($B$614),"",$B$614))</f>
        <v/>
      </c>
    </row>
    <row r="615" ht="26" customHeight="1">
      <c r="B615" s="30" t="n"/>
      <c r="K615" s="18">
        <f>IF(AG615&gt;0,"O Google leu como fórmula: digite de novo com ' na frente.","")</f>
        <v/>
      </c>
      <c r="N615" s="19">
        <f>N614+IF(LEN($X$615)&gt;0,1,0)</f>
        <v/>
      </c>
      <c r="X615" s="19">
        <f>IF(ISERROR($B$615),"",IF(ISBLANK($B$615),"",$B$615))</f>
        <v/>
      </c>
      <c r="AG615" s="19">
        <f>ISERROR($B$615)*1</f>
        <v/>
      </c>
    </row>
    <row r="616" ht="26" customHeight="1">
      <c r="B616" s="31" t="n"/>
      <c r="K616" s="18">
        <f>IF(AG616&gt;0,"O Google leu como fórmula: digite de novo com ' na frente.","")</f>
        <v/>
      </c>
      <c r="N616" s="19">
        <f>N615+IF(LEN($X$616)&gt;0,1,0)</f>
        <v/>
      </c>
      <c r="X616" s="19">
        <f>IF(ISERROR($B$616),"",IF(ISBLANK($B$616),"",$B$616))</f>
        <v/>
      </c>
      <c r="AG616" s="19">
        <f>ISERROR($B$616)*1</f>
        <v/>
      </c>
    </row>
    <row r="617" ht="26" customHeight="1">
      <c r="B617" s="30" t="n"/>
      <c r="K617" s="18">
        <f>IF(AG617&gt;0,"O Google leu como fórmula: digite de novo com ' na frente.","")</f>
        <v/>
      </c>
      <c r="N617" s="19">
        <f>N616+IF(LEN($X$617)&gt;0,1,0)</f>
        <v/>
      </c>
      <c r="X617" s="19">
        <f>IF(ISERROR($B$617),"",IF(ISBLANK($B$617),"",$B$617))</f>
        <v/>
      </c>
      <c r="AG617" s="19">
        <f>ISERROR($B$617)*1</f>
        <v/>
      </c>
    </row>
    <row r="618" ht="26" customHeight="1">
      <c r="B618" s="31" t="n"/>
      <c r="K618" s="18">
        <f>IF(AG618&gt;0,"O Google leu como fórmula: digite de novo com ' na frente.","")</f>
        <v/>
      </c>
      <c r="N618" s="19">
        <f>N617+IF(LEN($X$618)&gt;0,1,0)</f>
        <v/>
      </c>
      <c r="X618" s="19">
        <f>IF(ISERROR($B$618),"",IF(ISBLANK($B$618),"",$B$618))</f>
        <v/>
      </c>
      <c r="AG618" s="19">
        <f>ISERROR($B$618)*1</f>
        <v/>
      </c>
    </row>
    <row r="619" ht="26" customHeight="1">
      <c r="B619" s="30" t="n"/>
      <c r="K619" s="18">
        <f>IF(AG619&gt;0,"O Google leu como fórmula: digite de novo com ' na frente.","")</f>
        <v/>
      </c>
      <c r="N619" s="19">
        <f>N618+IF(LEN($X$619)&gt;0,1,0)</f>
        <v/>
      </c>
      <c r="X619" s="19">
        <f>IF(ISERROR($B$619),"",IF(ISBLANK($B$619),"",$B$619))</f>
        <v/>
      </c>
      <c r="AG619" s="19">
        <f>ISERROR($B$619)*1</f>
        <v/>
      </c>
    </row>
    <row r="620" ht="26" customHeight="1">
      <c r="B620" s="31" t="n"/>
      <c r="K620" s="18">
        <f>IF(AG620&gt;0,"O Google leu como fórmula: digite de novo com ' na frente.","")</f>
        <v/>
      </c>
      <c r="N620" s="19">
        <f>N619+IF(LEN($X$620)&gt;0,1,0)</f>
        <v/>
      </c>
      <c r="X620" s="19">
        <f>IF(ISERROR($B$620),"",IF(ISBLANK($B$620),"",$B$620))</f>
        <v/>
      </c>
      <c r="AG620" s="19">
        <f>ISERROR($B$620)*1</f>
        <v/>
      </c>
    </row>
    <row r="621" ht="26" customHeight="1">
      <c r="B621" s="30" t="n"/>
      <c r="K621" s="18">
        <f>IF(AG621&gt;0,"O Google leu como fórmula: digite de novo com ' na frente.","")</f>
        <v/>
      </c>
      <c r="N621" s="19">
        <f>N620+IF(LEN($X$621)&gt;0,1,0)</f>
        <v/>
      </c>
      <c r="X621" s="19">
        <f>IF(ISERROR($B$621),"",IF(ISBLANK($B$621),"",$B$621))</f>
        <v/>
      </c>
      <c r="AG621" s="19">
        <f>ISERROR($B$621)*1</f>
        <v/>
      </c>
    </row>
    <row r="622" ht="26" customHeight="1">
      <c r="B622" s="31" t="n"/>
      <c r="K622" s="18">
        <f>IF(AG622&gt;0,"O Google leu como fórmula: digite de novo com ' na frente.","")</f>
        <v/>
      </c>
      <c r="N622" s="19">
        <f>N621+IF(LEN($X$622)&gt;0,1,0)</f>
        <v/>
      </c>
      <c r="X622" s="19">
        <f>IF(ISERROR($B$622),"",IF(ISBLANK($B$622),"",$B$622))</f>
        <v/>
      </c>
      <c r="AG622" s="19">
        <f>ISERROR($B$622)*1</f>
        <v/>
      </c>
    </row>
    <row r="623" ht="26" customHeight="1">
      <c r="B623" s="30" t="n"/>
      <c r="K623" s="18">
        <f>IF(AG623&gt;0,"O Google leu como fórmula: digite de novo com ' na frente.","")</f>
        <v/>
      </c>
      <c r="N623" s="19">
        <f>N622+IF(LEN($X$623)&gt;0,1,0)</f>
        <v/>
      </c>
      <c r="X623" s="19">
        <f>IF(ISERROR($B$623),"",IF(ISBLANK($B$623),"",$B$623))</f>
        <v/>
      </c>
      <c r="AG623" s="19">
        <f>ISERROR($B$623)*1</f>
        <v/>
      </c>
    </row>
    <row r="624" ht="26" customHeight="1">
      <c r="B624" s="31" t="n"/>
      <c r="K624" s="18">
        <f>IF(AG624&gt;0,"O Google leu como fórmula: digite de novo com ' na frente.","")</f>
        <v/>
      </c>
      <c r="N624" s="19">
        <f>N623+IF(LEN($X$624)&gt;0,1,0)</f>
        <v/>
      </c>
      <c r="X624" s="19">
        <f>IF(ISERROR($B$624),"",IF(ISBLANK($B$624),"",$B$624))</f>
        <v/>
      </c>
      <c r="AG624" s="19">
        <f>ISERROR($B$624)*1</f>
        <v/>
      </c>
    </row>
    <row r="625" ht="26" customHeight="1">
      <c r="B625" s="30" t="n"/>
      <c r="K625" s="18">
        <f>IF(AG625&gt;0,"O Google leu como fórmula: digite de novo com ' na frente.","")</f>
        <v/>
      </c>
      <c r="N625" s="19">
        <f>N624+IF(LEN($X$625)&gt;0,1,0)</f>
        <v/>
      </c>
      <c r="X625" s="19">
        <f>IF(ISERROR($B$625),"",IF(ISBLANK($B$625),"",$B$625))</f>
        <v/>
      </c>
      <c r="AG625" s="19">
        <f>ISERROR($B$625)*1</f>
        <v/>
      </c>
    </row>
    <row r="626" ht="26" customHeight="1">
      <c r="B626" s="31" t="n"/>
      <c r="K626" s="18">
        <f>IF(AG626&gt;0,"O Google leu como fórmula: digite de novo com ' na frente.","")</f>
        <v/>
      </c>
      <c r="N626" s="19">
        <f>N625+IF(LEN($X$626)&gt;0,1,0)</f>
        <v/>
      </c>
      <c r="X626" s="19">
        <f>IF(ISERROR($B$626),"",IF(ISBLANK($B$626),"",$B$626))</f>
        <v/>
      </c>
      <c r="AG626" s="19">
        <f>ISERROR($B$626)*1</f>
        <v/>
      </c>
    </row>
    <row r="627" ht="26" customHeight="1">
      <c r="B627" s="30" t="n"/>
      <c r="K627" s="18">
        <f>IF(AG627&gt;0,"O Google leu como fórmula: digite de novo com ' na frente.","")</f>
        <v/>
      </c>
      <c r="N627" s="19">
        <f>N626+IF(LEN($X$627)&gt;0,1,0)</f>
        <v/>
      </c>
      <c r="X627" s="19">
        <f>IF(ISERROR($B$627),"",IF(ISBLANK($B$627),"",$B$627))</f>
        <v/>
      </c>
      <c r="AG627" s="19">
        <f>ISERROR($B$627)*1</f>
        <v/>
      </c>
    </row>
    <row r="628" ht="15" customHeight="1">
      <c r="B628" s="7" t="inlineStr">
        <is>
          <t>Prazo ou risco</t>
        </is>
      </c>
      <c r="N628" s="19">
        <f>N627</f>
        <v/>
      </c>
      <c r="X628" s="19">
        <f>IF(ISERROR($B$628),"",IF(ISBLANK($B$628),"",$B$628))</f>
        <v/>
      </c>
    </row>
    <row r="629" ht="26" customHeight="1">
      <c r="B629" s="30" t="n"/>
      <c r="K629" s="18">
        <f>IF(AG629&gt;0,"O Google leu como fórmula: digite de novo com ' na frente.","")</f>
        <v/>
      </c>
      <c r="N629" s="19">
        <f>N628+IF(LEN($X$629)&gt;0,1,0)</f>
        <v/>
      </c>
      <c r="X629" s="19">
        <f>IF(ISERROR($B$629),"",IF(ISBLANK($B$629),"",$B$629))</f>
        <v/>
      </c>
      <c r="AG629" s="19">
        <f>ISERROR($B$629)*1</f>
        <v/>
      </c>
    </row>
    <row r="630" ht="26" customHeight="1">
      <c r="B630" s="31" t="n"/>
      <c r="K630" s="18">
        <f>IF(AG630&gt;0,"O Google leu como fórmula: digite de novo com ' na frente.","")</f>
        <v/>
      </c>
      <c r="N630" s="19">
        <f>N629+IF(LEN($X$630)&gt;0,1,0)</f>
        <v/>
      </c>
      <c r="X630" s="19">
        <f>IF(ISERROR($B$630),"",IF(ISBLANK($B$630),"",$B$630))</f>
        <v/>
      </c>
      <c r="AG630" s="19">
        <f>ISERROR($B$630)*1</f>
        <v/>
      </c>
    </row>
    <row r="631" ht="26" customHeight="1">
      <c r="B631" s="30" t="n"/>
      <c r="K631" s="18">
        <f>IF(AG631&gt;0,"O Google leu como fórmula: digite de novo com ' na frente.","")</f>
        <v/>
      </c>
      <c r="N631" s="19">
        <f>N630+IF(LEN($X$631)&gt;0,1,0)</f>
        <v/>
      </c>
      <c r="X631" s="19">
        <f>IF(ISERROR($B$631),"",IF(ISBLANK($B$631),"",$B$631))</f>
        <v/>
      </c>
      <c r="AG631" s="19">
        <f>ISERROR($B$631)*1</f>
        <v/>
      </c>
    </row>
    <row r="632" ht="26" customHeight="1">
      <c r="B632" s="31" t="n"/>
      <c r="K632" s="18">
        <f>IF(AG632&gt;0,"O Google leu como fórmula: digite de novo com ' na frente.","")</f>
        <v/>
      </c>
      <c r="N632" s="19">
        <f>N631+IF(LEN($X$632)&gt;0,1,0)</f>
        <v/>
      </c>
      <c r="X632" s="19">
        <f>IF(ISERROR($B$632),"",IF(ISBLANK($B$632),"",$B$632))</f>
        <v/>
      </c>
      <c r="AG632" s="19">
        <f>ISERROR($B$632)*1</f>
        <v/>
      </c>
    </row>
    <row r="633" ht="26" customHeight="1">
      <c r="B633" s="30" t="n"/>
      <c r="K633" s="18">
        <f>IF(AG633&gt;0,"O Google leu como fórmula: digite de novo com ' na frente.","")</f>
        <v/>
      </c>
      <c r="N633" s="19">
        <f>N632+IF(LEN($X$633)&gt;0,1,0)</f>
        <v/>
      </c>
      <c r="X633" s="19">
        <f>IF(ISERROR($B$633),"",IF(ISBLANK($B$633),"",$B$633))</f>
        <v/>
      </c>
      <c r="AG633" s="19">
        <f>ISERROR($B$633)*1</f>
        <v/>
      </c>
    </row>
    <row r="634" ht="26" customHeight="1">
      <c r="B634" s="31" t="n"/>
      <c r="K634" s="18">
        <f>IF(AG634&gt;0,"O Google leu como fórmula: digite de novo com ' na frente.","")</f>
        <v/>
      </c>
      <c r="N634" s="19">
        <f>N633+IF(LEN($X$634)&gt;0,1,0)</f>
        <v/>
      </c>
      <c r="X634" s="19">
        <f>IF(ISERROR($B$634),"",IF(ISBLANK($B$634),"",$B$634))</f>
        <v/>
      </c>
      <c r="AG634" s="19">
        <f>ISERROR($B$634)*1</f>
        <v/>
      </c>
    </row>
    <row r="635" ht="26" customHeight="1">
      <c r="B635" s="30" t="n"/>
      <c r="K635" s="18">
        <f>IF(AG635&gt;0,"O Google leu como fórmula: digite de novo com ' na frente.","")</f>
        <v/>
      </c>
      <c r="N635" s="19">
        <f>N634+IF(LEN($X$635)&gt;0,1,0)</f>
        <v/>
      </c>
      <c r="X635" s="19">
        <f>IF(ISERROR($B$635),"",IF(ISBLANK($B$635),"",$B$635))</f>
        <v/>
      </c>
      <c r="AG635" s="19">
        <f>ISERROR($B$635)*1</f>
        <v/>
      </c>
    </row>
    <row r="636" ht="26" customHeight="1">
      <c r="B636" s="31" t="n"/>
      <c r="K636" s="18">
        <f>IF(AG636&gt;0,"O Google leu como fórmula: digite de novo com ' na frente.","")</f>
        <v/>
      </c>
      <c r="N636" s="19">
        <f>N635+IF(LEN($X$636)&gt;0,1,0)</f>
        <v/>
      </c>
      <c r="X636" s="19">
        <f>IF(ISERROR($B$636),"",IF(ISBLANK($B$636),"",$B$636))</f>
        <v/>
      </c>
      <c r="AG636" s="19">
        <f>ISERROR($B$636)*1</f>
        <v/>
      </c>
    </row>
    <row r="637" ht="26" customHeight="1">
      <c r="B637" s="30" t="n"/>
      <c r="K637" s="18">
        <f>IF(AG637&gt;0,"O Google leu como fórmula: digite de novo com ' na frente.","")</f>
        <v/>
      </c>
      <c r="N637" s="19">
        <f>N636+IF(LEN($X$637)&gt;0,1,0)</f>
        <v/>
      </c>
      <c r="X637" s="19">
        <f>IF(ISERROR($B$637),"",IF(ISBLANK($B$637),"",$B$637))</f>
        <v/>
      </c>
      <c r="AG637" s="19">
        <f>ISERROR($B$637)*1</f>
        <v/>
      </c>
    </row>
    <row r="638" ht="26" customHeight="1">
      <c r="B638" s="31" t="n"/>
      <c r="K638" s="18">
        <f>IF(AG638&gt;0,"O Google leu como fórmula: digite de novo com ' na frente.","")</f>
        <v/>
      </c>
      <c r="N638" s="19">
        <f>N637+IF(LEN($X$638)&gt;0,1,0)</f>
        <v/>
      </c>
      <c r="X638" s="19">
        <f>IF(ISERROR($B$638),"",IF(ISBLANK($B$638),"",$B$638))</f>
        <v/>
      </c>
      <c r="AG638" s="19">
        <f>ISERROR($B$638)*1</f>
        <v/>
      </c>
    </row>
    <row r="639" ht="26" customHeight="1">
      <c r="B639" s="30" t="n"/>
      <c r="K639" s="18">
        <f>IF(AG639&gt;0,"O Google leu como fórmula: digite de novo com ' na frente.","")</f>
        <v/>
      </c>
      <c r="N639" s="19">
        <f>N638+IF(LEN($X$639)&gt;0,1,0)</f>
        <v/>
      </c>
      <c r="X639" s="19">
        <f>IF(ISERROR($B$639),"",IF(ISBLANK($B$639),"",$B$639))</f>
        <v/>
      </c>
      <c r="AG639" s="19">
        <f>ISERROR($B$639)*1</f>
        <v/>
      </c>
    </row>
    <row r="640" ht="26" customHeight="1">
      <c r="B640" s="31" t="n"/>
      <c r="K640" s="18">
        <f>IF(AG640&gt;0,"O Google leu como fórmula: digite de novo com ' na frente.","")</f>
        <v/>
      </c>
      <c r="N640" s="19">
        <f>N639+IF(LEN($X$640)&gt;0,1,0)</f>
        <v/>
      </c>
      <c r="X640" s="19">
        <f>IF(ISERROR($B$640),"",IF(ISBLANK($B$640),"",$B$640))</f>
        <v/>
      </c>
      <c r="AG640" s="19">
        <f>ISERROR($B$640)*1</f>
        <v/>
      </c>
    </row>
    <row r="641" ht="26" customHeight="1">
      <c r="B641" s="30" t="n"/>
      <c r="K641" s="18">
        <f>IF(AG641&gt;0,"O Google leu como fórmula: digite de novo com ' na frente.","")</f>
        <v/>
      </c>
      <c r="N641" s="19">
        <f>N640+IF(LEN($X$641)&gt;0,1,0)</f>
        <v/>
      </c>
      <c r="X641" s="19">
        <f>IF(ISERROR($B$641),"",IF(ISBLANK($B$641),"",$B$641))</f>
        <v/>
      </c>
      <c r="AG641" s="19">
        <f>ISERROR($B$641)*1</f>
        <v/>
      </c>
    </row>
    <row r="642" ht="15" customHeight="1">
      <c r="B642" s="7" t="inlineStr">
        <is>
          <t>Prazo ou risco</t>
        </is>
      </c>
      <c r="N642" s="19">
        <f>N641</f>
        <v/>
      </c>
      <c r="X642" s="19">
        <f>IF(ISERROR($B$642),"",IF(ISBLANK($B$642),"",$B$642))</f>
        <v/>
      </c>
    </row>
    <row r="643" ht="26" customHeight="1">
      <c r="B643" s="30" t="n"/>
      <c r="K643" s="18">
        <f>IF(AG643&gt;0,"O Google leu como fórmula: digite de novo com ' na frente.","")</f>
        <v/>
      </c>
      <c r="N643" s="19">
        <f>N642+IF(LEN($X$643)&gt;0,1,0)</f>
        <v/>
      </c>
      <c r="X643" s="19">
        <f>IF(ISERROR($B$643),"",IF(ISBLANK($B$643),"",$B$643))</f>
        <v/>
      </c>
      <c r="AG643" s="19">
        <f>ISERROR($B$643)*1</f>
        <v/>
      </c>
    </row>
    <row r="644" ht="26" customHeight="1">
      <c r="B644" s="31" t="n"/>
      <c r="K644" s="18">
        <f>IF(AG644&gt;0,"O Google leu como fórmula: digite de novo com ' na frente.","")</f>
        <v/>
      </c>
      <c r="N644" s="19">
        <f>N643+IF(LEN($X$644)&gt;0,1,0)</f>
        <v/>
      </c>
      <c r="X644" s="19">
        <f>IF(ISERROR($B$644),"",IF(ISBLANK($B$644),"",$B$644))</f>
        <v/>
      </c>
      <c r="AG644" s="19">
        <f>ISERROR($B$644)*1</f>
        <v/>
      </c>
    </row>
    <row r="645" ht="26" customHeight="1">
      <c r="B645" s="30" t="n"/>
      <c r="K645" s="18">
        <f>IF(AG645&gt;0,"O Google leu como fórmula: digite de novo com ' na frente.","")</f>
        <v/>
      </c>
      <c r="N645" s="19">
        <f>N644+IF(LEN($X$645)&gt;0,1,0)</f>
        <v/>
      </c>
      <c r="X645" s="19">
        <f>IF(ISERROR($B$645),"",IF(ISBLANK($B$645),"",$B$645))</f>
        <v/>
      </c>
      <c r="AG645" s="19">
        <f>ISERROR($B$645)*1</f>
        <v/>
      </c>
    </row>
    <row r="646" ht="26" customHeight="1">
      <c r="B646" s="31" t="n"/>
      <c r="K646" s="18">
        <f>IF(AG646&gt;0,"O Google leu como fórmula: digite de novo com ' na frente.","")</f>
        <v/>
      </c>
      <c r="N646" s="19">
        <f>N645+IF(LEN($X$646)&gt;0,1,0)</f>
        <v/>
      </c>
      <c r="X646" s="19">
        <f>IF(ISERROR($B$646),"",IF(ISBLANK($B$646),"",$B$646))</f>
        <v/>
      </c>
      <c r="AG646" s="19">
        <f>ISERROR($B$646)*1</f>
        <v/>
      </c>
    </row>
    <row r="647" ht="26" customHeight="1">
      <c r="B647" s="30" t="n"/>
      <c r="K647" s="18">
        <f>IF(AG647&gt;0,"O Google leu como fórmula: digite de novo com ' na frente.","")</f>
        <v/>
      </c>
      <c r="N647" s="19">
        <f>N646+IF(LEN($X$647)&gt;0,1,0)</f>
        <v/>
      </c>
      <c r="X647" s="19">
        <f>IF(ISERROR($B$647),"",IF(ISBLANK($B$647),"",$B$647))</f>
        <v/>
      </c>
      <c r="AG647" s="19">
        <f>ISERROR($B$647)*1</f>
        <v/>
      </c>
    </row>
    <row r="648" ht="26" customHeight="1">
      <c r="B648" s="31" t="n"/>
      <c r="K648" s="18">
        <f>IF(AG648&gt;0,"O Google leu como fórmula: digite de novo com ' na frente.","")</f>
        <v/>
      </c>
      <c r="N648" s="19">
        <f>N647+IF(LEN($X$648)&gt;0,1,0)</f>
        <v/>
      </c>
      <c r="X648" s="19">
        <f>IF(ISERROR($B$648),"",IF(ISBLANK($B$648),"",$B$648))</f>
        <v/>
      </c>
      <c r="AG648" s="19">
        <f>ISERROR($B$648)*1</f>
        <v/>
      </c>
    </row>
    <row r="649" ht="26" customHeight="1">
      <c r="B649" s="30" t="n"/>
      <c r="K649" s="18">
        <f>IF(AG649&gt;0,"O Google leu como fórmula: digite de novo com ' na frente.","")</f>
        <v/>
      </c>
      <c r="N649" s="19">
        <f>N648+IF(LEN($X$649)&gt;0,1,0)</f>
        <v/>
      </c>
      <c r="X649" s="19">
        <f>IF(ISERROR($B$649),"",IF(ISBLANK($B$649),"",$B$649))</f>
        <v/>
      </c>
      <c r="AG649" s="19">
        <f>ISERROR($B$649)*1</f>
        <v/>
      </c>
    </row>
    <row r="650" ht="26" customHeight="1">
      <c r="B650" s="31" t="n"/>
      <c r="K650" s="18">
        <f>IF(AG650&gt;0,"O Google leu como fórmula: digite de novo com ' na frente.","")</f>
        <v/>
      </c>
      <c r="N650" s="19">
        <f>N649+IF(LEN($X$650)&gt;0,1,0)</f>
        <v/>
      </c>
      <c r="X650" s="19">
        <f>IF(ISERROR($B$650),"",IF(ISBLANK($B$650),"",$B$650))</f>
        <v/>
      </c>
      <c r="AG650" s="19">
        <f>ISERROR($B$650)*1</f>
        <v/>
      </c>
    </row>
    <row r="651" ht="26" customHeight="1">
      <c r="B651" s="30" t="n"/>
      <c r="K651" s="18">
        <f>IF(AG651&gt;0,"O Google leu como fórmula: digite de novo com ' na frente.","")</f>
        <v/>
      </c>
      <c r="N651" s="19">
        <f>N650+IF(LEN($X$651)&gt;0,1,0)</f>
        <v/>
      </c>
      <c r="X651" s="19">
        <f>IF(ISERROR($B$651),"",IF(ISBLANK($B$651),"",$B$651))</f>
        <v/>
      </c>
      <c r="AG651" s="19">
        <f>ISERROR($B$651)*1</f>
        <v/>
      </c>
    </row>
    <row r="652" ht="26" customHeight="1">
      <c r="B652" s="31" t="n"/>
      <c r="K652" s="18">
        <f>IF(AG652&gt;0,"O Google leu como fórmula: digite de novo com ' na frente.","")</f>
        <v/>
      </c>
      <c r="N652" s="19">
        <f>N651+IF(LEN($X$652)&gt;0,1,0)</f>
        <v/>
      </c>
      <c r="X652" s="19">
        <f>IF(ISERROR($B$652),"",IF(ISBLANK($B$652),"",$B$652))</f>
        <v/>
      </c>
      <c r="AG652" s="19">
        <f>ISERROR($B$652)*1</f>
        <v/>
      </c>
    </row>
    <row r="653" ht="26" customHeight="1">
      <c r="B653" s="30" t="n"/>
      <c r="K653" s="18">
        <f>IF(AG653&gt;0,"O Google leu como fórmula: digite de novo com ' na frente.","")</f>
        <v/>
      </c>
      <c r="N653" s="19">
        <f>N652+IF(LEN($X$653)&gt;0,1,0)</f>
        <v/>
      </c>
      <c r="X653" s="19">
        <f>IF(ISERROR($B$653),"",IF(ISBLANK($B$653),"",$B$653))</f>
        <v/>
      </c>
      <c r="AG653" s="19">
        <f>ISERROR($B$653)*1</f>
        <v/>
      </c>
    </row>
    <row r="654" ht="26" customHeight="1">
      <c r="B654" s="31" t="n"/>
      <c r="K654" s="18">
        <f>IF(AG654&gt;0,"O Google leu como fórmula: digite de novo com ' na frente.","")</f>
        <v/>
      </c>
      <c r="N654" s="19">
        <f>N653+IF(LEN($X$654)&gt;0,1,0)</f>
        <v/>
      </c>
      <c r="X654" s="19">
        <f>IF(ISERROR($B$654),"",IF(ISBLANK($B$654),"",$B$654))</f>
        <v/>
      </c>
      <c r="AG654" s="19">
        <f>ISERROR($B$654)*1</f>
        <v/>
      </c>
    </row>
    <row r="655" ht="26" customHeight="1">
      <c r="B655" s="30" t="n"/>
      <c r="K655" s="18">
        <f>IF(AG655&gt;0,"O Google leu como fórmula: digite de novo com ' na frente.","")</f>
        <v/>
      </c>
      <c r="N655" s="19">
        <f>N654+IF(LEN($X$655)&gt;0,1,0)</f>
        <v/>
      </c>
      <c r="X655" s="19">
        <f>IF(ISERROR($B$655),"",IF(ISBLANK($B$655),"",$B$655))</f>
        <v/>
      </c>
      <c r="AG655" s="19">
        <f>ISERROR($B$655)*1</f>
        <v/>
      </c>
    </row>
    <row r="656" ht="15" customHeight="1">
      <c r="B656" s="7" t="inlineStr">
        <is>
          <t>Prazo ou risco</t>
        </is>
      </c>
      <c r="N656" s="19">
        <f>N655</f>
        <v/>
      </c>
      <c r="X656" s="19">
        <f>IF(ISERROR($B$656),"",IF(ISBLANK($B$656),"",$B$656))</f>
        <v/>
      </c>
    </row>
    <row r="657" ht="26" customHeight="1">
      <c r="B657" s="30" t="n"/>
      <c r="K657" s="18">
        <f>IF(AG657&gt;0,"O Google leu como fórmula: digite de novo com ' na frente.","")</f>
        <v/>
      </c>
      <c r="N657" s="19">
        <f>N656+IF(LEN($X$657)&gt;0,1,0)</f>
        <v/>
      </c>
      <c r="X657" s="19">
        <f>IF(ISERROR($B$657),"",IF(ISBLANK($B$657),"",$B$657))</f>
        <v/>
      </c>
      <c r="AG657" s="19">
        <f>ISERROR($B$657)*1</f>
        <v/>
      </c>
    </row>
    <row r="658" ht="26" customHeight="1">
      <c r="B658" s="31" t="n"/>
      <c r="K658" s="18">
        <f>IF(AG658&gt;0,"O Google leu como fórmula: digite de novo com ' na frente.","")</f>
        <v/>
      </c>
      <c r="N658" s="19">
        <f>N657+IF(LEN($X$658)&gt;0,1,0)</f>
        <v/>
      </c>
      <c r="X658" s="19">
        <f>IF(ISERROR($B$658),"",IF(ISBLANK($B$658),"",$B$658))</f>
        <v/>
      </c>
      <c r="AG658" s="19">
        <f>ISERROR($B$658)*1</f>
        <v/>
      </c>
    </row>
    <row r="659" ht="26" customHeight="1">
      <c r="B659" s="30" t="n"/>
      <c r="K659" s="18">
        <f>IF(AG659&gt;0,"O Google leu como fórmula: digite de novo com ' na frente.","")</f>
        <v/>
      </c>
      <c r="N659" s="19">
        <f>N658+IF(LEN($X$659)&gt;0,1,0)</f>
        <v/>
      </c>
      <c r="X659" s="19">
        <f>IF(ISERROR($B$659),"",IF(ISBLANK($B$659),"",$B$659))</f>
        <v/>
      </c>
      <c r="AG659" s="19">
        <f>ISERROR($B$659)*1</f>
        <v/>
      </c>
    </row>
    <row r="660" ht="26" customHeight="1">
      <c r="B660" s="31" t="n"/>
      <c r="K660" s="18">
        <f>IF(AG660&gt;0,"O Google leu como fórmula: digite de novo com ' na frente.","")</f>
        <v/>
      </c>
      <c r="N660" s="19">
        <f>N659+IF(LEN($X$660)&gt;0,1,0)</f>
        <v/>
      </c>
      <c r="X660" s="19">
        <f>IF(ISERROR($B$660),"",IF(ISBLANK($B$660),"",$B$660))</f>
        <v/>
      </c>
      <c r="AG660" s="19">
        <f>ISERROR($B$660)*1</f>
        <v/>
      </c>
    </row>
    <row r="661" ht="26" customHeight="1">
      <c r="B661" s="30" t="n"/>
      <c r="K661" s="18">
        <f>IF(AG661&gt;0,"O Google leu como fórmula: digite de novo com ' na frente.","")</f>
        <v/>
      </c>
      <c r="N661" s="19">
        <f>N660+IF(LEN($X$661)&gt;0,1,0)</f>
        <v/>
      </c>
      <c r="X661" s="19">
        <f>IF(ISERROR($B$661),"",IF(ISBLANK($B$661),"",$B$661))</f>
        <v/>
      </c>
      <c r="AG661" s="19">
        <f>ISERROR($B$661)*1</f>
        <v/>
      </c>
    </row>
    <row r="662" ht="26" customHeight="1">
      <c r="B662" s="31" t="n"/>
      <c r="K662" s="18">
        <f>IF(AG662&gt;0,"O Google leu como fórmula: digite de novo com ' na frente.","")</f>
        <v/>
      </c>
      <c r="N662" s="19">
        <f>N661+IF(LEN($X$662)&gt;0,1,0)</f>
        <v/>
      </c>
      <c r="X662" s="19">
        <f>IF(ISERROR($B$662),"",IF(ISBLANK($B$662),"",$B$662))</f>
        <v/>
      </c>
      <c r="AG662" s="19">
        <f>ISERROR($B$662)*1</f>
        <v/>
      </c>
    </row>
    <row r="663" ht="26" customHeight="1">
      <c r="B663" s="30" t="n"/>
      <c r="K663" s="18">
        <f>IF(AG663&gt;0,"O Google leu como fórmula: digite de novo com ' na frente.","")</f>
        <v/>
      </c>
      <c r="N663" s="19">
        <f>N662+IF(LEN($X$663)&gt;0,1,0)</f>
        <v/>
      </c>
      <c r="X663" s="19">
        <f>IF(ISERROR($B$663),"",IF(ISBLANK($B$663),"",$B$663))</f>
        <v/>
      </c>
      <c r="AG663" s="19">
        <f>ISERROR($B$663)*1</f>
        <v/>
      </c>
    </row>
    <row r="664" ht="26" customHeight="1">
      <c r="B664" s="31" t="n"/>
      <c r="K664" s="18">
        <f>IF(AG664&gt;0,"O Google leu como fórmula: digite de novo com ' na frente.","")</f>
        <v/>
      </c>
      <c r="N664" s="19">
        <f>N663+IF(LEN($X$664)&gt;0,1,0)</f>
        <v/>
      </c>
      <c r="X664" s="19">
        <f>IF(ISERROR($B$664),"",IF(ISBLANK($B$664),"",$B$664))</f>
        <v/>
      </c>
      <c r="AG664" s="19">
        <f>ISERROR($B$664)*1</f>
        <v/>
      </c>
    </row>
    <row r="665" ht="26" customHeight="1">
      <c r="B665" s="30" t="n"/>
      <c r="K665" s="18">
        <f>IF(AG665&gt;0,"O Google leu como fórmula: digite de novo com ' na frente.","")</f>
        <v/>
      </c>
      <c r="N665" s="19">
        <f>N664+IF(LEN($X$665)&gt;0,1,0)</f>
        <v/>
      </c>
      <c r="X665" s="19">
        <f>IF(ISERROR($B$665),"",IF(ISBLANK($B$665),"",$B$665))</f>
        <v/>
      </c>
      <c r="AG665" s="19">
        <f>ISERROR($B$665)*1</f>
        <v/>
      </c>
    </row>
    <row r="666" ht="26" customHeight="1">
      <c r="B666" s="31" t="n"/>
      <c r="K666" s="18">
        <f>IF(AG666&gt;0,"O Google leu como fórmula: digite de novo com ' na frente.","")</f>
        <v/>
      </c>
      <c r="N666" s="19">
        <f>N665+IF(LEN($X$666)&gt;0,1,0)</f>
        <v/>
      </c>
      <c r="X666" s="19">
        <f>IF(ISERROR($B$666),"",IF(ISBLANK($B$666),"",$B$666))</f>
        <v/>
      </c>
      <c r="AG666" s="19">
        <f>ISERROR($B$666)*1</f>
        <v/>
      </c>
    </row>
    <row r="667" ht="26" customHeight="1">
      <c r="B667" s="30" t="n"/>
      <c r="K667" s="18">
        <f>IF(AG667&gt;0,"O Google leu como fórmula: digite de novo com ' na frente.","")</f>
        <v/>
      </c>
      <c r="N667" s="19">
        <f>N666+IF(LEN($X$667)&gt;0,1,0)</f>
        <v/>
      </c>
      <c r="X667" s="19">
        <f>IF(ISERROR($B$667),"",IF(ISBLANK($B$667),"",$B$667))</f>
        <v/>
      </c>
      <c r="AG667" s="19">
        <f>ISERROR($B$667)*1</f>
        <v/>
      </c>
    </row>
    <row r="668" ht="26" customHeight="1">
      <c r="B668" s="31" t="n"/>
      <c r="K668" s="18">
        <f>IF(AG668&gt;0,"O Google leu como fórmula: digite de novo com ' na frente.","")</f>
        <v/>
      </c>
      <c r="N668" s="19">
        <f>N667+IF(LEN($X$668)&gt;0,1,0)</f>
        <v/>
      </c>
      <c r="X668" s="19">
        <f>IF(ISERROR($B$668),"",IF(ISBLANK($B$668),"",$B$668))</f>
        <v/>
      </c>
      <c r="AG668" s="19">
        <f>ISERROR($B$668)*1</f>
        <v/>
      </c>
    </row>
    <row r="669" ht="26" customHeight="1">
      <c r="B669" s="30" t="n"/>
      <c r="K669" s="18">
        <f>IF(AG669&gt;0,"O Google leu como fórmula: digite de novo com ' na frente.","")</f>
        <v/>
      </c>
      <c r="N669" s="19">
        <f>N668+IF(LEN($X$669)&gt;0,1,0)</f>
        <v/>
      </c>
      <c r="X669" s="19">
        <f>IF(ISERROR($B$669),"",IF(ISBLANK($B$669),"",$B$669))</f>
        <v/>
      </c>
      <c r="AG669" s="19">
        <f>ISERROR($B$669)*1</f>
        <v/>
      </c>
    </row>
    <row r="670" ht="15" customHeight="1">
      <c r="B670" s="7" t="inlineStr">
        <is>
          <t>Prazo ou risco</t>
        </is>
      </c>
      <c r="N670" s="19">
        <f>N669</f>
        <v/>
      </c>
      <c r="X670" s="19">
        <f>IF(ISERROR($B$670),"",IF(ISBLANK($B$670),"",$B$670))</f>
        <v/>
      </c>
    </row>
    <row r="671" ht="26" customHeight="1">
      <c r="B671" s="30" t="n"/>
      <c r="K671" s="18">
        <f>IF(AG671&gt;0,"O Google leu como fórmula: digite de novo com ' na frente.","")</f>
        <v/>
      </c>
      <c r="N671" s="19">
        <f>N670+IF(LEN($X$671)&gt;0,1,0)</f>
        <v/>
      </c>
      <c r="X671" s="19">
        <f>IF(ISERROR($B$671),"",IF(ISBLANK($B$671),"",$B$671))</f>
        <v/>
      </c>
      <c r="AG671" s="19">
        <f>ISERROR($B$671)*1</f>
        <v/>
      </c>
    </row>
    <row r="672" ht="26" customHeight="1">
      <c r="B672" s="31" t="n"/>
      <c r="K672" s="18">
        <f>IF(AG672&gt;0,"O Google leu como fórmula: digite de novo com ' na frente.","")</f>
        <v/>
      </c>
      <c r="N672" s="19">
        <f>N671+IF(LEN($X$672)&gt;0,1,0)</f>
        <v/>
      </c>
      <c r="X672" s="19">
        <f>IF(ISERROR($B$672),"",IF(ISBLANK($B$672),"",$B$672))</f>
        <v/>
      </c>
      <c r="AG672" s="19">
        <f>ISERROR($B$672)*1</f>
        <v/>
      </c>
    </row>
    <row r="673" ht="26" customHeight="1">
      <c r="B673" s="30" t="n"/>
      <c r="K673" s="18">
        <f>IF(AG673&gt;0,"O Google leu como fórmula: digite de novo com ' na frente.","")</f>
        <v/>
      </c>
      <c r="N673" s="19">
        <f>N672+IF(LEN($X$673)&gt;0,1,0)</f>
        <v/>
      </c>
      <c r="X673" s="19">
        <f>IF(ISERROR($B$673),"",IF(ISBLANK($B$673),"",$B$673))</f>
        <v/>
      </c>
      <c r="AG673" s="19">
        <f>ISERROR($B$673)*1</f>
        <v/>
      </c>
    </row>
    <row r="674" ht="26" customHeight="1">
      <c r="B674" s="31" t="n"/>
      <c r="K674" s="18">
        <f>IF(AG674&gt;0,"O Google leu como fórmula: digite de novo com ' na frente.","")</f>
        <v/>
      </c>
      <c r="N674" s="19">
        <f>N673+IF(LEN($X$674)&gt;0,1,0)</f>
        <v/>
      </c>
      <c r="X674" s="19">
        <f>IF(ISERROR($B$674),"",IF(ISBLANK($B$674),"",$B$674))</f>
        <v/>
      </c>
      <c r="AG674" s="19">
        <f>ISERROR($B$674)*1</f>
        <v/>
      </c>
    </row>
    <row r="675" ht="26" customHeight="1">
      <c r="B675" s="30" t="n"/>
      <c r="K675" s="18">
        <f>IF(AG675&gt;0,"O Google leu como fórmula: digite de novo com ' na frente.","")</f>
        <v/>
      </c>
      <c r="N675" s="19">
        <f>N674+IF(LEN($X$675)&gt;0,1,0)</f>
        <v/>
      </c>
      <c r="X675" s="19">
        <f>IF(ISERROR($B$675),"",IF(ISBLANK($B$675),"",$B$675))</f>
        <v/>
      </c>
      <c r="AG675" s="19">
        <f>ISERROR($B$675)*1</f>
        <v/>
      </c>
    </row>
    <row r="676" ht="26" customHeight="1">
      <c r="B676" s="31" t="n"/>
      <c r="K676" s="18">
        <f>IF(AG676&gt;0,"O Google leu como fórmula: digite de novo com ' na frente.","")</f>
        <v/>
      </c>
      <c r="N676" s="19">
        <f>N675+IF(LEN($X$676)&gt;0,1,0)</f>
        <v/>
      </c>
      <c r="X676" s="19">
        <f>IF(ISERROR($B$676),"",IF(ISBLANK($B$676),"",$B$676))</f>
        <v/>
      </c>
      <c r="AG676" s="19">
        <f>ISERROR($B$676)*1</f>
        <v/>
      </c>
    </row>
    <row r="677" ht="26" customHeight="1">
      <c r="B677" s="30" t="n"/>
      <c r="K677" s="18">
        <f>IF(AG677&gt;0,"O Google leu como fórmula: digite de novo com ' na frente.","")</f>
        <v/>
      </c>
      <c r="N677" s="19">
        <f>N676+IF(LEN($X$677)&gt;0,1,0)</f>
        <v/>
      </c>
      <c r="X677" s="19">
        <f>IF(ISERROR($B$677),"",IF(ISBLANK($B$677),"",$B$677))</f>
        <v/>
      </c>
      <c r="AG677" s="19">
        <f>ISERROR($B$677)*1</f>
        <v/>
      </c>
    </row>
    <row r="678" ht="26" customHeight="1">
      <c r="B678" s="31" t="n"/>
      <c r="K678" s="18">
        <f>IF(AG678&gt;0,"O Google leu como fórmula: digite de novo com ' na frente.","")</f>
        <v/>
      </c>
      <c r="N678" s="19">
        <f>N677+IF(LEN($X$678)&gt;0,1,0)</f>
        <v/>
      </c>
      <c r="X678" s="19">
        <f>IF(ISERROR($B$678),"",IF(ISBLANK($B$678),"",$B$678))</f>
        <v/>
      </c>
      <c r="AG678" s="19">
        <f>ISERROR($B$678)*1</f>
        <v/>
      </c>
    </row>
    <row r="679" ht="26" customHeight="1">
      <c r="B679" s="30" t="n"/>
      <c r="K679" s="18">
        <f>IF(AG679&gt;0,"O Google leu como fórmula: digite de novo com ' na frente.","")</f>
        <v/>
      </c>
      <c r="N679" s="19">
        <f>N678+IF(LEN($X$679)&gt;0,1,0)</f>
        <v/>
      </c>
      <c r="X679" s="19">
        <f>IF(ISERROR($B$679),"",IF(ISBLANK($B$679),"",$B$679))</f>
        <v/>
      </c>
      <c r="AG679" s="19">
        <f>ISERROR($B$679)*1</f>
        <v/>
      </c>
    </row>
    <row r="680" ht="26" customHeight="1">
      <c r="B680" s="31" t="n"/>
      <c r="K680" s="18">
        <f>IF(AG680&gt;0,"O Google leu como fórmula: digite de novo com ' na frente.","")</f>
        <v/>
      </c>
      <c r="N680" s="19">
        <f>N679+IF(LEN($X$680)&gt;0,1,0)</f>
        <v/>
      </c>
      <c r="X680" s="19">
        <f>IF(ISERROR($B$680),"",IF(ISBLANK($B$680),"",$B$680))</f>
        <v/>
      </c>
      <c r="AG680" s="19">
        <f>ISERROR($B$680)*1</f>
        <v/>
      </c>
    </row>
    <row r="681" ht="26" customHeight="1">
      <c r="B681" s="30" t="n"/>
      <c r="K681" s="18">
        <f>IF(AG681&gt;0,"O Google leu como fórmula: digite de novo com ' na frente.","")</f>
        <v/>
      </c>
      <c r="N681" s="19">
        <f>N680+IF(LEN($X$681)&gt;0,1,0)</f>
        <v/>
      </c>
      <c r="X681" s="19">
        <f>IF(ISERROR($B$681),"",IF(ISBLANK($B$681),"",$B$681))</f>
        <v/>
      </c>
      <c r="AG681" s="19">
        <f>ISERROR($B$681)*1</f>
        <v/>
      </c>
    </row>
    <row r="682" ht="26" customHeight="1">
      <c r="B682" s="31" t="n"/>
      <c r="K682" s="18">
        <f>IF(AG682&gt;0,"O Google leu como fórmula: digite de novo com ' na frente.","")</f>
        <v/>
      </c>
      <c r="N682" s="19">
        <f>N681+IF(LEN($X$682)&gt;0,1,0)</f>
        <v/>
      </c>
      <c r="X682" s="19">
        <f>IF(ISERROR($B$682),"",IF(ISBLANK($B$682),"",$B$682))</f>
        <v/>
      </c>
      <c r="AG682" s="19">
        <f>ISERROR($B$682)*1</f>
        <v/>
      </c>
    </row>
    <row r="683" ht="26" customHeight="1">
      <c r="B683" s="30" t="n"/>
      <c r="K683" s="18">
        <f>IF(AG683&gt;0,"O Google leu como fórmula: digite de novo com ' na frente.","")</f>
        <v/>
      </c>
      <c r="N683" s="19">
        <f>N682+IF(LEN($X$683)&gt;0,1,0)</f>
        <v/>
      </c>
      <c r="X683" s="19">
        <f>IF(ISERROR($B$683),"",IF(ISBLANK($B$683),"",$B$683))</f>
        <v/>
      </c>
      <c r="AG683" s="19">
        <f>ISERROR($B$683)*1</f>
        <v/>
      </c>
    </row>
    <row r="684" ht="15" customHeight="1">
      <c r="B684" s="7" t="inlineStr">
        <is>
          <t>Prazo ou risco</t>
        </is>
      </c>
      <c r="N684" s="19">
        <f>N683</f>
        <v/>
      </c>
      <c r="X684" s="19">
        <f>IF(ISERROR($B$684),"",IF(ISBLANK($B$684),"",$B$684))</f>
        <v/>
      </c>
    </row>
    <row r="685" ht="26" customHeight="1">
      <c r="B685" s="30" t="n"/>
      <c r="K685" s="18">
        <f>IF(AG685&gt;0,"O Google leu como fórmula: digite de novo com ' na frente.","")</f>
        <v/>
      </c>
      <c r="N685" s="19">
        <f>N684+IF(LEN($X$685)&gt;0,1,0)</f>
        <v/>
      </c>
      <c r="X685" s="19">
        <f>IF(ISERROR($B$685),"",IF(ISBLANK($B$685),"",$B$685))</f>
        <v/>
      </c>
      <c r="AG685" s="19">
        <f>ISERROR($B$685)*1</f>
        <v/>
      </c>
    </row>
    <row r="686" ht="26" customHeight="1">
      <c r="B686" s="31" t="n"/>
      <c r="K686" s="18">
        <f>IF(AG686&gt;0,"O Google leu como fórmula: digite de novo com ' na frente.","")</f>
        <v/>
      </c>
      <c r="N686" s="19">
        <f>N685+IF(LEN($X$686)&gt;0,1,0)</f>
        <v/>
      </c>
      <c r="X686" s="19">
        <f>IF(ISERROR($B$686),"",IF(ISBLANK($B$686),"",$B$686))</f>
        <v/>
      </c>
      <c r="AG686" s="19">
        <f>ISERROR($B$686)*1</f>
        <v/>
      </c>
    </row>
    <row r="687" ht="26" customHeight="1">
      <c r="B687" s="30" t="n"/>
      <c r="K687" s="18">
        <f>IF(AG687&gt;0,"O Google leu como fórmula: digite de novo com ' na frente.","")</f>
        <v/>
      </c>
      <c r="N687" s="19">
        <f>N686+IF(LEN($X$687)&gt;0,1,0)</f>
        <v/>
      </c>
      <c r="X687" s="19">
        <f>IF(ISERROR($B$687),"",IF(ISBLANK($B$687),"",$B$687))</f>
        <v/>
      </c>
      <c r="AG687" s="19">
        <f>ISERROR($B$687)*1</f>
        <v/>
      </c>
    </row>
    <row r="688" ht="26" customHeight="1">
      <c r="B688" s="31" t="n"/>
      <c r="K688" s="18">
        <f>IF(AG688&gt;0,"O Google leu como fórmula: digite de novo com ' na frente.","")</f>
        <v/>
      </c>
      <c r="N688" s="19">
        <f>N687+IF(LEN($X$688)&gt;0,1,0)</f>
        <v/>
      </c>
      <c r="X688" s="19">
        <f>IF(ISERROR($B$688),"",IF(ISBLANK($B$688),"",$B$688))</f>
        <v/>
      </c>
      <c r="AG688" s="19">
        <f>ISERROR($B$688)*1</f>
        <v/>
      </c>
    </row>
    <row r="689" ht="26" customHeight="1">
      <c r="B689" s="30" t="n"/>
      <c r="K689" s="18">
        <f>IF(AG689&gt;0,"O Google leu como fórmula: digite de novo com ' na frente.","")</f>
        <v/>
      </c>
      <c r="N689" s="19">
        <f>N688+IF(LEN($X$689)&gt;0,1,0)</f>
        <v/>
      </c>
      <c r="X689" s="19">
        <f>IF(ISERROR($B$689),"",IF(ISBLANK($B$689),"",$B$689))</f>
        <v/>
      </c>
      <c r="AG689" s="19">
        <f>ISERROR($B$689)*1</f>
        <v/>
      </c>
    </row>
    <row r="690" ht="26" customHeight="1">
      <c r="B690" s="31" t="n"/>
      <c r="K690" s="18">
        <f>IF(AG690&gt;0,"O Google leu como fórmula: digite de novo com ' na frente.","")</f>
        <v/>
      </c>
      <c r="N690" s="19">
        <f>N689+IF(LEN($X$690)&gt;0,1,0)</f>
        <v/>
      </c>
      <c r="X690" s="19">
        <f>IF(ISERROR($B$690),"",IF(ISBLANK($B$690),"",$B$690))</f>
        <v/>
      </c>
      <c r="AG690" s="19">
        <f>ISERROR($B$690)*1</f>
        <v/>
      </c>
    </row>
    <row r="691" ht="26" customHeight="1">
      <c r="B691" s="30" t="n"/>
      <c r="K691" s="18">
        <f>IF(AG691&gt;0,"O Google leu como fórmula: digite de novo com ' na frente.","")</f>
        <v/>
      </c>
      <c r="N691" s="19">
        <f>N690+IF(LEN($X$691)&gt;0,1,0)</f>
        <v/>
      </c>
      <c r="X691" s="19">
        <f>IF(ISERROR($B$691),"",IF(ISBLANK($B$691),"",$B$691))</f>
        <v/>
      </c>
      <c r="AG691" s="19">
        <f>ISERROR($B$691)*1</f>
        <v/>
      </c>
    </row>
    <row r="692" ht="26" customHeight="1">
      <c r="B692" s="31" t="n"/>
      <c r="K692" s="18">
        <f>IF(AG692&gt;0,"O Google leu como fórmula: digite de novo com ' na frente.","")</f>
        <v/>
      </c>
      <c r="N692" s="19">
        <f>N691+IF(LEN($X$692)&gt;0,1,0)</f>
        <v/>
      </c>
      <c r="X692" s="19">
        <f>IF(ISERROR($B$692),"",IF(ISBLANK($B$692),"",$B$692))</f>
        <v/>
      </c>
      <c r="AG692" s="19">
        <f>ISERROR($B$692)*1</f>
        <v/>
      </c>
    </row>
    <row r="693" ht="26" customHeight="1">
      <c r="B693" s="30" t="n"/>
      <c r="K693" s="18">
        <f>IF(AG693&gt;0,"O Google leu como fórmula: digite de novo com ' na frente.","")</f>
        <v/>
      </c>
      <c r="N693" s="19">
        <f>N692+IF(LEN($X$693)&gt;0,1,0)</f>
        <v/>
      </c>
      <c r="X693" s="19">
        <f>IF(ISERROR($B$693),"",IF(ISBLANK($B$693),"",$B$693))</f>
        <v/>
      </c>
      <c r="AG693" s="19">
        <f>ISERROR($B$693)*1</f>
        <v/>
      </c>
    </row>
    <row r="694"/>
    <row r="695" ht="20" customHeight="1">
      <c r="A695" s="12" t="inlineStr">
        <is>
          <t>Achados, Cones de Luz e Conjuntos (aba Recompensas) — Sugestão da planilha (H11) — 100 vagas por lista</t>
        </is>
      </c>
    </row>
    <row r="696">
      <c r="A696" s="11" t="inlineStr">
        <is>
          <t>Apague para trocar, use as vagas vazias para ampliar. Não insira linhas: o contador corrido pularia a linha nova.</t>
        </is>
      </c>
    </row>
    <row r="697" ht="26" customHeight="1">
      <c r="A697" s="7" t="inlineStr">
        <is>
          <t>Lista</t>
        </is>
      </c>
      <c r="B697" s="7" t="inlineStr">
        <is>
          <t>Pista</t>
        </is>
      </c>
      <c r="C697" s="7" t="inlineStr">
        <is>
          <t>Bugiganga</t>
        </is>
      </c>
      <c r="D697" s="7" t="inlineStr">
        <is>
          <t>Nome do Cone (início)</t>
        </is>
      </c>
      <c r="E697" s="7" t="inlineStr">
        <is>
          <t>Nome do Cone (fim)</t>
        </is>
      </c>
      <c r="F697" s="7" t="inlineStr">
        <is>
          <t>Memória do Cone</t>
        </is>
      </c>
      <c r="G697" s="7" t="inlineStr">
        <is>
          <t>Gatilho do Efeito Condicional</t>
        </is>
      </c>
      <c r="H697" s="7" t="inlineStr">
        <is>
          <t>Nome do Conjunto</t>
        </is>
      </c>
      <c r="I697" s="7" t="inlineStr">
        <is>
          <t>Origem do Conjunto</t>
        </is>
      </c>
      <c r="J697" s="7" t="inlineStr">
        <is>
          <t>Efeito de 4 peças</t>
        </is>
      </c>
    </row>
    <row r="698" ht="26" customHeight="1">
      <c r="A698" s="8" t="inlineStr">
        <is>
          <t>Fonte</t>
        </is>
      </c>
      <c r="B698" s="13" t="inlineStr">
        <is>
          <t>Sugestão da planilha (H11)</t>
        </is>
      </c>
      <c r="C698" s="13" t="inlineStr">
        <is>
          <t>Sugestão da planilha (H11)</t>
        </is>
      </c>
      <c r="D698" s="13" t="inlineStr">
        <is>
          <t>Sugestão da planilha (H11)</t>
        </is>
      </c>
      <c r="E698" s="13" t="inlineStr">
        <is>
          <t>Sugestão da planilha (H11)</t>
        </is>
      </c>
      <c r="F698" s="13" t="inlineStr">
        <is>
          <t>Sugestão da planilha (H11)</t>
        </is>
      </c>
      <c r="G698" s="13" t="inlineStr">
        <is>
          <t>Livro 25.2 (6 primeiras) + Sugestão da planilha (H11)</t>
        </is>
      </c>
      <c r="H698" s="13" t="inlineStr">
        <is>
          <t>Sugestão da planilha (H11)</t>
        </is>
      </c>
      <c r="I698" s="13" t="inlineStr">
        <is>
          <t>Sugestão da planilha (H11)</t>
        </is>
      </c>
      <c r="J698" s="13" t="inlineStr">
        <is>
          <t>Livro 25.3 (2 primeiras) + Sugestão da planilha (H11)</t>
        </is>
      </c>
    </row>
    <row r="699" ht="26" customHeight="1">
      <c r="A699" s="21" t="inlineStr">
        <is>
          <t>Tamanho da lista</t>
        </is>
      </c>
      <c r="B699" s="29">
        <f>N808</f>
        <v/>
      </c>
      <c r="C699" s="29">
        <f>O808</f>
        <v/>
      </c>
      <c r="D699" s="29">
        <f>P808</f>
        <v/>
      </c>
      <c r="E699" s="29">
        <f>Q808</f>
        <v/>
      </c>
      <c r="F699" s="29">
        <f>R808</f>
        <v/>
      </c>
      <c r="G699" s="29">
        <f>S808</f>
        <v/>
      </c>
      <c r="H699" s="29">
        <f>T808</f>
        <v/>
      </c>
      <c r="I699" s="29">
        <f>U808</f>
        <v/>
      </c>
      <c r="J699" s="29">
        <f>V808</f>
        <v/>
      </c>
    </row>
    <row r="700" ht="26" customHeight="1">
      <c r="A700" s="8" t="inlineStr">
        <is>
          <t>Aviso</t>
        </is>
      </c>
      <c r="B700" s="18">
        <f>IF(N808&gt;=100,"Lista cheia (100): use Minhas Tabelas para uma lista maior","")</f>
        <v/>
      </c>
      <c r="C700" s="18">
        <f>IF(O808&gt;=100,"Lista cheia (100): use Minhas Tabelas para uma lista maior","")</f>
        <v/>
      </c>
      <c r="D700" s="18">
        <f>IF(P808&gt;=100,"Lista cheia (100): use Minhas Tabelas para uma lista maior","")</f>
        <v/>
      </c>
      <c r="E700" s="18">
        <f>IF(Q808&gt;=100,"Lista cheia (100): use Minhas Tabelas para uma lista maior","")</f>
        <v/>
      </c>
      <c r="F700" s="18">
        <f>IF(R808&gt;=100,"Lista cheia (100): use Minhas Tabelas para uma lista maior","")</f>
        <v/>
      </c>
      <c r="G700" s="18">
        <f>IF(S808&gt;=100,"Lista cheia (100): use Minhas Tabelas para uma lista maior","")</f>
        <v/>
      </c>
      <c r="H700" s="18">
        <f>IF(T808&gt;=100,"Lista cheia (100): use Minhas Tabelas para uma lista maior","")</f>
        <v/>
      </c>
      <c r="I700" s="18">
        <f>IF(U808&gt;=100,"Lista cheia (100): use Minhas Tabelas para uma lista maior","")</f>
        <v/>
      </c>
      <c r="J700" s="18">
        <f>IF(V808&gt;=100,"Lista cheia (100): use Minhas Tabelas para uma lista maior","")</f>
        <v/>
      </c>
    </row>
    <row r="701" ht="26" customHeight="1">
      <c r="B701" s="7" t="inlineStr">
        <is>
          <t>Pista</t>
        </is>
      </c>
      <c r="C701" s="7" t="inlineStr">
        <is>
          <t>Bugiganga</t>
        </is>
      </c>
      <c r="D701" s="7" t="inlineStr">
        <is>
          <t>Nome do Cone (início)</t>
        </is>
      </c>
      <c r="E701" s="7" t="inlineStr">
        <is>
          <t>Nome do Cone (fim)</t>
        </is>
      </c>
      <c r="F701" s="7" t="inlineStr">
        <is>
          <t>Memória do Cone</t>
        </is>
      </c>
      <c r="G701" s="7" t="inlineStr">
        <is>
          <t>Gatilho do Efeito Condicional</t>
        </is>
      </c>
      <c r="H701" s="7" t="inlineStr">
        <is>
          <t>Nome do Conjunto</t>
        </is>
      </c>
      <c r="I701" s="7" t="inlineStr">
        <is>
          <t>Origem do Conjunto</t>
        </is>
      </c>
      <c r="J701" s="7" t="inlineStr">
        <is>
          <t>Efeito de 4 peças</t>
        </is>
      </c>
      <c r="N701" s="19">
        <f>0</f>
        <v/>
      </c>
      <c r="O701" s="19">
        <f>0</f>
        <v/>
      </c>
      <c r="P701" s="19">
        <f>0</f>
        <v/>
      </c>
      <c r="Q701" s="19">
        <f>0</f>
        <v/>
      </c>
      <c r="R701" s="19">
        <f>0</f>
        <v/>
      </c>
      <c r="S701" s="19">
        <f>0</f>
        <v/>
      </c>
      <c r="T701" s="19">
        <f>0</f>
        <v/>
      </c>
      <c r="U701" s="19">
        <f>0</f>
        <v/>
      </c>
      <c r="V701" s="19">
        <f>0</f>
        <v/>
      </c>
    </row>
    <row r="702" ht="37" customHeight="1">
      <c r="B702" s="30" t="inlineStr">
        <is>
          <t>um recibo com o carimbo de uma doca que não existe mais</t>
        </is>
      </c>
      <c r="C702" s="3" t="inlineStr">
        <is>
          <t>uma bússola que aponta para o último lugar onde você dormiu</t>
        </is>
      </c>
      <c r="D702" s="3" t="inlineStr">
        <is>
          <t>O Último Trem</t>
        </is>
      </c>
      <c r="E702" s="3" t="inlineStr">
        <is>
          <t>Para Casa</t>
        </is>
      </c>
      <c r="F702" s="3" t="inlineStr">
        <is>
          <t>a última viagem de um maquinista que nunca chegou</t>
        </is>
      </c>
      <c r="G702" s="3" t="inlineStr">
        <is>
          <t>quando você usa a Ultimate</t>
        </is>
      </c>
      <c r="H702" s="3" t="inlineStr">
        <is>
          <t>Vigília do Farol Afogado</t>
        </is>
      </c>
      <c r="I702" s="3" t="inlineStr">
        <is>
          <t>de um mesmo lugar: um farol que afundou com o vigia dentro</t>
        </is>
      </c>
      <c r="J702" s="3" t="inlineStr">
        <is>
          <t>ao Quebrar um inimigo, o seu próximo ataque ganha +1 dado</t>
        </is>
      </c>
      <c r="K702" s="18">
        <f>IF(AG702&gt;0,"O Google leu como fórmula: digite de novo com ' na frente.","")</f>
        <v/>
      </c>
      <c r="N702" s="19">
        <f>N701+IF(LEN($X$702)&gt;0,1,0)</f>
        <v/>
      </c>
      <c r="O702" s="19">
        <f>O701+IF(LEN($Y$702)&gt;0,1,0)</f>
        <v/>
      </c>
      <c r="P702" s="19">
        <f>P701+IF(LEN($Z$702)&gt;0,1,0)</f>
        <v/>
      </c>
      <c r="Q702" s="19">
        <f>Q701+IF(LEN($AA$702)&gt;0,1,0)</f>
        <v/>
      </c>
      <c r="R702" s="19">
        <f>R701+IF(LEN($AB$702)&gt;0,1,0)</f>
        <v/>
      </c>
      <c r="S702" s="19">
        <f>S701+IF(LEN($AC$702)&gt;0,1,0)</f>
        <v/>
      </c>
      <c r="T702" s="19">
        <f>T701+IF(LEN($AD$702)&gt;0,1,0)</f>
        <v/>
      </c>
      <c r="U702" s="19">
        <f>U701+IF(LEN($AE$702)&gt;0,1,0)</f>
        <v/>
      </c>
      <c r="V702" s="19">
        <f>V701+IF(LEN($AF$702)&gt;0,1,0)</f>
        <v/>
      </c>
      <c r="X702" s="19">
        <f>IF(ISERROR($B$702),"",IF(ISBLANK($B$702),"",$B$702))</f>
        <v/>
      </c>
      <c r="Y702" s="19">
        <f>IF(ISERROR($C$702),"",IF(ISBLANK($C$702),"",$C$702))</f>
        <v/>
      </c>
      <c r="Z702" s="19">
        <f>IF(ISERROR($D$702),"",IF(ISBLANK($D$702),"",$D$702))</f>
        <v/>
      </c>
      <c r="AA702" s="19">
        <f>IF(ISERROR($E$702),"",IF(ISBLANK($E$702),"",$E$702))</f>
        <v/>
      </c>
      <c r="AB702" s="19">
        <f>IF(ISERROR($F$702),"",IF(ISBLANK($F$702),"",$F$702))</f>
        <v/>
      </c>
      <c r="AC702" s="19">
        <f>IF(ISERROR($G$702),"",IF(ISBLANK($G$702),"",$G$702))</f>
        <v/>
      </c>
      <c r="AD702" s="19">
        <f>IF(ISERROR($H$702),"",IF(ISBLANK($H$702),"",$H$702))</f>
        <v/>
      </c>
      <c r="AE702" s="19">
        <f>IF(ISERROR($I$702),"",IF(ISBLANK($I$702),"",$I$702))</f>
        <v/>
      </c>
      <c r="AF702" s="19">
        <f>IF(ISERROR($J$702),"",IF(ISBLANK($J$702),"",$J$702))</f>
        <v/>
      </c>
      <c r="AG702" s="19">
        <f>ISERROR($B$702)*1+ISERROR($C$702)*1+ISERROR($D$702)*1+ISERROR($E$702)*1+ISERROR($F$702)*1+ISERROR($G$702)*1+ISERROR($H$702)*1+ISERROR($I$702)*1+ISERROR($J$702)*1</f>
        <v/>
      </c>
    </row>
    <row r="703" ht="37" customHeight="1">
      <c r="B703" s="31" t="inlineStr">
        <is>
          <t>pegadas que entram numa parede</t>
        </is>
      </c>
      <c r="C703" s="28" t="inlineStr">
        <is>
          <t>um relógio parado nas três e quinze</t>
        </is>
      </c>
      <c r="D703" s="28" t="inlineStr">
        <is>
          <t>A Última Carta</t>
        </is>
      </c>
      <c r="E703" s="28" t="inlineStr">
        <is>
          <t>Que Ninguém Leu</t>
        </is>
      </c>
      <c r="F703" s="28" t="inlineStr">
        <is>
          <t>o primeiro dia de aula numa colônia que já não existe</t>
        </is>
      </c>
      <c r="G703" s="28" t="inlineStr">
        <is>
          <t>quando você Quebra um inimigo</t>
        </is>
      </c>
      <c r="H703" s="28" t="inlineStr">
        <is>
          <t>Rastro da Caravana Perdida</t>
        </is>
      </c>
      <c r="I703" s="28" t="inlineStr">
        <is>
          <t>de uma mesma catástrofe: a queda de uma lua-forja</t>
        </is>
      </c>
      <c r="J703" s="28" t="inlineStr">
        <is>
          <t>ao usar a Ultimate, o grupo recebe +1 de Defesa por 1 Ciclo</t>
        </is>
      </c>
      <c r="K703" s="18">
        <f>IF(AG703&gt;0,"O Google leu como fórmula: digite de novo com ' na frente.","")</f>
        <v/>
      </c>
      <c r="N703" s="19">
        <f>N702+IF(LEN($X$703)&gt;0,1,0)</f>
        <v/>
      </c>
      <c r="O703" s="19">
        <f>O702+IF(LEN($Y$703)&gt;0,1,0)</f>
        <v/>
      </c>
      <c r="P703" s="19">
        <f>P702+IF(LEN($Z$703)&gt;0,1,0)</f>
        <v/>
      </c>
      <c r="Q703" s="19">
        <f>Q702+IF(LEN($AA$703)&gt;0,1,0)</f>
        <v/>
      </c>
      <c r="R703" s="19">
        <f>R702+IF(LEN($AB$703)&gt;0,1,0)</f>
        <v/>
      </c>
      <c r="S703" s="19">
        <f>S702+IF(LEN($AC$703)&gt;0,1,0)</f>
        <v/>
      </c>
      <c r="T703" s="19">
        <f>T702+IF(LEN($AD$703)&gt;0,1,0)</f>
        <v/>
      </c>
      <c r="U703" s="19">
        <f>U702+IF(LEN($AE$703)&gt;0,1,0)</f>
        <v/>
      </c>
      <c r="V703" s="19">
        <f>V702+IF(LEN($AF$703)&gt;0,1,0)</f>
        <v/>
      </c>
      <c r="X703" s="19">
        <f>IF(ISERROR($B$703),"",IF(ISBLANK($B$703),"",$B$703))</f>
        <v/>
      </c>
      <c r="Y703" s="19">
        <f>IF(ISERROR($C$703),"",IF(ISBLANK($C$703),"",$C$703))</f>
        <v/>
      </c>
      <c r="Z703" s="19">
        <f>IF(ISERROR($D$703),"",IF(ISBLANK($D$703),"",$D$703))</f>
        <v/>
      </c>
      <c r="AA703" s="19">
        <f>IF(ISERROR($E$703),"",IF(ISBLANK($E$703),"",$E$703))</f>
        <v/>
      </c>
      <c r="AB703" s="19">
        <f>IF(ISERROR($F$703),"",IF(ISBLANK($F$703),"",$F$703))</f>
        <v/>
      </c>
      <c r="AC703" s="19">
        <f>IF(ISERROR($G$703),"",IF(ISBLANK($G$703),"",$G$703))</f>
        <v/>
      </c>
      <c r="AD703" s="19">
        <f>IF(ISERROR($H$703),"",IF(ISBLANK($H$703),"",$H$703))</f>
        <v/>
      </c>
      <c r="AE703" s="19">
        <f>IF(ISERROR($I$703),"",IF(ISBLANK($I$703),"",$I$703))</f>
        <v/>
      </c>
      <c r="AF703" s="19">
        <f>IF(ISERROR($J$703),"",IF(ISBLANK($J$703),"",$J$703))</f>
        <v/>
      </c>
      <c r="AG703" s="19">
        <f>ISERROR($B$703)*1+ISERROR($C$703)*1+ISERROR($D$703)*1+ISERROR($E$703)*1+ISERROR($F$703)*1+ISERROR($G$703)*1+ISERROR($H$703)*1+ISERROR($I$703)*1+ISERROR($J$703)*1</f>
        <v/>
      </c>
    </row>
    <row r="704" ht="37" customHeight="1">
      <c r="B704" s="30" t="inlineStr">
        <is>
          <t>um nome riscado numa lista de passageiros</t>
        </is>
      </c>
      <c r="C704" s="3" t="inlineStr">
        <is>
          <t>uma moeda com duas caras</t>
        </is>
      </c>
      <c r="D704" s="3" t="inlineStr">
        <is>
          <t>O Farol</t>
        </is>
      </c>
      <c r="E704" s="3" t="inlineStr">
        <is>
          <t>Sobre o Mar</t>
        </is>
      </c>
      <c r="F704" s="3" t="inlineStr">
        <is>
          <t>um casamento interrompido por um alarme</t>
        </is>
      </c>
      <c r="G704" s="3" t="inlineStr">
        <is>
          <t>no primeiro Ciclo do combate</t>
        </is>
      </c>
      <c r="H704" s="3" t="inlineStr">
        <is>
          <t>Ossos da Lua-Forja</t>
        </is>
      </c>
      <c r="I704" s="3" t="inlineStr">
        <is>
          <t>de um mesmo morto ilustre: um general que se recusou a marchar</t>
        </is>
      </c>
      <c r="J704" s="3" t="inlineStr">
        <is>
          <t>ao derrotar um inimigo, você recebe +1 de Velocidade até o fim do Ciclo</t>
        </is>
      </c>
      <c r="K704" s="18">
        <f>IF(AG704&gt;0,"O Google leu como fórmula: digite de novo com ' na frente.","")</f>
        <v/>
      </c>
      <c r="N704" s="19">
        <f>N703+IF(LEN($X$704)&gt;0,1,0)</f>
        <v/>
      </c>
      <c r="O704" s="19">
        <f>O703+IF(LEN($Y$704)&gt;0,1,0)</f>
        <v/>
      </c>
      <c r="P704" s="19">
        <f>P703+IF(LEN($Z$704)&gt;0,1,0)</f>
        <v/>
      </c>
      <c r="Q704" s="19">
        <f>Q703+IF(LEN($AA$704)&gt;0,1,0)</f>
        <v/>
      </c>
      <c r="R704" s="19">
        <f>R703+IF(LEN($AB$704)&gt;0,1,0)</f>
        <v/>
      </c>
      <c r="S704" s="19">
        <f>S703+IF(LEN($AC$704)&gt;0,1,0)</f>
        <v/>
      </c>
      <c r="T704" s="19">
        <f>T703+IF(LEN($AD$704)&gt;0,1,0)</f>
        <v/>
      </c>
      <c r="U704" s="19">
        <f>U703+IF(LEN($AE$704)&gt;0,1,0)</f>
        <v/>
      </c>
      <c r="V704" s="19">
        <f>V703+IF(LEN($AF$704)&gt;0,1,0)</f>
        <v/>
      </c>
      <c r="X704" s="19">
        <f>IF(ISERROR($B$704),"",IF(ISBLANK($B$704),"",$B$704))</f>
        <v/>
      </c>
      <c r="Y704" s="19">
        <f>IF(ISERROR($C$704),"",IF(ISBLANK($C$704),"",$C$704))</f>
        <v/>
      </c>
      <c r="Z704" s="19">
        <f>IF(ISERROR($D$704),"",IF(ISBLANK($D$704),"",$D$704))</f>
        <v/>
      </c>
      <c r="AA704" s="19">
        <f>IF(ISERROR($E$704),"",IF(ISBLANK($E$704),"",$E$704))</f>
        <v/>
      </c>
      <c r="AB704" s="19">
        <f>IF(ISERROR($F$704),"",IF(ISBLANK($F$704),"",$F$704))</f>
        <v/>
      </c>
      <c r="AC704" s="19">
        <f>IF(ISERROR($G$704),"",IF(ISBLANK($G$704),"",$G$704))</f>
        <v/>
      </c>
      <c r="AD704" s="19">
        <f>IF(ISERROR($H$704),"",IF(ISBLANK($H$704),"",$H$704))</f>
        <v/>
      </c>
      <c r="AE704" s="19">
        <f>IF(ISERROR($I$704),"",IF(ISBLANK($I$704),"",$I$704))</f>
        <v/>
      </c>
      <c r="AF704" s="19">
        <f>IF(ISERROR($J$704),"",IF(ISBLANK($J$704),"",$J$704))</f>
        <v/>
      </c>
      <c r="AG704" s="19">
        <f>ISERROR($B$704)*1+ISERROR($C$704)*1+ISERROR($D$704)*1+ISERROR($E$704)*1+ISERROR($F$704)*1+ISERROR($G$704)*1+ISERROR($H$704)*1+ISERROR($I$704)*1+ISERROR($J$704)*1</f>
        <v/>
      </c>
    </row>
    <row r="705" ht="37" customHeight="1">
      <c r="B705" s="31" t="inlineStr">
        <is>
          <t>cheiro de ozônio onde não há máquina nenhuma</t>
        </is>
      </c>
      <c r="C705" s="28" t="inlineStr">
        <is>
          <t>uma caixinha de música que toca uma canção desconhecida</t>
        </is>
      </c>
      <c r="D705" s="28" t="inlineStr">
        <is>
          <t>Um Sonho</t>
        </is>
      </c>
      <c r="E705" s="28" t="inlineStr">
        <is>
          <t>Antes do Fim</t>
        </is>
      </c>
      <c r="F705" s="28" t="inlineStr">
        <is>
          <t>a vigília de um faroleiro durante uma tempestade de cem anos</t>
        </is>
      </c>
      <c r="G705" s="28" t="inlineStr">
        <is>
          <t>quando um aliado cai a Morrendo</t>
        </is>
      </c>
      <c r="H705" s="28" t="inlineStr">
        <is>
          <t>Sinos da Cidade Submersa</t>
        </is>
      </c>
      <c r="I705" s="28" t="inlineStr">
        <is>
          <t>de uma cidade engolida pelo Fragmentum numa única noite</t>
        </is>
      </c>
      <c r="J705" s="28" t="inlineStr">
        <is>
          <t>ao curar um aliado, ele recebe +1 de Defesa por 1 Ciclo</t>
        </is>
      </c>
      <c r="K705" s="18">
        <f>IF(AG705&gt;0,"O Google leu como fórmula: digite de novo com ' na frente.","")</f>
        <v/>
      </c>
      <c r="N705" s="19">
        <f>N704+IF(LEN($X$705)&gt;0,1,0)</f>
        <v/>
      </c>
      <c r="O705" s="19">
        <f>O704+IF(LEN($Y$705)&gt;0,1,0)</f>
        <v/>
      </c>
      <c r="P705" s="19">
        <f>P704+IF(LEN($Z$705)&gt;0,1,0)</f>
        <v/>
      </c>
      <c r="Q705" s="19">
        <f>Q704+IF(LEN($AA$705)&gt;0,1,0)</f>
        <v/>
      </c>
      <c r="R705" s="19">
        <f>R704+IF(LEN($AB$705)&gt;0,1,0)</f>
        <v/>
      </c>
      <c r="S705" s="19">
        <f>S704+IF(LEN($AC$705)&gt;0,1,0)</f>
        <v/>
      </c>
      <c r="T705" s="19">
        <f>T704+IF(LEN($AD$705)&gt;0,1,0)</f>
        <v/>
      </c>
      <c r="U705" s="19">
        <f>U704+IF(LEN($AE$705)&gt;0,1,0)</f>
        <v/>
      </c>
      <c r="V705" s="19">
        <f>V704+IF(LEN($AF$705)&gt;0,1,0)</f>
        <v/>
      </c>
      <c r="X705" s="19">
        <f>IF(ISERROR($B$705),"",IF(ISBLANK($B$705),"",$B$705))</f>
        <v/>
      </c>
      <c r="Y705" s="19">
        <f>IF(ISERROR($C$705),"",IF(ISBLANK($C$705),"",$C$705))</f>
        <v/>
      </c>
      <c r="Z705" s="19">
        <f>IF(ISERROR($D$705),"",IF(ISBLANK($D$705),"",$D$705))</f>
        <v/>
      </c>
      <c r="AA705" s="19">
        <f>IF(ISERROR($E$705),"",IF(ISBLANK($E$705),"",$E$705))</f>
        <v/>
      </c>
      <c r="AB705" s="19">
        <f>IF(ISERROR($F$705),"",IF(ISBLANK($F$705),"",$F$705))</f>
        <v/>
      </c>
      <c r="AC705" s="19">
        <f>IF(ISERROR($G$705),"",IF(ISBLANK($G$705),"",$G$705))</f>
        <v/>
      </c>
      <c r="AD705" s="19">
        <f>IF(ISERROR($H$705),"",IF(ISBLANK($H$705),"",$H$705))</f>
        <v/>
      </c>
      <c r="AE705" s="19">
        <f>IF(ISERROR($I$705),"",IF(ISBLANK($I$705),"",$I$705))</f>
        <v/>
      </c>
      <c r="AF705" s="19">
        <f>IF(ISERROR($J$705),"",IF(ISBLANK($J$705),"",$J$705))</f>
        <v/>
      </c>
      <c r="AG705" s="19">
        <f>ISERROR($B$705)*1+ISERROR($C$705)*1+ISERROR($D$705)*1+ISERROR($E$705)*1+ISERROR($F$705)*1+ISERROR($G$705)*1+ISERROR($H$705)*1+ISERROR($I$705)*1+ISERROR($J$705)*1</f>
        <v/>
      </c>
    </row>
    <row r="706" ht="37" customHeight="1">
      <c r="B706" s="30" t="inlineStr">
        <is>
          <t>uma gravação com dois segundos apagados</t>
        </is>
      </c>
      <c r="C706" s="3" t="inlineStr">
        <is>
          <t>um dado de osso com seis em todas as faces</t>
        </is>
      </c>
      <c r="D706" s="3" t="inlineStr">
        <is>
          <t>A Canção</t>
        </is>
      </c>
      <c r="E706" s="3" t="inlineStr">
        <is>
          <t>em Outro Mundo</t>
        </is>
      </c>
      <c r="F706" s="3" t="inlineStr">
        <is>
          <t>o último jantar de uma família antes da evacuação</t>
        </is>
      </c>
      <c r="G706" s="3" t="inlineStr">
        <is>
          <t>quando você acerta um alvo que já está Marcado</t>
        </is>
      </c>
      <c r="H706" s="3" t="inlineStr">
        <is>
          <t>Véus do Teatro Queimado</t>
        </is>
      </c>
      <c r="I706" s="3" t="inlineStr">
        <is>
          <t>de um teatro que pegou fogo na noite de estreia</t>
        </is>
      </c>
      <c r="J706" s="3" t="inlineStr">
        <is>
          <t>ao aplicar uma condição, o seu próximo Teste de Ataque ganha +1</t>
        </is>
      </c>
      <c r="K706" s="18">
        <f>IF(AG706&gt;0,"O Google leu como fórmula: digite de novo com ' na frente.","")</f>
        <v/>
      </c>
      <c r="N706" s="19">
        <f>N705+IF(LEN($X$706)&gt;0,1,0)</f>
        <v/>
      </c>
      <c r="O706" s="19">
        <f>O705+IF(LEN($Y$706)&gt;0,1,0)</f>
        <v/>
      </c>
      <c r="P706" s="19">
        <f>P705+IF(LEN($Z$706)&gt;0,1,0)</f>
        <v/>
      </c>
      <c r="Q706" s="19">
        <f>Q705+IF(LEN($AA$706)&gt;0,1,0)</f>
        <v/>
      </c>
      <c r="R706" s="19">
        <f>R705+IF(LEN($AB$706)&gt;0,1,0)</f>
        <v/>
      </c>
      <c r="S706" s="19">
        <f>S705+IF(LEN($AC$706)&gt;0,1,0)</f>
        <v/>
      </c>
      <c r="T706" s="19">
        <f>T705+IF(LEN($AD$706)&gt;0,1,0)</f>
        <v/>
      </c>
      <c r="U706" s="19">
        <f>U705+IF(LEN($AE$706)&gt;0,1,0)</f>
        <v/>
      </c>
      <c r="V706" s="19">
        <f>V705+IF(LEN($AF$706)&gt;0,1,0)</f>
        <v/>
      </c>
      <c r="X706" s="19">
        <f>IF(ISERROR($B$706),"",IF(ISBLANK($B$706),"",$B$706))</f>
        <v/>
      </c>
      <c r="Y706" s="19">
        <f>IF(ISERROR($C$706),"",IF(ISBLANK($C$706),"",$C$706))</f>
        <v/>
      </c>
      <c r="Z706" s="19">
        <f>IF(ISERROR($D$706),"",IF(ISBLANK($D$706),"",$D$706))</f>
        <v/>
      </c>
      <c r="AA706" s="19">
        <f>IF(ISERROR($E$706),"",IF(ISBLANK($E$706),"",$E$706))</f>
        <v/>
      </c>
      <c r="AB706" s="19">
        <f>IF(ISERROR($F$706),"",IF(ISBLANK($F$706),"",$F$706))</f>
        <v/>
      </c>
      <c r="AC706" s="19">
        <f>IF(ISERROR($G$706),"",IF(ISBLANK($G$706),"",$G$706))</f>
        <v/>
      </c>
      <c r="AD706" s="19">
        <f>IF(ISERROR($H$706),"",IF(ISBLANK($H$706),"",$H$706))</f>
        <v/>
      </c>
      <c r="AE706" s="19">
        <f>IF(ISERROR($I$706),"",IF(ISBLANK($I$706),"",$I$706))</f>
        <v/>
      </c>
      <c r="AF706" s="19">
        <f>IF(ISERROR($J$706),"",IF(ISBLANK($J$706),"",$J$706))</f>
        <v/>
      </c>
      <c r="AG706" s="19">
        <f>ISERROR($B$706)*1+ISERROR($C$706)*1+ISERROR($D$706)*1+ISERROR($E$706)*1+ISERROR($F$706)*1+ISERROR($G$706)*1+ISERROR($H$706)*1+ISERROR($I$706)*1+ISERROR($J$706)*1</f>
        <v/>
      </c>
    </row>
    <row r="707" ht="48" customHeight="1">
      <c r="B707" s="31" t="inlineStr">
        <is>
          <t>uma chave com o símbolo da Corporação</t>
        </is>
      </c>
      <c r="C707" s="28" t="inlineStr">
        <is>
          <t>um mapa dobrado de uma cidade que não existe</t>
        </is>
      </c>
      <c r="D707" s="28" t="inlineStr">
        <is>
          <t>O Relógio Parado</t>
        </is>
      </c>
      <c r="E707" s="28" t="inlineStr">
        <is>
          <t>da Estação Vazia</t>
        </is>
      </c>
      <c r="F707" s="28" t="inlineStr">
        <is>
          <t>a vitória de um time de várzea num mundo esquecido</t>
        </is>
      </c>
      <c r="G707" s="28" t="inlineStr">
        <is>
          <t>quando você gasta o último PH do grupo</t>
        </is>
      </c>
      <c r="H707" s="28" t="inlineStr">
        <is>
          <t>Engrenagens do Relojoeiro Cego</t>
        </is>
      </c>
      <c r="I707" s="28" t="inlineStr">
        <is>
          <t>da frota que desapareceu no primeiro salto</t>
        </is>
      </c>
      <c r="J707" s="28" t="inlineStr">
        <is>
          <t>ao revelar uma Fraqueza, o grupo ganha +1 no próximo Teste de Ataque contra aquele inimigo</t>
        </is>
      </c>
      <c r="K707" s="18">
        <f>IF(AG707&gt;0,"O Google leu como fórmula: digite de novo com ' na frente.","")</f>
        <v/>
      </c>
      <c r="N707" s="19">
        <f>N706+IF(LEN($X$707)&gt;0,1,0)</f>
        <v/>
      </c>
      <c r="O707" s="19">
        <f>O706+IF(LEN($Y$707)&gt;0,1,0)</f>
        <v/>
      </c>
      <c r="P707" s="19">
        <f>P706+IF(LEN($Z$707)&gt;0,1,0)</f>
        <v/>
      </c>
      <c r="Q707" s="19">
        <f>Q706+IF(LEN($AA$707)&gt;0,1,0)</f>
        <v/>
      </c>
      <c r="R707" s="19">
        <f>R706+IF(LEN($AB$707)&gt;0,1,0)</f>
        <v/>
      </c>
      <c r="S707" s="19">
        <f>S706+IF(LEN($AC$707)&gt;0,1,0)</f>
        <v/>
      </c>
      <c r="T707" s="19">
        <f>T706+IF(LEN($AD$707)&gt;0,1,0)</f>
        <v/>
      </c>
      <c r="U707" s="19">
        <f>U706+IF(LEN($AE$707)&gt;0,1,0)</f>
        <v/>
      </c>
      <c r="V707" s="19">
        <f>V706+IF(LEN($AF$707)&gt;0,1,0)</f>
        <v/>
      </c>
      <c r="X707" s="19">
        <f>IF(ISERROR($B$707),"",IF(ISBLANK($B$707),"",$B$707))</f>
        <v/>
      </c>
      <c r="Y707" s="19">
        <f>IF(ISERROR($C$707),"",IF(ISBLANK($C$707),"",$C$707))</f>
        <v/>
      </c>
      <c r="Z707" s="19">
        <f>IF(ISERROR($D$707),"",IF(ISBLANK($D$707),"",$D$707))</f>
        <v/>
      </c>
      <c r="AA707" s="19">
        <f>IF(ISERROR($E$707),"",IF(ISBLANK($E$707),"",$E$707))</f>
        <v/>
      </c>
      <c r="AB707" s="19">
        <f>IF(ISERROR($F$707),"",IF(ISBLANK($F$707),"",$F$707))</f>
        <v/>
      </c>
      <c r="AC707" s="19">
        <f>IF(ISERROR($G$707),"",IF(ISBLANK($G$707),"",$G$707))</f>
        <v/>
      </c>
      <c r="AD707" s="19">
        <f>IF(ISERROR($H$707),"",IF(ISBLANK($H$707),"",$H$707))</f>
        <v/>
      </c>
      <c r="AE707" s="19">
        <f>IF(ISERROR($I$707),"",IF(ISBLANK($I$707),"",$I$707))</f>
        <v/>
      </c>
      <c r="AF707" s="19">
        <f>IF(ISERROR($J$707),"",IF(ISBLANK($J$707),"",$J$707))</f>
        <v/>
      </c>
      <c r="AG707" s="19">
        <f>ISERROR($B$707)*1+ISERROR($C$707)*1+ISERROR($D$707)*1+ISERROR($E$707)*1+ISERROR($F$707)*1+ISERROR($G$707)*1+ISERROR($H$707)*1+ISERROR($I$707)*1+ISERROR($J$707)*1</f>
        <v/>
      </c>
    </row>
    <row r="708" ht="37" customHeight="1">
      <c r="B708" s="30" t="inlineStr">
        <is>
          <t>um cartucho da Legião com a data de amanhã</t>
        </is>
      </c>
      <c r="C708" s="3" t="inlineStr">
        <is>
          <t>um frasco com areia de um planeta morto</t>
        </is>
      </c>
      <c r="D708" s="3" t="inlineStr">
        <is>
          <t>A Ponte</t>
        </is>
      </c>
      <c r="E708" s="3" t="inlineStr">
        <is>
          <t>Que Volta Sempre</t>
        </is>
      </c>
      <c r="F708" s="3" t="inlineStr">
        <is>
          <t>a despedida de dois irmãos num porto lotado</t>
        </is>
      </c>
      <c r="G708" s="3" t="inlineStr">
        <is>
          <t>quando você termina o turno sem ter sido atingido</t>
        </is>
      </c>
      <c r="H708" s="3" t="inlineStr">
        <is>
          <t>Espinhos do Jardim Fechado</t>
        </is>
      </c>
      <c r="I708" s="3" t="inlineStr">
        <is>
          <t>de um jardim fechado depois de uma praga</t>
        </is>
      </c>
      <c r="J708" s="3" t="inlineStr">
        <is>
          <t>ao Avançar um aliado, o seu próximo ataque causa +2 de dano</t>
        </is>
      </c>
      <c r="K708" s="18">
        <f>IF(AG708&gt;0,"O Google leu como fórmula: digite de novo com ' na frente.","")</f>
        <v/>
      </c>
      <c r="N708" s="19">
        <f>N707+IF(LEN($X$708)&gt;0,1,0)</f>
        <v/>
      </c>
      <c r="O708" s="19">
        <f>O707+IF(LEN($Y$708)&gt;0,1,0)</f>
        <v/>
      </c>
      <c r="P708" s="19">
        <f>P707+IF(LEN($Z$708)&gt;0,1,0)</f>
        <v/>
      </c>
      <c r="Q708" s="19">
        <f>Q707+IF(LEN($AA$708)&gt;0,1,0)</f>
        <v/>
      </c>
      <c r="R708" s="19">
        <f>R707+IF(LEN($AB$708)&gt;0,1,0)</f>
        <v/>
      </c>
      <c r="S708" s="19">
        <f>S707+IF(LEN($AC$708)&gt;0,1,0)</f>
        <v/>
      </c>
      <c r="T708" s="19">
        <f>T707+IF(LEN($AD$708)&gt;0,1,0)</f>
        <v/>
      </c>
      <c r="U708" s="19">
        <f>U707+IF(LEN($AE$708)&gt;0,1,0)</f>
        <v/>
      </c>
      <c r="V708" s="19">
        <f>V707+IF(LEN($AF$708)&gt;0,1,0)</f>
        <v/>
      </c>
      <c r="X708" s="19">
        <f>IF(ISERROR($B$708),"",IF(ISBLANK($B$708),"",$B$708))</f>
        <v/>
      </c>
      <c r="Y708" s="19">
        <f>IF(ISERROR($C$708),"",IF(ISBLANK($C$708),"",$C$708))</f>
        <v/>
      </c>
      <c r="Z708" s="19">
        <f>IF(ISERROR($D$708),"",IF(ISBLANK($D$708),"",$D$708))</f>
        <v/>
      </c>
      <c r="AA708" s="19">
        <f>IF(ISERROR($E$708),"",IF(ISBLANK($E$708),"",$E$708))</f>
        <v/>
      </c>
      <c r="AB708" s="19">
        <f>IF(ISERROR($F$708),"",IF(ISBLANK($F$708),"",$F$708))</f>
        <v/>
      </c>
      <c r="AC708" s="19">
        <f>IF(ISERROR($G$708),"",IF(ISBLANK($G$708),"",$G$708))</f>
        <v/>
      </c>
      <c r="AD708" s="19">
        <f>IF(ISERROR($H$708),"",IF(ISBLANK($H$708),"",$H$708))</f>
        <v/>
      </c>
      <c r="AE708" s="19">
        <f>IF(ISERROR($I$708),"",IF(ISBLANK($I$708),"",$I$708))</f>
        <v/>
      </c>
      <c r="AF708" s="19">
        <f>IF(ISERROR($J$708),"",IF(ISBLANK($J$708),"",$J$708))</f>
        <v/>
      </c>
      <c r="AG708" s="19">
        <f>ISERROR($B$708)*1+ISERROR($C$708)*1+ISERROR($D$708)*1+ISERROR($E$708)*1+ISERROR($F$708)*1+ISERROR($G$708)*1+ISERROR($H$708)*1+ISERROR($I$708)*1+ISERROR($J$708)*1</f>
        <v/>
      </c>
    </row>
    <row r="709" ht="37" customHeight="1">
      <c r="B709" s="31" t="inlineStr">
        <is>
          <t>um bilhete escrito numa língua antiga de Xianzhou</t>
        </is>
      </c>
      <c r="C709" s="28" t="inlineStr">
        <is>
          <t>um broche da Corporação de uma filial fechada</t>
        </is>
      </c>
      <c r="D709" s="28" t="inlineStr">
        <is>
          <t>O Jardim</t>
        </is>
      </c>
      <c r="E709" s="28" t="inlineStr">
        <is>
          <t>Depois da Guerra</t>
        </is>
      </c>
      <c r="F709" s="28" t="inlineStr">
        <is>
          <t>a noite em que uma cidade inteira apagou as luzes para ver as estrelas</t>
        </is>
      </c>
      <c r="G709" s="28" t="inlineStr">
        <is>
          <t>quando você cura um aliado</t>
        </is>
      </c>
      <c r="H709" s="28" t="inlineStr">
        <is>
          <t>Pegadas do Último Mineiro</t>
        </is>
      </c>
      <c r="I709" s="28" t="inlineStr">
        <is>
          <t>de um relojoeiro que parou o tempo da própria loja</t>
        </is>
      </c>
      <c r="J709" s="28" t="inlineStr">
        <is>
          <t>ao ficar abaixo da metade dos PV, você recebe +1 RD por 1 Ciclo</t>
        </is>
      </c>
      <c r="K709" s="18">
        <f>IF(AG709&gt;0,"O Google leu como fórmula: digite de novo com ' na frente.","")</f>
        <v/>
      </c>
      <c r="N709" s="19">
        <f>N708+IF(LEN($X$709)&gt;0,1,0)</f>
        <v/>
      </c>
      <c r="O709" s="19">
        <f>O708+IF(LEN($Y$709)&gt;0,1,0)</f>
        <v/>
      </c>
      <c r="P709" s="19">
        <f>P708+IF(LEN($Z$709)&gt;0,1,0)</f>
        <v/>
      </c>
      <c r="Q709" s="19">
        <f>Q708+IF(LEN($AA$709)&gt;0,1,0)</f>
        <v/>
      </c>
      <c r="R709" s="19">
        <f>R708+IF(LEN($AB$709)&gt;0,1,0)</f>
        <v/>
      </c>
      <c r="S709" s="19">
        <f>S708+IF(LEN($AC$709)&gt;0,1,0)</f>
        <v/>
      </c>
      <c r="T709" s="19">
        <f>T708+IF(LEN($AD$709)&gt;0,1,0)</f>
        <v/>
      </c>
      <c r="U709" s="19">
        <f>U708+IF(LEN($AE$709)&gt;0,1,0)</f>
        <v/>
      </c>
      <c r="V709" s="19">
        <f>V708+IF(LEN($AF$709)&gt;0,1,0)</f>
        <v/>
      </c>
      <c r="X709" s="19">
        <f>IF(ISERROR($B$709),"",IF(ISBLANK($B$709),"",$B$709))</f>
        <v/>
      </c>
      <c r="Y709" s="19">
        <f>IF(ISERROR($C$709),"",IF(ISBLANK($C$709),"",$C$709))</f>
        <v/>
      </c>
      <c r="Z709" s="19">
        <f>IF(ISERROR($D$709),"",IF(ISBLANK($D$709),"",$D$709))</f>
        <v/>
      </c>
      <c r="AA709" s="19">
        <f>IF(ISERROR($E$709),"",IF(ISBLANK($E$709),"",$E$709))</f>
        <v/>
      </c>
      <c r="AB709" s="19">
        <f>IF(ISERROR($F$709),"",IF(ISBLANK($F$709),"",$F$709))</f>
        <v/>
      </c>
      <c r="AC709" s="19">
        <f>IF(ISERROR($G$709),"",IF(ISBLANK($G$709),"",$G$709))</f>
        <v/>
      </c>
      <c r="AD709" s="19">
        <f>IF(ISERROR($H$709),"",IF(ISBLANK($H$709),"",$H$709))</f>
        <v/>
      </c>
      <c r="AE709" s="19">
        <f>IF(ISERROR($I$709),"",IF(ISBLANK($I$709),"",$I$709))</f>
        <v/>
      </c>
      <c r="AF709" s="19">
        <f>IF(ISERROR($J$709),"",IF(ISBLANK($J$709),"",$J$709))</f>
        <v/>
      </c>
      <c r="AG709" s="19">
        <f>ISERROR($B$709)*1+ISERROR($C$709)*1+ISERROR($D$709)*1+ISERROR($E$709)*1+ISERROR($F$709)*1+ISERROR($G$709)*1+ISERROR($H$709)*1+ISERROR($I$709)*1+ISERROR($J$709)*1</f>
        <v/>
      </c>
    </row>
    <row r="710" ht="37" customHeight="1">
      <c r="B710" s="30" t="inlineStr">
        <is>
          <t>marcas de garra do lado de dentro de uma porta</t>
        </is>
      </c>
      <c r="C710" s="3" t="inlineStr">
        <is>
          <t>uma pena luminosa de uma ave extinta</t>
        </is>
      </c>
      <c r="D710" s="3" t="inlineStr">
        <is>
          <t>Uma Noite</t>
        </is>
      </c>
      <c r="E710" s="3" t="inlineStr">
        <is>
          <t>Entre as Estrelas</t>
        </is>
      </c>
      <c r="F710" s="3" t="inlineStr">
        <is>
          <t>o perdão que um soldado nunca pediu</t>
        </is>
      </c>
      <c r="G710" s="3" t="inlineStr">
        <is>
          <t>quando um inimigo erra você</t>
        </is>
      </c>
      <c r="H710" s="3" t="inlineStr">
        <is>
          <t>Brasões da Frota Esquecida</t>
        </is>
      </c>
      <c r="I710" s="3" t="inlineStr">
        <is>
          <t>da última caravana de um clã errante</t>
        </is>
      </c>
      <c r="J710" s="3" t="inlineStr">
        <is>
          <t>ao agir primeiro no Ciclo, o seu primeiro ataque causa +2 de dano</t>
        </is>
      </c>
      <c r="K710" s="18">
        <f>IF(AG710&gt;0,"O Google leu como fórmula: digite de novo com ' na frente.","")</f>
        <v/>
      </c>
      <c r="N710" s="19">
        <f>N709+IF(LEN($X$710)&gt;0,1,0)</f>
        <v/>
      </c>
      <c r="O710" s="19">
        <f>O709+IF(LEN($Y$710)&gt;0,1,0)</f>
        <v/>
      </c>
      <c r="P710" s="19">
        <f>P709+IF(LEN($Z$710)&gt;0,1,0)</f>
        <v/>
      </c>
      <c r="Q710" s="19">
        <f>Q709+IF(LEN($AA$710)&gt;0,1,0)</f>
        <v/>
      </c>
      <c r="R710" s="19">
        <f>R709+IF(LEN($AB$710)&gt;0,1,0)</f>
        <v/>
      </c>
      <c r="S710" s="19">
        <f>S709+IF(LEN($AC$710)&gt;0,1,0)</f>
        <v/>
      </c>
      <c r="T710" s="19">
        <f>T709+IF(LEN($AD$710)&gt;0,1,0)</f>
        <v/>
      </c>
      <c r="U710" s="19">
        <f>U709+IF(LEN($AE$710)&gt;0,1,0)</f>
        <v/>
      </c>
      <c r="V710" s="19">
        <f>V709+IF(LEN($AF$710)&gt;0,1,0)</f>
        <v/>
      </c>
      <c r="X710" s="19">
        <f>IF(ISERROR($B$710),"",IF(ISBLANK($B$710),"",$B$710))</f>
        <v/>
      </c>
      <c r="Y710" s="19">
        <f>IF(ISERROR($C$710),"",IF(ISBLANK($C$710),"",$C$710))</f>
        <v/>
      </c>
      <c r="Z710" s="19">
        <f>IF(ISERROR($D$710),"",IF(ISBLANK($D$710),"",$D$710))</f>
        <v/>
      </c>
      <c r="AA710" s="19">
        <f>IF(ISERROR($E$710),"",IF(ISBLANK($E$710),"",$E$710))</f>
        <v/>
      </c>
      <c r="AB710" s="19">
        <f>IF(ISERROR($F$710),"",IF(ISBLANK($F$710),"",$F$710))</f>
        <v/>
      </c>
      <c r="AC710" s="19">
        <f>IF(ISERROR($G$710),"",IF(ISBLANK($G$710),"",$G$710))</f>
        <v/>
      </c>
      <c r="AD710" s="19">
        <f>IF(ISERROR($H$710),"",IF(ISBLANK($H$710),"",$H$710))</f>
        <v/>
      </c>
      <c r="AE710" s="19">
        <f>IF(ISERROR($I$710),"",IF(ISBLANK($I$710),"",$I$710))</f>
        <v/>
      </c>
      <c r="AF710" s="19">
        <f>IF(ISERROR($J$710),"",IF(ISBLANK($J$710),"",$J$710))</f>
        <v/>
      </c>
      <c r="AG710" s="19">
        <f>ISERROR($B$710)*1+ISERROR($C$710)*1+ISERROR($D$710)*1+ISERROR($E$710)*1+ISERROR($F$710)*1+ISERROR($G$710)*1+ISERROR($H$710)*1+ISERROR($I$710)*1+ISERROR($J$710)*1</f>
        <v/>
      </c>
    </row>
    <row r="711" ht="37" customHeight="1">
      <c r="B711" s="31" t="inlineStr">
        <is>
          <t>um copo ainda quente numa sala vazia</t>
        </is>
      </c>
      <c r="C711" s="28" t="inlineStr">
        <is>
          <t>uma passagem do Expresso Astral, sem data</t>
        </is>
      </c>
      <c r="D711" s="28" t="inlineStr">
        <is>
          <t>O Retrato</t>
        </is>
      </c>
      <c r="E711" s="28" t="inlineStr">
        <is>
          <t>ao Amanhecer</t>
        </is>
      </c>
      <c r="F711" s="28" t="inlineStr">
        <is>
          <t>um concerto tocado para uma plateia vazia</t>
        </is>
      </c>
      <c r="G711" s="28" t="inlineStr">
        <is>
          <t>quando você é o último a agir no Ciclo</t>
        </is>
      </c>
      <c r="H711" s="28" t="inlineStr">
        <is>
          <t>Correntes da Prisão Orbital</t>
        </is>
      </c>
      <c r="I711" s="28" t="inlineStr">
        <is>
          <t>de um mosteiro de Intellitrons desligado à força</t>
        </is>
      </c>
      <c r="J711" s="28" t="inlineStr">
        <is>
          <t>ao acertar um alvo Marcado, você recebe +1 de Velocidade por 1 Ciclo</t>
        </is>
      </c>
      <c r="K711" s="18">
        <f>IF(AG711&gt;0,"O Google leu como fórmula: digite de novo com ' na frente.","")</f>
        <v/>
      </c>
      <c r="N711" s="19">
        <f>N710+IF(LEN($X$711)&gt;0,1,0)</f>
        <v/>
      </c>
      <c r="O711" s="19">
        <f>O710+IF(LEN($Y$711)&gt;0,1,0)</f>
        <v/>
      </c>
      <c r="P711" s="19">
        <f>P710+IF(LEN($Z$711)&gt;0,1,0)</f>
        <v/>
      </c>
      <c r="Q711" s="19">
        <f>Q710+IF(LEN($AA$711)&gt;0,1,0)</f>
        <v/>
      </c>
      <c r="R711" s="19">
        <f>R710+IF(LEN($AB$711)&gt;0,1,0)</f>
        <v/>
      </c>
      <c r="S711" s="19">
        <f>S710+IF(LEN($AC$711)&gt;0,1,0)</f>
        <v/>
      </c>
      <c r="T711" s="19">
        <f>T710+IF(LEN($AD$711)&gt;0,1,0)</f>
        <v/>
      </c>
      <c r="U711" s="19">
        <f>U710+IF(LEN($AE$711)&gt;0,1,0)</f>
        <v/>
      </c>
      <c r="V711" s="19">
        <f>V710+IF(LEN($AF$711)&gt;0,1,0)</f>
        <v/>
      </c>
      <c r="X711" s="19">
        <f>IF(ISERROR($B$711),"",IF(ISBLANK($B$711),"",$B$711))</f>
        <v/>
      </c>
      <c r="Y711" s="19">
        <f>IF(ISERROR($C$711),"",IF(ISBLANK($C$711),"",$C$711))</f>
        <v/>
      </c>
      <c r="Z711" s="19">
        <f>IF(ISERROR($D$711),"",IF(ISBLANK($D$711),"",$D$711))</f>
        <v/>
      </c>
      <c r="AA711" s="19">
        <f>IF(ISERROR($E$711),"",IF(ISBLANK($E$711),"",$E$711))</f>
        <v/>
      </c>
      <c r="AB711" s="19">
        <f>IF(ISERROR($F$711),"",IF(ISBLANK($F$711),"",$F$711))</f>
        <v/>
      </c>
      <c r="AC711" s="19">
        <f>IF(ISERROR($G$711),"",IF(ISBLANK($G$711),"",$G$711))</f>
        <v/>
      </c>
      <c r="AD711" s="19">
        <f>IF(ISERROR($H$711),"",IF(ISBLANK($H$711),"",$H$711))</f>
        <v/>
      </c>
      <c r="AE711" s="19">
        <f>IF(ISERROR($I$711),"",IF(ISBLANK($I$711),"",$I$711))</f>
        <v/>
      </c>
      <c r="AF711" s="19">
        <f>IF(ISERROR($J$711),"",IF(ISBLANK($J$711),"",$J$711))</f>
        <v/>
      </c>
      <c r="AG711" s="19">
        <f>ISERROR($B$711)*1+ISERROR($C$711)*1+ISERROR($D$711)*1+ISERROR($E$711)*1+ISERROR($F$711)*1+ISERROR($G$711)*1+ISERROR($H$711)*1+ISERROR($I$711)*1+ISERROR($J$711)*1</f>
        <v/>
      </c>
    </row>
    <row r="712" ht="37" customHeight="1">
      <c r="B712" s="30" t="inlineStr">
        <is>
          <t>uma conta paga em nome de um morto</t>
        </is>
      </c>
      <c r="C712" s="3" t="inlineStr">
        <is>
          <t>uma chave sem fechadura conhecida</t>
        </is>
      </c>
      <c r="D712" s="3" t="inlineStr">
        <is>
          <t>A Promessa</t>
        </is>
      </c>
      <c r="E712" s="3" t="inlineStr">
        <is>
          <t>Que Não Apagou</t>
        </is>
      </c>
      <c r="F712" s="3" t="inlineStr">
        <is>
          <t>a fuga de uma criança pelos dutos de uma estação</t>
        </is>
      </c>
      <c r="G712" s="3" t="inlineStr">
        <is>
          <t>quando você derrota um inimigo</t>
        </is>
      </c>
      <c r="H712" s="3" t="inlineStr">
        <is>
          <t>Pétalas do Ateliê Branco</t>
        </is>
      </c>
      <c r="I712" s="3" t="inlineStr">
        <is>
          <t>de um navio-hospital abandonado em órbita</t>
        </is>
      </c>
      <c r="J712" s="3" t="inlineStr">
        <is>
          <t>ao curar um aliado, o alvo recebe +1 nos Testes de Resistência por 1 Ciclo</t>
        </is>
      </c>
      <c r="K712" s="18">
        <f>IF(AG712&gt;0,"O Google leu como fórmula: digite de novo com ' na frente.","")</f>
        <v/>
      </c>
      <c r="N712" s="19">
        <f>N711+IF(LEN($X$712)&gt;0,1,0)</f>
        <v/>
      </c>
      <c r="O712" s="19">
        <f>O711+IF(LEN($Y$712)&gt;0,1,0)</f>
        <v/>
      </c>
      <c r="P712" s="19">
        <f>P711+IF(LEN($Z$712)&gt;0,1,0)</f>
        <v/>
      </c>
      <c r="Q712" s="19">
        <f>Q711+IF(LEN($AA$712)&gt;0,1,0)</f>
        <v/>
      </c>
      <c r="R712" s="19">
        <f>R711+IF(LEN($AB$712)&gt;0,1,0)</f>
        <v/>
      </c>
      <c r="S712" s="19">
        <f>S711+IF(LEN($AC$712)&gt;0,1,0)</f>
        <v/>
      </c>
      <c r="T712" s="19">
        <f>T711+IF(LEN($AD$712)&gt;0,1,0)</f>
        <v/>
      </c>
      <c r="U712" s="19">
        <f>U711+IF(LEN($AE$712)&gt;0,1,0)</f>
        <v/>
      </c>
      <c r="V712" s="19">
        <f>V711+IF(LEN($AF$712)&gt;0,1,0)</f>
        <v/>
      </c>
      <c r="X712" s="19">
        <f>IF(ISERROR($B$712),"",IF(ISBLANK($B$712),"",$B$712))</f>
        <v/>
      </c>
      <c r="Y712" s="19">
        <f>IF(ISERROR($C$712),"",IF(ISBLANK($C$712),"",$C$712))</f>
        <v/>
      </c>
      <c r="Z712" s="19">
        <f>IF(ISERROR($D$712),"",IF(ISBLANK($D$712),"",$D$712))</f>
        <v/>
      </c>
      <c r="AA712" s="19">
        <f>IF(ISERROR($E$712),"",IF(ISBLANK($E$712),"",$E$712))</f>
        <v/>
      </c>
      <c r="AB712" s="19">
        <f>IF(ISERROR($F$712),"",IF(ISBLANK($F$712),"",$F$712))</f>
        <v/>
      </c>
      <c r="AC712" s="19">
        <f>IF(ISERROR($G$712),"",IF(ISBLANK($G$712),"",$G$712))</f>
        <v/>
      </c>
      <c r="AD712" s="19">
        <f>IF(ISERROR($H$712),"",IF(ISBLANK($H$712),"",$H$712))</f>
        <v/>
      </c>
      <c r="AE712" s="19">
        <f>IF(ISERROR($I$712),"",IF(ISBLANK($I$712),"",$I$712))</f>
        <v/>
      </c>
      <c r="AF712" s="19">
        <f>IF(ISERROR($J$712),"",IF(ISBLANK($J$712),"",$J$712))</f>
        <v/>
      </c>
      <c r="AG712" s="19">
        <f>ISERROR($B$712)*1+ISERROR($C$712)*1+ISERROR($D$712)*1+ISERROR($E$712)*1+ISERROR($F$712)*1+ISERROR($G$712)*1+ISERROR($H$712)*1+ISERROR($I$712)*1+ISERROR($J$712)*1</f>
        <v/>
      </c>
    </row>
    <row r="713" ht="37" customHeight="1">
      <c r="B713" s="31" t="inlineStr">
        <is>
          <t>um desenho infantil com o rosto do antagonista</t>
        </is>
      </c>
      <c r="C713" s="28" t="inlineStr">
        <is>
          <t>um par de óculos que mostra tudo em preto e branco</t>
        </is>
      </c>
      <c r="D713" s="28" t="inlineStr">
        <is>
          <t>O Mapa Rasgado</t>
        </is>
      </c>
      <c r="E713" s="28" t="inlineStr">
        <is>
          <t>de Quem Ficou</t>
        </is>
      </c>
      <c r="F713" s="28" t="inlineStr">
        <is>
          <t>a promessa de voltar feita por alguém que não voltou</t>
        </is>
      </c>
      <c r="G713" s="28" t="inlineStr">
        <is>
          <t>quando você recebe dano acima da metade dos PV</t>
        </is>
      </c>
      <c r="H713" s="28" t="inlineStr">
        <is>
          <t>Lanternas do Cais Noturno</t>
        </is>
      </c>
      <c r="I713" s="28" t="inlineStr">
        <is>
          <t>de uma prisão orbital que libertou todos de uma vez</t>
        </is>
      </c>
      <c r="J713" s="28" t="inlineStr">
        <is>
          <t>ao derrotar um inimigo, o aliado mais próximo recebe +1 de Defesa por 1 Ciclo</t>
        </is>
      </c>
      <c r="K713" s="18">
        <f>IF(AG713&gt;0,"O Google leu como fórmula: digite de novo com ' na frente.","")</f>
        <v/>
      </c>
      <c r="N713" s="19">
        <f>N712+IF(LEN($X$713)&gt;0,1,0)</f>
        <v/>
      </c>
      <c r="O713" s="19">
        <f>O712+IF(LEN($Y$713)&gt;0,1,0)</f>
        <v/>
      </c>
      <c r="P713" s="19">
        <f>P712+IF(LEN($Z$713)&gt;0,1,0)</f>
        <v/>
      </c>
      <c r="Q713" s="19">
        <f>Q712+IF(LEN($AA$713)&gt;0,1,0)</f>
        <v/>
      </c>
      <c r="R713" s="19">
        <f>R712+IF(LEN($AB$713)&gt;0,1,0)</f>
        <v/>
      </c>
      <c r="S713" s="19">
        <f>S712+IF(LEN($AC$713)&gt;0,1,0)</f>
        <v/>
      </c>
      <c r="T713" s="19">
        <f>T712+IF(LEN($AD$713)&gt;0,1,0)</f>
        <v/>
      </c>
      <c r="U713" s="19">
        <f>U712+IF(LEN($AE$713)&gt;0,1,0)</f>
        <v/>
      </c>
      <c r="V713" s="19">
        <f>V712+IF(LEN($AF$713)&gt;0,1,0)</f>
        <v/>
      </c>
      <c r="X713" s="19">
        <f>IF(ISERROR($B$713),"",IF(ISBLANK($B$713),"",$B$713))</f>
        <v/>
      </c>
      <c r="Y713" s="19">
        <f>IF(ISERROR($C$713),"",IF(ISBLANK($C$713),"",$C$713))</f>
        <v/>
      </c>
      <c r="Z713" s="19">
        <f>IF(ISERROR($D$713),"",IF(ISBLANK($D$713),"",$D$713))</f>
        <v/>
      </c>
      <c r="AA713" s="19">
        <f>IF(ISERROR($E$713),"",IF(ISBLANK($E$713),"",$E$713))</f>
        <v/>
      </c>
      <c r="AB713" s="19">
        <f>IF(ISERROR($F$713),"",IF(ISBLANK($F$713),"",$F$713))</f>
        <v/>
      </c>
      <c r="AC713" s="19">
        <f>IF(ISERROR($G$713),"",IF(ISBLANK($G$713),"",$G$713))</f>
        <v/>
      </c>
      <c r="AD713" s="19">
        <f>IF(ISERROR($H$713),"",IF(ISBLANK($H$713),"",$H$713))</f>
        <v/>
      </c>
      <c r="AE713" s="19">
        <f>IF(ISERROR($I$713),"",IF(ISBLANK($I$713),"",$I$713))</f>
        <v/>
      </c>
      <c r="AF713" s="19">
        <f>IF(ISERROR($J$713),"",IF(ISBLANK($J$713),"",$J$713))</f>
        <v/>
      </c>
      <c r="AG713" s="19">
        <f>ISERROR($B$713)*1+ISERROR($C$713)*1+ISERROR($D$713)*1+ISERROR($E$713)*1+ISERROR($F$713)*1+ISERROR($G$713)*1+ISERROR($H$713)*1+ISERROR($I$713)*1+ISERROR($J$713)*1</f>
        <v/>
      </c>
    </row>
    <row r="714" ht="26" customHeight="1">
      <c r="B714" s="30" t="inlineStr">
        <is>
          <t>uma lista de compras com remédios proibidos</t>
        </is>
      </c>
      <c r="C714" s="3" t="inlineStr">
        <is>
          <t>um boneco de pano com um bolso secreto</t>
        </is>
      </c>
      <c r="D714" s="3" t="inlineStr">
        <is>
          <t>A Lanterna</t>
        </is>
      </c>
      <c r="E714" s="3" t="inlineStr">
        <is>
          <t>Sem Volta</t>
        </is>
      </c>
      <c r="F714" s="3" t="inlineStr">
        <is>
          <t>o último voo de uma piloto que salvou um comboio</t>
        </is>
      </c>
      <c r="G714" s="3" t="inlineStr">
        <is>
          <t>quando você usa uma Habilidade de Nível 3 ou mais</t>
        </is>
      </c>
      <c r="H714" s="3" t="inlineStr">
        <is>
          <t>Escamas da Maré Funda</t>
        </is>
      </c>
      <c r="I714" s="3" t="inlineStr">
        <is>
          <t>de um mercado que vendia memórias</t>
        </is>
      </c>
      <c r="J714" s="3" t="n"/>
      <c r="K714" s="18">
        <f>IF(AG714&gt;0,"O Google leu como fórmula: digite de novo com ' na frente.","")</f>
        <v/>
      </c>
      <c r="N714" s="19">
        <f>N713+IF(LEN($X$714)&gt;0,1,0)</f>
        <v/>
      </c>
      <c r="O714" s="19">
        <f>O713+IF(LEN($Y$714)&gt;0,1,0)</f>
        <v/>
      </c>
      <c r="P714" s="19">
        <f>P713+IF(LEN($Z$714)&gt;0,1,0)</f>
        <v/>
      </c>
      <c r="Q714" s="19">
        <f>Q713+IF(LEN($AA$714)&gt;0,1,0)</f>
        <v/>
      </c>
      <c r="R714" s="19">
        <f>R713+IF(LEN($AB$714)&gt;0,1,0)</f>
        <v/>
      </c>
      <c r="S714" s="19">
        <f>S713+IF(LEN($AC$714)&gt;0,1,0)</f>
        <v/>
      </c>
      <c r="T714" s="19">
        <f>T713+IF(LEN($AD$714)&gt;0,1,0)</f>
        <v/>
      </c>
      <c r="U714" s="19">
        <f>U713+IF(LEN($AE$714)&gt;0,1,0)</f>
        <v/>
      </c>
      <c r="V714" s="19">
        <f>V713+IF(LEN($AF$714)&gt;0,1,0)</f>
        <v/>
      </c>
      <c r="X714" s="19">
        <f>IF(ISERROR($B$714),"",IF(ISBLANK($B$714),"",$B$714))</f>
        <v/>
      </c>
      <c r="Y714" s="19">
        <f>IF(ISERROR($C$714),"",IF(ISBLANK($C$714),"",$C$714))</f>
        <v/>
      </c>
      <c r="Z714" s="19">
        <f>IF(ISERROR($D$714),"",IF(ISBLANK($D$714),"",$D$714))</f>
        <v/>
      </c>
      <c r="AA714" s="19">
        <f>IF(ISERROR($E$714),"",IF(ISBLANK($E$714),"",$E$714))</f>
        <v/>
      </c>
      <c r="AB714" s="19">
        <f>IF(ISERROR($F$714),"",IF(ISBLANK($F$714),"",$F$714))</f>
        <v/>
      </c>
      <c r="AC714" s="19">
        <f>IF(ISERROR($G$714),"",IF(ISBLANK($G$714),"",$G$714))</f>
        <v/>
      </c>
      <c r="AD714" s="19">
        <f>IF(ISERROR($H$714),"",IF(ISBLANK($H$714),"",$H$714))</f>
        <v/>
      </c>
      <c r="AE714" s="19">
        <f>IF(ISERROR($I$714),"",IF(ISBLANK($I$714),"",$I$714))</f>
        <v/>
      </c>
      <c r="AF714" s="19">
        <f>IF(ISERROR($J$714),"",IF(ISBLANK($J$714),"",$J$714))</f>
        <v/>
      </c>
      <c r="AG714" s="19">
        <f>ISERROR($B$714)*1+ISERROR($C$714)*1+ISERROR($D$714)*1+ISERROR($E$714)*1+ISERROR($F$714)*1+ISERROR($G$714)*1+ISERROR($H$714)*1+ISERROR($I$714)*1+ISERROR($J$714)*1</f>
        <v/>
      </c>
    </row>
    <row r="715" ht="26" customHeight="1">
      <c r="B715" s="7" t="inlineStr">
        <is>
          <t>Pista</t>
        </is>
      </c>
      <c r="C715" s="7" t="inlineStr">
        <is>
          <t>Bugiganga</t>
        </is>
      </c>
      <c r="D715" s="7" t="inlineStr">
        <is>
          <t>Nome do Cone (início)</t>
        </is>
      </c>
      <c r="E715" s="7" t="inlineStr">
        <is>
          <t>Nome do Cone (fim)</t>
        </is>
      </c>
      <c r="F715" s="7" t="inlineStr">
        <is>
          <t>Memória do Cone</t>
        </is>
      </c>
      <c r="G715" s="7" t="inlineStr">
        <is>
          <t>Gatilho do Efeito Condicional</t>
        </is>
      </c>
      <c r="H715" s="7" t="inlineStr">
        <is>
          <t>Nome do Conjunto</t>
        </is>
      </c>
      <c r="I715" s="7" t="inlineStr">
        <is>
          <t>Origem do Conjunto</t>
        </is>
      </c>
      <c r="J715" s="7" t="inlineStr">
        <is>
          <t>Efeito de 4 peças</t>
        </is>
      </c>
      <c r="N715" s="19">
        <f>N714</f>
        <v/>
      </c>
      <c r="O715" s="19">
        <f>O714</f>
        <v/>
      </c>
      <c r="P715" s="19">
        <f>P714</f>
        <v/>
      </c>
      <c r="Q715" s="19">
        <f>Q714</f>
        <v/>
      </c>
      <c r="R715" s="19">
        <f>R714</f>
        <v/>
      </c>
      <c r="S715" s="19">
        <f>S714</f>
        <v/>
      </c>
      <c r="T715" s="19">
        <f>T714</f>
        <v/>
      </c>
      <c r="U715" s="19">
        <f>U714</f>
        <v/>
      </c>
      <c r="V715" s="19">
        <f>V714</f>
        <v/>
      </c>
      <c r="X715" s="19">
        <f>IF(ISERROR($B$715),"",IF(ISBLANK($B$715),"",$B$715))</f>
        <v/>
      </c>
      <c r="Y715" s="19">
        <f>IF(ISERROR($C$715),"",IF(ISBLANK($C$715),"",$C$715))</f>
        <v/>
      </c>
      <c r="Z715" s="19">
        <f>IF(ISERROR($D$715),"",IF(ISBLANK($D$715),"",$D$715))</f>
        <v/>
      </c>
      <c r="AA715" s="19">
        <f>IF(ISERROR($E$715),"",IF(ISBLANK($E$715),"",$E$715))</f>
        <v/>
      </c>
      <c r="AB715" s="19">
        <f>IF(ISERROR($F$715),"",IF(ISBLANK($F$715),"",$F$715))</f>
        <v/>
      </c>
      <c r="AC715" s="19">
        <f>IF(ISERROR($G$715),"",IF(ISBLANK($G$715),"",$G$715))</f>
        <v/>
      </c>
      <c r="AD715" s="19">
        <f>IF(ISERROR($H$715),"",IF(ISBLANK($H$715),"",$H$715))</f>
        <v/>
      </c>
      <c r="AE715" s="19">
        <f>IF(ISERROR($I$715),"",IF(ISBLANK($I$715),"",$I$715))</f>
        <v/>
      </c>
      <c r="AF715" s="19">
        <f>IF(ISERROR($J$715),"",IF(ISBLANK($J$715),"",$J$715))</f>
        <v/>
      </c>
    </row>
    <row r="716" ht="26" customHeight="1">
      <c r="B716" s="30" t="inlineStr">
        <is>
          <t>terra de outro planeta na sola de uma bota</t>
        </is>
      </c>
      <c r="C716" s="3" t="inlineStr">
        <is>
          <t>um pedaço de casco com um nome gravado</t>
        </is>
      </c>
      <c r="D716" s="3" t="inlineStr">
        <is>
          <t>O Silêncio</t>
        </is>
      </c>
      <c r="E716" s="3" t="inlineStr">
        <is>
          <t>no Fim do Corredor</t>
        </is>
      </c>
      <c r="F716" s="3" t="inlineStr">
        <is>
          <t>o silêncio de um mosteiro na manhã de um ataque</t>
        </is>
      </c>
      <c r="G716" s="3" t="inlineStr">
        <is>
          <t>quando você age antes de todos os inimigos</t>
        </is>
      </c>
      <c r="H716" s="3" t="inlineStr">
        <is>
          <t>Fios da Tecelã Ausente</t>
        </is>
      </c>
      <c r="I716" s="3" t="inlineStr">
        <is>
          <t>do ateliê de um escultor que desapareceu</t>
        </is>
      </c>
      <c r="J716" s="3" t="n"/>
      <c r="K716" s="18">
        <f>IF(AG716&gt;0,"O Google leu como fórmula: digite de novo com ' na frente.","")</f>
        <v/>
      </c>
      <c r="N716" s="19">
        <f>N715+IF(LEN($X$716)&gt;0,1,0)</f>
        <v/>
      </c>
      <c r="O716" s="19">
        <f>O715+IF(LEN($Y$716)&gt;0,1,0)</f>
        <v/>
      </c>
      <c r="P716" s="19">
        <f>P715+IF(LEN($Z$716)&gt;0,1,0)</f>
        <v/>
      </c>
      <c r="Q716" s="19">
        <f>Q715+IF(LEN($AA$716)&gt;0,1,0)</f>
        <v/>
      </c>
      <c r="R716" s="19">
        <f>R715+IF(LEN($AB$716)&gt;0,1,0)</f>
        <v/>
      </c>
      <c r="S716" s="19">
        <f>S715+IF(LEN($AC$716)&gt;0,1,0)</f>
        <v/>
      </c>
      <c r="T716" s="19">
        <f>T715+IF(LEN($AD$716)&gt;0,1,0)</f>
        <v/>
      </c>
      <c r="U716" s="19">
        <f>U715+IF(LEN($AE$716)&gt;0,1,0)</f>
        <v/>
      </c>
      <c r="V716" s="19">
        <f>V715+IF(LEN($AF$716)&gt;0,1,0)</f>
        <v/>
      </c>
      <c r="X716" s="19">
        <f>IF(ISERROR($B$716),"",IF(ISBLANK($B$716),"",$B$716))</f>
        <v/>
      </c>
      <c r="Y716" s="19">
        <f>IF(ISERROR($C$716),"",IF(ISBLANK($C$716),"",$C$716))</f>
        <v/>
      </c>
      <c r="Z716" s="19">
        <f>IF(ISERROR($D$716),"",IF(ISBLANK($D$716),"",$D$716))</f>
        <v/>
      </c>
      <c r="AA716" s="19">
        <f>IF(ISERROR($E$716),"",IF(ISBLANK($E$716),"",$E$716))</f>
        <v/>
      </c>
      <c r="AB716" s="19">
        <f>IF(ISERROR($F$716),"",IF(ISBLANK($F$716),"",$F$716))</f>
        <v/>
      </c>
      <c r="AC716" s="19">
        <f>IF(ISERROR($G$716),"",IF(ISBLANK($G$716),"",$G$716))</f>
        <v/>
      </c>
      <c r="AD716" s="19">
        <f>IF(ISERROR($H$716),"",IF(ISBLANK($H$716),"",$H$716))</f>
        <v/>
      </c>
      <c r="AE716" s="19">
        <f>IF(ISERROR($I$716),"",IF(ISBLANK($I$716),"",$I$716))</f>
        <v/>
      </c>
      <c r="AF716" s="19">
        <f>IF(ISERROR($J$716),"",IF(ISBLANK($J$716),"",$J$716))</f>
        <v/>
      </c>
      <c r="AG716" s="19">
        <f>ISERROR($B$716)*1+ISERROR($C$716)*1+ISERROR($D$716)*1+ISERROR($E$716)*1+ISERROR($F$716)*1+ISERROR($G$716)*1+ISERROR($H$716)*1+ISERROR($I$716)*1+ISERROR($J$716)*1</f>
        <v/>
      </c>
    </row>
    <row r="717" ht="37" customHeight="1">
      <c r="B717" s="31" t="inlineStr">
        <is>
          <t>um anel de noivado num ninho do Fragmentum</t>
        </is>
      </c>
      <c r="C717" s="28" t="inlineStr">
        <is>
          <t>uma carta de baralho com o rosto de um personagem</t>
        </is>
      </c>
      <c r="D717" s="28" t="inlineStr">
        <is>
          <t>A Viagem</t>
        </is>
      </c>
      <c r="E717" s="28" t="inlineStr">
        <is>
          <t>do Último Inverno</t>
        </is>
      </c>
      <c r="F717" s="28" t="inlineStr">
        <is>
          <t>a colheita de uma estufa orbital antes do inverno</t>
        </is>
      </c>
      <c r="G717" s="28" t="inlineStr">
        <is>
          <t>quando você aplica uma condição</t>
        </is>
      </c>
      <c r="H717" s="28" t="inlineStr">
        <is>
          <t>Moedas do Mercador Sem Rosto</t>
        </is>
      </c>
      <c r="I717" s="28" t="inlineStr">
        <is>
          <t>de uma estação de pesquisa que estudou um Stellaron de perto</t>
        </is>
      </c>
      <c r="J717" s="28" t="n"/>
      <c r="K717" s="18">
        <f>IF(AG717&gt;0,"O Google leu como fórmula: digite de novo com ' na frente.","")</f>
        <v/>
      </c>
      <c r="N717" s="19">
        <f>N716+IF(LEN($X$717)&gt;0,1,0)</f>
        <v/>
      </c>
      <c r="O717" s="19">
        <f>O716+IF(LEN($Y$717)&gt;0,1,0)</f>
        <v/>
      </c>
      <c r="P717" s="19">
        <f>P716+IF(LEN($Z$717)&gt;0,1,0)</f>
        <v/>
      </c>
      <c r="Q717" s="19">
        <f>Q716+IF(LEN($AA$717)&gt;0,1,0)</f>
        <v/>
      </c>
      <c r="R717" s="19">
        <f>R716+IF(LEN($AB$717)&gt;0,1,0)</f>
        <v/>
      </c>
      <c r="S717" s="19">
        <f>S716+IF(LEN($AC$717)&gt;0,1,0)</f>
        <v/>
      </c>
      <c r="T717" s="19">
        <f>T716+IF(LEN($AD$717)&gt;0,1,0)</f>
        <v/>
      </c>
      <c r="U717" s="19">
        <f>U716+IF(LEN($AE$717)&gt;0,1,0)</f>
        <v/>
      </c>
      <c r="V717" s="19">
        <f>V716+IF(LEN($AF$717)&gt;0,1,0)</f>
        <v/>
      </c>
      <c r="X717" s="19">
        <f>IF(ISERROR($B$717),"",IF(ISBLANK($B$717),"",$B$717))</f>
        <v/>
      </c>
      <c r="Y717" s="19">
        <f>IF(ISERROR($C$717),"",IF(ISBLANK($C$717),"",$C$717))</f>
        <v/>
      </c>
      <c r="Z717" s="19">
        <f>IF(ISERROR($D$717),"",IF(ISBLANK($D$717),"",$D$717))</f>
        <v/>
      </c>
      <c r="AA717" s="19">
        <f>IF(ISERROR($E$717),"",IF(ISBLANK($E$717),"",$E$717))</f>
        <v/>
      </c>
      <c r="AB717" s="19">
        <f>IF(ISERROR($F$717),"",IF(ISBLANK($F$717),"",$F$717))</f>
        <v/>
      </c>
      <c r="AC717" s="19">
        <f>IF(ISERROR($G$717),"",IF(ISBLANK($G$717),"",$G$717))</f>
        <v/>
      </c>
      <c r="AD717" s="19">
        <f>IF(ISERROR($H$717),"",IF(ISBLANK($H$717),"",$H$717))</f>
        <v/>
      </c>
      <c r="AE717" s="19">
        <f>IF(ISERROR($I$717),"",IF(ISBLANK($I$717),"",$I$717))</f>
        <v/>
      </c>
      <c r="AF717" s="19">
        <f>IF(ISERROR($J$717),"",IF(ISBLANK($J$717),"",$J$717))</f>
        <v/>
      </c>
      <c r="AG717" s="19">
        <f>ISERROR($B$717)*1+ISERROR($C$717)*1+ISERROR($D$717)*1+ISERROR($E$717)*1+ISERROR($F$717)*1+ISERROR($G$717)*1+ISERROR($H$717)*1+ISERROR($I$717)*1+ISERROR($J$717)*1</f>
        <v/>
      </c>
    </row>
    <row r="718" ht="37" customHeight="1">
      <c r="B718" s="30" t="inlineStr">
        <is>
          <t>um mapa com uma rota marcada a sangue</t>
        </is>
      </c>
      <c r="C718" s="3" t="inlineStr">
        <is>
          <t>uma semente que não germina em lugar nenhum</t>
        </is>
      </c>
      <c r="D718" s="3" t="inlineStr">
        <is>
          <t>O Primeiro Passo</t>
        </is>
      </c>
      <c r="E718" s="3" t="inlineStr">
        <is>
          <t>Que Prometemos</t>
        </is>
      </c>
      <c r="F718" s="3" t="inlineStr">
        <is>
          <t>a carta que um prisioneiro escreveu e nunca enviou</t>
        </is>
      </c>
      <c r="G718" s="3" t="inlineStr">
        <is>
          <t>quando você Avança um aliado na Fila</t>
        </is>
      </c>
      <c r="H718" s="3" t="inlineStr">
        <is>
          <t>Chaves do Cofre Vazio</t>
        </is>
      </c>
      <c r="I718" s="3" t="inlineStr">
        <is>
          <t>de uma família nobre de Xianzhou que caiu em desgraça</t>
        </is>
      </c>
      <c r="J718" s="3" t="n"/>
      <c r="K718" s="18">
        <f>IF(AG718&gt;0,"O Google leu como fórmula: digite de novo com ' na frente.","")</f>
        <v/>
      </c>
      <c r="N718" s="19">
        <f>N717+IF(LEN($X$718)&gt;0,1,0)</f>
        <v/>
      </c>
      <c r="O718" s="19">
        <f>O717+IF(LEN($Y$718)&gt;0,1,0)</f>
        <v/>
      </c>
      <c r="P718" s="19">
        <f>P717+IF(LEN($Z$718)&gt;0,1,0)</f>
        <v/>
      </c>
      <c r="Q718" s="19">
        <f>Q717+IF(LEN($AA$718)&gt;0,1,0)</f>
        <v/>
      </c>
      <c r="R718" s="19">
        <f>R717+IF(LEN($AB$718)&gt;0,1,0)</f>
        <v/>
      </c>
      <c r="S718" s="19">
        <f>S717+IF(LEN($AC$718)&gt;0,1,0)</f>
        <v/>
      </c>
      <c r="T718" s="19">
        <f>T717+IF(LEN($AD$718)&gt;0,1,0)</f>
        <v/>
      </c>
      <c r="U718" s="19">
        <f>U717+IF(LEN($AE$718)&gt;0,1,0)</f>
        <v/>
      </c>
      <c r="V718" s="19">
        <f>V717+IF(LEN($AF$718)&gt;0,1,0)</f>
        <v/>
      </c>
      <c r="X718" s="19">
        <f>IF(ISERROR($B$718),"",IF(ISBLANK($B$718),"",$B$718))</f>
        <v/>
      </c>
      <c r="Y718" s="19">
        <f>IF(ISERROR($C$718),"",IF(ISBLANK($C$718),"",$C$718))</f>
        <v/>
      </c>
      <c r="Z718" s="19">
        <f>IF(ISERROR($D$718),"",IF(ISBLANK($D$718),"",$D$718))</f>
        <v/>
      </c>
      <c r="AA718" s="19">
        <f>IF(ISERROR($E$718),"",IF(ISBLANK($E$718),"",$E$718))</f>
        <v/>
      </c>
      <c r="AB718" s="19">
        <f>IF(ISERROR($F$718),"",IF(ISBLANK($F$718),"",$F$718))</f>
        <v/>
      </c>
      <c r="AC718" s="19">
        <f>IF(ISERROR($G$718),"",IF(ISBLANK($G$718),"",$G$718))</f>
        <v/>
      </c>
      <c r="AD718" s="19">
        <f>IF(ISERROR($H$718),"",IF(ISBLANK($H$718),"",$H$718))</f>
        <v/>
      </c>
      <c r="AE718" s="19">
        <f>IF(ISERROR($I$718),"",IF(ISBLANK($I$718),"",$I$718))</f>
        <v/>
      </c>
      <c r="AF718" s="19">
        <f>IF(ISERROR($J$718),"",IF(ISBLANK($J$718),"",$J$718))</f>
        <v/>
      </c>
      <c r="AG718" s="19">
        <f>ISERROR($B$718)*1+ISERROR($C$718)*1+ISERROR($D$718)*1+ISERROR($E$718)*1+ISERROR($F$718)*1+ISERROR($G$718)*1+ISERROR($H$718)*1+ISERROR($I$718)*1+ISERROR($J$718)*1</f>
        <v/>
      </c>
    </row>
    <row r="719" ht="37" customHeight="1">
      <c r="B719" s="31" t="inlineStr">
        <is>
          <t>um aviso de despejo de um prédio já demolido</t>
        </is>
      </c>
      <c r="C719" s="28" t="inlineStr">
        <is>
          <t>um cachimbo que nunca apaga</t>
        </is>
      </c>
      <c r="D719" s="28" t="inlineStr">
        <is>
          <t>Uma Janela</t>
        </is>
      </c>
      <c r="E719" s="28" t="inlineStr">
        <is>
          <t>Sob a Chuva</t>
        </is>
      </c>
      <c r="F719" s="28" t="inlineStr">
        <is>
          <t>a primeira vez que um Intellitron sonhou</t>
        </is>
      </c>
      <c r="G719" s="28" t="inlineStr">
        <is>
          <t>quando a sua Energia chega a 100</t>
        </is>
      </c>
      <c r="H719" s="28" t="inlineStr">
        <is>
          <t>Penas do Coro Distante</t>
        </is>
      </c>
      <c r="I719" s="28" t="inlineStr">
        <is>
          <t>de uma equipe de mineiros soterrados que nunca foi resgatada</t>
        </is>
      </c>
      <c r="J719" s="28" t="n"/>
      <c r="K719" s="18">
        <f>IF(AG719&gt;0,"O Google leu como fórmula: digite de novo com ' na frente.","")</f>
        <v/>
      </c>
      <c r="N719" s="19">
        <f>N718+IF(LEN($X$719)&gt;0,1,0)</f>
        <v/>
      </c>
      <c r="O719" s="19">
        <f>O718+IF(LEN($Y$719)&gt;0,1,0)</f>
        <v/>
      </c>
      <c r="P719" s="19">
        <f>P718+IF(LEN($Z$719)&gt;0,1,0)</f>
        <v/>
      </c>
      <c r="Q719" s="19">
        <f>Q718+IF(LEN($AA$719)&gt;0,1,0)</f>
        <v/>
      </c>
      <c r="R719" s="19">
        <f>R718+IF(LEN($AB$719)&gt;0,1,0)</f>
        <v/>
      </c>
      <c r="S719" s="19">
        <f>S718+IF(LEN($AC$719)&gt;0,1,0)</f>
        <v/>
      </c>
      <c r="T719" s="19">
        <f>T718+IF(LEN($AD$719)&gt;0,1,0)</f>
        <v/>
      </c>
      <c r="U719" s="19">
        <f>U718+IF(LEN($AE$719)&gt;0,1,0)</f>
        <v/>
      </c>
      <c r="V719" s="19">
        <f>V718+IF(LEN($AF$719)&gt;0,1,0)</f>
        <v/>
      </c>
      <c r="X719" s="19">
        <f>IF(ISERROR($B$719),"",IF(ISBLANK($B$719),"",$B$719))</f>
        <v/>
      </c>
      <c r="Y719" s="19">
        <f>IF(ISERROR($C$719),"",IF(ISBLANK($C$719),"",$C$719))</f>
        <v/>
      </c>
      <c r="Z719" s="19">
        <f>IF(ISERROR($D$719),"",IF(ISBLANK($D$719),"",$D$719))</f>
        <v/>
      </c>
      <c r="AA719" s="19">
        <f>IF(ISERROR($E$719),"",IF(ISBLANK($E$719),"",$E$719))</f>
        <v/>
      </c>
      <c r="AB719" s="19">
        <f>IF(ISERROR($F$719),"",IF(ISBLANK($F$719),"",$F$719))</f>
        <v/>
      </c>
      <c r="AC719" s="19">
        <f>IF(ISERROR($G$719),"",IF(ISBLANK($G$719),"",$G$719))</f>
        <v/>
      </c>
      <c r="AD719" s="19">
        <f>IF(ISERROR($H$719),"",IF(ISBLANK($H$719),"",$H$719))</f>
        <v/>
      </c>
      <c r="AE719" s="19">
        <f>IF(ISERROR($I$719),"",IF(ISBLANK($I$719),"",$I$719))</f>
        <v/>
      </c>
      <c r="AF719" s="19">
        <f>IF(ISERROR($J$719),"",IF(ISBLANK($J$719),"",$J$719))</f>
        <v/>
      </c>
      <c r="AG719" s="19">
        <f>ISERROR($B$719)*1+ISERROR($C$719)*1+ISERROR($D$719)*1+ISERROR($E$719)*1+ISERROR($F$719)*1+ISERROR($G$719)*1+ISERROR($H$719)*1+ISERROR($I$719)*1+ISERROR($J$719)*1</f>
        <v/>
      </c>
    </row>
    <row r="720" ht="26" customHeight="1">
      <c r="B720" s="30" t="inlineStr">
        <is>
          <t>um ingresso de teatro para uma peça que nunca estreou</t>
        </is>
      </c>
      <c r="C720" s="3" t="inlineStr">
        <is>
          <t>um anel de lata com uma promessa gravada por dentro</t>
        </is>
      </c>
      <c r="D720" s="3" t="inlineStr">
        <is>
          <t>A Chuva</t>
        </is>
      </c>
      <c r="E720" s="3" t="inlineStr">
        <is>
          <t>de um Velho Amigo</t>
        </is>
      </c>
      <c r="F720" s="3" t="inlineStr">
        <is>
          <t>o riso de um palhaço num hospital de campanha</t>
        </is>
      </c>
      <c r="G720" s="3" t="inlineStr">
        <is>
          <t>quando você fica abaixo da metade dos PV</t>
        </is>
      </c>
      <c r="H720" s="3" t="inlineStr">
        <is>
          <t>Pedras do Templo Sem Deus</t>
        </is>
      </c>
      <c r="I720" s="3" t="inlineStr">
        <is>
          <t>de uma biblioteca que queimou durante uma revolta</t>
        </is>
      </c>
      <c r="J720" s="3" t="n"/>
      <c r="K720" s="18">
        <f>IF(AG720&gt;0,"O Google leu como fórmula: digite de novo com ' na frente.","")</f>
        <v/>
      </c>
      <c r="N720" s="19">
        <f>N719+IF(LEN($X$720)&gt;0,1,0)</f>
        <v/>
      </c>
      <c r="O720" s="19">
        <f>O719+IF(LEN($Y$720)&gt;0,1,0)</f>
        <v/>
      </c>
      <c r="P720" s="19">
        <f>P719+IF(LEN($Z$720)&gt;0,1,0)</f>
        <v/>
      </c>
      <c r="Q720" s="19">
        <f>Q719+IF(LEN($AA$720)&gt;0,1,0)</f>
        <v/>
      </c>
      <c r="R720" s="19">
        <f>R719+IF(LEN($AB$720)&gt;0,1,0)</f>
        <v/>
      </c>
      <c r="S720" s="19">
        <f>S719+IF(LEN($AC$720)&gt;0,1,0)</f>
        <v/>
      </c>
      <c r="T720" s="19">
        <f>T719+IF(LEN($AD$720)&gt;0,1,0)</f>
        <v/>
      </c>
      <c r="U720" s="19">
        <f>U719+IF(LEN($AE$720)&gt;0,1,0)</f>
        <v/>
      </c>
      <c r="V720" s="19">
        <f>V719+IF(LEN($AF$720)&gt;0,1,0)</f>
        <v/>
      </c>
      <c r="X720" s="19">
        <f>IF(ISERROR($B$720),"",IF(ISBLANK($B$720),"",$B$720))</f>
        <v/>
      </c>
      <c r="Y720" s="19">
        <f>IF(ISERROR($C$720),"",IF(ISBLANK($C$720),"",$C$720))</f>
        <v/>
      </c>
      <c r="Z720" s="19">
        <f>IF(ISERROR($D$720),"",IF(ISBLANK($D$720),"",$D$720))</f>
        <v/>
      </c>
      <c r="AA720" s="19">
        <f>IF(ISERROR($E$720),"",IF(ISBLANK($E$720),"",$E$720))</f>
        <v/>
      </c>
      <c r="AB720" s="19">
        <f>IF(ISERROR($F$720),"",IF(ISBLANK($F$720),"",$F$720))</f>
        <v/>
      </c>
      <c r="AC720" s="19">
        <f>IF(ISERROR($G$720),"",IF(ISBLANK($G$720),"",$G$720))</f>
        <v/>
      </c>
      <c r="AD720" s="19">
        <f>IF(ISERROR($H$720),"",IF(ISBLANK($H$720),"",$H$720))</f>
        <v/>
      </c>
      <c r="AE720" s="19">
        <f>IF(ISERROR($I$720),"",IF(ISBLANK($I$720),"",$I$720))</f>
        <v/>
      </c>
      <c r="AF720" s="19">
        <f>IF(ISERROR($J$720),"",IF(ISBLANK($J$720),"",$J$720))</f>
        <v/>
      </c>
      <c r="AG720" s="19">
        <f>ISERROR($B$720)*1+ISERROR($C$720)*1+ISERROR($D$720)*1+ISERROR($E$720)*1+ISERROR($F$720)*1+ISERROR($G$720)*1+ISERROR($H$720)*1+ISERROR($I$720)*1+ISERROR($J$720)*1</f>
        <v/>
      </c>
    </row>
    <row r="721" ht="26" customHeight="1">
      <c r="B721" s="31" t="inlineStr">
        <is>
          <t>um rastro de óleo que leva aos dutos</t>
        </is>
      </c>
      <c r="C721" s="28" t="inlineStr">
        <is>
          <t>um livro com todas as páginas em branco menos a última</t>
        </is>
      </c>
      <c r="D721" s="28" t="inlineStr">
        <is>
          <t>O Eco</t>
        </is>
      </c>
      <c r="E721" s="28" t="inlineStr">
        <is>
          <t>Para Ninguém</t>
        </is>
      </c>
      <c r="F721" s="28" t="inlineStr">
        <is>
          <t>uma dança numa nave-cidade durante um cerco</t>
        </is>
      </c>
      <c r="G721" s="28" t="inlineStr">
        <is>
          <t>quando o grupo revela uma Fraqueza</t>
        </is>
      </c>
      <c r="H721" s="28" t="inlineStr">
        <is>
          <t>Agulhas da Bússola Torta</t>
        </is>
      </c>
      <c r="I721" s="28" t="inlineStr">
        <is>
          <t>de um coral que cantou até a última nota de um cerco</t>
        </is>
      </c>
      <c r="J721" s="28" t="n"/>
      <c r="K721" s="18">
        <f>IF(AG721&gt;0,"O Google leu como fórmula: digite de novo com ' na frente.","")</f>
        <v/>
      </c>
      <c r="N721" s="19">
        <f>N720+IF(LEN($X$721)&gt;0,1,0)</f>
        <v/>
      </c>
      <c r="O721" s="19">
        <f>O720+IF(LEN($Y$721)&gt;0,1,0)</f>
        <v/>
      </c>
      <c r="P721" s="19">
        <f>P720+IF(LEN($Z$721)&gt;0,1,0)</f>
        <v/>
      </c>
      <c r="Q721" s="19">
        <f>Q720+IF(LEN($AA$721)&gt;0,1,0)</f>
        <v/>
      </c>
      <c r="R721" s="19">
        <f>R720+IF(LEN($AB$721)&gt;0,1,0)</f>
        <v/>
      </c>
      <c r="S721" s="19">
        <f>S720+IF(LEN($AC$721)&gt;0,1,0)</f>
        <v/>
      </c>
      <c r="T721" s="19">
        <f>T720+IF(LEN($AD$721)&gt;0,1,0)</f>
        <v/>
      </c>
      <c r="U721" s="19">
        <f>U720+IF(LEN($AE$721)&gt;0,1,0)</f>
        <v/>
      </c>
      <c r="V721" s="19">
        <f>V720+IF(LEN($AF$721)&gt;0,1,0)</f>
        <v/>
      </c>
      <c r="X721" s="19">
        <f>IF(ISERROR($B$721),"",IF(ISBLANK($B$721),"",$B$721))</f>
        <v/>
      </c>
      <c r="Y721" s="19">
        <f>IF(ISERROR($C$721),"",IF(ISBLANK($C$721),"",$C$721))</f>
        <v/>
      </c>
      <c r="Z721" s="19">
        <f>IF(ISERROR($D$721),"",IF(ISBLANK($D$721),"",$D$721))</f>
        <v/>
      </c>
      <c r="AA721" s="19">
        <f>IF(ISERROR($E$721),"",IF(ISBLANK($E$721),"",$E$721))</f>
        <v/>
      </c>
      <c r="AB721" s="19">
        <f>IF(ISERROR($F$721),"",IF(ISBLANK($F$721),"",$F$721))</f>
        <v/>
      </c>
      <c r="AC721" s="19">
        <f>IF(ISERROR($G$721),"",IF(ISBLANK($G$721),"",$G$721))</f>
        <v/>
      </c>
      <c r="AD721" s="19">
        <f>IF(ISERROR($H$721),"",IF(ISBLANK($H$721),"",$H$721))</f>
        <v/>
      </c>
      <c r="AE721" s="19">
        <f>IF(ISERROR($I$721),"",IF(ISBLANK($I$721),"",$I$721))</f>
        <v/>
      </c>
      <c r="AF721" s="19">
        <f>IF(ISERROR($J$721),"",IF(ISBLANK($J$721),"",$J$721))</f>
        <v/>
      </c>
      <c r="AG721" s="19">
        <f>ISERROR($B$721)*1+ISERROR($C$721)*1+ISERROR($D$721)*1+ISERROR($E$721)*1+ISERROR($F$721)*1+ISERROR($G$721)*1+ISERROR($H$721)*1+ISERROR($I$721)*1+ISERROR($J$721)*1</f>
        <v/>
      </c>
    </row>
    <row r="722" ht="37" customHeight="1">
      <c r="B722" s="30" t="inlineStr">
        <is>
          <t>uma testemunha que descreve o mesmo homem com três rostos</t>
        </is>
      </c>
      <c r="C722" s="3" t="inlineStr">
        <is>
          <t>um cristal que esquenta ao luar</t>
        </is>
      </c>
      <c r="D722" s="3" t="inlineStr">
        <is>
          <t>A Fogueira</t>
        </is>
      </c>
      <c r="E722" s="3" t="inlineStr">
        <is>
          <t>no Céu Errado</t>
        </is>
      </c>
      <c r="F722" s="3" t="inlineStr">
        <is>
          <t>o mapa desenhado por uma exploradora perdida</t>
        </is>
      </c>
      <c r="G722" s="3" t="inlineStr">
        <is>
          <t>quando um aliado é Congelado</t>
        </is>
      </c>
      <c r="H722" s="3" t="inlineStr">
        <is>
          <t>Selos do Arquivo Proibido</t>
        </is>
      </c>
      <c r="I722" s="3" t="inlineStr">
        <is>
          <t>de um caçador que perseguiu a mesma presa por cinquenta anos</t>
        </is>
      </c>
      <c r="J722" s="3" t="n"/>
      <c r="K722" s="18">
        <f>IF(AG722&gt;0,"O Google leu como fórmula: digite de novo com ' na frente.","")</f>
        <v/>
      </c>
      <c r="N722" s="19">
        <f>N721+IF(LEN($X$722)&gt;0,1,0)</f>
        <v/>
      </c>
      <c r="O722" s="19">
        <f>O721+IF(LEN($Y$722)&gt;0,1,0)</f>
        <v/>
      </c>
      <c r="P722" s="19">
        <f>P721+IF(LEN($Z$722)&gt;0,1,0)</f>
        <v/>
      </c>
      <c r="Q722" s="19">
        <f>Q721+IF(LEN($AA$722)&gt;0,1,0)</f>
        <v/>
      </c>
      <c r="R722" s="19">
        <f>R721+IF(LEN($AB$722)&gt;0,1,0)</f>
        <v/>
      </c>
      <c r="S722" s="19">
        <f>S721+IF(LEN($AC$722)&gt;0,1,0)</f>
        <v/>
      </c>
      <c r="T722" s="19">
        <f>T721+IF(LEN($AD$722)&gt;0,1,0)</f>
        <v/>
      </c>
      <c r="U722" s="19">
        <f>U721+IF(LEN($AE$722)&gt;0,1,0)</f>
        <v/>
      </c>
      <c r="V722" s="19">
        <f>V721+IF(LEN($AF$722)&gt;0,1,0)</f>
        <v/>
      </c>
      <c r="X722" s="19">
        <f>IF(ISERROR($B$722),"",IF(ISBLANK($B$722),"",$B$722))</f>
        <v/>
      </c>
      <c r="Y722" s="19">
        <f>IF(ISERROR($C$722),"",IF(ISBLANK($C$722),"",$C$722))</f>
        <v/>
      </c>
      <c r="Z722" s="19">
        <f>IF(ISERROR($D$722),"",IF(ISBLANK($D$722),"",$D$722))</f>
        <v/>
      </c>
      <c r="AA722" s="19">
        <f>IF(ISERROR($E$722),"",IF(ISBLANK($E$722),"",$E$722))</f>
        <v/>
      </c>
      <c r="AB722" s="19">
        <f>IF(ISERROR($F$722),"",IF(ISBLANK($F$722),"",$F$722))</f>
        <v/>
      </c>
      <c r="AC722" s="19">
        <f>IF(ISERROR($G$722),"",IF(ISBLANK($G$722),"",$G$722))</f>
        <v/>
      </c>
      <c r="AD722" s="19">
        <f>IF(ISERROR($H$722),"",IF(ISBLANK($H$722),"",$H$722))</f>
        <v/>
      </c>
      <c r="AE722" s="19">
        <f>IF(ISERROR($I$722),"",IF(ISBLANK($I$722),"",$I$722))</f>
        <v/>
      </c>
      <c r="AF722" s="19">
        <f>IF(ISERROR($J$722),"",IF(ISBLANK($J$722),"",$J$722))</f>
        <v/>
      </c>
      <c r="AG722" s="19">
        <f>ISERROR($B$722)*1+ISERROR($C$722)*1+ISERROR($D$722)*1+ISERROR($E$722)*1+ISERROR($F$722)*1+ISERROR($G$722)*1+ISERROR($H$722)*1+ISERROR($I$722)*1+ISERROR($J$722)*1</f>
        <v/>
      </c>
    </row>
    <row r="723" ht="26" customHeight="1">
      <c r="B723" s="31" t="inlineStr">
        <is>
          <t>um selo de lacre quebrado por dentro</t>
        </is>
      </c>
      <c r="C723" s="28" t="inlineStr">
        <is>
          <t>uma fotografia de uma família desconhecida</t>
        </is>
      </c>
      <c r="D723" s="28" t="inlineStr">
        <is>
          <t>O Navio</t>
        </is>
      </c>
      <c r="E723" s="28" t="inlineStr">
        <is>
          <t>Que Esperou</t>
        </is>
      </c>
      <c r="F723" s="28" t="inlineStr">
        <is>
          <t>a canção de ninar de uma mãe num navio afundando</t>
        </is>
      </c>
      <c r="G723" s="28" t="n"/>
      <c r="H723" s="28" t="n"/>
      <c r="I723" s="28" t="n"/>
      <c r="J723" s="28" t="n"/>
      <c r="K723" s="18">
        <f>IF(AG723&gt;0,"O Google leu como fórmula: digite de novo com ' na frente.","")</f>
        <v/>
      </c>
      <c r="N723" s="19">
        <f>N722+IF(LEN($X$723)&gt;0,1,0)</f>
        <v/>
      </c>
      <c r="O723" s="19">
        <f>O722+IF(LEN($Y$723)&gt;0,1,0)</f>
        <v/>
      </c>
      <c r="P723" s="19">
        <f>P722+IF(LEN($Z$723)&gt;0,1,0)</f>
        <v/>
      </c>
      <c r="Q723" s="19">
        <f>Q722+IF(LEN($AA$723)&gt;0,1,0)</f>
        <v/>
      </c>
      <c r="R723" s="19">
        <f>R722+IF(LEN($AB$723)&gt;0,1,0)</f>
        <v/>
      </c>
      <c r="S723" s="19">
        <f>S722+IF(LEN($AC$723)&gt;0,1,0)</f>
        <v/>
      </c>
      <c r="T723" s="19">
        <f>T722+IF(LEN($AD$723)&gt;0,1,0)</f>
        <v/>
      </c>
      <c r="U723" s="19">
        <f>U722+IF(LEN($AE$723)&gt;0,1,0)</f>
        <v/>
      </c>
      <c r="V723" s="19">
        <f>V722+IF(LEN($AF$723)&gt;0,1,0)</f>
        <v/>
      </c>
      <c r="X723" s="19">
        <f>IF(ISERROR($B$723),"",IF(ISBLANK($B$723),"",$B$723))</f>
        <v/>
      </c>
      <c r="Y723" s="19">
        <f>IF(ISERROR($C$723),"",IF(ISBLANK($C$723),"",$C$723))</f>
        <v/>
      </c>
      <c r="Z723" s="19">
        <f>IF(ISERROR($D$723),"",IF(ISBLANK($D$723),"",$D$723))</f>
        <v/>
      </c>
      <c r="AA723" s="19">
        <f>IF(ISERROR($E$723),"",IF(ISBLANK($E$723),"",$E$723))</f>
        <v/>
      </c>
      <c r="AB723" s="19">
        <f>IF(ISERROR($F$723),"",IF(ISBLANK($F$723),"",$F$723))</f>
        <v/>
      </c>
      <c r="AC723" s="19">
        <f>IF(ISERROR($G$723),"",IF(ISBLANK($G$723),"",$G$723))</f>
        <v/>
      </c>
      <c r="AD723" s="19">
        <f>IF(ISERROR($H$723),"",IF(ISBLANK($H$723),"",$H$723))</f>
        <v/>
      </c>
      <c r="AE723" s="19">
        <f>IF(ISERROR($I$723),"",IF(ISBLANK($I$723),"",$I$723))</f>
        <v/>
      </c>
      <c r="AF723" s="19">
        <f>IF(ISERROR($J$723),"",IF(ISBLANK($J$723),"",$J$723))</f>
        <v/>
      </c>
      <c r="AG723" s="19">
        <f>ISERROR($B$723)*1+ISERROR($C$723)*1+ISERROR($D$723)*1+ISERROR($E$723)*1+ISERROR($F$723)*1+ISERROR($G$723)*1+ISERROR($H$723)*1+ISERROR($I$723)*1+ISERROR($J$723)*1</f>
        <v/>
      </c>
    </row>
    <row r="724" ht="26" customHeight="1">
      <c r="B724" s="30" t="inlineStr">
        <is>
          <t>uma frequência de rádio anotada num guardanapo</t>
        </is>
      </c>
      <c r="C724" s="3" t="inlineStr">
        <is>
          <t>um apito que só os Autômatos escutam</t>
        </is>
      </c>
      <c r="D724" s="3" t="inlineStr">
        <is>
          <t>A Despedida</t>
        </is>
      </c>
      <c r="E724" s="3" t="inlineStr">
        <is>
          <t>Além do Lacre</t>
        </is>
      </c>
      <c r="F724" s="3" t="inlineStr">
        <is>
          <t>o momento em que um juiz decidiu não condenar</t>
        </is>
      </c>
      <c r="G724" s="3" t="n"/>
      <c r="H724" s="3" t="n"/>
      <c r="I724" s="3" t="n"/>
      <c r="J724" s="3" t="n"/>
      <c r="K724" s="18">
        <f>IF(AG724&gt;0,"O Google leu como fórmula: digite de novo com ' na frente.","")</f>
        <v/>
      </c>
      <c r="N724" s="19">
        <f>N723+IF(LEN($X$724)&gt;0,1,0)</f>
        <v/>
      </c>
      <c r="O724" s="19">
        <f>O723+IF(LEN($Y$724)&gt;0,1,0)</f>
        <v/>
      </c>
      <c r="P724" s="19">
        <f>P723+IF(LEN($Z$724)&gt;0,1,0)</f>
        <v/>
      </c>
      <c r="Q724" s="19">
        <f>Q723+IF(LEN($AA$724)&gt;0,1,0)</f>
        <v/>
      </c>
      <c r="R724" s="19">
        <f>R723+IF(LEN($AB$724)&gt;0,1,0)</f>
        <v/>
      </c>
      <c r="S724" s="19">
        <f>S723+IF(LEN($AC$724)&gt;0,1,0)</f>
        <v/>
      </c>
      <c r="T724" s="19">
        <f>T723+IF(LEN($AD$724)&gt;0,1,0)</f>
        <v/>
      </c>
      <c r="U724" s="19">
        <f>U723+IF(LEN($AE$724)&gt;0,1,0)</f>
        <v/>
      </c>
      <c r="V724" s="19">
        <f>V723+IF(LEN($AF$724)&gt;0,1,0)</f>
        <v/>
      </c>
      <c r="X724" s="19">
        <f>IF(ISERROR($B$724),"",IF(ISBLANK($B$724),"",$B$724))</f>
        <v/>
      </c>
      <c r="Y724" s="19">
        <f>IF(ISERROR($C$724),"",IF(ISBLANK($C$724),"",$C$724))</f>
        <v/>
      </c>
      <c r="Z724" s="19">
        <f>IF(ISERROR($D$724),"",IF(ISBLANK($D$724),"",$D$724))</f>
        <v/>
      </c>
      <c r="AA724" s="19">
        <f>IF(ISERROR($E$724),"",IF(ISBLANK($E$724),"",$E$724))</f>
        <v/>
      </c>
      <c r="AB724" s="19">
        <f>IF(ISERROR($F$724),"",IF(ISBLANK($F$724),"",$F$724))</f>
        <v/>
      </c>
      <c r="AC724" s="19">
        <f>IF(ISERROR($G$724),"",IF(ISBLANK($G$724),"",$G$724))</f>
        <v/>
      </c>
      <c r="AD724" s="19">
        <f>IF(ISERROR($H$724),"",IF(ISBLANK($H$724),"",$H$724))</f>
        <v/>
      </c>
      <c r="AE724" s="19">
        <f>IF(ISERROR($I$724),"",IF(ISBLANK($I$724),"",$I$724))</f>
        <v/>
      </c>
      <c r="AF724" s="19">
        <f>IF(ISERROR($J$724),"",IF(ISBLANK($J$724),"",$J$724))</f>
        <v/>
      </c>
      <c r="AG724" s="19">
        <f>ISERROR($B$724)*1+ISERROR($C$724)*1+ISERROR($D$724)*1+ISERROR($E$724)*1+ISERROR($F$724)*1+ISERROR($G$724)*1+ISERROR($H$724)*1+ISERROR($I$724)*1+ISERROR($J$724)*1</f>
        <v/>
      </c>
    </row>
    <row r="725" ht="26" customHeight="1">
      <c r="B725" s="31" t="n"/>
      <c r="C725" s="28" t="inlineStr">
        <is>
          <t>um selo postal de um mundo extinto</t>
        </is>
      </c>
      <c r="D725" s="28" t="inlineStr">
        <is>
          <t>O Brinde</t>
        </is>
      </c>
      <c r="E725" s="28" t="inlineStr">
        <is>
          <t>do Primeiro Dia</t>
        </is>
      </c>
      <c r="F725" s="28" t="inlineStr">
        <is>
          <t>a reconstrução de uma ponte por mãos voluntárias</t>
        </is>
      </c>
      <c r="G725" s="28" t="n"/>
      <c r="H725" s="28" t="n"/>
      <c r="I725" s="28" t="n"/>
      <c r="J725" s="28" t="n"/>
      <c r="K725" s="18">
        <f>IF(AG725&gt;0,"O Google leu como fórmula: digite de novo com ' na frente.","")</f>
        <v/>
      </c>
      <c r="N725" s="19">
        <f>N724+IF(LEN($X$725)&gt;0,1,0)</f>
        <v/>
      </c>
      <c r="O725" s="19">
        <f>O724+IF(LEN($Y$725)&gt;0,1,0)</f>
        <v/>
      </c>
      <c r="P725" s="19">
        <f>P724+IF(LEN($Z$725)&gt;0,1,0)</f>
        <v/>
      </c>
      <c r="Q725" s="19">
        <f>Q724+IF(LEN($AA$725)&gt;0,1,0)</f>
        <v/>
      </c>
      <c r="R725" s="19">
        <f>R724+IF(LEN($AB$725)&gt;0,1,0)</f>
        <v/>
      </c>
      <c r="S725" s="19">
        <f>S724+IF(LEN($AC$725)&gt;0,1,0)</f>
        <v/>
      </c>
      <c r="T725" s="19">
        <f>T724+IF(LEN($AD$725)&gt;0,1,0)</f>
        <v/>
      </c>
      <c r="U725" s="19">
        <f>U724+IF(LEN($AE$725)&gt;0,1,0)</f>
        <v/>
      </c>
      <c r="V725" s="19">
        <f>V724+IF(LEN($AF$725)&gt;0,1,0)</f>
        <v/>
      </c>
      <c r="X725" s="19">
        <f>IF(ISERROR($B$725),"",IF(ISBLANK($B$725),"",$B$725))</f>
        <v/>
      </c>
      <c r="Y725" s="19">
        <f>IF(ISERROR($C$725),"",IF(ISBLANK($C$725),"",$C$725))</f>
        <v/>
      </c>
      <c r="Z725" s="19">
        <f>IF(ISERROR($D$725),"",IF(ISBLANK($D$725),"",$D$725))</f>
        <v/>
      </c>
      <c r="AA725" s="19">
        <f>IF(ISERROR($E$725),"",IF(ISBLANK($E$725),"",$E$725))</f>
        <v/>
      </c>
      <c r="AB725" s="19">
        <f>IF(ISERROR($F$725),"",IF(ISBLANK($F$725),"",$F$725))</f>
        <v/>
      </c>
      <c r="AC725" s="19">
        <f>IF(ISERROR($G$725),"",IF(ISBLANK($G$725),"",$G$725))</f>
        <v/>
      </c>
      <c r="AD725" s="19">
        <f>IF(ISERROR($H$725),"",IF(ISBLANK($H$725),"",$H$725))</f>
        <v/>
      </c>
      <c r="AE725" s="19">
        <f>IF(ISERROR($I$725),"",IF(ISBLANK($I$725),"",$I$725))</f>
        <v/>
      </c>
      <c r="AF725" s="19">
        <f>IF(ISERROR($J$725),"",IF(ISBLANK($J$725),"",$J$725))</f>
        <v/>
      </c>
      <c r="AG725" s="19">
        <f>ISERROR($B$725)*1+ISERROR($C$725)*1+ISERROR($D$725)*1+ISERROR($E$725)*1+ISERROR($F$725)*1+ISERROR($G$725)*1+ISERROR($H$725)*1+ISERROR($I$725)*1+ISERROR($J$725)*1</f>
        <v/>
      </c>
    </row>
    <row r="726" ht="26" customHeight="1">
      <c r="B726" s="30" t="n"/>
      <c r="C726" s="3" t="inlineStr">
        <is>
          <t>uma colher dobrada em forma de estrela</t>
        </is>
      </c>
      <c r="D726" s="3" t="inlineStr">
        <is>
          <t>A Sombra</t>
        </is>
      </c>
      <c r="E726" s="3" t="inlineStr">
        <is>
          <t>Sem Nome</t>
        </is>
      </c>
      <c r="F726" s="3" t="inlineStr">
        <is>
          <t>o último dia de um mercado antes da demolição</t>
        </is>
      </c>
      <c r="G726" s="3" t="n"/>
      <c r="H726" s="3" t="n"/>
      <c r="I726" s="3" t="n"/>
      <c r="J726" s="3" t="n"/>
      <c r="K726" s="18">
        <f>IF(AG726&gt;0,"O Google leu como fórmula: digite de novo com ' na frente.","")</f>
        <v/>
      </c>
      <c r="N726" s="19">
        <f>N725+IF(LEN($X$726)&gt;0,1,0)</f>
        <v/>
      </c>
      <c r="O726" s="19">
        <f>O725+IF(LEN($Y$726)&gt;0,1,0)</f>
        <v/>
      </c>
      <c r="P726" s="19">
        <f>P725+IF(LEN($Z$726)&gt;0,1,0)</f>
        <v/>
      </c>
      <c r="Q726" s="19">
        <f>Q725+IF(LEN($AA$726)&gt;0,1,0)</f>
        <v/>
      </c>
      <c r="R726" s="19">
        <f>R725+IF(LEN($AB$726)&gt;0,1,0)</f>
        <v/>
      </c>
      <c r="S726" s="19">
        <f>S725+IF(LEN($AC$726)&gt;0,1,0)</f>
        <v/>
      </c>
      <c r="T726" s="19">
        <f>T725+IF(LEN($AD$726)&gt;0,1,0)</f>
        <v/>
      </c>
      <c r="U726" s="19">
        <f>U725+IF(LEN($AE$726)&gt;0,1,0)</f>
        <v/>
      </c>
      <c r="V726" s="19">
        <f>V725+IF(LEN($AF$726)&gt;0,1,0)</f>
        <v/>
      </c>
      <c r="X726" s="19">
        <f>IF(ISERROR($B$726),"",IF(ISBLANK($B$726),"",$B$726))</f>
        <v/>
      </c>
      <c r="Y726" s="19">
        <f>IF(ISERROR($C$726),"",IF(ISBLANK($C$726),"",$C$726))</f>
        <v/>
      </c>
      <c r="Z726" s="19">
        <f>IF(ISERROR($D$726),"",IF(ISBLANK($D$726),"",$D$726))</f>
        <v/>
      </c>
      <c r="AA726" s="19">
        <f>IF(ISERROR($E$726),"",IF(ISBLANK($E$726),"",$E$726))</f>
        <v/>
      </c>
      <c r="AB726" s="19">
        <f>IF(ISERROR($F$726),"",IF(ISBLANK($F$726),"",$F$726))</f>
        <v/>
      </c>
      <c r="AC726" s="19">
        <f>IF(ISERROR($G$726),"",IF(ISBLANK($G$726),"",$G$726))</f>
        <v/>
      </c>
      <c r="AD726" s="19">
        <f>IF(ISERROR($H$726),"",IF(ISBLANK($H$726),"",$H$726))</f>
        <v/>
      </c>
      <c r="AE726" s="19">
        <f>IF(ISERROR($I$726),"",IF(ISBLANK($I$726),"",$I$726))</f>
        <v/>
      </c>
      <c r="AF726" s="19">
        <f>IF(ISERROR($J$726),"",IF(ISBLANK($J$726),"",$J$726))</f>
        <v/>
      </c>
      <c r="AG726" s="19">
        <f>ISERROR($B$726)*1+ISERROR($C$726)*1+ISERROR($D$726)*1+ISERROR($E$726)*1+ISERROR($F$726)*1+ISERROR($G$726)*1+ISERROR($H$726)*1+ISERROR($I$726)*1+ISERROR($J$726)*1</f>
        <v/>
      </c>
    </row>
    <row r="727" ht="26" customHeight="1">
      <c r="B727" s="31" t="n"/>
      <c r="C727" s="28" t="inlineStr">
        <is>
          <t>um lenço bordado com um brasão de Xianzhou</t>
        </is>
      </c>
      <c r="D727" s="28" t="inlineStr">
        <is>
          <t>O Espelho</t>
        </is>
      </c>
      <c r="E727" s="28" t="inlineStr">
        <is>
          <t>em Silêncio</t>
        </is>
      </c>
      <c r="F727" s="28" t="inlineStr">
        <is>
          <t>o encontro de dois inimigos que dividiram um abrigo</t>
        </is>
      </c>
      <c r="G727" s="28" t="n"/>
      <c r="H727" s="28" t="n"/>
      <c r="I727" s="28" t="n"/>
      <c r="J727" s="28" t="n"/>
      <c r="K727" s="18">
        <f>IF(AG727&gt;0,"O Google leu como fórmula: digite de novo com ' na frente.","")</f>
        <v/>
      </c>
      <c r="N727" s="19">
        <f>N726+IF(LEN($X$727)&gt;0,1,0)</f>
        <v/>
      </c>
      <c r="O727" s="19">
        <f>O726+IF(LEN($Y$727)&gt;0,1,0)</f>
        <v/>
      </c>
      <c r="P727" s="19">
        <f>P726+IF(LEN($Z$727)&gt;0,1,0)</f>
        <v/>
      </c>
      <c r="Q727" s="19">
        <f>Q726+IF(LEN($AA$727)&gt;0,1,0)</f>
        <v/>
      </c>
      <c r="R727" s="19">
        <f>R726+IF(LEN($AB$727)&gt;0,1,0)</f>
        <v/>
      </c>
      <c r="S727" s="19">
        <f>S726+IF(LEN($AC$727)&gt;0,1,0)</f>
        <v/>
      </c>
      <c r="T727" s="19">
        <f>T726+IF(LEN($AD$727)&gt;0,1,0)</f>
        <v/>
      </c>
      <c r="U727" s="19">
        <f>U726+IF(LEN($AE$727)&gt;0,1,0)</f>
        <v/>
      </c>
      <c r="V727" s="19">
        <f>V726+IF(LEN($AF$727)&gt;0,1,0)</f>
        <v/>
      </c>
      <c r="X727" s="19">
        <f>IF(ISERROR($B$727),"",IF(ISBLANK($B$727),"",$B$727))</f>
        <v/>
      </c>
      <c r="Y727" s="19">
        <f>IF(ISERROR($C$727),"",IF(ISBLANK($C$727),"",$C$727))</f>
        <v/>
      </c>
      <c r="Z727" s="19">
        <f>IF(ISERROR($D$727),"",IF(ISBLANK($D$727),"",$D$727))</f>
        <v/>
      </c>
      <c r="AA727" s="19">
        <f>IF(ISERROR($E$727),"",IF(ISBLANK($E$727),"",$E$727))</f>
        <v/>
      </c>
      <c r="AB727" s="19">
        <f>IF(ISERROR($F$727),"",IF(ISBLANK($F$727),"",$F$727))</f>
        <v/>
      </c>
      <c r="AC727" s="19">
        <f>IF(ISERROR($G$727),"",IF(ISBLANK($G$727),"",$G$727))</f>
        <v/>
      </c>
      <c r="AD727" s="19">
        <f>IF(ISERROR($H$727),"",IF(ISBLANK($H$727),"",$H$727))</f>
        <v/>
      </c>
      <c r="AE727" s="19">
        <f>IF(ISERROR($I$727),"",IF(ISBLANK($I$727),"",$I$727))</f>
        <v/>
      </c>
      <c r="AF727" s="19">
        <f>IF(ISERROR($J$727),"",IF(ISBLANK($J$727),"",$J$727))</f>
        <v/>
      </c>
      <c r="AG727" s="19">
        <f>ISERROR($B$727)*1+ISERROR($C$727)*1+ISERROR($D$727)*1+ISERROR($E$727)*1+ISERROR($F$727)*1+ISERROR($G$727)*1+ISERROR($H$727)*1+ISERROR($I$727)*1+ISERROR($J$727)*1</f>
        <v/>
      </c>
    </row>
    <row r="728" ht="26" customHeight="1">
      <c r="B728" s="30" t="n"/>
      <c r="C728" s="3" t="inlineStr">
        <is>
          <t>um medalhão vazio</t>
        </is>
      </c>
      <c r="D728" s="3" t="inlineStr">
        <is>
          <t>Uma Estrela</t>
        </is>
      </c>
      <c r="E728" s="3" t="inlineStr">
        <is>
          <t>Que o Tempo Esqueceu</t>
        </is>
      </c>
      <c r="F728" s="3" t="inlineStr">
        <is>
          <t>a travessia de um deserto por uma caravana sem água</t>
        </is>
      </c>
      <c r="G728" s="3" t="n"/>
      <c r="H728" s="3" t="n"/>
      <c r="I728" s="3" t="n"/>
      <c r="J728" s="3" t="n"/>
      <c r="K728" s="18">
        <f>IF(AG728&gt;0,"O Google leu como fórmula: digite de novo com ' na frente.","")</f>
        <v/>
      </c>
      <c r="N728" s="19">
        <f>N727+IF(LEN($X$728)&gt;0,1,0)</f>
        <v/>
      </c>
      <c r="O728" s="19">
        <f>O727+IF(LEN($Y$728)&gt;0,1,0)</f>
        <v/>
      </c>
      <c r="P728" s="19">
        <f>P727+IF(LEN($Z$728)&gt;0,1,0)</f>
        <v/>
      </c>
      <c r="Q728" s="19">
        <f>Q727+IF(LEN($AA$728)&gt;0,1,0)</f>
        <v/>
      </c>
      <c r="R728" s="19">
        <f>R727+IF(LEN($AB$728)&gt;0,1,0)</f>
        <v/>
      </c>
      <c r="S728" s="19">
        <f>S727+IF(LEN($AC$728)&gt;0,1,0)</f>
        <v/>
      </c>
      <c r="T728" s="19">
        <f>T727+IF(LEN($AD$728)&gt;0,1,0)</f>
        <v/>
      </c>
      <c r="U728" s="19">
        <f>U727+IF(LEN($AE$728)&gt;0,1,0)</f>
        <v/>
      </c>
      <c r="V728" s="19">
        <f>V727+IF(LEN($AF$728)&gt;0,1,0)</f>
        <v/>
      </c>
      <c r="X728" s="19">
        <f>IF(ISERROR($B$728),"",IF(ISBLANK($B$728),"",$B$728))</f>
        <v/>
      </c>
      <c r="Y728" s="19">
        <f>IF(ISERROR($C$728),"",IF(ISBLANK($C$728),"",$C$728))</f>
        <v/>
      </c>
      <c r="Z728" s="19">
        <f>IF(ISERROR($D$728),"",IF(ISBLANK($D$728),"",$D$728))</f>
        <v/>
      </c>
      <c r="AA728" s="19">
        <f>IF(ISERROR($E$728),"",IF(ISBLANK($E$728),"",$E$728))</f>
        <v/>
      </c>
      <c r="AB728" s="19">
        <f>IF(ISERROR($F$728),"",IF(ISBLANK($F$728),"",$F$728))</f>
        <v/>
      </c>
      <c r="AC728" s="19">
        <f>IF(ISERROR($G$728),"",IF(ISBLANK($G$728),"",$G$728))</f>
        <v/>
      </c>
      <c r="AD728" s="19">
        <f>IF(ISERROR($H$728),"",IF(ISBLANK($H$728),"",$H$728))</f>
        <v/>
      </c>
      <c r="AE728" s="19">
        <f>IF(ISERROR($I$728),"",IF(ISBLANK($I$728),"",$I$728))</f>
        <v/>
      </c>
      <c r="AF728" s="19">
        <f>IF(ISERROR($J$728),"",IF(ISBLANK($J$728),"",$J$728))</f>
        <v/>
      </c>
      <c r="AG728" s="19">
        <f>ISERROR($B$728)*1+ISERROR($C$728)*1+ISERROR($D$728)*1+ISERROR($E$728)*1+ISERROR($F$728)*1+ISERROR($G$728)*1+ISERROR($H$728)*1+ISERROR($I$728)*1+ISERROR($J$728)*1</f>
        <v/>
      </c>
    </row>
    <row r="729" ht="26" customHeight="1">
      <c r="B729" s="7" t="inlineStr">
        <is>
          <t>Pista</t>
        </is>
      </c>
      <c r="C729" s="7" t="inlineStr">
        <is>
          <t>Bugiganga</t>
        </is>
      </c>
      <c r="D729" s="7" t="inlineStr">
        <is>
          <t>Nome do Cone (início)</t>
        </is>
      </c>
      <c r="E729" s="7" t="inlineStr">
        <is>
          <t>Nome do Cone (fim)</t>
        </is>
      </c>
      <c r="F729" s="7" t="inlineStr">
        <is>
          <t>Memória do Cone</t>
        </is>
      </c>
      <c r="G729" s="7" t="inlineStr">
        <is>
          <t>Gatilho do Efeito Condicional</t>
        </is>
      </c>
      <c r="H729" s="7" t="inlineStr">
        <is>
          <t>Nome do Conjunto</t>
        </is>
      </c>
      <c r="I729" s="7" t="inlineStr">
        <is>
          <t>Origem do Conjunto</t>
        </is>
      </c>
      <c r="J729" s="7" t="inlineStr">
        <is>
          <t>Efeito de 4 peças</t>
        </is>
      </c>
      <c r="N729" s="19">
        <f>N728</f>
        <v/>
      </c>
      <c r="O729" s="19">
        <f>O728</f>
        <v/>
      </c>
      <c r="P729" s="19">
        <f>P728</f>
        <v/>
      </c>
      <c r="Q729" s="19">
        <f>Q728</f>
        <v/>
      </c>
      <c r="R729" s="19">
        <f>R728</f>
        <v/>
      </c>
      <c r="S729" s="19">
        <f>S728</f>
        <v/>
      </c>
      <c r="T729" s="19">
        <f>T728</f>
        <v/>
      </c>
      <c r="U729" s="19">
        <f>U728</f>
        <v/>
      </c>
      <c r="V729" s="19">
        <f>V728</f>
        <v/>
      </c>
      <c r="X729" s="19">
        <f>IF(ISERROR($B$729),"",IF(ISBLANK($B$729),"",$B$729))</f>
        <v/>
      </c>
      <c r="Y729" s="19">
        <f>IF(ISERROR($C$729),"",IF(ISBLANK($C$729),"",$C$729))</f>
        <v/>
      </c>
      <c r="Z729" s="19">
        <f>IF(ISERROR($D$729),"",IF(ISBLANK($D$729),"",$D$729))</f>
        <v/>
      </c>
      <c r="AA729" s="19">
        <f>IF(ISERROR($E$729),"",IF(ISBLANK($E$729),"",$E$729))</f>
        <v/>
      </c>
      <c r="AB729" s="19">
        <f>IF(ISERROR($F$729),"",IF(ISBLANK($F$729),"",$F$729))</f>
        <v/>
      </c>
      <c r="AC729" s="19">
        <f>IF(ISERROR($G$729),"",IF(ISBLANK($G$729),"",$G$729))</f>
        <v/>
      </c>
      <c r="AD729" s="19">
        <f>IF(ISERROR($H$729),"",IF(ISBLANK($H$729),"",$H$729))</f>
        <v/>
      </c>
      <c r="AE729" s="19">
        <f>IF(ISERROR($I$729),"",IF(ISBLANK($I$729),"",$I$729))</f>
        <v/>
      </c>
      <c r="AF729" s="19">
        <f>IF(ISERROR($J$729),"",IF(ISBLANK($J$729),"",$J$729))</f>
        <v/>
      </c>
    </row>
    <row r="730" ht="26" customHeight="1">
      <c r="B730" s="30" t="n"/>
      <c r="C730" s="3" t="inlineStr">
        <is>
          <t>um fone de ouvido que capta uma rádio distante</t>
        </is>
      </c>
      <c r="D730" s="3" t="inlineStr">
        <is>
          <t>O Vento</t>
        </is>
      </c>
      <c r="E730" s="3" t="inlineStr">
        <is>
          <t>de Mil Noites</t>
        </is>
      </c>
      <c r="F730" s="3" t="inlineStr">
        <is>
          <t>o dia em que um farol voltou a acender</t>
        </is>
      </c>
      <c r="G730" s="3" t="n"/>
      <c r="H730" s="3" t="n"/>
      <c r="I730" s="3" t="n"/>
      <c r="J730" s="3" t="n"/>
      <c r="K730" s="18">
        <f>IF(AG730&gt;0,"O Google leu como fórmula: digite de novo com ' na frente.","")</f>
        <v/>
      </c>
      <c r="N730" s="19">
        <f>N729+IF(LEN($X$730)&gt;0,1,0)</f>
        <v/>
      </c>
      <c r="O730" s="19">
        <f>O729+IF(LEN($Y$730)&gt;0,1,0)</f>
        <v/>
      </c>
      <c r="P730" s="19">
        <f>P729+IF(LEN($Z$730)&gt;0,1,0)</f>
        <v/>
      </c>
      <c r="Q730" s="19">
        <f>Q729+IF(LEN($AA$730)&gt;0,1,0)</f>
        <v/>
      </c>
      <c r="R730" s="19">
        <f>R729+IF(LEN($AB$730)&gt;0,1,0)</f>
        <v/>
      </c>
      <c r="S730" s="19">
        <f>S729+IF(LEN($AC$730)&gt;0,1,0)</f>
        <v/>
      </c>
      <c r="T730" s="19">
        <f>T729+IF(LEN($AD$730)&gt;0,1,0)</f>
        <v/>
      </c>
      <c r="U730" s="19">
        <f>U729+IF(LEN($AE$730)&gt;0,1,0)</f>
        <v/>
      </c>
      <c r="V730" s="19">
        <f>V729+IF(LEN($AF$730)&gt;0,1,0)</f>
        <v/>
      </c>
      <c r="X730" s="19">
        <f>IF(ISERROR($B$730),"",IF(ISBLANK($B$730),"",$B$730))</f>
        <v/>
      </c>
      <c r="Y730" s="19">
        <f>IF(ISERROR($C$730),"",IF(ISBLANK($C$730),"",$C$730))</f>
        <v/>
      </c>
      <c r="Z730" s="19">
        <f>IF(ISERROR($D$730),"",IF(ISBLANK($D$730),"",$D$730))</f>
        <v/>
      </c>
      <c r="AA730" s="19">
        <f>IF(ISERROR($E$730),"",IF(ISBLANK($E$730),"",$E$730))</f>
        <v/>
      </c>
      <c r="AB730" s="19">
        <f>IF(ISERROR($F$730),"",IF(ISBLANK($F$730),"",$F$730))</f>
        <v/>
      </c>
      <c r="AC730" s="19">
        <f>IF(ISERROR($G$730),"",IF(ISBLANK($G$730),"",$G$730))</f>
        <v/>
      </c>
      <c r="AD730" s="19">
        <f>IF(ISERROR($H$730),"",IF(ISBLANK($H$730),"",$H$730))</f>
        <v/>
      </c>
      <c r="AE730" s="19">
        <f>IF(ISERROR($I$730),"",IF(ISBLANK($I$730),"",$I$730))</f>
        <v/>
      </c>
      <c r="AF730" s="19">
        <f>IF(ISERROR($J$730),"",IF(ISBLANK($J$730),"",$J$730))</f>
        <v/>
      </c>
      <c r="AG730" s="19">
        <f>ISERROR($B$730)*1+ISERROR($C$730)*1+ISERROR($D$730)*1+ISERROR($E$730)*1+ISERROR($F$730)*1+ISERROR($G$730)*1+ISERROR($H$730)*1+ISERROR($I$730)*1+ISERROR($J$730)*1</f>
        <v/>
      </c>
    </row>
    <row r="731" ht="26" customHeight="1">
      <c r="B731" s="31" t="n"/>
      <c r="C731" s="28" t="inlineStr">
        <is>
          <t>um vidro de perfume quase vazio</t>
        </is>
      </c>
      <c r="D731" s="28" t="inlineStr">
        <is>
          <t>A Porta</t>
        </is>
      </c>
      <c r="E731" s="28" t="inlineStr">
        <is>
          <t>por um Instante</t>
        </is>
      </c>
      <c r="F731" s="28" t="inlineStr">
        <is>
          <t>um beijo trocado sob uma chuva de meteoros</t>
        </is>
      </c>
      <c r="G731" s="28" t="n"/>
      <c r="H731" s="28" t="n"/>
      <c r="I731" s="28" t="n"/>
      <c r="J731" s="28" t="n"/>
      <c r="K731" s="18">
        <f>IF(AG731&gt;0,"O Google leu como fórmula: digite de novo com ' na frente.","")</f>
        <v/>
      </c>
      <c r="N731" s="19">
        <f>N730+IF(LEN($X$731)&gt;0,1,0)</f>
        <v/>
      </c>
      <c r="O731" s="19">
        <f>O730+IF(LEN($Y$731)&gt;0,1,0)</f>
        <v/>
      </c>
      <c r="P731" s="19">
        <f>P730+IF(LEN($Z$731)&gt;0,1,0)</f>
        <v/>
      </c>
      <c r="Q731" s="19">
        <f>Q730+IF(LEN($AA$731)&gt;0,1,0)</f>
        <v/>
      </c>
      <c r="R731" s="19">
        <f>R730+IF(LEN($AB$731)&gt;0,1,0)</f>
        <v/>
      </c>
      <c r="S731" s="19">
        <f>S730+IF(LEN($AC$731)&gt;0,1,0)</f>
        <v/>
      </c>
      <c r="T731" s="19">
        <f>T730+IF(LEN($AD$731)&gt;0,1,0)</f>
        <v/>
      </c>
      <c r="U731" s="19">
        <f>U730+IF(LEN($AE$731)&gt;0,1,0)</f>
        <v/>
      </c>
      <c r="V731" s="19">
        <f>V730+IF(LEN($AF$731)&gt;0,1,0)</f>
        <v/>
      </c>
      <c r="X731" s="19">
        <f>IF(ISERROR($B$731),"",IF(ISBLANK($B$731),"",$B$731))</f>
        <v/>
      </c>
      <c r="Y731" s="19">
        <f>IF(ISERROR($C$731),"",IF(ISBLANK($C$731),"",$C$731))</f>
        <v/>
      </c>
      <c r="Z731" s="19">
        <f>IF(ISERROR($D$731),"",IF(ISBLANK($D$731),"",$D$731))</f>
        <v/>
      </c>
      <c r="AA731" s="19">
        <f>IF(ISERROR($E$731),"",IF(ISBLANK($E$731),"",$E$731))</f>
        <v/>
      </c>
      <c r="AB731" s="19">
        <f>IF(ISERROR($F$731),"",IF(ISBLANK($F$731),"",$F$731))</f>
        <v/>
      </c>
      <c r="AC731" s="19">
        <f>IF(ISERROR($G$731),"",IF(ISBLANK($G$731),"",$G$731))</f>
        <v/>
      </c>
      <c r="AD731" s="19">
        <f>IF(ISERROR($H$731),"",IF(ISBLANK($H$731),"",$H$731))</f>
        <v/>
      </c>
      <c r="AE731" s="19">
        <f>IF(ISERROR($I$731),"",IF(ISBLANK($I$731),"",$I$731))</f>
        <v/>
      </c>
      <c r="AF731" s="19">
        <f>IF(ISERROR($J$731),"",IF(ISBLANK($J$731),"",$J$731))</f>
        <v/>
      </c>
      <c r="AG731" s="19">
        <f>ISERROR($B$731)*1+ISERROR($C$731)*1+ISERROR($D$731)*1+ISERROR($E$731)*1+ISERROR($F$731)*1+ISERROR($G$731)*1+ISERROR($H$731)*1+ISERROR($I$731)*1+ISERROR($J$731)*1</f>
        <v/>
      </c>
    </row>
    <row r="732" ht="26" customHeight="1">
      <c r="B732" s="30" t="n"/>
      <c r="C732" s="3" t="inlineStr">
        <is>
          <t>um ingresso rasgado de um circo</t>
        </is>
      </c>
      <c r="D732" s="3" t="inlineStr">
        <is>
          <t>O Livro</t>
        </is>
      </c>
      <c r="E732" s="3" t="inlineStr">
        <is>
          <t>Contra o Vento</t>
        </is>
      </c>
      <c r="F732" s="3" t="inlineStr">
        <is>
          <t>a última aula de um professor que perdeu a voz</t>
        </is>
      </c>
      <c r="G732" s="3" t="n"/>
      <c r="H732" s="3" t="n"/>
      <c r="I732" s="3" t="n"/>
      <c r="J732" s="3" t="n"/>
      <c r="K732" s="18">
        <f>IF(AG732&gt;0,"O Google leu como fórmula: digite de novo com ' na frente.","")</f>
        <v/>
      </c>
      <c r="N732" s="19">
        <f>N731+IF(LEN($X$732)&gt;0,1,0)</f>
        <v/>
      </c>
      <c r="O732" s="19">
        <f>O731+IF(LEN($Y$732)&gt;0,1,0)</f>
        <v/>
      </c>
      <c r="P732" s="19">
        <f>P731+IF(LEN($Z$732)&gt;0,1,0)</f>
        <v/>
      </c>
      <c r="Q732" s="19">
        <f>Q731+IF(LEN($AA$732)&gt;0,1,0)</f>
        <v/>
      </c>
      <c r="R732" s="19">
        <f>R731+IF(LEN($AB$732)&gt;0,1,0)</f>
        <v/>
      </c>
      <c r="S732" s="19">
        <f>S731+IF(LEN($AC$732)&gt;0,1,0)</f>
        <v/>
      </c>
      <c r="T732" s="19">
        <f>T731+IF(LEN($AD$732)&gt;0,1,0)</f>
        <v/>
      </c>
      <c r="U732" s="19">
        <f>U731+IF(LEN($AE$732)&gt;0,1,0)</f>
        <v/>
      </c>
      <c r="V732" s="19">
        <f>V731+IF(LEN($AF$732)&gt;0,1,0)</f>
        <v/>
      </c>
      <c r="X732" s="19">
        <f>IF(ISERROR($B$732),"",IF(ISBLANK($B$732),"",$B$732))</f>
        <v/>
      </c>
      <c r="Y732" s="19">
        <f>IF(ISERROR($C$732),"",IF(ISBLANK($C$732),"",$C$732))</f>
        <v/>
      </c>
      <c r="Z732" s="19">
        <f>IF(ISERROR($D$732),"",IF(ISBLANK($D$732),"",$D$732))</f>
        <v/>
      </c>
      <c r="AA732" s="19">
        <f>IF(ISERROR($E$732),"",IF(ISBLANK($E$732),"",$E$732))</f>
        <v/>
      </c>
      <c r="AB732" s="19">
        <f>IF(ISERROR($F$732),"",IF(ISBLANK($F$732),"",$F$732))</f>
        <v/>
      </c>
      <c r="AC732" s="19">
        <f>IF(ISERROR($G$732),"",IF(ISBLANK($G$732),"",$G$732))</f>
        <v/>
      </c>
      <c r="AD732" s="19">
        <f>IF(ISERROR($H$732),"",IF(ISBLANK($H$732),"",$H$732))</f>
        <v/>
      </c>
      <c r="AE732" s="19">
        <f>IF(ISERROR($I$732),"",IF(ISBLANK($I$732),"",$I$732))</f>
        <v/>
      </c>
      <c r="AF732" s="19">
        <f>IF(ISERROR($J$732),"",IF(ISBLANK($J$732),"",$J$732))</f>
        <v/>
      </c>
      <c r="AG732" s="19">
        <f>ISERROR($B$732)*1+ISERROR($C$732)*1+ISERROR($D$732)*1+ISERROR($E$732)*1+ISERROR($F$732)*1+ISERROR($G$732)*1+ISERROR($H$732)*1+ISERROR($I$732)*1+ISERROR($J$732)*1</f>
        <v/>
      </c>
    </row>
    <row r="733" ht="37" customHeight="1">
      <c r="B733" s="31" t="n"/>
      <c r="C733" s="28" t="inlineStr">
        <is>
          <t>uma pedra lisa que flutua um dedo acima da mão</t>
        </is>
      </c>
      <c r="D733" s="28" t="inlineStr">
        <is>
          <t>A Dança</t>
        </is>
      </c>
      <c r="E733" s="28" t="inlineStr">
        <is>
          <t>Até Logo</t>
        </is>
      </c>
      <c r="F733" s="28" t="inlineStr">
        <is>
          <t>a noite em que uma colônia inteira cantou para não ter medo</t>
        </is>
      </c>
      <c r="G733" s="28" t="n"/>
      <c r="H733" s="28" t="n"/>
      <c r="I733" s="28" t="n"/>
      <c r="J733" s="28" t="n"/>
      <c r="K733" s="18">
        <f>IF(AG733&gt;0,"O Google leu como fórmula: digite de novo com ' na frente.","")</f>
        <v/>
      </c>
      <c r="N733" s="19">
        <f>N732+IF(LEN($X$733)&gt;0,1,0)</f>
        <v/>
      </c>
      <c r="O733" s="19">
        <f>O732+IF(LEN($Y$733)&gt;0,1,0)</f>
        <v/>
      </c>
      <c r="P733" s="19">
        <f>P732+IF(LEN($Z$733)&gt;0,1,0)</f>
        <v/>
      </c>
      <c r="Q733" s="19">
        <f>Q732+IF(LEN($AA$733)&gt;0,1,0)</f>
        <v/>
      </c>
      <c r="R733" s="19">
        <f>R732+IF(LEN($AB$733)&gt;0,1,0)</f>
        <v/>
      </c>
      <c r="S733" s="19">
        <f>S732+IF(LEN($AC$733)&gt;0,1,0)</f>
        <v/>
      </c>
      <c r="T733" s="19">
        <f>T732+IF(LEN($AD$733)&gt;0,1,0)</f>
        <v/>
      </c>
      <c r="U733" s="19">
        <f>U732+IF(LEN($AE$733)&gt;0,1,0)</f>
        <v/>
      </c>
      <c r="V733" s="19">
        <f>V732+IF(LEN($AF$733)&gt;0,1,0)</f>
        <v/>
      </c>
      <c r="X733" s="19">
        <f>IF(ISERROR($B$733),"",IF(ISBLANK($B$733),"",$B$733))</f>
        <v/>
      </c>
      <c r="Y733" s="19">
        <f>IF(ISERROR($C$733),"",IF(ISBLANK($C$733),"",$C$733))</f>
        <v/>
      </c>
      <c r="Z733" s="19">
        <f>IF(ISERROR($D$733),"",IF(ISBLANK($D$733),"",$D$733))</f>
        <v/>
      </c>
      <c r="AA733" s="19">
        <f>IF(ISERROR($E$733),"",IF(ISBLANK($E$733),"",$E$733))</f>
        <v/>
      </c>
      <c r="AB733" s="19">
        <f>IF(ISERROR($F$733),"",IF(ISBLANK($F$733),"",$F$733))</f>
        <v/>
      </c>
      <c r="AC733" s="19">
        <f>IF(ISERROR($G$733),"",IF(ISBLANK($G$733),"",$G$733))</f>
        <v/>
      </c>
      <c r="AD733" s="19">
        <f>IF(ISERROR($H$733),"",IF(ISBLANK($H$733),"",$H$733))</f>
        <v/>
      </c>
      <c r="AE733" s="19">
        <f>IF(ISERROR($I$733),"",IF(ISBLANK($I$733),"",$I$733))</f>
        <v/>
      </c>
      <c r="AF733" s="19">
        <f>IF(ISERROR($J$733),"",IF(ISBLANK($J$733),"",$J$733))</f>
        <v/>
      </c>
      <c r="AG733" s="19">
        <f>ISERROR($B$733)*1+ISERROR($C$733)*1+ISERROR($D$733)*1+ISERROR($E$733)*1+ISERROR($F$733)*1+ISERROR($G$733)*1+ISERROR($H$733)*1+ISERROR($I$733)*1+ISERROR($J$733)*1</f>
        <v/>
      </c>
    </row>
    <row r="734" ht="26" customHeight="1">
      <c r="B734" s="30" t="n"/>
      <c r="C734" s="3" t="inlineStr">
        <is>
          <t>um pião de metal que gira por horas</t>
        </is>
      </c>
      <c r="D734" s="3" t="inlineStr">
        <is>
          <t>O Juramento</t>
        </is>
      </c>
      <c r="E734" s="3" t="n"/>
      <c r="F734" s="3" t="inlineStr">
        <is>
          <t>o sacrifício de uma tripulação para fechar um lacre</t>
        </is>
      </c>
      <c r="G734" s="3" t="n"/>
      <c r="H734" s="3" t="n"/>
      <c r="I734" s="3" t="n"/>
      <c r="J734" s="3" t="n"/>
      <c r="K734" s="18">
        <f>IF(AG734&gt;0,"O Google leu como fórmula: digite de novo com ' na frente.","")</f>
        <v/>
      </c>
      <c r="N734" s="19">
        <f>N733+IF(LEN($X$734)&gt;0,1,0)</f>
        <v/>
      </c>
      <c r="O734" s="19">
        <f>O733+IF(LEN($Y$734)&gt;0,1,0)</f>
        <v/>
      </c>
      <c r="P734" s="19">
        <f>P733+IF(LEN($Z$734)&gt;0,1,0)</f>
        <v/>
      </c>
      <c r="Q734" s="19">
        <f>Q733+IF(LEN($AA$734)&gt;0,1,0)</f>
        <v/>
      </c>
      <c r="R734" s="19">
        <f>R733+IF(LEN($AB$734)&gt;0,1,0)</f>
        <v/>
      </c>
      <c r="S734" s="19">
        <f>S733+IF(LEN($AC$734)&gt;0,1,0)</f>
        <v/>
      </c>
      <c r="T734" s="19">
        <f>T733+IF(LEN($AD$734)&gt;0,1,0)</f>
        <v/>
      </c>
      <c r="U734" s="19">
        <f>U733+IF(LEN($AE$734)&gt;0,1,0)</f>
        <v/>
      </c>
      <c r="V734" s="19">
        <f>V733+IF(LEN($AF$734)&gt;0,1,0)</f>
        <v/>
      </c>
      <c r="X734" s="19">
        <f>IF(ISERROR($B$734),"",IF(ISBLANK($B$734),"",$B$734))</f>
        <v/>
      </c>
      <c r="Y734" s="19">
        <f>IF(ISERROR($C$734),"",IF(ISBLANK($C$734),"",$C$734))</f>
        <v/>
      </c>
      <c r="Z734" s="19">
        <f>IF(ISERROR($D$734),"",IF(ISBLANK($D$734),"",$D$734))</f>
        <v/>
      </c>
      <c r="AA734" s="19">
        <f>IF(ISERROR($E$734),"",IF(ISBLANK($E$734),"",$E$734))</f>
        <v/>
      </c>
      <c r="AB734" s="19">
        <f>IF(ISERROR($F$734),"",IF(ISBLANK($F$734),"",$F$734))</f>
        <v/>
      </c>
      <c r="AC734" s="19">
        <f>IF(ISERROR($G$734),"",IF(ISBLANK($G$734),"",$G$734))</f>
        <v/>
      </c>
      <c r="AD734" s="19">
        <f>IF(ISERROR($H$734),"",IF(ISBLANK($H$734),"",$H$734))</f>
        <v/>
      </c>
      <c r="AE734" s="19">
        <f>IF(ISERROR($I$734),"",IF(ISBLANK($I$734),"",$I$734))</f>
        <v/>
      </c>
      <c r="AF734" s="19">
        <f>IF(ISERROR($J$734),"",IF(ISBLANK($J$734),"",$J$734))</f>
        <v/>
      </c>
      <c r="AG734" s="19">
        <f>ISERROR($B$734)*1+ISERROR($C$734)*1+ISERROR($D$734)*1+ISERROR($E$734)*1+ISERROR($F$734)*1+ISERROR($G$734)*1+ISERROR($H$734)*1+ISERROR($I$734)*1+ISERROR($J$734)*1</f>
        <v/>
      </c>
    </row>
    <row r="735" ht="26" customHeight="1">
      <c r="B735" s="31" t="n"/>
      <c r="C735" s="28" t="inlineStr">
        <is>
          <t>uma luva de criança</t>
        </is>
      </c>
      <c r="D735" s="28" t="n"/>
      <c r="E735" s="28" t="n"/>
      <c r="F735" s="28" t="n"/>
      <c r="G735" s="28" t="n"/>
      <c r="H735" s="28" t="n"/>
      <c r="I735" s="28" t="n"/>
      <c r="J735" s="28" t="n"/>
      <c r="K735" s="18">
        <f>IF(AG735&gt;0,"O Google leu como fórmula: digite de novo com ' na frente.","")</f>
        <v/>
      </c>
      <c r="N735" s="19">
        <f>N734+IF(LEN($X$735)&gt;0,1,0)</f>
        <v/>
      </c>
      <c r="O735" s="19">
        <f>O734+IF(LEN($Y$735)&gt;0,1,0)</f>
        <v/>
      </c>
      <c r="P735" s="19">
        <f>P734+IF(LEN($Z$735)&gt;0,1,0)</f>
        <v/>
      </c>
      <c r="Q735" s="19">
        <f>Q734+IF(LEN($AA$735)&gt;0,1,0)</f>
        <v/>
      </c>
      <c r="R735" s="19">
        <f>R734+IF(LEN($AB$735)&gt;0,1,0)</f>
        <v/>
      </c>
      <c r="S735" s="19">
        <f>S734+IF(LEN($AC$735)&gt;0,1,0)</f>
        <v/>
      </c>
      <c r="T735" s="19">
        <f>T734+IF(LEN($AD$735)&gt;0,1,0)</f>
        <v/>
      </c>
      <c r="U735" s="19">
        <f>U734+IF(LEN($AE$735)&gt;0,1,0)</f>
        <v/>
      </c>
      <c r="V735" s="19">
        <f>V734+IF(LEN($AF$735)&gt;0,1,0)</f>
        <v/>
      </c>
      <c r="X735" s="19">
        <f>IF(ISERROR($B$735),"",IF(ISBLANK($B$735),"",$B$735))</f>
        <v/>
      </c>
      <c r="Y735" s="19">
        <f>IF(ISERROR($C$735),"",IF(ISBLANK($C$735),"",$C$735))</f>
        <v/>
      </c>
      <c r="Z735" s="19">
        <f>IF(ISERROR($D$735),"",IF(ISBLANK($D$735),"",$D$735))</f>
        <v/>
      </c>
      <c r="AA735" s="19">
        <f>IF(ISERROR($E$735),"",IF(ISBLANK($E$735),"",$E$735))</f>
        <v/>
      </c>
      <c r="AB735" s="19">
        <f>IF(ISERROR($F$735),"",IF(ISBLANK($F$735),"",$F$735))</f>
        <v/>
      </c>
      <c r="AC735" s="19">
        <f>IF(ISERROR($G$735),"",IF(ISBLANK($G$735),"",$G$735))</f>
        <v/>
      </c>
      <c r="AD735" s="19">
        <f>IF(ISERROR($H$735),"",IF(ISBLANK($H$735),"",$H$735))</f>
        <v/>
      </c>
      <c r="AE735" s="19">
        <f>IF(ISERROR($I$735),"",IF(ISBLANK($I$735),"",$I$735))</f>
        <v/>
      </c>
      <c r="AF735" s="19">
        <f>IF(ISERROR($J$735),"",IF(ISBLANK($J$735),"",$J$735))</f>
        <v/>
      </c>
      <c r="AG735" s="19">
        <f>ISERROR($B$735)*1+ISERROR($C$735)*1+ISERROR($D$735)*1+ISERROR($E$735)*1+ISERROR($F$735)*1+ISERROR($G$735)*1+ISERROR($H$735)*1+ISERROR($I$735)*1+ISERROR($J$735)*1</f>
        <v/>
      </c>
    </row>
    <row r="736" ht="26" customHeight="1">
      <c r="B736" s="30" t="n"/>
      <c r="C736" s="3" t="inlineStr">
        <is>
          <t>um crachá de visitante do Vértice-9</t>
        </is>
      </c>
      <c r="D736" s="3" t="n"/>
      <c r="E736" s="3" t="n"/>
      <c r="F736" s="3" t="n"/>
      <c r="G736" s="3" t="n"/>
      <c r="H736" s="3" t="n"/>
      <c r="I736" s="3" t="n"/>
      <c r="J736" s="3" t="n"/>
      <c r="K736" s="18">
        <f>IF(AG736&gt;0,"O Google leu como fórmula: digite de novo com ' na frente.","")</f>
        <v/>
      </c>
      <c r="N736" s="19">
        <f>N735+IF(LEN($X$736)&gt;0,1,0)</f>
        <v/>
      </c>
      <c r="O736" s="19">
        <f>O735+IF(LEN($Y$736)&gt;0,1,0)</f>
        <v/>
      </c>
      <c r="P736" s="19">
        <f>P735+IF(LEN($Z$736)&gt;0,1,0)</f>
        <v/>
      </c>
      <c r="Q736" s="19">
        <f>Q735+IF(LEN($AA$736)&gt;0,1,0)</f>
        <v/>
      </c>
      <c r="R736" s="19">
        <f>R735+IF(LEN($AB$736)&gt;0,1,0)</f>
        <v/>
      </c>
      <c r="S736" s="19">
        <f>S735+IF(LEN($AC$736)&gt;0,1,0)</f>
        <v/>
      </c>
      <c r="T736" s="19">
        <f>T735+IF(LEN($AD$736)&gt;0,1,0)</f>
        <v/>
      </c>
      <c r="U736" s="19">
        <f>U735+IF(LEN($AE$736)&gt;0,1,0)</f>
        <v/>
      </c>
      <c r="V736" s="19">
        <f>V735+IF(LEN($AF$736)&gt;0,1,0)</f>
        <v/>
      </c>
      <c r="X736" s="19">
        <f>IF(ISERROR($B$736),"",IF(ISBLANK($B$736),"",$B$736))</f>
        <v/>
      </c>
      <c r="Y736" s="19">
        <f>IF(ISERROR($C$736),"",IF(ISBLANK($C$736),"",$C$736))</f>
        <v/>
      </c>
      <c r="Z736" s="19">
        <f>IF(ISERROR($D$736),"",IF(ISBLANK($D$736),"",$D$736))</f>
        <v/>
      </c>
      <c r="AA736" s="19">
        <f>IF(ISERROR($E$736),"",IF(ISBLANK($E$736),"",$E$736))</f>
        <v/>
      </c>
      <c r="AB736" s="19">
        <f>IF(ISERROR($F$736),"",IF(ISBLANK($F$736),"",$F$736))</f>
        <v/>
      </c>
      <c r="AC736" s="19">
        <f>IF(ISERROR($G$736),"",IF(ISBLANK($G$736),"",$G$736))</f>
        <v/>
      </c>
      <c r="AD736" s="19">
        <f>IF(ISERROR($H$736),"",IF(ISBLANK($H$736),"",$H$736))</f>
        <v/>
      </c>
      <c r="AE736" s="19">
        <f>IF(ISERROR($I$736),"",IF(ISBLANK($I$736),"",$I$736))</f>
        <v/>
      </c>
      <c r="AF736" s="19">
        <f>IF(ISERROR($J$736),"",IF(ISBLANK($J$736),"",$J$736))</f>
        <v/>
      </c>
      <c r="AG736" s="19">
        <f>ISERROR($B$736)*1+ISERROR($C$736)*1+ISERROR($D$736)*1+ISERROR($E$736)*1+ISERROR($F$736)*1+ISERROR($G$736)*1+ISERROR($H$736)*1+ISERROR($I$736)*1+ISERROR($J$736)*1</f>
        <v/>
      </c>
    </row>
    <row r="737" ht="26" customHeight="1">
      <c r="B737" s="31" t="n"/>
      <c r="C737" s="28" t="inlineStr">
        <is>
          <t>um parafuso de ouro</t>
        </is>
      </c>
      <c r="D737" s="28" t="n"/>
      <c r="E737" s="28" t="n"/>
      <c r="F737" s="28" t="n"/>
      <c r="G737" s="28" t="n"/>
      <c r="H737" s="28" t="n"/>
      <c r="I737" s="28" t="n"/>
      <c r="J737" s="28" t="n"/>
      <c r="K737" s="18">
        <f>IF(AG737&gt;0,"O Google leu como fórmula: digite de novo com ' na frente.","")</f>
        <v/>
      </c>
      <c r="N737" s="19">
        <f>N736+IF(LEN($X$737)&gt;0,1,0)</f>
        <v/>
      </c>
      <c r="O737" s="19">
        <f>O736+IF(LEN($Y$737)&gt;0,1,0)</f>
        <v/>
      </c>
      <c r="P737" s="19">
        <f>P736+IF(LEN($Z$737)&gt;0,1,0)</f>
        <v/>
      </c>
      <c r="Q737" s="19">
        <f>Q736+IF(LEN($AA$737)&gt;0,1,0)</f>
        <v/>
      </c>
      <c r="R737" s="19">
        <f>R736+IF(LEN($AB$737)&gt;0,1,0)</f>
        <v/>
      </c>
      <c r="S737" s="19">
        <f>S736+IF(LEN($AC$737)&gt;0,1,0)</f>
        <v/>
      </c>
      <c r="T737" s="19">
        <f>T736+IF(LEN($AD$737)&gt;0,1,0)</f>
        <v/>
      </c>
      <c r="U737" s="19">
        <f>U736+IF(LEN($AE$737)&gt;0,1,0)</f>
        <v/>
      </c>
      <c r="V737" s="19">
        <f>V736+IF(LEN($AF$737)&gt;0,1,0)</f>
        <v/>
      </c>
      <c r="X737" s="19">
        <f>IF(ISERROR($B$737),"",IF(ISBLANK($B$737),"",$B$737))</f>
        <v/>
      </c>
      <c r="Y737" s="19">
        <f>IF(ISERROR($C$737),"",IF(ISBLANK($C$737),"",$C$737))</f>
        <v/>
      </c>
      <c r="Z737" s="19">
        <f>IF(ISERROR($D$737),"",IF(ISBLANK($D$737),"",$D$737))</f>
        <v/>
      </c>
      <c r="AA737" s="19">
        <f>IF(ISERROR($E$737),"",IF(ISBLANK($E$737),"",$E$737))</f>
        <v/>
      </c>
      <c r="AB737" s="19">
        <f>IF(ISERROR($F$737),"",IF(ISBLANK($F$737),"",$F$737))</f>
        <v/>
      </c>
      <c r="AC737" s="19">
        <f>IF(ISERROR($G$737),"",IF(ISBLANK($G$737),"",$G$737))</f>
        <v/>
      </c>
      <c r="AD737" s="19">
        <f>IF(ISERROR($H$737),"",IF(ISBLANK($H$737),"",$H$737))</f>
        <v/>
      </c>
      <c r="AE737" s="19">
        <f>IF(ISERROR($I$737),"",IF(ISBLANK($I$737),"",$I$737))</f>
        <v/>
      </c>
      <c r="AF737" s="19">
        <f>IF(ISERROR($J$737),"",IF(ISBLANK($J$737),"",$J$737))</f>
        <v/>
      </c>
      <c r="AG737" s="19">
        <f>ISERROR($B$737)*1+ISERROR($C$737)*1+ISERROR($D$737)*1+ISERROR($E$737)*1+ISERROR($F$737)*1+ISERROR($G$737)*1+ISERROR($H$737)*1+ISERROR($I$737)*1+ISERROR($J$737)*1</f>
        <v/>
      </c>
    </row>
    <row r="738" ht="26" customHeight="1">
      <c r="B738" s="30" t="n"/>
      <c r="C738" s="3" t="inlineStr">
        <is>
          <t>um pote de tinta que muda de cor</t>
        </is>
      </c>
      <c r="D738" s="3" t="n"/>
      <c r="E738" s="3" t="n"/>
      <c r="F738" s="3" t="n"/>
      <c r="G738" s="3" t="n"/>
      <c r="H738" s="3" t="n"/>
      <c r="I738" s="3" t="n"/>
      <c r="J738" s="3" t="n"/>
      <c r="K738" s="18">
        <f>IF(AG738&gt;0,"O Google leu como fórmula: digite de novo com ' na frente.","")</f>
        <v/>
      </c>
      <c r="N738" s="19">
        <f>N737+IF(LEN($X$738)&gt;0,1,0)</f>
        <v/>
      </c>
      <c r="O738" s="19">
        <f>O737+IF(LEN($Y$738)&gt;0,1,0)</f>
        <v/>
      </c>
      <c r="P738" s="19">
        <f>P737+IF(LEN($Z$738)&gt;0,1,0)</f>
        <v/>
      </c>
      <c r="Q738" s="19">
        <f>Q737+IF(LEN($AA$738)&gt;0,1,0)</f>
        <v/>
      </c>
      <c r="R738" s="19">
        <f>R737+IF(LEN($AB$738)&gt;0,1,0)</f>
        <v/>
      </c>
      <c r="S738" s="19">
        <f>S737+IF(LEN($AC$738)&gt;0,1,0)</f>
        <v/>
      </c>
      <c r="T738" s="19">
        <f>T737+IF(LEN($AD$738)&gt;0,1,0)</f>
        <v/>
      </c>
      <c r="U738" s="19">
        <f>U737+IF(LEN($AE$738)&gt;0,1,0)</f>
        <v/>
      </c>
      <c r="V738" s="19">
        <f>V737+IF(LEN($AF$738)&gt;0,1,0)</f>
        <v/>
      </c>
      <c r="X738" s="19">
        <f>IF(ISERROR($B$738),"",IF(ISBLANK($B$738),"",$B$738))</f>
        <v/>
      </c>
      <c r="Y738" s="19">
        <f>IF(ISERROR($C$738),"",IF(ISBLANK($C$738),"",$C$738))</f>
        <v/>
      </c>
      <c r="Z738" s="19">
        <f>IF(ISERROR($D$738),"",IF(ISBLANK($D$738),"",$D$738))</f>
        <v/>
      </c>
      <c r="AA738" s="19">
        <f>IF(ISERROR($E$738),"",IF(ISBLANK($E$738),"",$E$738))</f>
        <v/>
      </c>
      <c r="AB738" s="19">
        <f>IF(ISERROR($F$738),"",IF(ISBLANK($F$738),"",$F$738))</f>
        <v/>
      </c>
      <c r="AC738" s="19">
        <f>IF(ISERROR($G$738),"",IF(ISBLANK($G$738),"",$G$738))</f>
        <v/>
      </c>
      <c r="AD738" s="19">
        <f>IF(ISERROR($H$738),"",IF(ISBLANK($H$738),"",$H$738))</f>
        <v/>
      </c>
      <c r="AE738" s="19">
        <f>IF(ISERROR($I$738),"",IF(ISBLANK($I$738),"",$I$738))</f>
        <v/>
      </c>
      <c r="AF738" s="19">
        <f>IF(ISERROR($J$738),"",IF(ISBLANK($J$738),"",$J$738))</f>
        <v/>
      </c>
      <c r="AG738" s="19">
        <f>ISERROR($B$738)*1+ISERROR($C$738)*1+ISERROR($D$738)*1+ISERROR($E$738)*1+ISERROR($F$738)*1+ISERROR($G$738)*1+ISERROR($H$738)*1+ISERROR($I$738)*1+ISERROR($J$738)*1</f>
        <v/>
      </c>
    </row>
    <row r="739" ht="26" customHeight="1">
      <c r="B739" s="31" t="n"/>
      <c r="C739" s="28" t="inlineStr">
        <is>
          <t>um mapa estelar bordado num pano</t>
        </is>
      </c>
      <c r="D739" s="28" t="n"/>
      <c r="E739" s="28" t="n"/>
      <c r="F739" s="28" t="n"/>
      <c r="G739" s="28" t="n"/>
      <c r="H739" s="28" t="n"/>
      <c r="I739" s="28" t="n"/>
      <c r="J739" s="28" t="n"/>
      <c r="K739" s="18">
        <f>IF(AG739&gt;0,"O Google leu como fórmula: digite de novo com ' na frente.","")</f>
        <v/>
      </c>
      <c r="N739" s="19">
        <f>N738+IF(LEN($X$739)&gt;0,1,0)</f>
        <v/>
      </c>
      <c r="O739" s="19">
        <f>O738+IF(LEN($Y$739)&gt;0,1,0)</f>
        <v/>
      </c>
      <c r="P739" s="19">
        <f>P738+IF(LEN($Z$739)&gt;0,1,0)</f>
        <v/>
      </c>
      <c r="Q739" s="19">
        <f>Q738+IF(LEN($AA$739)&gt;0,1,0)</f>
        <v/>
      </c>
      <c r="R739" s="19">
        <f>R738+IF(LEN($AB$739)&gt;0,1,0)</f>
        <v/>
      </c>
      <c r="S739" s="19">
        <f>S738+IF(LEN($AC$739)&gt;0,1,0)</f>
        <v/>
      </c>
      <c r="T739" s="19">
        <f>T738+IF(LEN($AD$739)&gt;0,1,0)</f>
        <v/>
      </c>
      <c r="U739" s="19">
        <f>U738+IF(LEN($AE$739)&gt;0,1,0)</f>
        <v/>
      </c>
      <c r="V739" s="19">
        <f>V738+IF(LEN($AF$739)&gt;0,1,0)</f>
        <v/>
      </c>
      <c r="X739" s="19">
        <f>IF(ISERROR($B$739),"",IF(ISBLANK($B$739),"",$B$739))</f>
        <v/>
      </c>
      <c r="Y739" s="19">
        <f>IF(ISERROR($C$739),"",IF(ISBLANK($C$739),"",$C$739))</f>
        <v/>
      </c>
      <c r="Z739" s="19">
        <f>IF(ISERROR($D$739),"",IF(ISBLANK($D$739),"",$D$739))</f>
        <v/>
      </c>
      <c r="AA739" s="19">
        <f>IF(ISERROR($E$739),"",IF(ISBLANK($E$739),"",$E$739))</f>
        <v/>
      </c>
      <c r="AB739" s="19">
        <f>IF(ISERROR($F$739),"",IF(ISBLANK($F$739),"",$F$739))</f>
        <v/>
      </c>
      <c r="AC739" s="19">
        <f>IF(ISERROR($G$739),"",IF(ISBLANK($G$739),"",$G$739))</f>
        <v/>
      </c>
      <c r="AD739" s="19">
        <f>IF(ISERROR($H$739),"",IF(ISBLANK($H$739),"",$H$739))</f>
        <v/>
      </c>
      <c r="AE739" s="19">
        <f>IF(ISERROR($I$739),"",IF(ISBLANK($I$739),"",$I$739))</f>
        <v/>
      </c>
      <c r="AF739" s="19">
        <f>IF(ISERROR($J$739),"",IF(ISBLANK($J$739),"",$J$739))</f>
        <v/>
      </c>
      <c r="AG739" s="19">
        <f>ISERROR($B$739)*1+ISERROR($C$739)*1+ISERROR($D$739)*1+ISERROR($E$739)*1+ISERROR($F$739)*1+ISERROR($G$739)*1+ISERROR($H$739)*1+ISERROR($I$739)*1+ISERROR($J$739)*1</f>
        <v/>
      </c>
    </row>
    <row r="740" ht="26" customHeight="1">
      <c r="B740" s="30" t="n"/>
      <c r="C740" s="3" t="inlineStr">
        <is>
          <t>uma faca de cozinha com cabo de coral</t>
        </is>
      </c>
      <c r="D740" s="3" t="n"/>
      <c r="E740" s="3" t="n"/>
      <c r="F740" s="3" t="n"/>
      <c r="G740" s="3" t="n"/>
      <c r="H740" s="3" t="n"/>
      <c r="I740" s="3" t="n"/>
      <c r="J740" s="3" t="n"/>
      <c r="K740" s="18">
        <f>IF(AG740&gt;0,"O Google leu como fórmula: digite de novo com ' na frente.","")</f>
        <v/>
      </c>
      <c r="N740" s="19">
        <f>N739+IF(LEN($X$740)&gt;0,1,0)</f>
        <v/>
      </c>
      <c r="O740" s="19">
        <f>O739+IF(LEN($Y$740)&gt;0,1,0)</f>
        <v/>
      </c>
      <c r="P740" s="19">
        <f>P739+IF(LEN($Z$740)&gt;0,1,0)</f>
        <v/>
      </c>
      <c r="Q740" s="19">
        <f>Q739+IF(LEN($AA$740)&gt;0,1,0)</f>
        <v/>
      </c>
      <c r="R740" s="19">
        <f>R739+IF(LEN($AB$740)&gt;0,1,0)</f>
        <v/>
      </c>
      <c r="S740" s="19">
        <f>S739+IF(LEN($AC$740)&gt;0,1,0)</f>
        <v/>
      </c>
      <c r="T740" s="19">
        <f>T739+IF(LEN($AD$740)&gt;0,1,0)</f>
        <v/>
      </c>
      <c r="U740" s="19">
        <f>U739+IF(LEN($AE$740)&gt;0,1,0)</f>
        <v/>
      </c>
      <c r="V740" s="19">
        <f>V739+IF(LEN($AF$740)&gt;0,1,0)</f>
        <v/>
      </c>
      <c r="X740" s="19">
        <f>IF(ISERROR($B$740),"",IF(ISBLANK($B$740),"",$B$740))</f>
        <v/>
      </c>
      <c r="Y740" s="19">
        <f>IF(ISERROR($C$740),"",IF(ISBLANK($C$740),"",$C$740))</f>
        <v/>
      </c>
      <c r="Z740" s="19">
        <f>IF(ISERROR($D$740),"",IF(ISBLANK($D$740),"",$D$740))</f>
        <v/>
      </c>
      <c r="AA740" s="19">
        <f>IF(ISERROR($E$740),"",IF(ISBLANK($E$740),"",$E$740))</f>
        <v/>
      </c>
      <c r="AB740" s="19">
        <f>IF(ISERROR($F$740),"",IF(ISBLANK($F$740),"",$F$740))</f>
        <v/>
      </c>
      <c r="AC740" s="19">
        <f>IF(ISERROR($G$740),"",IF(ISBLANK($G$740),"",$G$740))</f>
        <v/>
      </c>
      <c r="AD740" s="19">
        <f>IF(ISERROR($H$740),"",IF(ISBLANK($H$740),"",$H$740))</f>
        <v/>
      </c>
      <c r="AE740" s="19">
        <f>IF(ISERROR($I$740),"",IF(ISBLANK($I$740),"",$I$740))</f>
        <v/>
      </c>
      <c r="AF740" s="19">
        <f>IF(ISERROR($J$740),"",IF(ISBLANK($J$740),"",$J$740))</f>
        <v/>
      </c>
      <c r="AG740" s="19">
        <f>ISERROR($B$740)*1+ISERROR($C$740)*1+ISERROR($D$740)*1+ISERROR($E$740)*1+ISERROR($F$740)*1+ISERROR($G$740)*1+ISERROR($H$740)*1+ISERROR($I$740)*1+ISERROR($J$740)*1</f>
        <v/>
      </c>
    </row>
    <row r="741" ht="26" customHeight="1">
      <c r="B741" s="31" t="n"/>
      <c r="C741" s="28" t="inlineStr">
        <is>
          <t>um tabuleiro de xadrez com uma peça a mais</t>
        </is>
      </c>
      <c r="D741" s="28" t="n"/>
      <c r="E741" s="28" t="n"/>
      <c r="F741" s="28" t="n"/>
      <c r="G741" s="28" t="n"/>
      <c r="H741" s="28" t="n"/>
      <c r="I741" s="28" t="n"/>
      <c r="J741" s="28" t="n"/>
      <c r="K741" s="18">
        <f>IF(AG741&gt;0,"O Google leu como fórmula: digite de novo com ' na frente.","")</f>
        <v/>
      </c>
      <c r="N741" s="19">
        <f>N740+IF(LEN($X$741)&gt;0,1,0)</f>
        <v/>
      </c>
      <c r="O741" s="19">
        <f>O740+IF(LEN($Y$741)&gt;0,1,0)</f>
        <v/>
      </c>
      <c r="P741" s="19">
        <f>P740+IF(LEN($Z$741)&gt;0,1,0)</f>
        <v/>
      </c>
      <c r="Q741" s="19">
        <f>Q740+IF(LEN($AA$741)&gt;0,1,0)</f>
        <v/>
      </c>
      <c r="R741" s="19">
        <f>R740+IF(LEN($AB$741)&gt;0,1,0)</f>
        <v/>
      </c>
      <c r="S741" s="19">
        <f>S740+IF(LEN($AC$741)&gt;0,1,0)</f>
        <v/>
      </c>
      <c r="T741" s="19">
        <f>T740+IF(LEN($AD$741)&gt;0,1,0)</f>
        <v/>
      </c>
      <c r="U741" s="19">
        <f>U740+IF(LEN($AE$741)&gt;0,1,0)</f>
        <v/>
      </c>
      <c r="V741" s="19">
        <f>V740+IF(LEN($AF$741)&gt;0,1,0)</f>
        <v/>
      </c>
      <c r="X741" s="19">
        <f>IF(ISERROR($B$741),"",IF(ISBLANK($B$741),"",$B$741))</f>
        <v/>
      </c>
      <c r="Y741" s="19">
        <f>IF(ISERROR($C$741),"",IF(ISBLANK($C$741),"",$C$741))</f>
        <v/>
      </c>
      <c r="Z741" s="19">
        <f>IF(ISERROR($D$741),"",IF(ISBLANK($D$741),"",$D$741))</f>
        <v/>
      </c>
      <c r="AA741" s="19">
        <f>IF(ISERROR($E$741),"",IF(ISBLANK($E$741),"",$E$741))</f>
        <v/>
      </c>
      <c r="AB741" s="19">
        <f>IF(ISERROR($F$741),"",IF(ISBLANK($F$741),"",$F$741))</f>
        <v/>
      </c>
      <c r="AC741" s="19">
        <f>IF(ISERROR($G$741),"",IF(ISBLANK($G$741),"",$G$741))</f>
        <v/>
      </c>
      <c r="AD741" s="19">
        <f>IF(ISERROR($H$741),"",IF(ISBLANK($H$741),"",$H$741))</f>
        <v/>
      </c>
      <c r="AE741" s="19">
        <f>IF(ISERROR($I$741),"",IF(ISBLANK($I$741),"",$I$741))</f>
        <v/>
      </c>
      <c r="AF741" s="19">
        <f>IF(ISERROR($J$741),"",IF(ISBLANK($J$741),"",$J$741))</f>
        <v/>
      </c>
      <c r="AG741" s="19">
        <f>ISERROR($B$741)*1+ISERROR($C$741)*1+ISERROR($D$741)*1+ISERROR($E$741)*1+ISERROR($F$741)*1+ISERROR($G$741)*1+ISERROR($H$741)*1+ISERROR($I$741)*1+ISERROR($J$741)*1</f>
        <v/>
      </c>
    </row>
    <row r="742" ht="37" customHeight="1">
      <c r="B742" s="30" t="n"/>
      <c r="C742" s="3" t="inlineStr">
        <is>
          <t>uma etiqueta de bagagem de uma viagem que ninguém lembra</t>
        </is>
      </c>
      <c r="D742" s="3" t="n"/>
      <c r="E742" s="3" t="n"/>
      <c r="F742" s="3" t="n"/>
      <c r="G742" s="3" t="n"/>
      <c r="H742" s="3" t="n"/>
      <c r="I742" s="3" t="n"/>
      <c r="J742" s="3" t="n"/>
      <c r="K742" s="18">
        <f>IF(AG742&gt;0,"O Google leu como fórmula: digite de novo com ' na frente.","")</f>
        <v/>
      </c>
      <c r="N742" s="19">
        <f>N741+IF(LEN($X$742)&gt;0,1,0)</f>
        <v/>
      </c>
      <c r="O742" s="19">
        <f>O741+IF(LEN($Y$742)&gt;0,1,0)</f>
        <v/>
      </c>
      <c r="P742" s="19">
        <f>P741+IF(LEN($Z$742)&gt;0,1,0)</f>
        <v/>
      </c>
      <c r="Q742" s="19">
        <f>Q741+IF(LEN($AA$742)&gt;0,1,0)</f>
        <v/>
      </c>
      <c r="R742" s="19">
        <f>R741+IF(LEN($AB$742)&gt;0,1,0)</f>
        <v/>
      </c>
      <c r="S742" s="19">
        <f>S741+IF(LEN($AC$742)&gt;0,1,0)</f>
        <v/>
      </c>
      <c r="T742" s="19">
        <f>T741+IF(LEN($AD$742)&gt;0,1,0)</f>
        <v/>
      </c>
      <c r="U742" s="19">
        <f>U741+IF(LEN($AE$742)&gt;0,1,0)</f>
        <v/>
      </c>
      <c r="V742" s="19">
        <f>V741+IF(LEN($AF$742)&gt;0,1,0)</f>
        <v/>
      </c>
      <c r="X742" s="19">
        <f>IF(ISERROR($B$742),"",IF(ISBLANK($B$742),"",$B$742))</f>
        <v/>
      </c>
      <c r="Y742" s="19">
        <f>IF(ISERROR($C$742),"",IF(ISBLANK($C$742),"",$C$742))</f>
        <v/>
      </c>
      <c r="Z742" s="19">
        <f>IF(ISERROR($D$742),"",IF(ISBLANK($D$742),"",$D$742))</f>
        <v/>
      </c>
      <c r="AA742" s="19">
        <f>IF(ISERROR($E$742),"",IF(ISBLANK($E$742),"",$E$742))</f>
        <v/>
      </c>
      <c r="AB742" s="19">
        <f>IF(ISERROR($F$742),"",IF(ISBLANK($F$742),"",$F$742))</f>
        <v/>
      </c>
      <c r="AC742" s="19">
        <f>IF(ISERROR($G$742),"",IF(ISBLANK($G$742),"",$G$742))</f>
        <v/>
      </c>
      <c r="AD742" s="19">
        <f>IF(ISERROR($H$742),"",IF(ISBLANK($H$742),"",$H$742))</f>
        <v/>
      </c>
      <c r="AE742" s="19">
        <f>IF(ISERROR($I$742),"",IF(ISBLANK($I$742),"",$I$742))</f>
        <v/>
      </c>
      <c r="AF742" s="19">
        <f>IF(ISERROR($J$742),"",IF(ISBLANK($J$742),"",$J$742))</f>
        <v/>
      </c>
      <c r="AG742" s="19">
        <f>ISERROR($B$742)*1+ISERROR($C$742)*1+ISERROR($D$742)*1+ISERROR($E$742)*1+ISERROR($F$742)*1+ISERROR($G$742)*1+ISERROR($H$742)*1+ISERROR($I$742)*1+ISERROR($J$742)*1</f>
        <v/>
      </c>
    </row>
    <row r="743" ht="26" customHeight="1">
      <c r="B743" s="7" t="inlineStr">
        <is>
          <t>Pista</t>
        </is>
      </c>
      <c r="C743" s="7" t="inlineStr">
        <is>
          <t>Bugiganga</t>
        </is>
      </c>
      <c r="D743" s="7" t="inlineStr">
        <is>
          <t>Nome do Cone (início)</t>
        </is>
      </c>
      <c r="E743" s="7" t="inlineStr">
        <is>
          <t>Nome do Cone (fim)</t>
        </is>
      </c>
      <c r="F743" s="7" t="inlineStr">
        <is>
          <t>Memória do Cone</t>
        </is>
      </c>
      <c r="G743" s="7" t="inlineStr">
        <is>
          <t>Gatilho do Efeito Condicional</t>
        </is>
      </c>
      <c r="H743" s="7" t="inlineStr">
        <is>
          <t>Nome do Conjunto</t>
        </is>
      </c>
      <c r="I743" s="7" t="inlineStr">
        <is>
          <t>Origem do Conjunto</t>
        </is>
      </c>
      <c r="J743" s="7" t="inlineStr">
        <is>
          <t>Efeito de 4 peças</t>
        </is>
      </c>
      <c r="N743" s="19">
        <f>N742</f>
        <v/>
      </c>
      <c r="O743" s="19">
        <f>O742</f>
        <v/>
      </c>
      <c r="P743" s="19">
        <f>P742</f>
        <v/>
      </c>
      <c r="Q743" s="19">
        <f>Q742</f>
        <v/>
      </c>
      <c r="R743" s="19">
        <f>R742</f>
        <v/>
      </c>
      <c r="S743" s="19">
        <f>S742</f>
        <v/>
      </c>
      <c r="T743" s="19">
        <f>T742</f>
        <v/>
      </c>
      <c r="U743" s="19">
        <f>U742</f>
        <v/>
      </c>
      <c r="V743" s="19">
        <f>V742</f>
        <v/>
      </c>
      <c r="X743" s="19">
        <f>IF(ISERROR($B$743),"",IF(ISBLANK($B$743),"",$B$743))</f>
        <v/>
      </c>
      <c r="Y743" s="19">
        <f>IF(ISERROR($C$743),"",IF(ISBLANK($C$743),"",$C$743))</f>
        <v/>
      </c>
      <c r="Z743" s="19">
        <f>IF(ISERROR($D$743),"",IF(ISBLANK($D$743),"",$D$743))</f>
        <v/>
      </c>
      <c r="AA743" s="19">
        <f>IF(ISERROR($E$743),"",IF(ISBLANK($E$743),"",$E$743))</f>
        <v/>
      </c>
      <c r="AB743" s="19">
        <f>IF(ISERROR($F$743),"",IF(ISBLANK($F$743),"",$F$743))</f>
        <v/>
      </c>
      <c r="AC743" s="19">
        <f>IF(ISERROR($G$743),"",IF(ISBLANK($G$743),"",$G$743))</f>
        <v/>
      </c>
      <c r="AD743" s="19">
        <f>IF(ISERROR($H$743),"",IF(ISBLANK($H$743),"",$H$743))</f>
        <v/>
      </c>
      <c r="AE743" s="19">
        <f>IF(ISERROR($I$743),"",IF(ISBLANK($I$743),"",$I$743))</f>
        <v/>
      </c>
      <c r="AF743" s="19">
        <f>IF(ISERROR($J$743),"",IF(ISBLANK($J$743),"",$J$743))</f>
        <v/>
      </c>
    </row>
    <row r="744" ht="26" customHeight="1">
      <c r="B744" s="30" t="n"/>
      <c r="C744" s="3" t="inlineStr">
        <is>
          <t>uma concha que guarda o som de outro mar</t>
        </is>
      </c>
      <c r="D744" s="3" t="n"/>
      <c r="E744" s="3" t="n"/>
      <c r="F744" s="3" t="n"/>
      <c r="G744" s="3" t="n"/>
      <c r="H744" s="3" t="n"/>
      <c r="I744" s="3" t="n"/>
      <c r="J744" s="3" t="n"/>
      <c r="K744" s="18">
        <f>IF(AG744&gt;0,"O Google leu como fórmula: digite de novo com ' na frente.","")</f>
        <v/>
      </c>
      <c r="N744" s="19">
        <f>N743+IF(LEN($X$744)&gt;0,1,0)</f>
        <v/>
      </c>
      <c r="O744" s="19">
        <f>O743+IF(LEN($Y$744)&gt;0,1,0)</f>
        <v/>
      </c>
      <c r="P744" s="19">
        <f>P743+IF(LEN($Z$744)&gt;0,1,0)</f>
        <v/>
      </c>
      <c r="Q744" s="19">
        <f>Q743+IF(LEN($AA$744)&gt;0,1,0)</f>
        <v/>
      </c>
      <c r="R744" s="19">
        <f>R743+IF(LEN($AB$744)&gt;0,1,0)</f>
        <v/>
      </c>
      <c r="S744" s="19">
        <f>S743+IF(LEN($AC$744)&gt;0,1,0)</f>
        <v/>
      </c>
      <c r="T744" s="19">
        <f>T743+IF(LEN($AD$744)&gt;0,1,0)</f>
        <v/>
      </c>
      <c r="U744" s="19">
        <f>U743+IF(LEN($AE$744)&gt;0,1,0)</f>
        <v/>
      </c>
      <c r="V744" s="19">
        <f>V743+IF(LEN($AF$744)&gt;0,1,0)</f>
        <v/>
      </c>
      <c r="X744" s="19">
        <f>IF(ISERROR($B$744),"",IF(ISBLANK($B$744),"",$B$744))</f>
        <v/>
      </c>
      <c r="Y744" s="19">
        <f>IF(ISERROR($C$744),"",IF(ISBLANK($C$744),"",$C$744))</f>
        <v/>
      </c>
      <c r="Z744" s="19">
        <f>IF(ISERROR($D$744),"",IF(ISBLANK($D$744),"",$D$744))</f>
        <v/>
      </c>
      <c r="AA744" s="19">
        <f>IF(ISERROR($E$744),"",IF(ISBLANK($E$744),"",$E$744))</f>
        <v/>
      </c>
      <c r="AB744" s="19">
        <f>IF(ISERROR($F$744),"",IF(ISBLANK($F$744),"",$F$744))</f>
        <v/>
      </c>
      <c r="AC744" s="19">
        <f>IF(ISERROR($G$744),"",IF(ISBLANK($G$744),"",$G$744))</f>
        <v/>
      </c>
      <c r="AD744" s="19">
        <f>IF(ISERROR($H$744),"",IF(ISBLANK($H$744),"",$H$744))</f>
        <v/>
      </c>
      <c r="AE744" s="19">
        <f>IF(ISERROR($I$744),"",IF(ISBLANK($I$744),"",$I$744))</f>
        <v/>
      </c>
      <c r="AF744" s="19">
        <f>IF(ISERROR($J$744),"",IF(ISBLANK($J$744),"",$J$744))</f>
        <v/>
      </c>
      <c r="AG744" s="19">
        <f>ISERROR($B$744)*1+ISERROR($C$744)*1+ISERROR($D$744)*1+ISERROR($E$744)*1+ISERROR($F$744)*1+ISERROR($G$744)*1+ISERROR($H$744)*1+ISERROR($I$744)*1+ISERROR($J$744)*1</f>
        <v/>
      </c>
    </row>
    <row r="745" ht="26" customHeight="1">
      <c r="B745" s="31" t="n"/>
      <c r="C745" s="28" t="inlineStr">
        <is>
          <t>um caderno de receitas de um cozinheiro famoso</t>
        </is>
      </c>
      <c r="D745" s="28" t="n"/>
      <c r="E745" s="28" t="n"/>
      <c r="F745" s="28" t="n"/>
      <c r="G745" s="28" t="n"/>
      <c r="H745" s="28" t="n"/>
      <c r="I745" s="28" t="n"/>
      <c r="J745" s="28" t="n"/>
      <c r="K745" s="18">
        <f>IF(AG745&gt;0,"O Google leu como fórmula: digite de novo com ' na frente.","")</f>
        <v/>
      </c>
      <c r="N745" s="19">
        <f>N744+IF(LEN($X$745)&gt;0,1,0)</f>
        <v/>
      </c>
      <c r="O745" s="19">
        <f>O744+IF(LEN($Y$745)&gt;0,1,0)</f>
        <v/>
      </c>
      <c r="P745" s="19">
        <f>P744+IF(LEN($Z$745)&gt;0,1,0)</f>
        <v/>
      </c>
      <c r="Q745" s="19">
        <f>Q744+IF(LEN($AA$745)&gt;0,1,0)</f>
        <v/>
      </c>
      <c r="R745" s="19">
        <f>R744+IF(LEN($AB$745)&gt;0,1,0)</f>
        <v/>
      </c>
      <c r="S745" s="19">
        <f>S744+IF(LEN($AC$745)&gt;0,1,0)</f>
        <v/>
      </c>
      <c r="T745" s="19">
        <f>T744+IF(LEN($AD$745)&gt;0,1,0)</f>
        <v/>
      </c>
      <c r="U745" s="19">
        <f>U744+IF(LEN($AE$745)&gt;0,1,0)</f>
        <v/>
      </c>
      <c r="V745" s="19">
        <f>V744+IF(LEN($AF$745)&gt;0,1,0)</f>
        <v/>
      </c>
      <c r="X745" s="19">
        <f>IF(ISERROR($B$745),"",IF(ISBLANK($B$745),"",$B$745))</f>
        <v/>
      </c>
      <c r="Y745" s="19">
        <f>IF(ISERROR($C$745),"",IF(ISBLANK($C$745),"",$C$745))</f>
        <v/>
      </c>
      <c r="Z745" s="19">
        <f>IF(ISERROR($D$745),"",IF(ISBLANK($D$745),"",$D$745))</f>
        <v/>
      </c>
      <c r="AA745" s="19">
        <f>IF(ISERROR($E$745),"",IF(ISBLANK($E$745),"",$E$745))</f>
        <v/>
      </c>
      <c r="AB745" s="19">
        <f>IF(ISERROR($F$745),"",IF(ISBLANK($F$745),"",$F$745))</f>
        <v/>
      </c>
      <c r="AC745" s="19">
        <f>IF(ISERROR($G$745),"",IF(ISBLANK($G$745),"",$G$745))</f>
        <v/>
      </c>
      <c r="AD745" s="19">
        <f>IF(ISERROR($H$745),"",IF(ISBLANK($H$745),"",$H$745))</f>
        <v/>
      </c>
      <c r="AE745" s="19">
        <f>IF(ISERROR($I$745),"",IF(ISBLANK($I$745),"",$I$745))</f>
        <v/>
      </c>
      <c r="AF745" s="19">
        <f>IF(ISERROR($J$745),"",IF(ISBLANK($J$745),"",$J$745))</f>
        <v/>
      </c>
      <c r="AG745" s="19">
        <f>ISERROR($B$745)*1+ISERROR($C$745)*1+ISERROR($D$745)*1+ISERROR($E$745)*1+ISERROR($F$745)*1+ISERROR($G$745)*1+ISERROR($H$745)*1+ISERROR($I$745)*1+ISERROR($J$745)*1</f>
        <v/>
      </c>
    </row>
    <row r="746" ht="26" customHeight="1">
      <c r="B746" s="30" t="n"/>
      <c r="C746" s="3" t="inlineStr">
        <is>
          <t>uma fita de cabelo com um nó que não desata</t>
        </is>
      </c>
      <c r="D746" s="3" t="n"/>
      <c r="E746" s="3" t="n"/>
      <c r="F746" s="3" t="n"/>
      <c r="G746" s="3" t="n"/>
      <c r="H746" s="3" t="n"/>
      <c r="I746" s="3" t="n"/>
      <c r="J746" s="3" t="n"/>
      <c r="K746" s="18">
        <f>IF(AG746&gt;0,"O Google leu como fórmula: digite de novo com ' na frente.","")</f>
        <v/>
      </c>
      <c r="N746" s="19">
        <f>N745+IF(LEN($X$746)&gt;0,1,0)</f>
        <v/>
      </c>
      <c r="O746" s="19">
        <f>O745+IF(LEN($Y$746)&gt;0,1,0)</f>
        <v/>
      </c>
      <c r="P746" s="19">
        <f>P745+IF(LEN($Z$746)&gt;0,1,0)</f>
        <v/>
      </c>
      <c r="Q746" s="19">
        <f>Q745+IF(LEN($AA$746)&gt;0,1,0)</f>
        <v/>
      </c>
      <c r="R746" s="19">
        <f>R745+IF(LEN($AB$746)&gt;0,1,0)</f>
        <v/>
      </c>
      <c r="S746" s="19">
        <f>S745+IF(LEN($AC$746)&gt;0,1,0)</f>
        <v/>
      </c>
      <c r="T746" s="19">
        <f>T745+IF(LEN($AD$746)&gt;0,1,0)</f>
        <v/>
      </c>
      <c r="U746" s="19">
        <f>U745+IF(LEN($AE$746)&gt;0,1,0)</f>
        <v/>
      </c>
      <c r="V746" s="19">
        <f>V745+IF(LEN($AF$746)&gt;0,1,0)</f>
        <v/>
      </c>
      <c r="X746" s="19">
        <f>IF(ISERROR($B$746),"",IF(ISBLANK($B$746),"",$B$746))</f>
        <v/>
      </c>
      <c r="Y746" s="19">
        <f>IF(ISERROR($C$746),"",IF(ISBLANK($C$746),"",$C$746))</f>
        <v/>
      </c>
      <c r="Z746" s="19">
        <f>IF(ISERROR($D$746),"",IF(ISBLANK($D$746),"",$D$746))</f>
        <v/>
      </c>
      <c r="AA746" s="19">
        <f>IF(ISERROR($E$746),"",IF(ISBLANK($E$746),"",$E$746))</f>
        <v/>
      </c>
      <c r="AB746" s="19">
        <f>IF(ISERROR($F$746),"",IF(ISBLANK($F$746),"",$F$746))</f>
        <v/>
      </c>
      <c r="AC746" s="19">
        <f>IF(ISERROR($G$746),"",IF(ISBLANK($G$746),"",$G$746))</f>
        <v/>
      </c>
      <c r="AD746" s="19">
        <f>IF(ISERROR($H$746),"",IF(ISBLANK($H$746),"",$H$746))</f>
        <v/>
      </c>
      <c r="AE746" s="19">
        <f>IF(ISERROR($I$746),"",IF(ISBLANK($I$746),"",$I$746))</f>
        <v/>
      </c>
      <c r="AF746" s="19">
        <f>IF(ISERROR($J$746),"",IF(ISBLANK($J$746),"",$J$746))</f>
        <v/>
      </c>
      <c r="AG746" s="19">
        <f>ISERROR($B$746)*1+ISERROR($C$746)*1+ISERROR($D$746)*1+ISERROR($E$746)*1+ISERROR($F$746)*1+ISERROR($G$746)*1+ISERROR($H$746)*1+ISERROR($I$746)*1+ISERROR($J$746)*1</f>
        <v/>
      </c>
    </row>
    <row r="747" ht="26" customHeight="1">
      <c r="B747" s="31" t="n"/>
      <c r="C747" s="28" t="inlineStr">
        <is>
          <t>uma ampulheta que corre para cima</t>
        </is>
      </c>
      <c r="D747" s="28" t="n"/>
      <c r="E747" s="28" t="n"/>
      <c r="F747" s="28" t="n"/>
      <c r="G747" s="28" t="n"/>
      <c r="H747" s="28" t="n"/>
      <c r="I747" s="28" t="n"/>
      <c r="J747" s="28" t="n"/>
      <c r="K747" s="18">
        <f>IF(AG747&gt;0,"O Google leu como fórmula: digite de novo com ' na frente.","")</f>
        <v/>
      </c>
      <c r="N747" s="19">
        <f>N746+IF(LEN($X$747)&gt;0,1,0)</f>
        <v/>
      </c>
      <c r="O747" s="19">
        <f>O746+IF(LEN($Y$747)&gt;0,1,0)</f>
        <v/>
      </c>
      <c r="P747" s="19">
        <f>P746+IF(LEN($Z$747)&gt;0,1,0)</f>
        <v/>
      </c>
      <c r="Q747" s="19">
        <f>Q746+IF(LEN($AA$747)&gt;0,1,0)</f>
        <v/>
      </c>
      <c r="R747" s="19">
        <f>R746+IF(LEN($AB$747)&gt;0,1,0)</f>
        <v/>
      </c>
      <c r="S747" s="19">
        <f>S746+IF(LEN($AC$747)&gt;0,1,0)</f>
        <v/>
      </c>
      <c r="T747" s="19">
        <f>T746+IF(LEN($AD$747)&gt;0,1,0)</f>
        <v/>
      </c>
      <c r="U747" s="19">
        <f>U746+IF(LEN($AE$747)&gt;0,1,0)</f>
        <v/>
      </c>
      <c r="V747" s="19">
        <f>V746+IF(LEN($AF$747)&gt;0,1,0)</f>
        <v/>
      </c>
      <c r="X747" s="19">
        <f>IF(ISERROR($B$747),"",IF(ISBLANK($B$747),"",$B$747))</f>
        <v/>
      </c>
      <c r="Y747" s="19">
        <f>IF(ISERROR($C$747),"",IF(ISBLANK($C$747),"",$C$747))</f>
        <v/>
      </c>
      <c r="Z747" s="19">
        <f>IF(ISERROR($D$747),"",IF(ISBLANK($D$747),"",$D$747))</f>
        <v/>
      </c>
      <c r="AA747" s="19">
        <f>IF(ISERROR($E$747),"",IF(ISBLANK($E$747),"",$E$747))</f>
        <v/>
      </c>
      <c r="AB747" s="19">
        <f>IF(ISERROR($F$747),"",IF(ISBLANK($F$747),"",$F$747))</f>
        <v/>
      </c>
      <c r="AC747" s="19">
        <f>IF(ISERROR($G$747),"",IF(ISBLANK($G$747),"",$G$747))</f>
        <v/>
      </c>
      <c r="AD747" s="19">
        <f>IF(ISERROR($H$747),"",IF(ISBLANK($H$747),"",$H$747))</f>
        <v/>
      </c>
      <c r="AE747" s="19">
        <f>IF(ISERROR($I$747),"",IF(ISBLANK($I$747),"",$I$747))</f>
        <v/>
      </c>
      <c r="AF747" s="19">
        <f>IF(ISERROR($J$747),"",IF(ISBLANK($J$747),"",$J$747))</f>
        <v/>
      </c>
      <c r="AG747" s="19">
        <f>ISERROR($B$747)*1+ISERROR($C$747)*1+ISERROR($D$747)*1+ISERROR($E$747)*1+ISERROR($F$747)*1+ISERROR($G$747)*1+ISERROR($H$747)*1+ISERROR($I$747)*1+ISERROR($J$747)*1</f>
        <v/>
      </c>
    </row>
    <row r="748" ht="26" customHeight="1">
      <c r="B748" s="30" t="n"/>
      <c r="C748" s="3" t="inlineStr">
        <is>
          <t>um sino pequeno sem badalo</t>
        </is>
      </c>
      <c r="D748" s="3" t="n"/>
      <c r="E748" s="3" t="n"/>
      <c r="F748" s="3" t="n"/>
      <c r="G748" s="3" t="n"/>
      <c r="H748" s="3" t="n"/>
      <c r="I748" s="3" t="n"/>
      <c r="J748" s="3" t="n"/>
      <c r="K748" s="18">
        <f>IF(AG748&gt;0,"O Google leu como fórmula: digite de novo com ' na frente.","")</f>
        <v/>
      </c>
      <c r="N748" s="19">
        <f>N747+IF(LEN($X$748)&gt;0,1,0)</f>
        <v/>
      </c>
      <c r="O748" s="19">
        <f>O747+IF(LEN($Y$748)&gt;0,1,0)</f>
        <v/>
      </c>
      <c r="P748" s="19">
        <f>P747+IF(LEN($Z$748)&gt;0,1,0)</f>
        <v/>
      </c>
      <c r="Q748" s="19">
        <f>Q747+IF(LEN($AA$748)&gt;0,1,0)</f>
        <v/>
      </c>
      <c r="R748" s="19">
        <f>R747+IF(LEN($AB$748)&gt;0,1,0)</f>
        <v/>
      </c>
      <c r="S748" s="19">
        <f>S747+IF(LEN($AC$748)&gt;0,1,0)</f>
        <v/>
      </c>
      <c r="T748" s="19">
        <f>T747+IF(LEN($AD$748)&gt;0,1,0)</f>
        <v/>
      </c>
      <c r="U748" s="19">
        <f>U747+IF(LEN($AE$748)&gt;0,1,0)</f>
        <v/>
      </c>
      <c r="V748" s="19">
        <f>V747+IF(LEN($AF$748)&gt;0,1,0)</f>
        <v/>
      </c>
      <c r="X748" s="19">
        <f>IF(ISERROR($B$748),"",IF(ISBLANK($B$748),"",$B$748))</f>
        <v/>
      </c>
      <c r="Y748" s="19">
        <f>IF(ISERROR($C$748),"",IF(ISBLANK($C$748),"",$C$748))</f>
        <v/>
      </c>
      <c r="Z748" s="19">
        <f>IF(ISERROR($D$748),"",IF(ISBLANK($D$748),"",$D$748))</f>
        <v/>
      </c>
      <c r="AA748" s="19">
        <f>IF(ISERROR($E$748),"",IF(ISBLANK($E$748),"",$E$748))</f>
        <v/>
      </c>
      <c r="AB748" s="19">
        <f>IF(ISERROR($F$748),"",IF(ISBLANK($F$748),"",$F$748))</f>
        <v/>
      </c>
      <c r="AC748" s="19">
        <f>IF(ISERROR($G$748),"",IF(ISBLANK($G$748),"",$G$748))</f>
        <v/>
      </c>
      <c r="AD748" s="19">
        <f>IF(ISERROR($H$748),"",IF(ISBLANK($H$748),"",$H$748))</f>
        <v/>
      </c>
      <c r="AE748" s="19">
        <f>IF(ISERROR($I$748),"",IF(ISBLANK($I$748),"",$I$748))</f>
        <v/>
      </c>
      <c r="AF748" s="19">
        <f>IF(ISERROR($J$748),"",IF(ISBLANK($J$748),"",$J$748))</f>
        <v/>
      </c>
      <c r="AG748" s="19">
        <f>ISERROR($B$748)*1+ISERROR($C$748)*1+ISERROR($D$748)*1+ISERROR($E$748)*1+ISERROR($F$748)*1+ISERROR($G$748)*1+ISERROR($H$748)*1+ISERROR($I$748)*1+ISERROR($J$748)*1</f>
        <v/>
      </c>
    </row>
    <row r="749" ht="26" customHeight="1">
      <c r="B749" s="31" t="n"/>
      <c r="C749" s="28" t="inlineStr">
        <is>
          <t>um retrato a lápis de um Intellitron sorrindo</t>
        </is>
      </c>
      <c r="D749" s="28" t="n"/>
      <c r="E749" s="28" t="n"/>
      <c r="F749" s="28" t="n"/>
      <c r="G749" s="28" t="n"/>
      <c r="H749" s="28" t="n"/>
      <c r="I749" s="28" t="n"/>
      <c r="J749" s="28" t="n"/>
      <c r="K749" s="18">
        <f>IF(AG749&gt;0,"O Google leu como fórmula: digite de novo com ' na frente.","")</f>
        <v/>
      </c>
      <c r="N749" s="19">
        <f>N748+IF(LEN($X$749)&gt;0,1,0)</f>
        <v/>
      </c>
      <c r="O749" s="19">
        <f>O748+IF(LEN($Y$749)&gt;0,1,0)</f>
        <v/>
      </c>
      <c r="P749" s="19">
        <f>P748+IF(LEN($Z$749)&gt;0,1,0)</f>
        <v/>
      </c>
      <c r="Q749" s="19">
        <f>Q748+IF(LEN($AA$749)&gt;0,1,0)</f>
        <v/>
      </c>
      <c r="R749" s="19">
        <f>R748+IF(LEN($AB$749)&gt;0,1,0)</f>
        <v/>
      </c>
      <c r="S749" s="19">
        <f>S748+IF(LEN($AC$749)&gt;0,1,0)</f>
        <v/>
      </c>
      <c r="T749" s="19">
        <f>T748+IF(LEN($AD$749)&gt;0,1,0)</f>
        <v/>
      </c>
      <c r="U749" s="19">
        <f>U748+IF(LEN($AE$749)&gt;0,1,0)</f>
        <v/>
      </c>
      <c r="V749" s="19">
        <f>V748+IF(LEN($AF$749)&gt;0,1,0)</f>
        <v/>
      </c>
      <c r="X749" s="19">
        <f>IF(ISERROR($B$749),"",IF(ISBLANK($B$749),"",$B$749))</f>
        <v/>
      </c>
      <c r="Y749" s="19">
        <f>IF(ISERROR($C$749),"",IF(ISBLANK($C$749),"",$C$749))</f>
        <v/>
      </c>
      <c r="Z749" s="19">
        <f>IF(ISERROR($D$749),"",IF(ISBLANK($D$749),"",$D$749))</f>
        <v/>
      </c>
      <c r="AA749" s="19">
        <f>IF(ISERROR($E$749),"",IF(ISBLANK($E$749),"",$E$749))</f>
        <v/>
      </c>
      <c r="AB749" s="19">
        <f>IF(ISERROR($F$749),"",IF(ISBLANK($F$749),"",$F$749))</f>
        <v/>
      </c>
      <c r="AC749" s="19">
        <f>IF(ISERROR($G$749),"",IF(ISBLANK($G$749),"",$G$749))</f>
        <v/>
      </c>
      <c r="AD749" s="19">
        <f>IF(ISERROR($H$749),"",IF(ISBLANK($H$749),"",$H$749))</f>
        <v/>
      </c>
      <c r="AE749" s="19">
        <f>IF(ISERROR($I$749),"",IF(ISBLANK($I$749),"",$I$749))</f>
        <v/>
      </c>
      <c r="AF749" s="19">
        <f>IF(ISERROR($J$749),"",IF(ISBLANK($J$749),"",$J$749))</f>
        <v/>
      </c>
      <c r="AG749" s="19">
        <f>ISERROR($B$749)*1+ISERROR($C$749)*1+ISERROR($D$749)*1+ISERROR($E$749)*1+ISERROR($F$749)*1+ISERROR($G$749)*1+ISERROR($H$749)*1+ISERROR($I$749)*1+ISERROR($J$749)*1</f>
        <v/>
      </c>
    </row>
    <row r="750" ht="26" customHeight="1">
      <c r="B750" s="30" t="n"/>
      <c r="C750" s="3" t="inlineStr">
        <is>
          <t>uma garrafa com uma mensagem ilegível</t>
        </is>
      </c>
      <c r="D750" s="3" t="n"/>
      <c r="E750" s="3" t="n"/>
      <c r="F750" s="3" t="n"/>
      <c r="G750" s="3" t="n"/>
      <c r="H750" s="3" t="n"/>
      <c r="I750" s="3" t="n"/>
      <c r="J750" s="3" t="n"/>
      <c r="K750" s="18">
        <f>IF(AG750&gt;0,"O Google leu como fórmula: digite de novo com ' na frente.","")</f>
        <v/>
      </c>
      <c r="N750" s="19">
        <f>N749+IF(LEN($X$750)&gt;0,1,0)</f>
        <v/>
      </c>
      <c r="O750" s="19">
        <f>O749+IF(LEN($Y$750)&gt;0,1,0)</f>
        <v/>
      </c>
      <c r="P750" s="19">
        <f>P749+IF(LEN($Z$750)&gt;0,1,0)</f>
        <v/>
      </c>
      <c r="Q750" s="19">
        <f>Q749+IF(LEN($AA$750)&gt;0,1,0)</f>
        <v/>
      </c>
      <c r="R750" s="19">
        <f>R749+IF(LEN($AB$750)&gt;0,1,0)</f>
        <v/>
      </c>
      <c r="S750" s="19">
        <f>S749+IF(LEN($AC$750)&gt;0,1,0)</f>
        <v/>
      </c>
      <c r="T750" s="19">
        <f>T749+IF(LEN($AD$750)&gt;0,1,0)</f>
        <v/>
      </c>
      <c r="U750" s="19">
        <f>U749+IF(LEN($AE$750)&gt;0,1,0)</f>
        <v/>
      </c>
      <c r="V750" s="19">
        <f>V749+IF(LEN($AF$750)&gt;0,1,0)</f>
        <v/>
      </c>
      <c r="X750" s="19">
        <f>IF(ISERROR($B$750),"",IF(ISBLANK($B$750),"",$B$750))</f>
        <v/>
      </c>
      <c r="Y750" s="19">
        <f>IF(ISERROR($C$750),"",IF(ISBLANK($C$750),"",$C$750))</f>
        <v/>
      </c>
      <c r="Z750" s="19">
        <f>IF(ISERROR($D$750),"",IF(ISBLANK($D$750),"",$D$750))</f>
        <v/>
      </c>
      <c r="AA750" s="19">
        <f>IF(ISERROR($E$750),"",IF(ISBLANK($E$750),"",$E$750))</f>
        <v/>
      </c>
      <c r="AB750" s="19">
        <f>IF(ISERROR($F$750),"",IF(ISBLANK($F$750),"",$F$750))</f>
        <v/>
      </c>
      <c r="AC750" s="19">
        <f>IF(ISERROR($G$750),"",IF(ISBLANK($G$750),"",$G$750))</f>
        <v/>
      </c>
      <c r="AD750" s="19">
        <f>IF(ISERROR($H$750),"",IF(ISBLANK($H$750),"",$H$750))</f>
        <v/>
      </c>
      <c r="AE750" s="19">
        <f>IF(ISERROR($I$750),"",IF(ISBLANK($I$750),"",$I$750))</f>
        <v/>
      </c>
      <c r="AF750" s="19">
        <f>IF(ISERROR($J$750),"",IF(ISBLANK($J$750),"",$J$750))</f>
        <v/>
      </c>
      <c r="AG750" s="19">
        <f>ISERROR($B$750)*1+ISERROR($C$750)*1+ISERROR($D$750)*1+ISERROR($E$750)*1+ISERROR($F$750)*1+ISERROR($G$750)*1+ISERROR($H$750)*1+ISERROR($I$750)*1+ISERROR($J$750)*1</f>
        <v/>
      </c>
    </row>
    <row r="751" ht="26" customHeight="1">
      <c r="B751" s="31" t="n"/>
      <c r="C751" s="28" t="inlineStr">
        <is>
          <t>um cartão de visita de um detetive aposentado</t>
        </is>
      </c>
      <c r="D751" s="28" t="n"/>
      <c r="E751" s="28" t="n"/>
      <c r="F751" s="28" t="n"/>
      <c r="G751" s="28" t="n"/>
      <c r="H751" s="28" t="n"/>
      <c r="I751" s="28" t="n"/>
      <c r="J751" s="28" t="n"/>
      <c r="K751" s="18">
        <f>IF(AG751&gt;0,"O Google leu como fórmula: digite de novo com ' na frente.","")</f>
        <v/>
      </c>
      <c r="N751" s="19">
        <f>N750+IF(LEN($X$751)&gt;0,1,0)</f>
        <v/>
      </c>
      <c r="O751" s="19">
        <f>O750+IF(LEN($Y$751)&gt;0,1,0)</f>
        <v/>
      </c>
      <c r="P751" s="19">
        <f>P750+IF(LEN($Z$751)&gt;0,1,0)</f>
        <v/>
      </c>
      <c r="Q751" s="19">
        <f>Q750+IF(LEN($AA$751)&gt;0,1,0)</f>
        <v/>
      </c>
      <c r="R751" s="19">
        <f>R750+IF(LEN($AB$751)&gt;0,1,0)</f>
        <v/>
      </c>
      <c r="S751" s="19">
        <f>S750+IF(LEN($AC$751)&gt;0,1,0)</f>
        <v/>
      </c>
      <c r="T751" s="19">
        <f>T750+IF(LEN($AD$751)&gt;0,1,0)</f>
        <v/>
      </c>
      <c r="U751" s="19">
        <f>U750+IF(LEN($AE$751)&gt;0,1,0)</f>
        <v/>
      </c>
      <c r="V751" s="19">
        <f>V750+IF(LEN($AF$751)&gt;0,1,0)</f>
        <v/>
      </c>
      <c r="X751" s="19">
        <f>IF(ISERROR($B$751),"",IF(ISBLANK($B$751),"",$B$751))</f>
        <v/>
      </c>
      <c r="Y751" s="19">
        <f>IF(ISERROR($C$751),"",IF(ISBLANK($C$751),"",$C$751))</f>
        <v/>
      </c>
      <c r="Z751" s="19">
        <f>IF(ISERROR($D$751),"",IF(ISBLANK($D$751),"",$D$751))</f>
        <v/>
      </c>
      <c r="AA751" s="19">
        <f>IF(ISERROR($E$751),"",IF(ISBLANK($E$751),"",$E$751))</f>
        <v/>
      </c>
      <c r="AB751" s="19">
        <f>IF(ISERROR($F$751),"",IF(ISBLANK($F$751),"",$F$751))</f>
        <v/>
      </c>
      <c r="AC751" s="19">
        <f>IF(ISERROR($G$751),"",IF(ISBLANK($G$751),"",$G$751))</f>
        <v/>
      </c>
      <c r="AD751" s="19">
        <f>IF(ISERROR($H$751),"",IF(ISBLANK($H$751),"",$H$751))</f>
        <v/>
      </c>
      <c r="AE751" s="19">
        <f>IF(ISERROR($I$751),"",IF(ISBLANK($I$751),"",$I$751))</f>
        <v/>
      </c>
      <c r="AF751" s="19">
        <f>IF(ISERROR($J$751),"",IF(ISBLANK($J$751),"",$J$751))</f>
        <v/>
      </c>
      <c r="AG751" s="19">
        <f>ISERROR($B$751)*1+ISERROR($C$751)*1+ISERROR($D$751)*1+ISERROR($E$751)*1+ISERROR($F$751)*1+ISERROR($G$751)*1+ISERROR($H$751)*1+ISERROR($I$751)*1+ISERROR($J$751)*1</f>
        <v/>
      </c>
    </row>
    <row r="752" ht="26" customHeight="1">
      <c r="B752" s="30" t="n"/>
      <c r="C752" s="3" t="inlineStr">
        <is>
          <t>uma flor seca de uma estufa orbital</t>
        </is>
      </c>
      <c r="D752" s="3" t="n"/>
      <c r="E752" s="3" t="n"/>
      <c r="F752" s="3" t="n"/>
      <c r="G752" s="3" t="n"/>
      <c r="H752" s="3" t="n"/>
      <c r="I752" s="3" t="n"/>
      <c r="J752" s="3" t="n"/>
      <c r="K752" s="18">
        <f>IF(AG752&gt;0,"O Google leu como fórmula: digite de novo com ' na frente.","")</f>
        <v/>
      </c>
      <c r="N752" s="19">
        <f>N751+IF(LEN($X$752)&gt;0,1,0)</f>
        <v/>
      </c>
      <c r="O752" s="19">
        <f>O751+IF(LEN($Y$752)&gt;0,1,0)</f>
        <v/>
      </c>
      <c r="P752" s="19">
        <f>P751+IF(LEN($Z$752)&gt;0,1,0)</f>
        <v/>
      </c>
      <c r="Q752" s="19">
        <f>Q751+IF(LEN($AA$752)&gt;0,1,0)</f>
        <v/>
      </c>
      <c r="R752" s="19">
        <f>R751+IF(LEN($AB$752)&gt;0,1,0)</f>
        <v/>
      </c>
      <c r="S752" s="19">
        <f>S751+IF(LEN($AC$752)&gt;0,1,0)</f>
        <v/>
      </c>
      <c r="T752" s="19">
        <f>T751+IF(LEN($AD$752)&gt;0,1,0)</f>
        <v/>
      </c>
      <c r="U752" s="19">
        <f>U751+IF(LEN($AE$752)&gt;0,1,0)</f>
        <v/>
      </c>
      <c r="V752" s="19">
        <f>V751+IF(LEN($AF$752)&gt;0,1,0)</f>
        <v/>
      </c>
      <c r="X752" s="19">
        <f>IF(ISERROR($B$752),"",IF(ISBLANK($B$752),"",$B$752))</f>
        <v/>
      </c>
      <c r="Y752" s="19">
        <f>IF(ISERROR($C$752),"",IF(ISBLANK($C$752),"",$C$752))</f>
        <v/>
      </c>
      <c r="Z752" s="19">
        <f>IF(ISERROR($D$752),"",IF(ISBLANK($D$752),"",$D$752))</f>
        <v/>
      </c>
      <c r="AA752" s="19">
        <f>IF(ISERROR($E$752),"",IF(ISBLANK($E$752),"",$E$752))</f>
        <v/>
      </c>
      <c r="AB752" s="19">
        <f>IF(ISERROR($F$752),"",IF(ISBLANK($F$752),"",$F$752))</f>
        <v/>
      </c>
      <c r="AC752" s="19">
        <f>IF(ISERROR($G$752),"",IF(ISBLANK($G$752),"",$G$752))</f>
        <v/>
      </c>
      <c r="AD752" s="19">
        <f>IF(ISERROR($H$752),"",IF(ISBLANK($H$752),"",$H$752))</f>
        <v/>
      </c>
      <c r="AE752" s="19">
        <f>IF(ISERROR($I$752),"",IF(ISBLANK($I$752),"",$I$752))</f>
        <v/>
      </c>
      <c r="AF752" s="19">
        <f>IF(ISERROR($J$752),"",IF(ISBLANK($J$752),"",$J$752))</f>
        <v/>
      </c>
      <c r="AG752" s="19">
        <f>ISERROR($B$752)*1+ISERROR($C$752)*1+ISERROR($D$752)*1+ISERROR($E$752)*1+ISERROR($F$752)*1+ISERROR($G$752)*1+ISERROR($H$752)*1+ISERROR($I$752)*1+ISERROR($J$752)*1</f>
        <v/>
      </c>
    </row>
    <row r="753" ht="26" customHeight="1">
      <c r="B753" s="31" t="n"/>
      <c r="C753" s="28" t="inlineStr">
        <is>
          <t>um botão de farda da Legião</t>
        </is>
      </c>
      <c r="D753" s="28" t="n"/>
      <c r="E753" s="28" t="n"/>
      <c r="F753" s="28" t="n"/>
      <c r="G753" s="28" t="n"/>
      <c r="H753" s="28" t="n"/>
      <c r="I753" s="28" t="n"/>
      <c r="J753" s="28" t="n"/>
      <c r="K753" s="18">
        <f>IF(AG753&gt;0,"O Google leu como fórmula: digite de novo com ' na frente.","")</f>
        <v/>
      </c>
      <c r="N753" s="19">
        <f>N752+IF(LEN($X$753)&gt;0,1,0)</f>
        <v/>
      </c>
      <c r="O753" s="19">
        <f>O752+IF(LEN($Y$753)&gt;0,1,0)</f>
        <v/>
      </c>
      <c r="P753" s="19">
        <f>P752+IF(LEN($Z$753)&gt;0,1,0)</f>
        <v/>
      </c>
      <c r="Q753" s="19">
        <f>Q752+IF(LEN($AA$753)&gt;0,1,0)</f>
        <v/>
      </c>
      <c r="R753" s="19">
        <f>R752+IF(LEN($AB$753)&gt;0,1,0)</f>
        <v/>
      </c>
      <c r="S753" s="19">
        <f>S752+IF(LEN($AC$753)&gt;0,1,0)</f>
        <v/>
      </c>
      <c r="T753" s="19">
        <f>T752+IF(LEN($AD$753)&gt;0,1,0)</f>
        <v/>
      </c>
      <c r="U753" s="19">
        <f>U752+IF(LEN($AE$753)&gt;0,1,0)</f>
        <v/>
      </c>
      <c r="V753" s="19">
        <f>V752+IF(LEN($AF$753)&gt;0,1,0)</f>
        <v/>
      </c>
      <c r="X753" s="19">
        <f>IF(ISERROR($B$753),"",IF(ISBLANK($B$753),"",$B$753))</f>
        <v/>
      </c>
      <c r="Y753" s="19">
        <f>IF(ISERROR($C$753),"",IF(ISBLANK($C$753),"",$C$753))</f>
        <v/>
      </c>
      <c r="Z753" s="19">
        <f>IF(ISERROR($D$753),"",IF(ISBLANK($D$753),"",$D$753))</f>
        <v/>
      </c>
      <c r="AA753" s="19">
        <f>IF(ISERROR($E$753),"",IF(ISBLANK($E$753),"",$E$753))</f>
        <v/>
      </c>
      <c r="AB753" s="19">
        <f>IF(ISERROR($F$753),"",IF(ISBLANK($F$753),"",$F$753))</f>
        <v/>
      </c>
      <c r="AC753" s="19">
        <f>IF(ISERROR($G$753),"",IF(ISBLANK($G$753),"",$G$753))</f>
        <v/>
      </c>
      <c r="AD753" s="19">
        <f>IF(ISERROR($H$753),"",IF(ISBLANK($H$753),"",$H$753))</f>
        <v/>
      </c>
      <c r="AE753" s="19">
        <f>IF(ISERROR($I$753),"",IF(ISBLANK($I$753),"",$I$753))</f>
        <v/>
      </c>
      <c r="AF753" s="19">
        <f>IF(ISERROR($J$753),"",IF(ISBLANK($J$753),"",$J$753))</f>
        <v/>
      </c>
      <c r="AG753" s="19">
        <f>ISERROR($B$753)*1+ISERROR($C$753)*1+ISERROR($D$753)*1+ISERROR($E$753)*1+ISERROR($F$753)*1+ISERROR($G$753)*1+ISERROR($H$753)*1+ISERROR($I$753)*1+ISERROR($J$753)*1</f>
        <v/>
      </c>
    </row>
    <row r="754" ht="26" customHeight="1">
      <c r="B754" s="30" t="n"/>
      <c r="C754" s="3" t="inlineStr">
        <is>
          <t>um carimbo de alfândega com o nome do grupo</t>
        </is>
      </c>
      <c r="D754" s="3" t="n"/>
      <c r="E754" s="3" t="n"/>
      <c r="F754" s="3" t="n"/>
      <c r="G754" s="3" t="n"/>
      <c r="H754" s="3" t="n"/>
      <c r="I754" s="3" t="n"/>
      <c r="J754" s="3" t="n"/>
      <c r="K754" s="18">
        <f>IF(AG754&gt;0,"O Google leu como fórmula: digite de novo com ' na frente.","")</f>
        <v/>
      </c>
      <c r="N754" s="19">
        <f>N753+IF(LEN($X$754)&gt;0,1,0)</f>
        <v/>
      </c>
      <c r="O754" s="19">
        <f>O753+IF(LEN($Y$754)&gt;0,1,0)</f>
        <v/>
      </c>
      <c r="P754" s="19">
        <f>P753+IF(LEN($Z$754)&gt;0,1,0)</f>
        <v/>
      </c>
      <c r="Q754" s="19">
        <f>Q753+IF(LEN($AA$754)&gt;0,1,0)</f>
        <v/>
      </c>
      <c r="R754" s="19">
        <f>R753+IF(LEN($AB$754)&gt;0,1,0)</f>
        <v/>
      </c>
      <c r="S754" s="19">
        <f>S753+IF(LEN($AC$754)&gt;0,1,0)</f>
        <v/>
      </c>
      <c r="T754" s="19">
        <f>T753+IF(LEN($AD$754)&gt;0,1,0)</f>
        <v/>
      </c>
      <c r="U754" s="19">
        <f>U753+IF(LEN($AE$754)&gt;0,1,0)</f>
        <v/>
      </c>
      <c r="V754" s="19">
        <f>V753+IF(LEN($AF$754)&gt;0,1,0)</f>
        <v/>
      </c>
      <c r="X754" s="19">
        <f>IF(ISERROR($B$754),"",IF(ISBLANK($B$754),"",$B$754))</f>
        <v/>
      </c>
      <c r="Y754" s="19">
        <f>IF(ISERROR($C$754),"",IF(ISBLANK($C$754),"",$C$754))</f>
        <v/>
      </c>
      <c r="Z754" s="19">
        <f>IF(ISERROR($D$754),"",IF(ISBLANK($D$754),"",$D$754))</f>
        <v/>
      </c>
      <c r="AA754" s="19">
        <f>IF(ISERROR($E$754),"",IF(ISBLANK($E$754),"",$E$754))</f>
        <v/>
      </c>
      <c r="AB754" s="19">
        <f>IF(ISERROR($F$754),"",IF(ISBLANK($F$754),"",$F$754))</f>
        <v/>
      </c>
      <c r="AC754" s="19">
        <f>IF(ISERROR($G$754),"",IF(ISBLANK($G$754),"",$G$754))</f>
        <v/>
      </c>
      <c r="AD754" s="19">
        <f>IF(ISERROR($H$754),"",IF(ISBLANK($H$754),"",$H$754))</f>
        <v/>
      </c>
      <c r="AE754" s="19">
        <f>IF(ISERROR($I$754),"",IF(ISBLANK($I$754),"",$I$754))</f>
        <v/>
      </c>
      <c r="AF754" s="19">
        <f>IF(ISERROR($J$754),"",IF(ISBLANK($J$754),"",$J$754))</f>
        <v/>
      </c>
      <c r="AG754" s="19">
        <f>ISERROR($B$754)*1+ISERROR($C$754)*1+ISERROR($D$754)*1+ISERROR($E$754)*1+ISERROR($F$754)*1+ISERROR($G$754)*1+ISERROR($H$754)*1+ISERROR($I$754)*1+ISERROR($J$754)*1</f>
        <v/>
      </c>
    </row>
    <row r="755" ht="26" customHeight="1">
      <c r="B755" s="31" t="n"/>
      <c r="C755" s="28" t="inlineStr">
        <is>
          <t>um amuleto de cauda de raposa</t>
        </is>
      </c>
      <c r="D755" s="28" t="n"/>
      <c r="E755" s="28" t="n"/>
      <c r="F755" s="28" t="n"/>
      <c r="G755" s="28" t="n"/>
      <c r="H755" s="28" t="n"/>
      <c r="I755" s="28" t="n"/>
      <c r="J755" s="28" t="n"/>
      <c r="K755" s="18">
        <f>IF(AG755&gt;0,"O Google leu como fórmula: digite de novo com ' na frente.","")</f>
        <v/>
      </c>
      <c r="N755" s="19">
        <f>N754+IF(LEN($X$755)&gt;0,1,0)</f>
        <v/>
      </c>
      <c r="O755" s="19">
        <f>O754+IF(LEN($Y$755)&gt;0,1,0)</f>
        <v/>
      </c>
      <c r="P755" s="19">
        <f>P754+IF(LEN($Z$755)&gt;0,1,0)</f>
        <v/>
      </c>
      <c r="Q755" s="19">
        <f>Q754+IF(LEN($AA$755)&gt;0,1,0)</f>
        <v/>
      </c>
      <c r="R755" s="19">
        <f>R754+IF(LEN($AB$755)&gt;0,1,0)</f>
        <v/>
      </c>
      <c r="S755" s="19">
        <f>S754+IF(LEN($AC$755)&gt;0,1,0)</f>
        <v/>
      </c>
      <c r="T755" s="19">
        <f>T754+IF(LEN($AD$755)&gt;0,1,0)</f>
        <v/>
      </c>
      <c r="U755" s="19">
        <f>U754+IF(LEN($AE$755)&gt;0,1,0)</f>
        <v/>
      </c>
      <c r="V755" s="19">
        <f>V754+IF(LEN($AF$755)&gt;0,1,0)</f>
        <v/>
      </c>
      <c r="X755" s="19">
        <f>IF(ISERROR($B$755),"",IF(ISBLANK($B$755),"",$B$755))</f>
        <v/>
      </c>
      <c r="Y755" s="19">
        <f>IF(ISERROR($C$755),"",IF(ISBLANK($C$755),"",$C$755))</f>
        <v/>
      </c>
      <c r="Z755" s="19">
        <f>IF(ISERROR($D$755),"",IF(ISBLANK($D$755),"",$D$755))</f>
        <v/>
      </c>
      <c r="AA755" s="19">
        <f>IF(ISERROR($E$755),"",IF(ISBLANK($E$755),"",$E$755))</f>
        <v/>
      </c>
      <c r="AB755" s="19">
        <f>IF(ISERROR($F$755),"",IF(ISBLANK($F$755),"",$F$755))</f>
        <v/>
      </c>
      <c r="AC755" s="19">
        <f>IF(ISERROR($G$755),"",IF(ISBLANK($G$755),"",$G$755))</f>
        <v/>
      </c>
      <c r="AD755" s="19">
        <f>IF(ISERROR($H$755),"",IF(ISBLANK($H$755),"",$H$755))</f>
        <v/>
      </c>
      <c r="AE755" s="19">
        <f>IF(ISERROR($I$755),"",IF(ISBLANK($I$755),"",$I$755))</f>
        <v/>
      </c>
      <c r="AF755" s="19">
        <f>IF(ISERROR($J$755),"",IF(ISBLANK($J$755),"",$J$755))</f>
        <v/>
      </c>
      <c r="AG755" s="19">
        <f>ISERROR($B$755)*1+ISERROR($C$755)*1+ISERROR($D$755)*1+ISERROR($E$755)*1+ISERROR($F$755)*1+ISERROR($G$755)*1+ISERROR($H$755)*1+ISERROR($I$755)*1+ISERROR($J$755)*1</f>
        <v/>
      </c>
    </row>
    <row r="756" ht="26" customHeight="1">
      <c r="B756" s="30" t="n"/>
      <c r="C756" s="3" t="n"/>
      <c r="D756" s="3" t="n"/>
      <c r="E756" s="3" t="n"/>
      <c r="F756" s="3" t="n"/>
      <c r="G756" s="3" t="n"/>
      <c r="H756" s="3" t="n"/>
      <c r="I756" s="3" t="n"/>
      <c r="J756" s="3" t="n"/>
      <c r="K756" s="18">
        <f>IF(AG756&gt;0,"O Google leu como fórmula: digite de novo com ' na frente.","")</f>
        <v/>
      </c>
      <c r="N756" s="19">
        <f>N755+IF(LEN($X$756)&gt;0,1,0)</f>
        <v/>
      </c>
      <c r="O756" s="19">
        <f>O755+IF(LEN($Y$756)&gt;0,1,0)</f>
        <v/>
      </c>
      <c r="P756" s="19">
        <f>P755+IF(LEN($Z$756)&gt;0,1,0)</f>
        <v/>
      </c>
      <c r="Q756" s="19">
        <f>Q755+IF(LEN($AA$756)&gt;0,1,0)</f>
        <v/>
      </c>
      <c r="R756" s="19">
        <f>R755+IF(LEN($AB$756)&gt;0,1,0)</f>
        <v/>
      </c>
      <c r="S756" s="19">
        <f>S755+IF(LEN($AC$756)&gt;0,1,0)</f>
        <v/>
      </c>
      <c r="T756" s="19">
        <f>T755+IF(LEN($AD$756)&gt;0,1,0)</f>
        <v/>
      </c>
      <c r="U756" s="19">
        <f>U755+IF(LEN($AE$756)&gt;0,1,0)</f>
        <v/>
      </c>
      <c r="V756" s="19">
        <f>V755+IF(LEN($AF$756)&gt;0,1,0)</f>
        <v/>
      </c>
      <c r="X756" s="19">
        <f>IF(ISERROR($B$756),"",IF(ISBLANK($B$756),"",$B$756))</f>
        <v/>
      </c>
      <c r="Y756" s="19">
        <f>IF(ISERROR($C$756),"",IF(ISBLANK($C$756),"",$C$756))</f>
        <v/>
      </c>
      <c r="Z756" s="19">
        <f>IF(ISERROR($D$756),"",IF(ISBLANK($D$756),"",$D$756))</f>
        <v/>
      </c>
      <c r="AA756" s="19">
        <f>IF(ISERROR($E$756),"",IF(ISBLANK($E$756),"",$E$756))</f>
        <v/>
      </c>
      <c r="AB756" s="19">
        <f>IF(ISERROR($F$756),"",IF(ISBLANK($F$756),"",$F$756))</f>
        <v/>
      </c>
      <c r="AC756" s="19">
        <f>IF(ISERROR($G$756),"",IF(ISBLANK($G$756),"",$G$756))</f>
        <v/>
      </c>
      <c r="AD756" s="19">
        <f>IF(ISERROR($H$756),"",IF(ISBLANK($H$756),"",$H$756))</f>
        <v/>
      </c>
      <c r="AE756" s="19">
        <f>IF(ISERROR($I$756),"",IF(ISBLANK($I$756),"",$I$756))</f>
        <v/>
      </c>
      <c r="AF756" s="19">
        <f>IF(ISERROR($J$756),"",IF(ISBLANK($J$756),"",$J$756))</f>
        <v/>
      </c>
      <c r="AG756" s="19">
        <f>ISERROR($B$756)*1+ISERROR($C$756)*1+ISERROR($D$756)*1+ISERROR($E$756)*1+ISERROR($F$756)*1+ISERROR($G$756)*1+ISERROR($H$756)*1+ISERROR($I$756)*1+ISERROR($J$756)*1</f>
        <v/>
      </c>
    </row>
    <row r="757" ht="26" customHeight="1">
      <c r="B757" s="7" t="inlineStr">
        <is>
          <t>Pista</t>
        </is>
      </c>
      <c r="C757" s="7" t="inlineStr">
        <is>
          <t>Bugiganga</t>
        </is>
      </c>
      <c r="D757" s="7" t="inlineStr">
        <is>
          <t>Nome do Cone (início)</t>
        </is>
      </c>
      <c r="E757" s="7" t="inlineStr">
        <is>
          <t>Nome do Cone (fim)</t>
        </is>
      </c>
      <c r="F757" s="7" t="inlineStr">
        <is>
          <t>Memória do Cone</t>
        </is>
      </c>
      <c r="G757" s="7" t="inlineStr">
        <is>
          <t>Gatilho do Efeito Condicional</t>
        </is>
      </c>
      <c r="H757" s="7" t="inlineStr">
        <is>
          <t>Nome do Conjunto</t>
        </is>
      </c>
      <c r="I757" s="7" t="inlineStr">
        <is>
          <t>Origem do Conjunto</t>
        </is>
      </c>
      <c r="J757" s="7" t="inlineStr">
        <is>
          <t>Efeito de 4 peças</t>
        </is>
      </c>
      <c r="N757" s="19">
        <f>N756</f>
        <v/>
      </c>
      <c r="O757" s="19">
        <f>O756</f>
        <v/>
      </c>
      <c r="P757" s="19">
        <f>P756</f>
        <v/>
      </c>
      <c r="Q757" s="19">
        <f>Q756</f>
        <v/>
      </c>
      <c r="R757" s="19">
        <f>R756</f>
        <v/>
      </c>
      <c r="S757" s="19">
        <f>S756</f>
        <v/>
      </c>
      <c r="T757" s="19">
        <f>T756</f>
        <v/>
      </c>
      <c r="U757" s="19">
        <f>U756</f>
        <v/>
      </c>
      <c r="V757" s="19">
        <f>V756</f>
        <v/>
      </c>
      <c r="X757" s="19">
        <f>IF(ISERROR($B$757),"",IF(ISBLANK($B$757),"",$B$757))</f>
        <v/>
      </c>
      <c r="Y757" s="19">
        <f>IF(ISERROR($C$757),"",IF(ISBLANK($C$757),"",$C$757))</f>
        <v/>
      </c>
      <c r="Z757" s="19">
        <f>IF(ISERROR($D$757),"",IF(ISBLANK($D$757),"",$D$757))</f>
        <v/>
      </c>
      <c r="AA757" s="19">
        <f>IF(ISERROR($E$757),"",IF(ISBLANK($E$757),"",$E$757))</f>
        <v/>
      </c>
      <c r="AB757" s="19">
        <f>IF(ISERROR($F$757),"",IF(ISBLANK($F$757),"",$F$757))</f>
        <v/>
      </c>
      <c r="AC757" s="19">
        <f>IF(ISERROR($G$757),"",IF(ISBLANK($G$757),"",$G$757))</f>
        <v/>
      </c>
      <c r="AD757" s="19">
        <f>IF(ISERROR($H$757),"",IF(ISBLANK($H$757),"",$H$757))</f>
        <v/>
      </c>
      <c r="AE757" s="19">
        <f>IF(ISERROR($I$757),"",IF(ISBLANK($I$757),"",$I$757))</f>
        <v/>
      </c>
      <c r="AF757" s="19">
        <f>IF(ISERROR($J$757),"",IF(ISBLANK($J$757),"",$J$757))</f>
        <v/>
      </c>
    </row>
    <row r="758" ht="26" customHeight="1">
      <c r="B758" s="30" t="n"/>
      <c r="C758" s="3" t="n"/>
      <c r="D758" s="3" t="n"/>
      <c r="E758" s="3" t="n"/>
      <c r="F758" s="3" t="n"/>
      <c r="G758" s="3" t="n"/>
      <c r="H758" s="3" t="n"/>
      <c r="I758" s="3" t="n"/>
      <c r="J758" s="3" t="n"/>
      <c r="K758" s="18">
        <f>IF(AG758&gt;0,"O Google leu como fórmula: digite de novo com ' na frente.","")</f>
        <v/>
      </c>
      <c r="N758" s="19">
        <f>N757+IF(LEN($X$758)&gt;0,1,0)</f>
        <v/>
      </c>
      <c r="O758" s="19">
        <f>O757+IF(LEN($Y$758)&gt;0,1,0)</f>
        <v/>
      </c>
      <c r="P758" s="19">
        <f>P757+IF(LEN($Z$758)&gt;0,1,0)</f>
        <v/>
      </c>
      <c r="Q758" s="19">
        <f>Q757+IF(LEN($AA$758)&gt;0,1,0)</f>
        <v/>
      </c>
      <c r="R758" s="19">
        <f>R757+IF(LEN($AB$758)&gt;0,1,0)</f>
        <v/>
      </c>
      <c r="S758" s="19">
        <f>S757+IF(LEN($AC$758)&gt;0,1,0)</f>
        <v/>
      </c>
      <c r="T758" s="19">
        <f>T757+IF(LEN($AD$758)&gt;0,1,0)</f>
        <v/>
      </c>
      <c r="U758" s="19">
        <f>U757+IF(LEN($AE$758)&gt;0,1,0)</f>
        <v/>
      </c>
      <c r="V758" s="19">
        <f>V757+IF(LEN($AF$758)&gt;0,1,0)</f>
        <v/>
      </c>
      <c r="X758" s="19">
        <f>IF(ISERROR($B$758),"",IF(ISBLANK($B$758),"",$B$758))</f>
        <v/>
      </c>
      <c r="Y758" s="19">
        <f>IF(ISERROR($C$758),"",IF(ISBLANK($C$758),"",$C$758))</f>
        <v/>
      </c>
      <c r="Z758" s="19">
        <f>IF(ISERROR($D$758),"",IF(ISBLANK($D$758),"",$D$758))</f>
        <v/>
      </c>
      <c r="AA758" s="19">
        <f>IF(ISERROR($E$758),"",IF(ISBLANK($E$758),"",$E$758))</f>
        <v/>
      </c>
      <c r="AB758" s="19">
        <f>IF(ISERROR($F$758),"",IF(ISBLANK($F$758),"",$F$758))</f>
        <v/>
      </c>
      <c r="AC758" s="19">
        <f>IF(ISERROR($G$758),"",IF(ISBLANK($G$758),"",$G$758))</f>
        <v/>
      </c>
      <c r="AD758" s="19">
        <f>IF(ISERROR($H$758),"",IF(ISBLANK($H$758),"",$H$758))</f>
        <v/>
      </c>
      <c r="AE758" s="19">
        <f>IF(ISERROR($I$758),"",IF(ISBLANK($I$758),"",$I$758))</f>
        <v/>
      </c>
      <c r="AF758" s="19">
        <f>IF(ISERROR($J$758),"",IF(ISBLANK($J$758),"",$J$758))</f>
        <v/>
      </c>
      <c r="AG758" s="19">
        <f>ISERROR($B$758)*1+ISERROR($C$758)*1+ISERROR($D$758)*1+ISERROR($E$758)*1+ISERROR($F$758)*1+ISERROR($G$758)*1+ISERROR($H$758)*1+ISERROR($I$758)*1+ISERROR($J$758)*1</f>
        <v/>
      </c>
    </row>
    <row r="759" ht="26" customHeight="1">
      <c r="B759" s="31" t="n"/>
      <c r="C759" s="28" t="n"/>
      <c r="D759" s="28" t="n"/>
      <c r="E759" s="28" t="n"/>
      <c r="F759" s="28" t="n"/>
      <c r="G759" s="28" t="n"/>
      <c r="H759" s="28" t="n"/>
      <c r="I759" s="28" t="n"/>
      <c r="J759" s="28" t="n"/>
      <c r="K759" s="18">
        <f>IF(AG759&gt;0,"O Google leu como fórmula: digite de novo com ' na frente.","")</f>
        <v/>
      </c>
      <c r="N759" s="19">
        <f>N758+IF(LEN($X$759)&gt;0,1,0)</f>
        <v/>
      </c>
      <c r="O759" s="19">
        <f>O758+IF(LEN($Y$759)&gt;0,1,0)</f>
        <v/>
      </c>
      <c r="P759" s="19">
        <f>P758+IF(LEN($Z$759)&gt;0,1,0)</f>
        <v/>
      </c>
      <c r="Q759" s="19">
        <f>Q758+IF(LEN($AA$759)&gt;0,1,0)</f>
        <v/>
      </c>
      <c r="R759" s="19">
        <f>R758+IF(LEN($AB$759)&gt;0,1,0)</f>
        <v/>
      </c>
      <c r="S759" s="19">
        <f>S758+IF(LEN($AC$759)&gt;0,1,0)</f>
        <v/>
      </c>
      <c r="T759" s="19">
        <f>T758+IF(LEN($AD$759)&gt;0,1,0)</f>
        <v/>
      </c>
      <c r="U759" s="19">
        <f>U758+IF(LEN($AE$759)&gt;0,1,0)</f>
        <v/>
      </c>
      <c r="V759" s="19">
        <f>V758+IF(LEN($AF$759)&gt;0,1,0)</f>
        <v/>
      </c>
      <c r="X759" s="19">
        <f>IF(ISERROR($B$759),"",IF(ISBLANK($B$759),"",$B$759))</f>
        <v/>
      </c>
      <c r="Y759" s="19">
        <f>IF(ISERROR($C$759),"",IF(ISBLANK($C$759),"",$C$759))</f>
        <v/>
      </c>
      <c r="Z759" s="19">
        <f>IF(ISERROR($D$759),"",IF(ISBLANK($D$759),"",$D$759))</f>
        <v/>
      </c>
      <c r="AA759" s="19">
        <f>IF(ISERROR($E$759),"",IF(ISBLANK($E$759),"",$E$759))</f>
        <v/>
      </c>
      <c r="AB759" s="19">
        <f>IF(ISERROR($F$759),"",IF(ISBLANK($F$759),"",$F$759))</f>
        <v/>
      </c>
      <c r="AC759" s="19">
        <f>IF(ISERROR($G$759),"",IF(ISBLANK($G$759),"",$G$759))</f>
        <v/>
      </c>
      <c r="AD759" s="19">
        <f>IF(ISERROR($H$759),"",IF(ISBLANK($H$759),"",$H$759))</f>
        <v/>
      </c>
      <c r="AE759" s="19">
        <f>IF(ISERROR($I$759),"",IF(ISBLANK($I$759),"",$I$759))</f>
        <v/>
      </c>
      <c r="AF759" s="19">
        <f>IF(ISERROR($J$759),"",IF(ISBLANK($J$759),"",$J$759))</f>
        <v/>
      </c>
      <c r="AG759" s="19">
        <f>ISERROR($B$759)*1+ISERROR($C$759)*1+ISERROR($D$759)*1+ISERROR($E$759)*1+ISERROR($F$759)*1+ISERROR($G$759)*1+ISERROR($H$759)*1+ISERROR($I$759)*1+ISERROR($J$759)*1</f>
        <v/>
      </c>
    </row>
    <row r="760" ht="26" customHeight="1">
      <c r="B760" s="30" t="n"/>
      <c r="C760" s="3" t="n"/>
      <c r="D760" s="3" t="n"/>
      <c r="E760" s="3" t="n"/>
      <c r="F760" s="3" t="n"/>
      <c r="G760" s="3" t="n"/>
      <c r="H760" s="3" t="n"/>
      <c r="I760" s="3" t="n"/>
      <c r="J760" s="3" t="n"/>
      <c r="K760" s="18">
        <f>IF(AG760&gt;0,"O Google leu como fórmula: digite de novo com ' na frente.","")</f>
        <v/>
      </c>
      <c r="N760" s="19">
        <f>N759+IF(LEN($X$760)&gt;0,1,0)</f>
        <v/>
      </c>
      <c r="O760" s="19">
        <f>O759+IF(LEN($Y$760)&gt;0,1,0)</f>
        <v/>
      </c>
      <c r="P760" s="19">
        <f>P759+IF(LEN($Z$760)&gt;0,1,0)</f>
        <v/>
      </c>
      <c r="Q760" s="19">
        <f>Q759+IF(LEN($AA$760)&gt;0,1,0)</f>
        <v/>
      </c>
      <c r="R760" s="19">
        <f>R759+IF(LEN($AB$760)&gt;0,1,0)</f>
        <v/>
      </c>
      <c r="S760" s="19">
        <f>S759+IF(LEN($AC$760)&gt;0,1,0)</f>
        <v/>
      </c>
      <c r="T760" s="19">
        <f>T759+IF(LEN($AD$760)&gt;0,1,0)</f>
        <v/>
      </c>
      <c r="U760" s="19">
        <f>U759+IF(LEN($AE$760)&gt;0,1,0)</f>
        <v/>
      </c>
      <c r="V760" s="19">
        <f>V759+IF(LEN($AF$760)&gt;0,1,0)</f>
        <v/>
      </c>
      <c r="X760" s="19">
        <f>IF(ISERROR($B$760),"",IF(ISBLANK($B$760),"",$B$760))</f>
        <v/>
      </c>
      <c r="Y760" s="19">
        <f>IF(ISERROR($C$760),"",IF(ISBLANK($C$760),"",$C$760))</f>
        <v/>
      </c>
      <c r="Z760" s="19">
        <f>IF(ISERROR($D$760),"",IF(ISBLANK($D$760),"",$D$760))</f>
        <v/>
      </c>
      <c r="AA760" s="19">
        <f>IF(ISERROR($E$760),"",IF(ISBLANK($E$760),"",$E$760))</f>
        <v/>
      </c>
      <c r="AB760" s="19">
        <f>IF(ISERROR($F$760),"",IF(ISBLANK($F$760),"",$F$760))</f>
        <v/>
      </c>
      <c r="AC760" s="19">
        <f>IF(ISERROR($G$760),"",IF(ISBLANK($G$760),"",$G$760))</f>
        <v/>
      </c>
      <c r="AD760" s="19">
        <f>IF(ISERROR($H$760),"",IF(ISBLANK($H$760),"",$H$760))</f>
        <v/>
      </c>
      <c r="AE760" s="19">
        <f>IF(ISERROR($I$760),"",IF(ISBLANK($I$760),"",$I$760))</f>
        <v/>
      </c>
      <c r="AF760" s="19">
        <f>IF(ISERROR($J$760),"",IF(ISBLANK($J$760),"",$J$760))</f>
        <v/>
      </c>
      <c r="AG760" s="19">
        <f>ISERROR($B$760)*1+ISERROR($C$760)*1+ISERROR($D$760)*1+ISERROR($E$760)*1+ISERROR($F$760)*1+ISERROR($G$760)*1+ISERROR($H$760)*1+ISERROR($I$760)*1+ISERROR($J$760)*1</f>
        <v/>
      </c>
    </row>
    <row r="761" ht="26" customHeight="1">
      <c r="B761" s="31" t="n"/>
      <c r="C761" s="28" t="n"/>
      <c r="D761" s="28" t="n"/>
      <c r="E761" s="28" t="n"/>
      <c r="F761" s="28" t="n"/>
      <c r="G761" s="28" t="n"/>
      <c r="H761" s="28" t="n"/>
      <c r="I761" s="28" t="n"/>
      <c r="J761" s="28" t="n"/>
      <c r="K761" s="18">
        <f>IF(AG761&gt;0,"O Google leu como fórmula: digite de novo com ' na frente.","")</f>
        <v/>
      </c>
      <c r="N761" s="19">
        <f>N760+IF(LEN($X$761)&gt;0,1,0)</f>
        <v/>
      </c>
      <c r="O761" s="19">
        <f>O760+IF(LEN($Y$761)&gt;0,1,0)</f>
        <v/>
      </c>
      <c r="P761" s="19">
        <f>P760+IF(LEN($Z$761)&gt;0,1,0)</f>
        <v/>
      </c>
      <c r="Q761" s="19">
        <f>Q760+IF(LEN($AA$761)&gt;0,1,0)</f>
        <v/>
      </c>
      <c r="R761" s="19">
        <f>R760+IF(LEN($AB$761)&gt;0,1,0)</f>
        <v/>
      </c>
      <c r="S761" s="19">
        <f>S760+IF(LEN($AC$761)&gt;0,1,0)</f>
        <v/>
      </c>
      <c r="T761" s="19">
        <f>T760+IF(LEN($AD$761)&gt;0,1,0)</f>
        <v/>
      </c>
      <c r="U761" s="19">
        <f>U760+IF(LEN($AE$761)&gt;0,1,0)</f>
        <v/>
      </c>
      <c r="V761" s="19">
        <f>V760+IF(LEN($AF$761)&gt;0,1,0)</f>
        <v/>
      </c>
      <c r="X761" s="19">
        <f>IF(ISERROR($B$761),"",IF(ISBLANK($B$761),"",$B$761))</f>
        <v/>
      </c>
      <c r="Y761" s="19">
        <f>IF(ISERROR($C$761),"",IF(ISBLANK($C$761),"",$C$761))</f>
        <v/>
      </c>
      <c r="Z761" s="19">
        <f>IF(ISERROR($D$761),"",IF(ISBLANK($D$761),"",$D$761))</f>
        <v/>
      </c>
      <c r="AA761" s="19">
        <f>IF(ISERROR($E$761),"",IF(ISBLANK($E$761),"",$E$761))</f>
        <v/>
      </c>
      <c r="AB761" s="19">
        <f>IF(ISERROR($F$761),"",IF(ISBLANK($F$761),"",$F$761))</f>
        <v/>
      </c>
      <c r="AC761" s="19">
        <f>IF(ISERROR($G$761),"",IF(ISBLANK($G$761),"",$G$761))</f>
        <v/>
      </c>
      <c r="AD761" s="19">
        <f>IF(ISERROR($H$761),"",IF(ISBLANK($H$761),"",$H$761))</f>
        <v/>
      </c>
      <c r="AE761" s="19">
        <f>IF(ISERROR($I$761),"",IF(ISBLANK($I$761),"",$I$761))</f>
        <v/>
      </c>
      <c r="AF761" s="19">
        <f>IF(ISERROR($J$761),"",IF(ISBLANK($J$761),"",$J$761))</f>
        <v/>
      </c>
      <c r="AG761" s="19">
        <f>ISERROR($B$761)*1+ISERROR($C$761)*1+ISERROR($D$761)*1+ISERROR($E$761)*1+ISERROR($F$761)*1+ISERROR($G$761)*1+ISERROR($H$761)*1+ISERROR($I$761)*1+ISERROR($J$761)*1</f>
        <v/>
      </c>
    </row>
    <row r="762" ht="26" customHeight="1">
      <c r="B762" s="30" t="n"/>
      <c r="C762" s="3" t="n"/>
      <c r="D762" s="3" t="n"/>
      <c r="E762" s="3" t="n"/>
      <c r="F762" s="3" t="n"/>
      <c r="G762" s="3" t="n"/>
      <c r="H762" s="3" t="n"/>
      <c r="I762" s="3" t="n"/>
      <c r="J762" s="3" t="n"/>
      <c r="K762" s="18">
        <f>IF(AG762&gt;0,"O Google leu como fórmula: digite de novo com ' na frente.","")</f>
        <v/>
      </c>
      <c r="N762" s="19">
        <f>N761+IF(LEN($X$762)&gt;0,1,0)</f>
        <v/>
      </c>
      <c r="O762" s="19">
        <f>O761+IF(LEN($Y$762)&gt;0,1,0)</f>
        <v/>
      </c>
      <c r="P762" s="19">
        <f>P761+IF(LEN($Z$762)&gt;0,1,0)</f>
        <v/>
      </c>
      <c r="Q762" s="19">
        <f>Q761+IF(LEN($AA$762)&gt;0,1,0)</f>
        <v/>
      </c>
      <c r="R762" s="19">
        <f>R761+IF(LEN($AB$762)&gt;0,1,0)</f>
        <v/>
      </c>
      <c r="S762" s="19">
        <f>S761+IF(LEN($AC$762)&gt;0,1,0)</f>
        <v/>
      </c>
      <c r="T762" s="19">
        <f>T761+IF(LEN($AD$762)&gt;0,1,0)</f>
        <v/>
      </c>
      <c r="U762" s="19">
        <f>U761+IF(LEN($AE$762)&gt;0,1,0)</f>
        <v/>
      </c>
      <c r="V762" s="19">
        <f>V761+IF(LEN($AF$762)&gt;0,1,0)</f>
        <v/>
      </c>
      <c r="X762" s="19">
        <f>IF(ISERROR($B$762),"",IF(ISBLANK($B$762),"",$B$762))</f>
        <v/>
      </c>
      <c r="Y762" s="19">
        <f>IF(ISERROR($C$762),"",IF(ISBLANK($C$762),"",$C$762))</f>
        <v/>
      </c>
      <c r="Z762" s="19">
        <f>IF(ISERROR($D$762),"",IF(ISBLANK($D$762),"",$D$762))</f>
        <v/>
      </c>
      <c r="AA762" s="19">
        <f>IF(ISERROR($E$762),"",IF(ISBLANK($E$762),"",$E$762))</f>
        <v/>
      </c>
      <c r="AB762" s="19">
        <f>IF(ISERROR($F$762),"",IF(ISBLANK($F$762),"",$F$762))</f>
        <v/>
      </c>
      <c r="AC762" s="19">
        <f>IF(ISERROR($G$762),"",IF(ISBLANK($G$762),"",$G$762))</f>
        <v/>
      </c>
      <c r="AD762" s="19">
        <f>IF(ISERROR($H$762),"",IF(ISBLANK($H$762),"",$H$762))</f>
        <v/>
      </c>
      <c r="AE762" s="19">
        <f>IF(ISERROR($I$762),"",IF(ISBLANK($I$762),"",$I$762))</f>
        <v/>
      </c>
      <c r="AF762" s="19">
        <f>IF(ISERROR($J$762),"",IF(ISBLANK($J$762),"",$J$762))</f>
        <v/>
      </c>
      <c r="AG762" s="19">
        <f>ISERROR($B$762)*1+ISERROR($C$762)*1+ISERROR($D$762)*1+ISERROR($E$762)*1+ISERROR($F$762)*1+ISERROR($G$762)*1+ISERROR($H$762)*1+ISERROR($I$762)*1+ISERROR($J$762)*1</f>
        <v/>
      </c>
    </row>
    <row r="763" ht="26" customHeight="1">
      <c r="B763" s="31" t="n"/>
      <c r="C763" s="28" t="n"/>
      <c r="D763" s="28" t="n"/>
      <c r="E763" s="28" t="n"/>
      <c r="F763" s="28" t="n"/>
      <c r="G763" s="28" t="n"/>
      <c r="H763" s="28" t="n"/>
      <c r="I763" s="28" t="n"/>
      <c r="J763" s="28" t="n"/>
      <c r="K763" s="18">
        <f>IF(AG763&gt;0,"O Google leu como fórmula: digite de novo com ' na frente.","")</f>
        <v/>
      </c>
      <c r="N763" s="19">
        <f>N762+IF(LEN($X$763)&gt;0,1,0)</f>
        <v/>
      </c>
      <c r="O763" s="19">
        <f>O762+IF(LEN($Y$763)&gt;0,1,0)</f>
        <v/>
      </c>
      <c r="P763" s="19">
        <f>P762+IF(LEN($Z$763)&gt;0,1,0)</f>
        <v/>
      </c>
      <c r="Q763" s="19">
        <f>Q762+IF(LEN($AA$763)&gt;0,1,0)</f>
        <v/>
      </c>
      <c r="R763" s="19">
        <f>R762+IF(LEN($AB$763)&gt;0,1,0)</f>
        <v/>
      </c>
      <c r="S763" s="19">
        <f>S762+IF(LEN($AC$763)&gt;0,1,0)</f>
        <v/>
      </c>
      <c r="T763" s="19">
        <f>T762+IF(LEN($AD$763)&gt;0,1,0)</f>
        <v/>
      </c>
      <c r="U763" s="19">
        <f>U762+IF(LEN($AE$763)&gt;0,1,0)</f>
        <v/>
      </c>
      <c r="V763" s="19">
        <f>V762+IF(LEN($AF$763)&gt;0,1,0)</f>
        <v/>
      </c>
      <c r="X763" s="19">
        <f>IF(ISERROR($B$763),"",IF(ISBLANK($B$763),"",$B$763))</f>
        <v/>
      </c>
      <c r="Y763" s="19">
        <f>IF(ISERROR($C$763),"",IF(ISBLANK($C$763),"",$C$763))</f>
        <v/>
      </c>
      <c r="Z763" s="19">
        <f>IF(ISERROR($D$763),"",IF(ISBLANK($D$763),"",$D$763))</f>
        <v/>
      </c>
      <c r="AA763" s="19">
        <f>IF(ISERROR($E$763),"",IF(ISBLANK($E$763),"",$E$763))</f>
        <v/>
      </c>
      <c r="AB763" s="19">
        <f>IF(ISERROR($F$763),"",IF(ISBLANK($F$763),"",$F$763))</f>
        <v/>
      </c>
      <c r="AC763" s="19">
        <f>IF(ISERROR($G$763),"",IF(ISBLANK($G$763),"",$G$763))</f>
        <v/>
      </c>
      <c r="AD763" s="19">
        <f>IF(ISERROR($H$763),"",IF(ISBLANK($H$763),"",$H$763))</f>
        <v/>
      </c>
      <c r="AE763" s="19">
        <f>IF(ISERROR($I$763),"",IF(ISBLANK($I$763),"",$I$763))</f>
        <v/>
      </c>
      <c r="AF763" s="19">
        <f>IF(ISERROR($J$763),"",IF(ISBLANK($J$763),"",$J$763))</f>
        <v/>
      </c>
      <c r="AG763" s="19">
        <f>ISERROR($B$763)*1+ISERROR($C$763)*1+ISERROR($D$763)*1+ISERROR($E$763)*1+ISERROR($F$763)*1+ISERROR($G$763)*1+ISERROR($H$763)*1+ISERROR($I$763)*1+ISERROR($J$763)*1</f>
        <v/>
      </c>
    </row>
    <row r="764" ht="26" customHeight="1">
      <c r="B764" s="30" t="n"/>
      <c r="C764" s="3" t="n"/>
      <c r="D764" s="3" t="n"/>
      <c r="E764" s="3" t="n"/>
      <c r="F764" s="3" t="n"/>
      <c r="G764" s="3" t="n"/>
      <c r="H764" s="3" t="n"/>
      <c r="I764" s="3" t="n"/>
      <c r="J764" s="3" t="n"/>
      <c r="K764" s="18">
        <f>IF(AG764&gt;0,"O Google leu como fórmula: digite de novo com ' na frente.","")</f>
        <v/>
      </c>
      <c r="N764" s="19">
        <f>N763+IF(LEN($X$764)&gt;0,1,0)</f>
        <v/>
      </c>
      <c r="O764" s="19">
        <f>O763+IF(LEN($Y$764)&gt;0,1,0)</f>
        <v/>
      </c>
      <c r="P764" s="19">
        <f>P763+IF(LEN($Z$764)&gt;0,1,0)</f>
        <v/>
      </c>
      <c r="Q764" s="19">
        <f>Q763+IF(LEN($AA$764)&gt;0,1,0)</f>
        <v/>
      </c>
      <c r="R764" s="19">
        <f>R763+IF(LEN($AB$764)&gt;0,1,0)</f>
        <v/>
      </c>
      <c r="S764" s="19">
        <f>S763+IF(LEN($AC$764)&gt;0,1,0)</f>
        <v/>
      </c>
      <c r="T764" s="19">
        <f>T763+IF(LEN($AD$764)&gt;0,1,0)</f>
        <v/>
      </c>
      <c r="U764" s="19">
        <f>U763+IF(LEN($AE$764)&gt;0,1,0)</f>
        <v/>
      </c>
      <c r="V764" s="19">
        <f>V763+IF(LEN($AF$764)&gt;0,1,0)</f>
        <v/>
      </c>
      <c r="X764" s="19">
        <f>IF(ISERROR($B$764),"",IF(ISBLANK($B$764),"",$B$764))</f>
        <v/>
      </c>
      <c r="Y764" s="19">
        <f>IF(ISERROR($C$764),"",IF(ISBLANK($C$764),"",$C$764))</f>
        <v/>
      </c>
      <c r="Z764" s="19">
        <f>IF(ISERROR($D$764),"",IF(ISBLANK($D$764),"",$D$764))</f>
        <v/>
      </c>
      <c r="AA764" s="19">
        <f>IF(ISERROR($E$764),"",IF(ISBLANK($E$764),"",$E$764))</f>
        <v/>
      </c>
      <c r="AB764" s="19">
        <f>IF(ISERROR($F$764),"",IF(ISBLANK($F$764),"",$F$764))</f>
        <v/>
      </c>
      <c r="AC764" s="19">
        <f>IF(ISERROR($G$764),"",IF(ISBLANK($G$764),"",$G$764))</f>
        <v/>
      </c>
      <c r="AD764" s="19">
        <f>IF(ISERROR($H$764),"",IF(ISBLANK($H$764),"",$H$764))</f>
        <v/>
      </c>
      <c r="AE764" s="19">
        <f>IF(ISERROR($I$764),"",IF(ISBLANK($I$764),"",$I$764))</f>
        <v/>
      </c>
      <c r="AF764" s="19">
        <f>IF(ISERROR($J$764),"",IF(ISBLANK($J$764),"",$J$764))</f>
        <v/>
      </c>
      <c r="AG764" s="19">
        <f>ISERROR($B$764)*1+ISERROR($C$764)*1+ISERROR($D$764)*1+ISERROR($E$764)*1+ISERROR($F$764)*1+ISERROR($G$764)*1+ISERROR($H$764)*1+ISERROR($I$764)*1+ISERROR($J$764)*1</f>
        <v/>
      </c>
    </row>
    <row r="765" ht="26" customHeight="1">
      <c r="B765" s="31" t="n"/>
      <c r="C765" s="28" t="n"/>
      <c r="D765" s="28" t="n"/>
      <c r="E765" s="28" t="n"/>
      <c r="F765" s="28" t="n"/>
      <c r="G765" s="28" t="n"/>
      <c r="H765" s="28" t="n"/>
      <c r="I765" s="28" t="n"/>
      <c r="J765" s="28" t="n"/>
      <c r="K765" s="18">
        <f>IF(AG765&gt;0,"O Google leu como fórmula: digite de novo com ' na frente.","")</f>
        <v/>
      </c>
      <c r="N765" s="19">
        <f>N764+IF(LEN($X$765)&gt;0,1,0)</f>
        <v/>
      </c>
      <c r="O765" s="19">
        <f>O764+IF(LEN($Y$765)&gt;0,1,0)</f>
        <v/>
      </c>
      <c r="P765" s="19">
        <f>P764+IF(LEN($Z$765)&gt;0,1,0)</f>
        <v/>
      </c>
      <c r="Q765" s="19">
        <f>Q764+IF(LEN($AA$765)&gt;0,1,0)</f>
        <v/>
      </c>
      <c r="R765" s="19">
        <f>R764+IF(LEN($AB$765)&gt;0,1,0)</f>
        <v/>
      </c>
      <c r="S765" s="19">
        <f>S764+IF(LEN($AC$765)&gt;0,1,0)</f>
        <v/>
      </c>
      <c r="T765" s="19">
        <f>T764+IF(LEN($AD$765)&gt;0,1,0)</f>
        <v/>
      </c>
      <c r="U765" s="19">
        <f>U764+IF(LEN($AE$765)&gt;0,1,0)</f>
        <v/>
      </c>
      <c r="V765" s="19">
        <f>V764+IF(LEN($AF$765)&gt;0,1,0)</f>
        <v/>
      </c>
      <c r="X765" s="19">
        <f>IF(ISERROR($B$765),"",IF(ISBLANK($B$765),"",$B$765))</f>
        <v/>
      </c>
      <c r="Y765" s="19">
        <f>IF(ISERROR($C$765),"",IF(ISBLANK($C$765),"",$C$765))</f>
        <v/>
      </c>
      <c r="Z765" s="19">
        <f>IF(ISERROR($D$765),"",IF(ISBLANK($D$765),"",$D$765))</f>
        <v/>
      </c>
      <c r="AA765" s="19">
        <f>IF(ISERROR($E$765),"",IF(ISBLANK($E$765),"",$E$765))</f>
        <v/>
      </c>
      <c r="AB765" s="19">
        <f>IF(ISERROR($F$765),"",IF(ISBLANK($F$765),"",$F$765))</f>
        <v/>
      </c>
      <c r="AC765" s="19">
        <f>IF(ISERROR($G$765),"",IF(ISBLANK($G$765),"",$G$765))</f>
        <v/>
      </c>
      <c r="AD765" s="19">
        <f>IF(ISERROR($H$765),"",IF(ISBLANK($H$765),"",$H$765))</f>
        <v/>
      </c>
      <c r="AE765" s="19">
        <f>IF(ISERROR($I$765),"",IF(ISBLANK($I$765),"",$I$765))</f>
        <v/>
      </c>
      <c r="AF765" s="19">
        <f>IF(ISERROR($J$765),"",IF(ISBLANK($J$765),"",$J$765))</f>
        <v/>
      </c>
      <c r="AG765" s="19">
        <f>ISERROR($B$765)*1+ISERROR($C$765)*1+ISERROR($D$765)*1+ISERROR($E$765)*1+ISERROR($F$765)*1+ISERROR($G$765)*1+ISERROR($H$765)*1+ISERROR($I$765)*1+ISERROR($J$765)*1</f>
        <v/>
      </c>
    </row>
    <row r="766" ht="26" customHeight="1">
      <c r="B766" s="30" t="n"/>
      <c r="C766" s="3" t="n"/>
      <c r="D766" s="3" t="n"/>
      <c r="E766" s="3" t="n"/>
      <c r="F766" s="3" t="n"/>
      <c r="G766" s="3" t="n"/>
      <c r="H766" s="3" t="n"/>
      <c r="I766" s="3" t="n"/>
      <c r="J766" s="3" t="n"/>
      <c r="K766" s="18">
        <f>IF(AG766&gt;0,"O Google leu como fórmula: digite de novo com ' na frente.","")</f>
        <v/>
      </c>
      <c r="N766" s="19">
        <f>N765+IF(LEN($X$766)&gt;0,1,0)</f>
        <v/>
      </c>
      <c r="O766" s="19">
        <f>O765+IF(LEN($Y$766)&gt;0,1,0)</f>
        <v/>
      </c>
      <c r="P766" s="19">
        <f>P765+IF(LEN($Z$766)&gt;0,1,0)</f>
        <v/>
      </c>
      <c r="Q766" s="19">
        <f>Q765+IF(LEN($AA$766)&gt;0,1,0)</f>
        <v/>
      </c>
      <c r="R766" s="19">
        <f>R765+IF(LEN($AB$766)&gt;0,1,0)</f>
        <v/>
      </c>
      <c r="S766" s="19">
        <f>S765+IF(LEN($AC$766)&gt;0,1,0)</f>
        <v/>
      </c>
      <c r="T766" s="19">
        <f>T765+IF(LEN($AD$766)&gt;0,1,0)</f>
        <v/>
      </c>
      <c r="U766" s="19">
        <f>U765+IF(LEN($AE$766)&gt;0,1,0)</f>
        <v/>
      </c>
      <c r="V766" s="19">
        <f>V765+IF(LEN($AF$766)&gt;0,1,0)</f>
        <v/>
      </c>
      <c r="X766" s="19">
        <f>IF(ISERROR($B$766),"",IF(ISBLANK($B$766),"",$B$766))</f>
        <v/>
      </c>
      <c r="Y766" s="19">
        <f>IF(ISERROR($C$766),"",IF(ISBLANK($C$766),"",$C$766))</f>
        <v/>
      </c>
      <c r="Z766" s="19">
        <f>IF(ISERROR($D$766),"",IF(ISBLANK($D$766),"",$D$766))</f>
        <v/>
      </c>
      <c r="AA766" s="19">
        <f>IF(ISERROR($E$766),"",IF(ISBLANK($E$766),"",$E$766))</f>
        <v/>
      </c>
      <c r="AB766" s="19">
        <f>IF(ISERROR($F$766),"",IF(ISBLANK($F$766),"",$F$766))</f>
        <v/>
      </c>
      <c r="AC766" s="19">
        <f>IF(ISERROR($G$766),"",IF(ISBLANK($G$766),"",$G$766))</f>
        <v/>
      </c>
      <c r="AD766" s="19">
        <f>IF(ISERROR($H$766),"",IF(ISBLANK($H$766),"",$H$766))</f>
        <v/>
      </c>
      <c r="AE766" s="19">
        <f>IF(ISERROR($I$766),"",IF(ISBLANK($I$766),"",$I$766))</f>
        <v/>
      </c>
      <c r="AF766" s="19">
        <f>IF(ISERROR($J$766),"",IF(ISBLANK($J$766),"",$J$766))</f>
        <v/>
      </c>
      <c r="AG766" s="19">
        <f>ISERROR($B$766)*1+ISERROR($C$766)*1+ISERROR($D$766)*1+ISERROR($E$766)*1+ISERROR($F$766)*1+ISERROR($G$766)*1+ISERROR($H$766)*1+ISERROR($I$766)*1+ISERROR($J$766)*1</f>
        <v/>
      </c>
    </row>
    <row r="767" ht="26" customHeight="1">
      <c r="B767" s="31" t="n"/>
      <c r="C767" s="28" t="n"/>
      <c r="D767" s="28" t="n"/>
      <c r="E767" s="28" t="n"/>
      <c r="F767" s="28" t="n"/>
      <c r="G767" s="28" t="n"/>
      <c r="H767" s="28" t="n"/>
      <c r="I767" s="28" t="n"/>
      <c r="J767" s="28" t="n"/>
      <c r="K767" s="18">
        <f>IF(AG767&gt;0,"O Google leu como fórmula: digite de novo com ' na frente.","")</f>
        <v/>
      </c>
      <c r="N767" s="19">
        <f>N766+IF(LEN($X$767)&gt;0,1,0)</f>
        <v/>
      </c>
      <c r="O767" s="19">
        <f>O766+IF(LEN($Y$767)&gt;0,1,0)</f>
        <v/>
      </c>
      <c r="P767" s="19">
        <f>P766+IF(LEN($Z$767)&gt;0,1,0)</f>
        <v/>
      </c>
      <c r="Q767" s="19">
        <f>Q766+IF(LEN($AA$767)&gt;0,1,0)</f>
        <v/>
      </c>
      <c r="R767" s="19">
        <f>R766+IF(LEN($AB$767)&gt;0,1,0)</f>
        <v/>
      </c>
      <c r="S767" s="19">
        <f>S766+IF(LEN($AC$767)&gt;0,1,0)</f>
        <v/>
      </c>
      <c r="T767" s="19">
        <f>T766+IF(LEN($AD$767)&gt;0,1,0)</f>
        <v/>
      </c>
      <c r="U767" s="19">
        <f>U766+IF(LEN($AE$767)&gt;0,1,0)</f>
        <v/>
      </c>
      <c r="V767" s="19">
        <f>V766+IF(LEN($AF$767)&gt;0,1,0)</f>
        <v/>
      </c>
      <c r="X767" s="19">
        <f>IF(ISERROR($B$767),"",IF(ISBLANK($B$767),"",$B$767))</f>
        <v/>
      </c>
      <c r="Y767" s="19">
        <f>IF(ISERROR($C$767),"",IF(ISBLANK($C$767),"",$C$767))</f>
        <v/>
      </c>
      <c r="Z767" s="19">
        <f>IF(ISERROR($D$767),"",IF(ISBLANK($D$767),"",$D$767))</f>
        <v/>
      </c>
      <c r="AA767" s="19">
        <f>IF(ISERROR($E$767),"",IF(ISBLANK($E$767),"",$E$767))</f>
        <v/>
      </c>
      <c r="AB767" s="19">
        <f>IF(ISERROR($F$767),"",IF(ISBLANK($F$767),"",$F$767))</f>
        <v/>
      </c>
      <c r="AC767" s="19">
        <f>IF(ISERROR($G$767),"",IF(ISBLANK($G$767),"",$G$767))</f>
        <v/>
      </c>
      <c r="AD767" s="19">
        <f>IF(ISERROR($H$767),"",IF(ISBLANK($H$767),"",$H$767))</f>
        <v/>
      </c>
      <c r="AE767" s="19">
        <f>IF(ISERROR($I$767),"",IF(ISBLANK($I$767),"",$I$767))</f>
        <v/>
      </c>
      <c r="AF767" s="19">
        <f>IF(ISERROR($J$767),"",IF(ISBLANK($J$767),"",$J$767))</f>
        <v/>
      </c>
      <c r="AG767" s="19">
        <f>ISERROR($B$767)*1+ISERROR($C$767)*1+ISERROR($D$767)*1+ISERROR($E$767)*1+ISERROR($F$767)*1+ISERROR($G$767)*1+ISERROR($H$767)*1+ISERROR($I$767)*1+ISERROR($J$767)*1</f>
        <v/>
      </c>
    </row>
    <row r="768" ht="26" customHeight="1">
      <c r="B768" s="30" t="n"/>
      <c r="C768" s="3" t="n"/>
      <c r="D768" s="3" t="n"/>
      <c r="E768" s="3" t="n"/>
      <c r="F768" s="3" t="n"/>
      <c r="G768" s="3" t="n"/>
      <c r="H768" s="3" t="n"/>
      <c r="I768" s="3" t="n"/>
      <c r="J768" s="3" t="n"/>
      <c r="K768" s="18">
        <f>IF(AG768&gt;0,"O Google leu como fórmula: digite de novo com ' na frente.","")</f>
        <v/>
      </c>
      <c r="N768" s="19">
        <f>N767+IF(LEN($X$768)&gt;0,1,0)</f>
        <v/>
      </c>
      <c r="O768" s="19">
        <f>O767+IF(LEN($Y$768)&gt;0,1,0)</f>
        <v/>
      </c>
      <c r="P768" s="19">
        <f>P767+IF(LEN($Z$768)&gt;0,1,0)</f>
        <v/>
      </c>
      <c r="Q768" s="19">
        <f>Q767+IF(LEN($AA$768)&gt;0,1,0)</f>
        <v/>
      </c>
      <c r="R768" s="19">
        <f>R767+IF(LEN($AB$768)&gt;0,1,0)</f>
        <v/>
      </c>
      <c r="S768" s="19">
        <f>S767+IF(LEN($AC$768)&gt;0,1,0)</f>
        <v/>
      </c>
      <c r="T768" s="19">
        <f>T767+IF(LEN($AD$768)&gt;0,1,0)</f>
        <v/>
      </c>
      <c r="U768" s="19">
        <f>U767+IF(LEN($AE$768)&gt;0,1,0)</f>
        <v/>
      </c>
      <c r="V768" s="19">
        <f>V767+IF(LEN($AF$768)&gt;0,1,0)</f>
        <v/>
      </c>
      <c r="X768" s="19">
        <f>IF(ISERROR($B$768),"",IF(ISBLANK($B$768),"",$B$768))</f>
        <v/>
      </c>
      <c r="Y768" s="19">
        <f>IF(ISERROR($C$768),"",IF(ISBLANK($C$768),"",$C$768))</f>
        <v/>
      </c>
      <c r="Z768" s="19">
        <f>IF(ISERROR($D$768),"",IF(ISBLANK($D$768),"",$D$768))</f>
        <v/>
      </c>
      <c r="AA768" s="19">
        <f>IF(ISERROR($E$768),"",IF(ISBLANK($E$768),"",$E$768))</f>
        <v/>
      </c>
      <c r="AB768" s="19">
        <f>IF(ISERROR($F$768),"",IF(ISBLANK($F$768),"",$F$768))</f>
        <v/>
      </c>
      <c r="AC768" s="19">
        <f>IF(ISERROR($G$768),"",IF(ISBLANK($G$768),"",$G$768))</f>
        <v/>
      </c>
      <c r="AD768" s="19">
        <f>IF(ISERROR($H$768),"",IF(ISBLANK($H$768),"",$H$768))</f>
        <v/>
      </c>
      <c r="AE768" s="19">
        <f>IF(ISERROR($I$768),"",IF(ISBLANK($I$768),"",$I$768))</f>
        <v/>
      </c>
      <c r="AF768" s="19">
        <f>IF(ISERROR($J$768),"",IF(ISBLANK($J$768),"",$J$768))</f>
        <v/>
      </c>
      <c r="AG768" s="19">
        <f>ISERROR($B$768)*1+ISERROR($C$768)*1+ISERROR($D$768)*1+ISERROR($E$768)*1+ISERROR($F$768)*1+ISERROR($G$768)*1+ISERROR($H$768)*1+ISERROR($I$768)*1+ISERROR($J$768)*1</f>
        <v/>
      </c>
    </row>
    <row r="769" ht="26" customHeight="1">
      <c r="B769" s="31" t="n"/>
      <c r="C769" s="28" t="n"/>
      <c r="D769" s="28" t="n"/>
      <c r="E769" s="28" t="n"/>
      <c r="F769" s="28" t="n"/>
      <c r="G769" s="28" t="n"/>
      <c r="H769" s="28" t="n"/>
      <c r="I769" s="28" t="n"/>
      <c r="J769" s="28" t="n"/>
      <c r="K769" s="18">
        <f>IF(AG769&gt;0,"O Google leu como fórmula: digite de novo com ' na frente.","")</f>
        <v/>
      </c>
      <c r="N769" s="19">
        <f>N768+IF(LEN($X$769)&gt;0,1,0)</f>
        <v/>
      </c>
      <c r="O769" s="19">
        <f>O768+IF(LEN($Y$769)&gt;0,1,0)</f>
        <v/>
      </c>
      <c r="P769" s="19">
        <f>P768+IF(LEN($Z$769)&gt;0,1,0)</f>
        <v/>
      </c>
      <c r="Q769" s="19">
        <f>Q768+IF(LEN($AA$769)&gt;0,1,0)</f>
        <v/>
      </c>
      <c r="R769" s="19">
        <f>R768+IF(LEN($AB$769)&gt;0,1,0)</f>
        <v/>
      </c>
      <c r="S769" s="19">
        <f>S768+IF(LEN($AC$769)&gt;0,1,0)</f>
        <v/>
      </c>
      <c r="T769" s="19">
        <f>T768+IF(LEN($AD$769)&gt;0,1,0)</f>
        <v/>
      </c>
      <c r="U769" s="19">
        <f>U768+IF(LEN($AE$769)&gt;0,1,0)</f>
        <v/>
      </c>
      <c r="V769" s="19">
        <f>V768+IF(LEN($AF$769)&gt;0,1,0)</f>
        <v/>
      </c>
      <c r="X769" s="19">
        <f>IF(ISERROR($B$769),"",IF(ISBLANK($B$769),"",$B$769))</f>
        <v/>
      </c>
      <c r="Y769" s="19">
        <f>IF(ISERROR($C$769),"",IF(ISBLANK($C$769),"",$C$769))</f>
        <v/>
      </c>
      <c r="Z769" s="19">
        <f>IF(ISERROR($D$769),"",IF(ISBLANK($D$769),"",$D$769))</f>
        <v/>
      </c>
      <c r="AA769" s="19">
        <f>IF(ISERROR($E$769),"",IF(ISBLANK($E$769),"",$E$769))</f>
        <v/>
      </c>
      <c r="AB769" s="19">
        <f>IF(ISERROR($F$769),"",IF(ISBLANK($F$769),"",$F$769))</f>
        <v/>
      </c>
      <c r="AC769" s="19">
        <f>IF(ISERROR($G$769),"",IF(ISBLANK($G$769),"",$G$769))</f>
        <v/>
      </c>
      <c r="AD769" s="19">
        <f>IF(ISERROR($H$769),"",IF(ISBLANK($H$769),"",$H$769))</f>
        <v/>
      </c>
      <c r="AE769" s="19">
        <f>IF(ISERROR($I$769),"",IF(ISBLANK($I$769),"",$I$769))</f>
        <v/>
      </c>
      <c r="AF769" s="19">
        <f>IF(ISERROR($J$769),"",IF(ISBLANK($J$769),"",$J$769))</f>
        <v/>
      </c>
      <c r="AG769" s="19">
        <f>ISERROR($B$769)*1+ISERROR($C$769)*1+ISERROR($D$769)*1+ISERROR($E$769)*1+ISERROR($F$769)*1+ISERROR($G$769)*1+ISERROR($H$769)*1+ISERROR($I$769)*1+ISERROR($J$769)*1</f>
        <v/>
      </c>
    </row>
    <row r="770" ht="26" customHeight="1">
      <c r="B770" s="30" t="n"/>
      <c r="C770" s="3" t="n"/>
      <c r="D770" s="3" t="n"/>
      <c r="E770" s="3" t="n"/>
      <c r="F770" s="3" t="n"/>
      <c r="G770" s="3" t="n"/>
      <c r="H770" s="3" t="n"/>
      <c r="I770" s="3" t="n"/>
      <c r="J770" s="3" t="n"/>
      <c r="K770" s="18">
        <f>IF(AG770&gt;0,"O Google leu como fórmula: digite de novo com ' na frente.","")</f>
        <v/>
      </c>
      <c r="N770" s="19">
        <f>N769+IF(LEN($X$770)&gt;0,1,0)</f>
        <v/>
      </c>
      <c r="O770" s="19">
        <f>O769+IF(LEN($Y$770)&gt;0,1,0)</f>
        <v/>
      </c>
      <c r="P770" s="19">
        <f>P769+IF(LEN($Z$770)&gt;0,1,0)</f>
        <v/>
      </c>
      <c r="Q770" s="19">
        <f>Q769+IF(LEN($AA$770)&gt;0,1,0)</f>
        <v/>
      </c>
      <c r="R770" s="19">
        <f>R769+IF(LEN($AB$770)&gt;0,1,0)</f>
        <v/>
      </c>
      <c r="S770" s="19">
        <f>S769+IF(LEN($AC$770)&gt;0,1,0)</f>
        <v/>
      </c>
      <c r="T770" s="19">
        <f>T769+IF(LEN($AD$770)&gt;0,1,0)</f>
        <v/>
      </c>
      <c r="U770" s="19">
        <f>U769+IF(LEN($AE$770)&gt;0,1,0)</f>
        <v/>
      </c>
      <c r="V770" s="19">
        <f>V769+IF(LEN($AF$770)&gt;0,1,0)</f>
        <v/>
      </c>
      <c r="X770" s="19">
        <f>IF(ISERROR($B$770),"",IF(ISBLANK($B$770),"",$B$770))</f>
        <v/>
      </c>
      <c r="Y770" s="19">
        <f>IF(ISERROR($C$770),"",IF(ISBLANK($C$770),"",$C$770))</f>
        <v/>
      </c>
      <c r="Z770" s="19">
        <f>IF(ISERROR($D$770),"",IF(ISBLANK($D$770),"",$D$770))</f>
        <v/>
      </c>
      <c r="AA770" s="19">
        <f>IF(ISERROR($E$770),"",IF(ISBLANK($E$770),"",$E$770))</f>
        <v/>
      </c>
      <c r="AB770" s="19">
        <f>IF(ISERROR($F$770),"",IF(ISBLANK($F$770),"",$F$770))</f>
        <v/>
      </c>
      <c r="AC770" s="19">
        <f>IF(ISERROR($G$770),"",IF(ISBLANK($G$770),"",$G$770))</f>
        <v/>
      </c>
      <c r="AD770" s="19">
        <f>IF(ISERROR($H$770),"",IF(ISBLANK($H$770),"",$H$770))</f>
        <v/>
      </c>
      <c r="AE770" s="19">
        <f>IF(ISERROR($I$770),"",IF(ISBLANK($I$770),"",$I$770))</f>
        <v/>
      </c>
      <c r="AF770" s="19">
        <f>IF(ISERROR($J$770),"",IF(ISBLANK($J$770),"",$J$770))</f>
        <v/>
      </c>
      <c r="AG770" s="19">
        <f>ISERROR($B$770)*1+ISERROR($C$770)*1+ISERROR($D$770)*1+ISERROR($E$770)*1+ISERROR($F$770)*1+ISERROR($G$770)*1+ISERROR($H$770)*1+ISERROR($I$770)*1+ISERROR($J$770)*1</f>
        <v/>
      </c>
    </row>
    <row r="771" ht="26" customHeight="1">
      <c r="B771" s="7" t="inlineStr">
        <is>
          <t>Pista</t>
        </is>
      </c>
      <c r="C771" s="7" t="inlineStr">
        <is>
          <t>Bugiganga</t>
        </is>
      </c>
      <c r="D771" s="7" t="inlineStr">
        <is>
          <t>Nome do Cone (início)</t>
        </is>
      </c>
      <c r="E771" s="7" t="inlineStr">
        <is>
          <t>Nome do Cone (fim)</t>
        </is>
      </c>
      <c r="F771" s="7" t="inlineStr">
        <is>
          <t>Memória do Cone</t>
        </is>
      </c>
      <c r="G771" s="7" t="inlineStr">
        <is>
          <t>Gatilho do Efeito Condicional</t>
        </is>
      </c>
      <c r="H771" s="7" t="inlineStr">
        <is>
          <t>Nome do Conjunto</t>
        </is>
      </c>
      <c r="I771" s="7" t="inlineStr">
        <is>
          <t>Origem do Conjunto</t>
        </is>
      </c>
      <c r="J771" s="7" t="inlineStr">
        <is>
          <t>Efeito de 4 peças</t>
        </is>
      </c>
      <c r="N771" s="19">
        <f>N770</f>
        <v/>
      </c>
      <c r="O771" s="19">
        <f>O770</f>
        <v/>
      </c>
      <c r="P771" s="19">
        <f>P770</f>
        <v/>
      </c>
      <c r="Q771" s="19">
        <f>Q770</f>
        <v/>
      </c>
      <c r="R771" s="19">
        <f>R770</f>
        <v/>
      </c>
      <c r="S771" s="19">
        <f>S770</f>
        <v/>
      </c>
      <c r="T771" s="19">
        <f>T770</f>
        <v/>
      </c>
      <c r="U771" s="19">
        <f>U770</f>
        <v/>
      </c>
      <c r="V771" s="19">
        <f>V770</f>
        <v/>
      </c>
      <c r="X771" s="19">
        <f>IF(ISERROR($B$771),"",IF(ISBLANK($B$771),"",$B$771))</f>
        <v/>
      </c>
      <c r="Y771" s="19">
        <f>IF(ISERROR($C$771),"",IF(ISBLANK($C$771),"",$C$771))</f>
        <v/>
      </c>
      <c r="Z771" s="19">
        <f>IF(ISERROR($D$771),"",IF(ISBLANK($D$771),"",$D$771))</f>
        <v/>
      </c>
      <c r="AA771" s="19">
        <f>IF(ISERROR($E$771),"",IF(ISBLANK($E$771),"",$E$771))</f>
        <v/>
      </c>
      <c r="AB771" s="19">
        <f>IF(ISERROR($F$771),"",IF(ISBLANK($F$771),"",$F$771))</f>
        <v/>
      </c>
      <c r="AC771" s="19">
        <f>IF(ISERROR($G$771),"",IF(ISBLANK($G$771),"",$G$771))</f>
        <v/>
      </c>
      <c r="AD771" s="19">
        <f>IF(ISERROR($H$771),"",IF(ISBLANK($H$771),"",$H$771))</f>
        <v/>
      </c>
      <c r="AE771" s="19">
        <f>IF(ISERROR($I$771),"",IF(ISBLANK($I$771),"",$I$771))</f>
        <v/>
      </c>
      <c r="AF771" s="19">
        <f>IF(ISERROR($J$771),"",IF(ISBLANK($J$771),"",$J$771))</f>
        <v/>
      </c>
    </row>
    <row r="772" ht="26" customHeight="1">
      <c r="B772" s="30" t="n"/>
      <c r="C772" s="3" t="n"/>
      <c r="D772" s="3" t="n"/>
      <c r="E772" s="3" t="n"/>
      <c r="F772" s="3" t="n"/>
      <c r="G772" s="3" t="n"/>
      <c r="H772" s="3" t="n"/>
      <c r="I772" s="3" t="n"/>
      <c r="J772" s="3" t="n"/>
      <c r="K772" s="18">
        <f>IF(AG772&gt;0,"O Google leu como fórmula: digite de novo com ' na frente.","")</f>
        <v/>
      </c>
      <c r="N772" s="19">
        <f>N771+IF(LEN($X$772)&gt;0,1,0)</f>
        <v/>
      </c>
      <c r="O772" s="19">
        <f>O771+IF(LEN($Y$772)&gt;0,1,0)</f>
        <v/>
      </c>
      <c r="P772" s="19">
        <f>P771+IF(LEN($Z$772)&gt;0,1,0)</f>
        <v/>
      </c>
      <c r="Q772" s="19">
        <f>Q771+IF(LEN($AA$772)&gt;0,1,0)</f>
        <v/>
      </c>
      <c r="R772" s="19">
        <f>R771+IF(LEN($AB$772)&gt;0,1,0)</f>
        <v/>
      </c>
      <c r="S772" s="19">
        <f>S771+IF(LEN($AC$772)&gt;0,1,0)</f>
        <v/>
      </c>
      <c r="T772" s="19">
        <f>T771+IF(LEN($AD$772)&gt;0,1,0)</f>
        <v/>
      </c>
      <c r="U772" s="19">
        <f>U771+IF(LEN($AE$772)&gt;0,1,0)</f>
        <v/>
      </c>
      <c r="V772" s="19">
        <f>V771+IF(LEN($AF$772)&gt;0,1,0)</f>
        <v/>
      </c>
      <c r="X772" s="19">
        <f>IF(ISERROR($B$772),"",IF(ISBLANK($B$772),"",$B$772))</f>
        <v/>
      </c>
      <c r="Y772" s="19">
        <f>IF(ISERROR($C$772),"",IF(ISBLANK($C$772),"",$C$772))</f>
        <v/>
      </c>
      <c r="Z772" s="19">
        <f>IF(ISERROR($D$772),"",IF(ISBLANK($D$772),"",$D$772))</f>
        <v/>
      </c>
      <c r="AA772" s="19">
        <f>IF(ISERROR($E$772),"",IF(ISBLANK($E$772),"",$E$772))</f>
        <v/>
      </c>
      <c r="AB772" s="19">
        <f>IF(ISERROR($F$772),"",IF(ISBLANK($F$772),"",$F$772))</f>
        <v/>
      </c>
      <c r="AC772" s="19">
        <f>IF(ISERROR($G$772),"",IF(ISBLANK($G$772),"",$G$772))</f>
        <v/>
      </c>
      <c r="AD772" s="19">
        <f>IF(ISERROR($H$772),"",IF(ISBLANK($H$772),"",$H$772))</f>
        <v/>
      </c>
      <c r="AE772" s="19">
        <f>IF(ISERROR($I$772),"",IF(ISBLANK($I$772),"",$I$772))</f>
        <v/>
      </c>
      <c r="AF772" s="19">
        <f>IF(ISERROR($J$772),"",IF(ISBLANK($J$772),"",$J$772))</f>
        <v/>
      </c>
      <c r="AG772" s="19">
        <f>ISERROR($B$772)*1+ISERROR($C$772)*1+ISERROR($D$772)*1+ISERROR($E$772)*1+ISERROR($F$772)*1+ISERROR($G$772)*1+ISERROR($H$772)*1+ISERROR($I$772)*1+ISERROR($J$772)*1</f>
        <v/>
      </c>
    </row>
    <row r="773" ht="26" customHeight="1">
      <c r="B773" s="31" t="n"/>
      <c r="C773" s="28" t="n"/>
      <c r="D773" s="28" t="n"/>
      <c r="E773" s="28" t="n"/>
      <c r="F773" s="28" t="n"/>
      <c r="G773" s="28" t="n"/>
      <c r="H773" s="28" t="n"/>
      <c r="I773" s="28" t="n"/>
      <c r="J773" s="28" t="n"/>
      <c r="K773" s="18">
        <f>IF(AG773&gt;0,"O Google leu como fórmula: digite de novo com ' na frente.","")</f>
        <v/>
      </c>
      <c r="N773" s="19">
        <f>N772+IF(LEN($X$773)&gt;0,1,0)</f>
        <v/>
      </c>
      <c r="O773" s="19">
        <f>O772+IF(LEN($Y$773)&gt;0,1,0)</f>
        <v/>
      </c>
      <c r="P773" s="19">
        <f>P772+IF(LEN($Z$773)&gt;0,1,0)</f>
        <v/>
      </c>
      <c r="Q773" s="19">
        <f>Q772+IF(LEN($AA$773)&gt;0,1,0)</f>
        <v/>
      </c>
      <c r="R773" s="19">
        <f>R772+IF(LEN($AB$773)&gt;0,1,0)</f>
        <v/>
      </c>
      <c r="S773" s="19">
        <f>S772+IF(LEN($AC$773)&gt;0,1,0)</f>
        <v/>
      </c>
      <c r="T773" s="19">
        <f>T772+IF(LEN($AD$773)&gt;0,1,0)</f>
        <v/>
      </c>
      <c r="U773" s="19">
        <f>U772+IF(LEN($AE$773)&gt;0,1,0)</f>
        <v/>
      </c>
      <c r="V773" s="19">
        <f>V772+IF(LEN($AF$773)&gt;0,1,0)</f>
        <v/>
      </c>
      <c r="X773" s="19">
        <f>IF(ISERROR($B$773),"",IF(ISBLANK($B$773),"",$B$773))</f>
        <v/>
      </c>
      <c r="Y773" s="19">
        <f>IF(ISERROR($C$773),"",IF(ISBLANK($C$773),"",$C$773))</f>
        <v/>
      </c>
      <c r="Z773" s="19">
        <f>IF(ISERROR($D$773),"",IF(ISBLANK($D$773),"",$D$773))</f>
        <v/>
      </c>
      <c r="AA773" s="19">
        <f>IF(ISERROR($E$773),"",IF(ISBLANK($E$773),"",$E$773))</f>
        <v/>
      </c>
      <c r="AB773" s="19">
        <f>IF(ISERROR($F$773),"",IF(ISBLANK($F$773),"",$F$773))</f>
        <v/>
      </c>
      <c r="AC773" s="19">
        <f>IF(ISERROR($G$773),"",IF(ISBLANK($G$773),"",$G$773))</f>
        <v/>
      </c>
      <c r="AD773" s="19">
        <f>IF(ISERROR($H$773),"",IF(ISBLANK($H$773),"",$H$773))</f>
        <v/>
      </c>
      <c r="AE773" s="19">
        <f>IF(ISERROR($I$773),"",IF(ISBLANK($I$773),"",$I$773))</f>
        <v/>
      </c>
      <c r="AF773" s="19">
        <f>IF(ISERROR($J$773),"",IF(ISBLANK($J$773),"",$J$773))</f>
        <v/>
      </c>
      <c r="AG773" s="19">
        <f>ISERROR($B$773)*1+ISERROR($C$773)*1+ISERROR($D$773)*1+ISERROR($E$773)*1+ISERROR($F$773)*1+ISERROR($G$773)*1+ISERROR($H$773)*1+ISERROR($I$773)*1+ISERROR($J$773)*1</f>
        <v/>
      </c>
    </row>
    <row r="774" ht="26" customHeight="1">
      <c r="B774" s="30" t="n"/>
      <c r="C774" s="3" t="n"/>
      <c r="D774" s="3" t="n"/>
      <c r="E774" s="3" t="n"/>
      <c r="F774" s="3" t="n"/>
      <c r="G774" s="3" t="n"/>
      <c r="H774" s="3" t="n"/>
      <c r="I774" s="3" t="n"/>
      <c r="J774" s="3" t="n"/>
      <c r="K774" s="18">
        <f>IF(AG774&gt;0,"O Google leu como fórmula: digite de novo com ' na frente.","")</f>
        <v/>
      </c>
      <c r="N774" s="19">
        <f>N773+IF(LEN($X$774)&gt;0,1,0)</f>
        <v/>
      </c>
      <c r="O774" s="19">
        <f>O773+IF(LEN($Y$774)&gt;0,1,0)</f>
        <v/>
      </c>
      <c r="P774" s="19">
        <f>P773+IF(LEN($Z$774)&gt;0,1,0)</f>
        <v/>
      </c>
      <c r="Q774" s="19">
        <f>Q773+IF(LEN($AA$774)&gt;0,1,0)</f>
        <v/>
      </c>
      <c r="R774" s="19">
        <f>R773+IF(LEN($AB$774)&gt;0,1,0)</f>
        <v/>
      </c>
      <c r="S774" s="19">
        <f>S773+IF(LEN($AC$774)&gt;0,1,0)</f>
        <v/>
      </c>
      <c r="T774" s="19">
        <f>T773+IF(LEN($AD$774)&gt;0,1,0)</f>
        <v/>
      </c>
      <c r="U774" s="19">
        <f>U773+IF(LEN($AE$774)&gt;0,1,0)</f>
        <v/>
      </c>
      <c r="V774" s="19">
        <f>V773+IF(LEN($AF$774)&gt;0,1,0)</f>
        <v/>
      </c>
      <c r="X774" s="19">
        <f>IF(ISERROR($B$774),"",IF(ISBLANK($B$774),"",$B$774))</f>
        <v/>
      </c>
      <c r="Y774" s="19">
        <f>IF(ISERROR($C$774),"",IF(ISBLANK($C$774),"",$C$774))</f>
        <v/>
      </c>
      <c r="Z774" s="19">
        <f>IF(ISERROR($D$774),"",IF(ISBLANK($D$774),"",$D$774))</f>
        <v/>
      </c>
      <c r="AA774" s="19">
        <f>IF(ISERROR($E$774),"",IF(ISBLANK($E$774),"",$E$774))</f>
        <v/>
      </c>
      <c r="AB774" s="19">
        <f>IF(ISERROR($F$774),"",IF(ISBLANK($F$774),"",$F$774))</f>
        <v/>
      </c>
      <c r="AC774" s="19">
        <f>IF(ISERROR($G$774),"",IF(ISBLANK($G$774),"",$G$774))</f>
        <v/>
      </c>
      <c r="AD774" s="19">
        <f>IF(ISERROR($H$774),"",IF(ISBLANK($H$774),"",$H$774))</f>
        <v/>
      </c>
      <c r="AE774" s="19">
        <f>IF(ISERROR($I$774),"",IF(ISBLANK($I$774),"",$I$774))</f>
        <v/>
      </c>
      <c r="AF774" s="19">
        <f>IF(ISERROR($J$774),"",IF(ISBLANK($J$774),"",$J$774))</f>
        <v/>
      </c>
      <c r="AG774" s="19">
        <f>ISERROR($B$774)*1+ISERROR($C$774)*1+ISERROR($D$774)*1+ISERROR($E$774)*1+ISERROR($F$774)*1+ISERROR($G$774)*1+ISERROR($H$774)*1+ISERROR($I$774)*1+ISERROR($J$774)*1</f>
        <v/>
      </c>
    </row>
    <row r="775" ht="26" customHeight="1">
      <c r="B775" s="31" t="n"/>
      <c r="C775" s="28" t="n"/>
      <c r="D775" s="28" t="n"/>
      <c r="E775" s="28" t="n"/>
      <c r="F775" s="28" t="n"/>
      <c r="G775" s="28" t="n"/>
      <c r="H775" s="28" t="n"/>
      <c r="I775" s="28" t="n"/>
      <c r="J775" s="28" t="n"/>
      <c r="K775" s="18">
        <f>IF(AG775&gt;0,"O Google leu como fórmula: digite de novo com ' na frente.","")</f>
        <v/>
      </c>
      <c r="N775" s="19">
        <f>N774+IF(LEN($X$775)&gt;0,1,0)</f>
        <v/>
      </c>
      <c r="O775" s="19">
        <f>O774+IF(LEN($Y$775)&gt;0,1,0)</f>
        <v/>
      </c>
      <c r="P775" s="19">
        <f>P774+IF(LEN($Z$775)&gt;0,1,0)</f>
        <v/>
      </c>
      <c r="Q775" s="19">
        <f>Q774+IF(LEN($AA$775)&gt;0,1,0)</f>
        <v/>
      </c>
      <c r="R775" s="19">
        <f>R774+IF(LEN($AB$775)&gt;0,1,0)</f>
        <v/>
      </c>
      <c r="S775" s="19">
        <f>S774+IF(LEN($AC$775)&gt;0,1,0)</f>
        <v/>
      </c>
      <c r="T775" s="19">
        <f>T774+IF(LEN($AD$775)&gt;0,1,0)</f>
        <v/>
      </c>
      <c r="U775" s="19">
        <f>U774+IF(LEN($AE$775)&gt;0,1,0)</f>
        <v/>
      </c>
      <c r="V775" s="19">
        <f>V774+IF(LEN($AF$775)&gt;0,1,0)</f>
        <v/>
      </c>
      <c r="X775" s="19">
        <f>IF(ISERROR($B$775),"",IF(ISBLANK($B$775),"",$B$775))</f>
        <v/>
      </c>
      <c r="Y775" s="19">
        <f>IF(ISERROR($C$775),"",IF(ISBLANK($C$775),"",$C$775))</f>
        <v/>
      </c>
      <c r="Z775" s="19">
        <f>IF(ISERROR($D$775),"",IF(ISBLANK($D$775),"",$D$775))</f>
        <v/>
      </c>
      <c r="AA775" s="19">
        <f>IF(ISERROR($E$775),"",IF(ISBLANK($E$775),"",$E$775))</f>
        <v/>
      </c>
      <c r="AB775" s="19">
        <f>IF(ISERROR($F$775),"",IF(ISBLANK($F$775),"",$F$775))</f>
        <v/>
      </c>
      <c r="AC775" s="19">
        <f>IF(ISERROR($G$775),"",IF(ISBLANK($G$775),"",$G$775))</f>
        <v/>
      </c>
      <c r="AD775" s="19">
        <f>IF(ISERROR($H$775),"",IF(ISBLANK($H$775),"",$H$775))</f>
        <v/>
      </c>
      <c r="AE775" s="19">
        <f>IF(ISERROR($I$775),"",IF(ISBLANK($I$775),"",$I$775))</f>
        <v/>
      </c>
      <c r="AF775" s="19">
        <f>IF(ISERROR($J$775),"",IF(ISBLANK($J$775),"",$J$775))</f>
        <v/>
      </c>
      <c r="AG775" s="19">
        <f>ISERROR($B$775)*1+ISERROR($C$775)*1+ISERROR($D$775)*1+ISERROR($E$775)*1+ISERROR($F$775)*1+ISERROR($G$775)*1+ISERROR($H$775)*1+ISERROR($I$775)*1+ISERROR($J$775)*1</f>
        <v/>
      </c>
    </row>
    <row r="776" ht="26" customHeight="1">
      <c r="B776" s="30" t="n"/>
      <c r="C776" s="3" t="n"/>
      <c r="D776" s="3" t="n"/>
      <c r="E776" s="3" t="n"/>
      <c r="F776" s="3" t="n"/>
      <c r="G776" s="3" t="n"/>
      <c r="H776" s="3" t="n"/>
      <c r="I776" s="3" t="n"/>
      <c r="J776" s="3" t="n"/>
      <c r="K776" s="18">
        <f>IF(AG776&gt;0,"O Google leu como fórmula: digite de novo com ' na frente.","")</f>
        <v/>
      </c>
      <c r="N776" s="19">
        <f>N775+IF(LEN($X$776)&gt;0,1,0)</f>
        <v/>
      </c>
      <c r="O776" s="19">
        <f>O775+IF(LEN($Y$776)&gt;0,1,0)</f>
        <v/>
      </c>
      <c r="P776" s="19">
        <f>P775+IF(LEN($Z$776)&gt;0,1,0)</f>
        <v/>
      </c>
      <c r="Q776" s="19">
        <f>Q775+IF(LEN($AA$776)&gt;0,1,0)</f>
        <v/>
      </c>
      <c r="R776" s="19">
        <f>R775+IF(LEN($AB$776)&gt;0,1,0)</f>
        <v/>
      </c>
      <c r="S776" s="19">
        <f>S775+IF(LEN($AC$776)&gt;0,1,0)</f>
        <v/>
      </c>
      <c r="T776" s="19">
        <f>T775+IF(LEN($AD$776)&gt;0,1,0)</f>
        <v/>
      </c>
      <c r="U776" s="19">
        <f>U775+IF(LEN($AE$776)&gt;0,1,0)</f>
        <v/>
      </c>
      <c r="V776" s="19">
        <f>V775+IF(LEN($AF$776)&gt;0,1,0)</f>
        <v/>
      </c>
      <c r="X776" s="19">
        <f>IF(ISERROR($B$776),"",IF(ISBLANK($B$776),"",$B$776))</f>
        <v/>
      </c>
      <c r="Y776" s="19">
        <f>IF(ISERROR($C$776),"",IF(ISBLANK($C$776),"",$C$776))</f>
        <v/>
      </c>
      <c r="Z776" s="19">
        <f>IF(ISERROR($D$776),"",IF(ISBLANK($D$776),"",$D$776))</f>
        <v/>
      </c>
      <c r="AA776" s="19">
        <f>IF(ISERROR($E$776),"",IF(ISBLANK($E$776),"",$E$776))</f>
        <v/>
      </c>
      <c r="AB776" s="19">
        <f>IF(ISERROR($F$776),"",IF(ISBLANK($F$776),"",$F$776))</f>
        <v/>
      </c>
      <c r="AC776" s="19">
        <f>IF(ISERROR($G$776),"",IF(ISBLANK($G$776),"",$G$776))</f>
        <v/>
      </c>
      <c r="AD776" s="19">
        <f>IF(ISERROR($H$776),"",IF(ISBLANK($H$776),"",$H$776))</f>
        <v/>
      </c>
      <c r="AE776" s="19">
        <f>IF(ISERROR($I$776),"",IF(ISBLANK($I$776),"",$I$776))</f>
        <v/>
      </c>
      <c r="AF776" s="19">
        <f>IF(ISERROR($J$776),"",IF(ISBLANK($J$776),"",$J$776))</f>
        <v/>
      </c>
      <c r="AG776" s="19">
        <f>ISERROR($B$776)*1+ISERROR($C$776)*1+ISERROR($D$776)*1+ISERROR($E$776)*1+ISERROR($F$776)*1+ISERROR($G$776)*1+ISERROR($H$776)*1+ISERROR($I$776)*1+ISERROR($J$776)*1</f>
        <v/>
      </c>
    </row>
    <row r="777" ht="26" customHeight="1">
      <c r="B777" s="31" t="n"/>
      <c r="C777" s="28" t="n"/>
      <c r="D777" s="28" t="n"/>
      <c r="E777" s="28" t="n"/>
      <c r="F777" s="28" t="n"/>
      <c r="G777" s="28" t="n"/>
      <c r="H777" s="28" t="n"/>
      <c r="I777" s="28" t="n"/>
      <c r="J777" s="28" t="n"/>
      <c r="K777" s="18">
        <f>IF(AG777&gt;0,"O Google leu como fórmula: digite de novo com ' na frente.","")</f>
        <v/>
      </c>
      <c r="N777" s="19">
        <f>N776+IF(LEN($X$777)&gt;0,1,0)</f>
        <v/>
      </c>
      <c r="O777" s="19">
        <f>O776+IF(LEN($Y$777)&gt;0,1,0)</f>
        <v/>
      </c>
      <c r="P777" s="19">
        <f>P776+IF(LEN($Z$777)&gt;0,1,0)</f>
        <v/>
      </c>
      <c r="Q777" s="19">
        <f>Q776+IF(LEN($AA$777)&gt;0,1,0)</f>
        <v/>
      </c>
      <c r="R777" s="19">
        <f>R776+IF(LEN($AB$777)&gt;0,1,0)</f>
        <v/>
      </c>
      <c r="S777" s="19">
        <f>S776+IF(LEN($AC$777)&gt;0,1,0)</f>
        <v/>
      </c>
      <c r="T777" s="19">
        <f>T776+IF(LEN($AD$777)&gt;0,1,0)</f>
        <v/>
      </c>
      <c r="U777" s="19">
        <f>U776+IF(LEN($AE$777)&gt;0,1,0)</f>
        <v/>
      </c>
      <c r="V777" s="19">
        <f>V776+IF(LEN($AF$777)&gt;0,1,0)</f>
        <v/>
      </c>
      <c r="X777" s="19">
        <f>IF(ISERROR($B$777),"",IF(ISBLANK($B$777),"",$B$777))</f>
        <v/>
      </c>
      <c r="Y777" s="19">
        <f>IF(ISERROR($C$777),"",IF(ISBLANK($C$777),"",$C$777))</f>
        <v/>
      </c>
      <c r="Z777" s="19">
        <f>IF(ISERROR($D$777),"",IF(ISBLANK($D$777),"",$D$777))</f>
        <v/>
      </c>
      <c r="AA777" s="19">
        <f>IF(ISERROR($E$777),"",IF(ISBLANK($E$777),"",$E$777))</f>
        <v/>
      </c>
      <c r="AB777" s="19">
        <f>IF(ISERROR($F$777),"",IF(ISBLANK($F$777),"",$F$777))</f>
        <v/>
      </c>
      <c r="AC777" s="19">
        <f>IF(ISERROR($G$777),"",IF(ISBLANK($G$777),"",$G$777))</f>
        <v/>
      </c>
      <c r="AD777" s="19">
        <f>IF(ISERROR($H$777),"",IF(ISBLANK($H$777),"",$H$777))</f>
        <v/>
      </c>
      <c r="AE777" s="19">
        <f>IF(ISERROR($I$777),"",IF(ISBLANK($I$777),"",$I$777))</f>
        <v/>
      </c>
      <c r="AF777" s="19">
        <f>IF(ISERROR($J$777),"",IF(ISBLANK($J$777),"",$J$777))</f>
        <v/>
      </c>
      <c r="AG777" s="19">
        <f>ISERROR($B$777)*1+ISERROR($C$777)*1+ISERROR($D$777)*1+ISERROR($E$777)*1+ISERROR($F$777)*1+ISERROR($G$777)*1+ISERROR($H$777)*1+ISERROR($I$777)*1+ISERROR($J$777)*1</f>
        <v/>
      </c>
    </row>
    <row r="778" ht="26" customHeight="1">
      <c r="B778" s="30" t="n"/>
      <c r="C778" s="3" t="n"/>
      <c r="D778" s="3" t="n"/>
      <c r="E778" s="3" t="n"/>
      <c r="F778" s="3" t="n"/>
      <c r="G778" s="3" t="n"/>
      <c r="H778" s="3" t="n"/>
      <c r="I778" s="3" t="n"/>
      <c r="J778" s="3" t="n"/>
      <c r="K778" s="18">
        <f>IF(AG778&gt;0,"O Google leu como fórmula: digite de novo com ' na frente.","")</f>
        <v/>
      </c>
      <c r="N778" s="19">
        <f>N777+IF(LEN($X$778)&gt;0,1,0)</f>
        <v/>
      </c>
      <c r="O778" s="19">
        <f>O777+IF(LEN($Y$778)&gt;0,1,0)</f>
        <v/>
      </c>
      <c r="P778" s="19">
        <f>P777+IF(LEN($Z$778)&gt;0,1,0)</f>
        <v/>
      </c>
      <c r="Q778" s="19">
        <f>Q777+IF(LEN($AA$778)&gt;0,1,0)</f>
        <v/>
      </c>
      <c r="R778" s="19">
        <f>R777+IF(LEN($AB$778)&gt;0,1,0)</f>
        <v/>
      </c>
      <c r="S778" s="19">
        <f>S777+IF(LEN($AC$778)&gt;0,1,0)</f>
        <v/>
      </c>
      <c r="T778" s="19">
        <f>T777+IF(LEN($AD$778)&gt;0,1,0)</f>
        <v/>
      </c>
      <c r="U778" s="19">
        <f>U777+IF(LEN($AE$778)&gt;0,1,0)</f>
        <v/>
      </c>
      <c r="V778" s="19">
        <f>V777+IF(LEN($AF$778)&gt;0,1,0)</f>
        <v/>
      </c>
      <c r="X778" s="19">
        <f>IF(ISERROR($B$778),"",IF(ISBLANK($B$778),"",$B$778))</f>
        <v/>
      </c>
      <c r="Y778" s="19">
        <f>IF(ISERROR($C$778),"",IF(ISBLANK($C$778),"",$C$778))</f>
        <v/>
      </c>
      <c r="Z778" s="19">
        <f>IF(ISERROR($D$778),"",IF(ISBLANK($D$778),"",$D$778))</f>
        <v/>
      </c>
      <c r="AA778" s="19">
        <f>IF(ISERROR($E$778),"",IF(ISBLANK($E$778),"",$E$778))</f>
        <v/>
      </c>
      <c r="AB778" s="19">
        <f>IF(ISERROR($F$778),"",IF(ISBLANK($F$778),"",$F$778))</f>
        <v/>
      </c>
      <c r="AC778" s="19">
        <f>IF(ISERROR($G$778),"",IF(ISBLANK($G$778),"",$G$778))</f>
        <v/>
      </c>
      <c r="AD778" s="19">
        <f>IF(ISERROR($H$778),"",IF(ISBLANK($H$778),"",$H$778))</f>
        <v/>
      </c>
      <c r="AE778" s="19">
        <f>IF(ISERROR($I$778),"",IF(ISBLANK($I$778),"",$I$778))</f>
        <v/>
      </c>
      <c r="AF778" s="19">
        <f>IF(ISERROR($J$778),"",IF(ISBLANK($J$778),"",$J$778))</f>
        <v/>
      </c>
      <c r="AG778" s="19">
        <f>ISERROR($B$778)*1+ISERROR($C$778)*1+ISERROR($D$778)*1+ISERROR($E$778)*1+ISERROR($F$778)*1+ISERROR($G$778)*1+ISERROR($H$778)*1+ISERROR($I$778)*1+ISERROR($J$778)*1</f>
        <v/>
      </c>
    </row>
    <row r="779" ht="26" customHeight="1">
      <c r="B779" s="31" t="n"/>
      <c r="C779" s="28" t="n"/>
      <c r="D779" s="28" t="n"/>
      <c r="E779" s="28" t="n"/>
      <c r="F779" s="28" t="n"/>
      <c r="G779" s="28" t="n"/>
      <c r="H779" s="28" t="n"/>
      <c r="I779" s="28" t="n"/>
      <c r="J779" s="28" t="n"/>
      <c r="K779" s="18">
        <f>IF(AG779&gt;0,"O Google leu como fórmula: digite de novo com ' na frente.","")</f>
        <v/>
      </c>
      <c r="N779" s="19">
        <f>N778+IF(LEN($X$779)&gt;0,1,0)</f>
        <v/>
      </c>
      <c r="O779" s="19">
        <f>O778+IF(LEN($Y$779)&gt;0,1,0)</f>
        <v/>
      </c>
      <c r="P779" s="19">
        <f>P778+IF(LEN($Z$779)&gt;0,1,0)</f>
        <v/>
      </c>
      <c r="Q779" s="19">
        <f>Q778+IF(LEN($AA$779)&gt;0,1,0)</f>
        <v/>
      </c>
      <c r="R779" s="19">
        <f>R778+IF(LEN($AB$779)&gt;0,1,0)</f>
        <v/>
      </c>
      <c r="S779" s="19">
        <f>S778+IF(LEN($AC$779)&gt;0,1,0)</f>
        <v/>
      </c>
      <c r="T779" s="19">
        <f>T778+IF(LEN($AD$779)&gt;0,1,0)</f>
        <v/>
      </c>
      <c r="U779" s="19">
        <f>U778+IF(LEN($AE$779)&gt;0,1,0)</f>
        <v/>
      </c>
      <c r="V779" s="19">
        <f>V778+IF(LEN($AF$779)&gt;0,1,0)</f>
        <v/>
      </c>
      <c r="X779" s="19">
        <f>IF(ISERROR($B$779),"",IF(ISBLANK($B$779),"",$B$779))</f>
        <v/>
      </c>
      <c r="Y779" s="19">
        <f>IF(ISERROR($C$779),"",IF(ISBLANK($C$779),"",$C$779))</f>
        <v/>
      </c>
      <c r="Z779" s="19">
        <f>IF(ISERROR($D$779),"",IF(ISBLANK($D$779),"",$D$779))</f>
        <v/>
      </c>
      <c r="AA779" s="19">
        <f>IF(ISERROR($E$779),"",IF(ISBLANK($E$779),"",$E$779))</f>
        <v/>
      </c>
      <c r="AB779" s="19">
        <f>IF(ISERROR($F$779),"",IF(ISBLANK($F$779),"",$F$779))</f>
        <v/>
      </c>
      <c r="AC779" s="19">
        <f>IF(ISERROR($G$779),"",IF(ISBLANK($G$779),"",$G$779))</f>
        <v/>
      </c>
      <c r="AD779" s="19">
        <f>IF(ISERROR($H$779),"",IF(ISBLANK($H$779),"",$H$779))</f>
        <v/>
      </c>
      <c r="AE779" s="19">
        <f>IF(ISERROR($I$779),"",IF(ISBLANK($I$779),"",$I$779))</f>
        <v/>
      </c>
      <c r="AF779" s="19">
        <f>IF(ISERROR($J$779),"",IF(ISBLANK($J$779),"",$J$779))</f>
        <v/>
      </c>
      <c r="AG779" s="19">
        <f>ISERROR($B$779)*1+ISERROR($C$779)*1+ISERROR($D$779)*1+ISERROR($E$779)*1+ISERROR($F$779)*1+ISERROR($G$779)*1+ISERROR($H$779)*1+ISERROR($I$779)*1+ISERROR($J$779)*1</f>
        <v/>
      </c>
    </row>
    <row r="780" ht="26" customHeight="1">
      <c r="B780" s="30" t="n"/>
      <c r="C780" s="3" t="n"/>
      <c r="D780" s="3" t="n"/>
      <c r="E780" s="3" t="n"/>
      <c r="F780" s="3" t="n"/>
      <c r="G780" s="3" t="n"/>
      <c r="H780" s="3" t="n"/>
      <c r="I780" s="3" t="n"/>
      <c r="J780" s="3" t="n"/>
      <c r="K780" s="18">
        <f>IF(AG780&gt;0,"O Google leu como fórmula: digite de novo com ' na frente.","")</f>
        <v/>
      </c>
      <c r="N780" s="19">
        <f>N779+IF(LEN($X$780)&gt;0,1,0)</f>
        <v/>
      </c>
      <c r="O780" s="19">
        <f>O779+IF(LEN($Y$780)&gt;0,1,0)</f>
        <v/>
      </c>
      <c r="P780" s="19">
        <f>P779+IF(LEN($Z$780)&gt;0,1,0)</f>
        <v/>
      </c>
      <c r="Q780" s="19">
        <f>Q779+IF(LEN($AA$780)&gt;0,1,0)</f>
        <v/>
      </c>
      <c r="R780" s="19">
        <f>R779+IF(LEN($AB$780)&gt;0,1,0)</f>
        <v/>
      </c>
      <c r="S780" s="19">
        <f>S779+IF(LEN($AC$780)&gt;0,1,0)</f>
        <v/>
      </c>
      <c r="T780" s="19">
        <f>T779+IF(LEN($AD$780)&gt;0,1,0)</f>
        <v/>
      </c>
      <c r="U780" s="19">
        <f>U779+IF(LEN($AE$780)&gt;0,1,0)</f>
        <v/>
      </c>
      <c r="V780" s="19">
        <f>V779+IF(LEN($AF$780)&gt;0,1,0)</f>
        <v/>
      </c>
      <c r="X780" s="19">
        <f>IF(ISERROR($B$780),"",IF(ISBLANK($B$780),"",$B$780))</f>
        <v/>
      </c>
      <c r="Y780" s="19">
        <f>IF(ISERROR($C$780),"",IF(ISBLANK($C$780),"",$C$780))</f>
        <v/>
      </c>
      <c r="Z780" s="19">
        <f>IF(ISERROR($D$780),"",IF(ISBLANK($D$780),"",$D$780))</f>
        <v/>
      </c>
      <c r="AA780" s="19">
        <f>IF(ISERROR($E$780),"",IF(ISBLANK($E$780),"",$E$780))</f>
        <v/>
      </c>
      <c r="AB780" s="19">
        <f>IF(ISERROR($F$780),"",IF(ISBLANK($F$780),"",$F$780))</f>
        <v/>
      </c>
      <c r="AC780" s="19">
        <f>IF(ISERROR($G$780),"",IF(ISBLANK($G$780),"",$G$780))</f>
        <v/>
      </c>
      <c r="AD780" s="19">
        <f>IF(ISERROR($H$780),"",IF(ISBLANK($H$780),"",$H$780))</f>
        <v/>
      </c>
      <c r="AE780" s="19">
        <f>IF(ISERROR($I$780),"",IF(ISBLANK($I$780),"",$I$780))</f>
        <v/>
      </c>
      <c r="AF780" s="19">
        <f>IF(ISERROR($J$780),"",IF(ISBLANK($J$780),"",$J$780))</f>
        <v/>
      </c>
      <c r="AG780" s="19">
        <f>ISERROR($B$780)*1+ISERROR($C$780)*1+ISERROR($D$780)*1+ISERROR($E$780)*1+ISERROR($F$780)*1+ISERROR($G$780)*1+ISERROR($H$780)*1+ISERROR($I$780)*1+ISERROR($J$780)*1</f>
        <v/>
      </c>
    </row>
    <row r="781" ht="26" customHeight="1">
      <c r="B781" s="31" t="n"/>
      <c r="C781" s="28" t="n"/>
      <c r="D781" s="28" t="n"/>
      <c r="E781" s="28" t="n"/>
      <c r="F781" s="28" t="n"/>
      <c r="G781" s="28" t="n"/>
      <c r="H781" s="28" t="n"/>
      <c r="I781" s="28" t="n"/>
      <c r="J781" s="28" t="n"/>
      <c r="K781" s="18">
        <f>IF(AG781&gt;0,"O Google leu como fórmula: digite de novo com ' na frente.","")</f>
        <v/>
      </c>
      <c r="N781" s="19">
        <f>N780+IF(LEN($X$781)&gt;0,1,0)</f>
        <v/>
      </c>
      <c r="O781" s="19">
        <f>O780+IF(LEN($Y$781)&gt;0,1,0)</f>
        <v/>
      </c>
      <c r="P781" s="19">
        <f>P780+IF(LEN($Z$781)&gt;0,1,0)</f>
        <v/>
      </c>
      <c r="Q781" s="19">
        <f>Q780+IF(LEN($AA$781)&gt;0,1,0)</f>
        <v/>
      </c>
      <c r="R781" s="19">
        <f>R780+IF(LEN($AB$781)&gt;0,1,0)</f>
        <v/>
      </c>
      <c r="S781" s="19">
        <f>S780+IF(LEN($AC$781)&gt;0,1,0)</f>
        <v/>
      </c>
      <c r="T781" s="19">
        <f>T780+IF(LEN($AD$781)&gt;0,1,0)</f>
        <v/>
      </c>
      <c r="U781" s="19">
        <f>U780+IF(LEN($AE$781)&gt;0,1,0)</f>
        <v/>
      </c>
      <c r="V781" s="19">
        <f>V780+IF(LEN($AF$781)&gt;0,1,0)</f>
        <v/>
      </c>
      <c r="X781" s="19">
        <f>IF(ISERROR($B$781),"",IF(ISBLANK($B$781),"",$B$781))</f>
        <v/>
      </c>
      <c r="Y781" s="19">
        <f>IF(ISERROR($C$781),"",IF(ISBLANK($C$781),"",$C$781))</f>
        <v/>
      </c>
      <c r="Z781" s="19">
        <f>IF(ISERROR($D$781),"",IF(ISBLANK($D$781),"",$D$781))</f>
        <v/>
      </c>
      <c r="AA781" s="19">
        <f>IF(ISERROR($E$781),"",IF(ISBLANK($E$781),"",$E$781))</f>
        <v/>
      </c>
      <c r="AB781" s="19">
        <f>IF(ISERROR($F$781),"",IF(ISBLANK($F$781),"",$F$781))</f>
        <v/>
      </c>
      <c r="AC781" s="19">
        <f>IF(ISERROR($G$781),"",IF(ISBLANK($G$781),"",$G$781))</f>
        <v/>
      </c>
      <c r="AD781" s="19">
        <f>IF(ISERROR($H$781),"",IF(ISBLANK($H$781),"",$H$781))</f>
        <v/>
      </c>
      <c r="AE781" s="19">
        <f>IF(ISERROR($I$781),"",IF(ISBLANK($I$781),"",$I$781))</f>
        <v/>
      </c>
      <c r="AF781" s="19">
        <f>IF(ISERROR($J$781),"",IF(ISBLANK($J$781),"",$J$781))</f>
        <v/>
      </c>
      <c r="AG781" s="19">
        <f>ISERROR($B$781)*1+ISERROR($C$781)*1+ISERROR($D$781)*1+ISERROR($E$781)*1+ISERROR($F$781)*1+ISERROR($G$781)*1+ISERROR($H$781)*1+ISERROR($I$781)*1+ISERROR($J$781)*1</f>
        <v/>
      </c>
    </row>
    <row r="782" ht="26" customHeight="1">
      <c r="B782" s="30" t="n"/>
      <c r="C782" s="3" t="n"/>
      <c r="D782" s="3" t="n"/>
      <c r="E782" s="3" t="n"/>
      <c r="F782" s="3" t="n"/>
      <c r="G782" s="3" t="n"/>
      <c r="H782" s="3" t="n"/>
      <c r="I782" s="3" t="n"/>
      <c r="J782" s="3" t="n"/>
      <c r="K782" s="18">
        <f>IF(AG782&gt;0,"O Google leu como fórmula: digite de novo com ' na frente.","")</f>
        <v/>
      </c>
      <c r="N782" s="19">
        <f>N781+IF(LEN($X$782)&gt;0,1,0)</f>
        <v/>
      </c>
      <c r="O782" s="19">
        <f>O781+IF(LEN($Y$782)&gt;0,1,0)</f>
        <v/>
      </c>
      <c r="P782" s="19">
        <f>P781+IF(LEN($Z$782)&gt;0,1,0)</f>
        <v/>
      </c>
      <c r="Q782" s="19">
        <f>Q781+IF(LEN($AA$782)&gt;0,1,0)</f>
        <v/>
      </c>
      <c r="R782" s="19">
        <f>R781+IF(LEN($AB$782)&gt;0,1,0)</f>
        <v/>
      </c>
      <c r="S782" s="19">
        <f>S781+IF(LEN($AC$782)&gt;0,1,0)</f>
        <v/>
      </c>
      <c r="T782" s="19">
        <f>T781+IF(LEN($AD$782)&gt;0,1,0)</f>
        <v/>
      </c>
      <c r="U782" s="19">
        <f>U781+IF(LEN($AE$782)&gt;0,1,0)</f>
        <v/>
      </c>
      <c r="V782" s="19">
        <f>V781+IF(LEN($AF$782)&gt;0,1,0)</f>
        <v/>
      </c>
      <c r="X782" s="19">
        <f>IF(ISERROR($B$782),"",IF(ISBLANK($B$782),"",$B$782))</f>
        <v/>
      </c>
      <c r="Y782" s="19">
        <f>IF(ISERROR($C$782),"",IF(ISBLANK($C$782),"",$C$782))</f>
        <v/>
      </c>
      <c r="Z782" s="19">
        <f>IF(ISERROR($D$782),"",IF(ISBLANK($D$782),"",$D$782))</f>
        <v/>
      </c>
      <c r="AA782" s="19">
        <f>IF(ISERROR($E$782),"",IF(ISBLANK($E$782),"",$E$782))</f>
        <v/>
      </c>
      <c r="AB782" s="19">
        <f>IF(ISERROR($F$782),"",IF(ISBLANK($F$782),"",$F$782))</f>
        <v/>
      </c>
      <c r="AC782" s="19">
        <f>IF(ISERROR($G$782),"",IF(ISBLANK($G$782),"",$G$782))</f>
        <v/>
      </c>
      <c r="AD782" s="19">
        <f>IF(ISERROR($H$782),"",IF(ISBLANK($H$782),"",$H$782))</f>
        <v/>
      </c>
      <c r="AE782" s="19">
        <f>IF(ISERROR($I$782),"",IF(ISBLANK($I$782),"",$I$782))</f>
        <v/>
      </c>
      <c r="AF782" s="19">
        <f>IF(ISERROR($J$782),"",IF(ISBLANK($J$782),"",$J$782))</f>
        <v/>
      </c>
      <c r="AG782" s="19">
        <f>ISERROR($B$782)*1+ISERROR($C$782)*1+ISERROR($D$782)*1+ISERROR($E$782)*1+ISERROR($F$782)*1+ISERROR($G$782)*1+ISERROR($H$782)*1+ISERROR($I$782)*1+ISERROR($J$782)*1</f>
        <v/>
      </c>
    </row>
    <row r="783" ht="26" customHeight="1">
      <c r="B783" s="31" t="n"/>
      <c r="C783" s="28" t="n"/>
      <c r="D783" s="28" t="n"/>
      <c r="E783" s="28" t="n"/>
      <c r="F783" s="28" t="n"/>
      <c r="G783" s="28" t="n"/>
      <c r="H783" s="28" t="n"/>
      <c r="I783" s="28" t="n"/>
      <c r="J783" s="28" t="n"/>
      <c r="K783" s="18">
        <f>IF(AG783&gt;0,"O Google leu como fórmula: digite de novo com ' na frente.","")</f>
        <v/>
      </c>
      <c r="N783" s="19">
        <f>N782+IF(LEN($X$783)&gt;0,1,0)</f>
        <v/>
      </c>
      <c r="O783" s="19">
        <f>O782+IF(LEN($Y$783)&gt;0,1,0)</f>
        <v/>
      </c>
      <c r="P783" s="19">
        <f>P782+IF(LEN($Z$783)&gt;0,1,0)</f>
        <v/>
      </c>
      <c r="Q783" s="19">
        <f>Q782+IF(LEN($AA$783)&gt;0,1,0)</f>
        <v/>
      </c>
      <c r="R783" s="19">
        <f>R782+IF(LEN($AB$783)&gt;0,1,0)</f>
        <v/>
      </c>
      <c r="S783" s="19">
        <f>S782+IF(LEN($AC$783)&gt;0,1,0)</f>
        <v/>
      </c>
      <c r="T783" s="19">
        <f>T782+IF(LEN($AD$783)&gt;0,1,0)</f>
        <v/>
      </c>
      <c r="U783" s="19">
        <f>U782+IF(LEN($AE$783)&gt;0,1,0)</f>
        <v/>
      </c>
      <c r="V783" s="19">
        <f>V782+IF(LEN($AF$783)&gt;0,1,0)</f>
        <v/>
      </c>
      <c r="X783" s="19">
        <f>IF(ISERROR($B$783),"",IF(ISBLANK($B$783),"",$B$783))</f>
        <v/>
      </c>
      <c r="Y783" s="19">
        <f>IF(ISERROR($C$783),"",IF(ISBLANK($C$783),"",$C$783))</f>
        <v/>
      </c>
      <c r="Z783" s="19">
        <f>IF(ISERROR($D$783),"",IF(ISBLANK($D$783),"",$D$783))</f>
        <v/>
      </c>
      <c r="AA783" s="19">
        <f>IF(ISERROR($E$783),"",IF(ISBLANK($E$783),"",$E$783))</f>
        <v/>
      </c>
      <c r="AB783" s="19">
        <f>IF(ISERROR($F$783),"",IF(ISBLANK($F$783),"",$F$783))</f>
        <v/>
      </c>
      <c r="AC783" s="19">
        <f>IF(ISERROR($G$783),"",IF(ISBLANK($G$783),"",$G$783))</f>
        <v/>
      </c>
      <c r="AD783" s="19">
        <f>IF(ISERROR($H$783),"",IF(ISBLANK($H$783),"",$H$783))</f>
        <v/>
      </c>
      <c r="AE783" s="19">
        <f>IF(ISERROR($I$783),"",IF(ISBLANK($I$783),"",$I$783))</f>
        <v/>
      </c>
      <c r="AF783" s="19">
        <f>IF(ISERROR($J$783),"",IF(ISBLANK($J$783),"",$J$783))</f>
        <v/>
      </c>
      <c r="AG783" s="19">
        <f>ISERROR($B$783)*1+ISERROR($C$783)*1+ISERROR($D$783)*1+ISERROR($E$783)*1+ISERROR($F$783)*1+ISERROR($G$783)*1+ISERROR($H$783)*1+ISERROR($I$783)*1+ISERROR($J$783)*1</f>
        <v/>
      </c>
    </row>
    <row r="784" ht="26" customHeight="1">
      <c r="B784" s="30" t="n"/>
      <c r="C784" s="3" t="n"/>
      <c r="D784" s="3" t="n"/>
      <c r="E784" s="3" t="n"/>
      <c r="F784" s="3" t="n"/>
      <c r="G784" s="3" t="n"/>
      <c r="H784" s="3" t="n"/>
      <c r="I784" s="3" t="n"/>
      <c r="J784" s="3" t="n"/>
      <c r="K784" s="18">
        <f>IF(AG784&gt;0,"O Google leu como fórmula: digite de novo com ' na frente.","")</f>
        <v/>
      </c>
      <c r="N784" s="19">
        <f>N783+IF(LEN($X$784)&gt;0,1,0)</f>
        <v/>
      </c>
      <c r="O784" s="19">
        <f>O783+IF(LEN($Y$784)&gt;0,1,0)</f>
        <v/>
      </c>
      <c r="P784" s="19">
        <f>P783+IF(LEN($Z$784)&gt;0,1,0)</f>
        <v/>
      </c>
      <c r="Q784" s="19">
        <f>Q783+IF(LEN($AA$784)&gt;0,1,0)</f>
        <v/>
      </c>
      <c r="R784" s="19">
        <f>R783+IF(LEN($AB$784)&gt;0,1,0)</f>
        <v/>
      </c>
      <c r="S784" s="19">
        <f>S783+IF(LEN($AC$784)&gt;0,1,0)</f>
        <v/>
      </c>
      <c r="T784" s="19">
        <f>T783+IF(LEN($AD$784)&gt;0,1,0)</f>
        <v/>
      </c>
      <c r="U784" s="19">
        <f>U783+IF(LEN($AE$784)&gt;0,1,0)</f>
        <v/>
      </c>
      <c r="V784" s="19">
        <f>V783+IF(LEN($AF$784)&gt;0,1,0)</f>
        <v/>
      </c>
      <c r="X784" s="19">
        <f>IF(ISERROR($B$784),"",IF(ISBLANK($B$784),"",$B$784))</f>
        <v/>
      </c>
      <c r="Y784" s="19">
        <f>IF(ISERROR($C$784),"",IF(ISBLANK($C$784),"",$C$784))</f>
        <v/>
      </c>
      <c r="Z784" s="19">
        <f>IF(ISERROR($D$784),"",IF(ISBLANK($D$784),"",$D$784))</f>
        <v/>
      </c>
      <c r="AA784" s="19">
        <f>IF(ISERROR($E$784),"",IF(ISBLANK($E$784),"",$E$784))</f>
        <v/>
      </c>
      <c r="AB784" s="19">
        <f>IF(ISERROR($F$784),"",IF(ISBLANK($F$784),"",$F$784))</f>
        <v/>
      </c>
      <c r="AC784" s="19">
        <f>IF(ISERROR($G$784),"",IF(ISBLANK($G$784),"",$G$784))</f>
        <v/>
      </c>
      <c r="AD784" s="19">
        <f>IF(ISERROR($H$784),"",IF(ISBLANK($H$784),"",$H$784))</f>
        <v/>
      </c>
      <c r="AE784" s="19">
        <f>IF(ISERROR($I$784),"",IF(ISBLANK($I$784),"",$I$784))</f>
        <v/>
      </c>
      <c r="AF784" s="19">
        <f>IF(ISERROR($J$784),"",IF(ISBLANK($J$784),"",$J$784))</f>
        <v/>
      </c>
      <c r="AG784" s="19">
        <f>ISERROR($B$784)*1+ISERROR($C$784)*1+ISERROR($D$784)*1+ISERROR($E$784)*1+ISERROR($F$784)*1+ISERROR($G$784)*1+ISERROR($H$784)*1+ISERROR($I$784)*1+ISERROR($J$784)*1</f>
        <v/>
      </c>
    </row>
    <row r="785" ht="26" customHeight="1">
      <c r="B785" s="7" t="inlineStr">
        <is>
          <t>Pista</t>
        </is>
      </c>
      <c r="C785" s="7" t="inlineStr">
        <is>
          <t>Bugiganga</t>
        </is>
      </c>
      <c r="D785" s="7" t="inlineStr">
        <is>
          <t>Nome do Cone (início)</t>
        </is>
      </c>
      <c r="E785" s="7" t="inlineStr">
        <is>
          <t>Nome do Cone (fim)</t>
        </is>
      </c>
      <c r="F785" s="7" t="inlineStr">
        <is>
          <t>Memória do Cone</t>
        </is>
      </c>
      <c r="G785" s="7" t="inlineStr">
        <is>
          <t>Gatilho do Efeito Condicional</t>
        </is>
      </c>
      <c r="H785" s="7" t="inlineStr">
        <is>
          <t>Nome do Conjunto</t>
        </is>
      </c>
      <c r="I785" s="7" t="inlineStr">
        <is>
          <t>Origem do Conjunto</t>
        </is>
      </c>
      <c r="J785" s="7" t="inlineStr">
        <is>
          <t>Efeito de 4 peças</t>
        </is>
      </c>
      <c r="N785" s="19">
        <f>N784</f>
        <v/>
      </c>
      <c r="O785" s="19">
        <f>O784</f>
        <v/>
      </c>
      <c r="P785" s="19">
        <f>P784</f>
        <v/>
      </c>
      <c r="Q785" s="19">
        <f>Q784</f>
        <v/>
      </c>
      <c r="R785" s="19">
        <f>R784</f>
        <v/>
      </c>
      <c r="S785" s="19">
        <f>S784</f>
        <v/>
      </c>
      <c r="T785" s="19">
        <f>T784</f>
        <v/>
      </c>
      <c r="U785" s="19">
        <f>U784</f>
        <v/>
      </c>
      <c r="V785" s="19">
        <f>V784</f>
        <v/>
      </c>
      <c r="X785" s="19">
        <f>IF(ISERROR($B$785),"",IF(ISBLANK($B$785),"",$B$785))</f>
        <v/>
      </c>
      <c r="Y785" s="19">
        <f>IF(ISERROR($C$785),"",IF(ISBLANK($C$785),"",$C$785))</f>
        <v/>
      </c>
      <c r="Z785" s="19">
        <f>IF(ISERROR($D$785),"",IF(ISBLANK($D$785),"",$D$785))</f>
        <v/>
      </c>
      <c r="AA785" s="19">
        <f>IF(ISERROR($E$785),"",IF(ISBLANK($E$785),"",$E$785))</f>
        <v/>
      </c>
      <c r="AB785" s="19">
        <f>IF(ISERROR($F$785),"",IF(ISBLANK($F$785),"",$F$785))</f>
        <v/>
      </c>
      <c r="AC785" s="19">
        <f>IF(ISERROR($G$785),"",IF(ISBLANK($G$785),"",$G$785))</f>
        <v/>
      </c>
      <c r="AD785" s="19">
        <f>IF(ISERROR($H$785),"",IF(ISBLANK($H$785),"",$H$785))</f>
        <v/>
      </c>
      <c r="AE785" s="19">
        <f>IF(ISERROR($I$785),"",IF(ISBLANK($I$785),"",$I$785))</f>
        <v/>
      </c>
      <c r="AF785" s="19">
        <f>IF(ISERROR($J$785),"",IF(ISBLANK($J$785),"",$J$785))</f>
        <v/>
      </c>
    </row>
    <row r="786" ht="26" customHeight="1">
      <c r="B786" s="30" t="n"/>
      <c r="C786" s="3" t="n"/>
      <c r="D786" s="3" t="n"/>
      <c r="E786" s="3" t="n"/>
      <c r="F786" s="3" t="n"/>
      <c r="G786" s="3" t="n"/>
      <c r="H786" s="3" t="n"/>
      <c r="I786" s="3" t="n"/>
      <c r="J786" s="3" t="n"/>
      <c r="K786" s="18">
        <f>IF(AG786&gt;0,"O Google leu como fórmula: digite de novo com ' na frente.","")</f>
        <v/>
      </c>
      <c r="N786" s="19">
        <f>N785+IF(LEN($X$786)&gt;0,1,0)</f>
        <v/>
      </c>
      <c r="O786" s="19">
        <f>O785+IF(LEN($Y$786)&gt;0,1,0)</f>
        <v/>
      </c>
      <c r="P786" s="19">
        <f>P785+IF(LEN($Z$786)&gt;0,1,0)</f>
        <v/>
      </c>
      <c r="Q786" s="19">
        <f>Q785+IF(LEN($AA$786)&gt;0,1,0)</f>
        <v/>
      </c>
      <c r="R786" s="19">
        <f>R785+IF(LEN($AB$786)&gt;0,1,0)</f>
        <v/>
      </c>
      <c r="S786" s="19">
        <f>S785+IF(LEN($AC$786)&gt;0,1,0)</f>
        <v/>
      </c>
      <c r="T786" s="19">
        <f>T785+IF(LEN($AD$786)&gt;0,1,0)</f>
        <v/>
      </c>
      <c r="U786" s="19">
        <f>U785+IF(LEN($AE$786)&gt;0,1,0)</f>
        <v/>
      </c>
      <c r="V786" s="19">
        <f>V785+IF(LEN($AF$786)&gt;0,1,0)</f>
        <v/>
      </c>
      <c r="X786" s="19">
        <f>IF(ISERROR($B$786),"",IF(ISBLANK($B$786),"",$B$786))</f>
        <v/>
      </c>
      <c r="Y786" s="19">
        <f>IF(ISERROR($C$786),"",IF(ISBLANK($C$786),"",$C$786))</f>
        <v/>
      </c>
      <c r="Z786" s="19">
        <f>IF(ISERROR($D$786),"",IF(ISBLANK($D$786),"",$D$786))</f>
        <v/>
      </c>
      <c r="AA786" s="19">
        <f>IF(ISERROR($E$786),"",IF(ISBLANK($E$786),"",$E$786))</f>
        <v/>
      </c>
      <c r="AB786" s="19">
        <f>IF(ISERROR($F$786),"",IF(ISBLANK($F$786),"",$F$786))</f>
        <v/>
      </c>
      <c r="AC786" s="19">
        <f>IF(ISERROR($G$786),"",IF(ISBLANK($G$786),"",$G$786))</f>
        <v/>
      </c>
      <c r="AD786" s="19">
        <f>IF(ISERROR($H$786),"",IF(ISBLANK($H$786),"",$H$786))</f>
        <v/>
      </c>
      <c r="AE786" s="19">
        <f>IF(ISERROR($I$786),"",IF(ISBLANK($I$786),"",$I$786))</f>
        <v/>
      </c>
      <c r="AF786" s="19">
        <f>IF(ISERROR($J$786),"",IF(ISBLANK($J$786),"",$J$786))</f>
        <v/>
      </c>
      <c r="AG786" s="19">
        <f>ISERROR($B$786)*1+ISERROR($C$786)*1+ISERROR($D$786)*1+ISERROR($E$786)*1+ISERROR($F$786)*1+ISERROR($G$786)*1+ISERROR($H$786)*1+ISERROR($I$786)*1+ISERROR($J$786)*1</f>
        <v/>
      </c>
    </row>
    <row r="787" ht="26" customHeight="1">
      <c r="B787" s="31" t="n"/>
      <c r="C787" s="28" t="n"/>
      <c r="D787" s="28" t="n"/>
      <c r="E787" s="28" t="n"/>
      <c r="F787" s="28" t="n"/>
      <c r="G787" s="28" t="n"/>
      <c r="H787" s="28" t="n"/>
      <c r="I787" s="28" t="n"/>
      <c r="J787" s="28" t="n"/>
      <c r="K787" s="18">
        <f>IF(AG787&gt;0,"O Google leu como fórmula: digite de novo com ' na frente.","")</f>
        <v/>
      </c>
      <c r="N787" s="19">
        <f>N786+IF(LEN($X$787)&gt;0,1,0)</f>
        <v/>
      </c>
      <c r="O787" s="19">
        <f>O786+IF(LEN($Y$787)&gt;0,1,0)</f>
        <v/>
      </c>
      <c r="P787" s="19">
        <f>P786+IF(LEN($Z$787)&gt;0,1,0)</f>
        <v/>
      </c>
      <c r="Q787" s="19">
        <f>Q786+IF(LEN($AA$787)&gt;0,1,0)</f>
        <v/>
      </c>
      <c r="R787" s="19">
        <f>R786+IF(LEN($AB$787)&gt;0,1,0)</f>
        <v/>
      </c>
      <c r="S787" s="19">
        <f>S786+IF(LEN($AC$787)&gt;0,1,0)</f>
        <v/>
      </c>
      <c r="T787" s="19">
        <f>T786+IF(LEN($AD$787)&gt;0,1,0)</f>
        <v/>
      </c>
      <c r="U787" s="19">
        <f>U786+IF(LEN($AE$787)&gt;0,1,0)</f>
        <v/>
      </c>
      <c r="V787" s="19">
        <f>V786+IF(LEN($AF$787)&gt;0,1,0)</f>
        <v/>
      </c>
      <c r="X787" s="19">
        <f>IF(ISERROR($B$787),"",IF(ISBLANK($B$787),"",$B$787))</f>
        <v/>
      </c>
      <c r="Y787" s="19">
        <f>IF(ISERROR($C$787),"",IF(ISBLANK($C$787),"",$C$787))</f>
        <v/>
      </c>
      <c r="Z787" s="19">
        <f>IF(ISERROR($D$787),"",IF(ISBLANK($D$787),"",$D$787))</f>
        <v/>
      </c>
      <c r="AA787" s="19">
        <f>IF(ISERROR($E$787),"",IF(ISBLANK($E$787),"",$E$787))</f>
        <v/>
      </c>
      <c r="AB787" s="19">
        <f>IF(ISERROR($F$787),"",IF(ISBLANK($F$787),"",$F$787))</f>
        <v/>
      </c>
      <c r="AC787" s="19">
        <f>IF(ISERROR($G$787),"",IF(ISBLANK($G$787),"",$G$787))</f>
        <v/>
      </c>
      <c r="AD787" s="19">
        <f>IF(ISERROR($H$787),"",IF(ISBLANK($H$787),"",$H$787))</f>
        <v/>
      </c>
      <c r="AE787" s="19">
        <f>IF(ISERROR($I$787),"",IF(ISBLANK($I$787),"",$I$787))</f>
        <v/>
      </c>
      <c r="AF787" s="19">
        <f>IF(ISERROR($J$787),"",IF(ISBLANK($J$787),"",$J$787))</f>
        <v/>
      </c>
      <c r="AG787" s="19">
        <f>ISERROR($B$787)*1+ISERROR($C$787)*1+ISERROR($D$787)*1+ISERROR($E$787)*1+ISERROR($F$787)*1+ISERROR($G$787)*1+ISERROR($H$787)*1+ISERROR($I$787)*1+ISERROR($J$787)*1</f>
        <v/>
      </c>
    </row>
    <row r="788" ht="26" customHeight="1">
      <c r="B788" s="30" t="n"/>
      <c r="C788" s="3" t="n"/>
      <c r="D788" s="3" t="n"/>
      <c r="E788" s="3" t="n"/>
      <c r="F788" s="3" t="n"/>
      <c r="G788" s="3" t="n"/>
      <c r="H788" s="3" t="n"/>
      <c r="I788" s="3" t="n"/>
      <c r="J788" s="3" t="n"/>
      <c r="K788" s="18">
        <f>IF(AG788&gt;0,"O Google leu como fórmula: digite de novo com ' na frente.","")</f>
        <v/>
      </c>
      <c r="N788" s="19">
        <f>N787+IF(LEN($X$788)&gt;0,1,0)</f>
        <v/>
      </c>
      <c r="O788" s="19">
        <f>O787+IF(LEN($Y$788)&gt;0,1,0)</f>
        <v/>
      </c>
      <c r="P788" s="19">
        <f>P787+IF(LEN($Z$788)&gt;0,1,0)</f>
        <v/>
      </c>
      <c r="Q788" s="19">
        <f>Q787+IF(LEN($AA$788)&gt;0,1,0)</f>
        <v/>
      </c>
      <c r="R788" s="19">
        <f>R787+IF(LEN($AB$788)&gt;0,1,0)</f>
        <v/>
      </c>
      <c r="S788" s="19">
        <f>S787+IF(LEN($AC$788)&gt;0,1,0)</f>
        <v/>
      </c>
      <c r="T788" s="19">
        <f>T787+IF(LEN($AD$788)&gt;0,1,0)</f>
        <v/>
      </c>
      <c r="U788" s="19">
        <f>U787+IF(LEN($AE$788)&gt;0,1,0)</f>
        <v/>
      </c>
      <c r="V788" s="19">
        <f>V787+IF(LEN($AF$788)&gt;0,1,0)</f>
        <v/>
      </c>
      <c r="X788" s="19">
        <f>IF(ISERROR($B$788),"",IF(ISBLANK($B$788),"",$B$788))</f>
        <v/>
      </c>
      <c r="Y788" s="19">
        <f>IF(ISERROR($C$788),"",IF(ISBLANK($C$788),"",$C$788))</f>
        <v/>
      </c>
      <c r="Z788" s="19">
        <f>IF(ISERROR($D$788),"",IF(ISBLANK($D$788),"",$D$788))</f>
        <v/>
      </c>
      <c r="AA788" s="19">
        <f>IF(ISERROR($E$788),"",IF(ISBLANK($E$788),"",$E$788))</f>
        <v/>
      </c>
      <c r="AB788" s="19">
        <f>IF(ISERROR($F$788),"",IF(ISBLANK($F$788),"",$F$788))</f>
        <v/>
      </c>
      <c r="AC788" s="19">
        <f>IF(ISERROR($G$788),"",IF(ISBLANK($G$788),"",$G$788))</f>
        <v/>
      </c>
      <c r="AD788" s="19">
        <f>IF(ISERROR($H$788),"",IF(ISBLANK($H$788),"",$H$788))</f>
        <v/>
      </c>
      <c r="AE788" s="19">
        <f>IF(ISERROR($I$788),"",IF(ISBLANK($I$788),"",$I$788))</f>
        <v/>
      </c>
      <c r="AF788" s="19">
        <f>IF(ISERROR($J$788),"",IF(ISBLANK($J$788),"",$J$788))</f>
        <v/>
      </c>
      <c r="AG788" s="19">
        <f>ISERROR($B$788)*1+ISERROR($C$788)*1+ISERROR($D$788)*1+ISERROR($E$788)*1+ISERROR($F$788)*1+ISERROR($G$788)*1+ISERROR($H$788)*1+ISERROR($I$788)*1+ISERROR($J$788)*1</f>
        <v/>
      </c>
    </row>
    <row r="789" ht="26" customHeight="1">
      <c r="B789" s="31" t="n"/>
      <c r="C789" s="28" t="n"/>
      <c r="D789" s="28" t="n"/>
      <c r="E789" s="28" t="n"/>
      <c r="F789" s="28" t="n"/>
      <c r="G789" s="28" t="n"/>
      <c r="H789" s="28" t="n"/>
      <c r="I789" s="28" t="n"/>
      <c r="J789" s="28" t="n"/>
      <c r="K789" s="18">
        <f>IF(AG789&gt;0,"O Google leu como fórmula: digite de novo com ' na frente.","")</f>
        <v/>
      </c>
      <c r="N789" s="19">
        <f>N788+IF(LEN($X$789)&gt;0,1,0)</f>
        <v/>
      </c>
      <c r="O789" s="19">
        <f>O788+IF(LEN($Y$789)&gt;0,1,0)</f>
        <v/>
      </c>
      <c r="P789" s="19">
        <f>P788+IF(LEN($Z$789)&gt;0,1,0)</f>
        <v/>
      </c>
      <c r="Q789" s="19">
        <f>Q788+IF(LEN($AA$789)&gt;0,1,0)</f>
        <v/>
      </c>
      <c r="R789" s="19">
        <f>R788+IF(LEN($AB$789)&gt;0,1,0)</f>
        <v/>
      </c>
      <c r="S789" s="19">
        <f>S788+IF(LEN($AC$789)&gt;0,1,0)</f>
        <v/>
      </c>
      <c r="T789" s="19">
        <f>T788+IF(LEN($AD$789)&gt;0,1,0)</f>
        <v/>
      </c>
      <c r="U789" s="19">
        <f>U788+IF(LEN($AE$789)&gt;0,1,0)</f>
        <v/>
      </c>
      <c r="V789" s="19">
        <f>V788+IF(LEN($AF$789)&gt;0,1,0)</f>
        <v/>
      </c>
      <c r="X789" s="19">
        <f>IF(ISERROR($B$789),"",IF(ISBLANK($B$789),"",$B$789))</f>
        <v/>
      </c>
      <c r="Y789" s="19">
        <f>IF(ISERROR($C$789),"",IF(ISBLANK($C$789),"",$C$789))</f>
        <v/>
      </c>
      <c r="Z789" s="19">
        <f>IF(ISERROR($D$789),"",IF(ISBLANK($D$789),"",$D$789))</f>
        <v/>
      </c>
      <c r="AA789" s="19">
        <f>IF(ISERROR($E$789),"",IF(ISBLANK($E$789),"",$E$789))</f>
        <v/>
      </c>
      <c r="AB789" s="19">
        <f>IF(ISERROR($F$789),"",IF(ISBLANK($F$789),"",$F$789))</f>
        <v/>
      </c>
      <c r="AC789" s="19">
        <f>IF(ISERROR($G$789),"",IF(ISBLANK($G$789),"",$G$789))</f>
        <v/>
      </c>
      <c r="AD789" s="19">
        <f>IF(ISERROR($H$789),"",IF(ISBLANK($H$789),"",$H$789))</f>
        <v/>
      </c>
      <c r="AE789" s="19">
        <f>IF(ISERROR($I$789),"",IF(ISBLANK($I$789),"",$I$789))</f>
        <v/>
      </c>
      <c r="AF789" s="19">
        <f>IF(ISERROR($J$789),"",IF(ISBLANK($J$789),"",$J$789))</f>
        <v/>
      </c>
      <c r="AG789" s="19">
        <f>ISERROR($B$789)*1+ISERROR($C$789)*1+ISERROR($D$789)*1+ISERROR($E$789)*1+ISERROR($F$789)*1+ISERROR($G$789)*1+ISERROR($H$789)*1+ISERROR($I$789)*1+ISERROR($J$789)*1</f>
        <v/>
      </c>
    </row>
    <row r="790" ht="26" customHeight="1">
      <c r="B790" s="30" t="n"/>
      <c r="C790" s="3" t="n"/>
      <c r="D790" s="3" t="n"/>
      <c r="E790" s="3" t="n"/>
      <c r="F790" s="3" t="n"/>
      <c r="G790" s="3" t="n"/>
      <c r="H790" s="3" t="n"/>
      <c r="I790" s="3" t="n"/>
      <c r="J790" s="3" t="n"/>
      <c r="K790" s="18">
        <f>IF(AG790&gt;0,"O Google leu como fórmula: digite de novo com ' na frente.","")</f>
        <v/>
      </c>
      <c r="N790" s="19">
        <f>N789+IF(LEN($X$790)&gt;0,1,0)</f>
        <v/>
      </c>
      <c r="O790" s="19">
        <f>O789+IF(LEN($Y$790)&gt;0,1,0)</f>
        <v/>
      </c>
      <c r="P790" s="19">
        <f>P789+IF(LEN($Z$790)&gt;0,1,0)</f>
        <v/>
      </c>
      <c r="Q790" s="19">
        <f>Q789+IF(LEN($AA$790)&gt;0,1,0)</f>
        <v/>
      </c>
      <c r="R790" s="19">
        <f>R789+IF(LEN($AB$790)&gt;0,1,0)</f>
        <v/>
      </c>
      <c r="S790" s="19">
        <f>S789+IF(LEN($AC$790)&gt;0,1,0)</f>
        <v/>
      </c>
      <c r="T790" s="19">
        <f>T789+IF(LEN($AD$790)&gt;0,1,0)</f>
        <v/>
      </c>
      <c r="U790" s="19">
        <f>U789+IF(LEN($AE$790)&gt;0,1,0)</f>
        <v/>
      </c>
      <c r="V790" s="19">
        <f>V789+IF(LEN($AF$790)&gt;0,1,0)</f>
        <v/>
      </c>
      <c r="X790" s="19">
        <f>IF(ISERROR($B$790),"",IF(ISBLANK($B$790),"",$B$790))</f>
        <v/>
      </c>
      <c r="Y790" s="19">
        <f>IF(ISERROR($C$790),"",IF(ISBLANK($C$790),"",$C$790))</f>
        <v/>
      </c>
      <c r="Z790" s="19">
        <f>IF(ISERROR($D$790),"",IF(ISBLANK($D$790),"",$D$790))</f>
        <v/>
      </c>
      <c r="AA790" s="19">
        <f>IF(ISERROR($E$790),"",IF(ISBLANK($E$790),"",$E$790))</f>
        <v/>
      </c>
      <c r="AB790" s="19">
        <f>IF(ISERROR($F$790),"",IF(ISBLANK($F$790),"",$F$790))</f>
        <v/>
      </c>
      <c r="AC790" s="19">
        <f>IF(ISERROR($G$790),"",IF(ISBLANK($G$790),"",$G$790))</f>
        <v/>
      </c>
      <c r="AD790" s="19">
        <f>IF(ISERROR($H$790),"",IF(ISBLANK($H$790),"",$H$790))</f>
        <v/>
      </c>
      <c r="AE790" s="19">
        <f>IF(ISERROR($I$790),"",IF(ISBLANK($I$790),"",$I$790))</f>
        <v/>
      </c>
      <c r="AF790" s="19">
        <f>IF(ISERROR($J$790),"",IF(ISBLANK($J$790),"",$J$790))</f>
        <v/>
      </c>
      <c r="AG790" s="19">
        <f>ISERROR($B$790)*1+ISERROR($C$790)*1+ISERROR($D$790)*1+ISERROR($E$790)*1+ISERROR($F$790)*1+ISERROR($G$790)*1+ISERROR($H$790)*1+ISERROR($I$790)*1+ISERROR($J$790)*1</f>
        <v/>
      </c>
    </row>
    <row r="791" ht="26" customHeight="1">
      <c r="B791" s="31" t="n"/>
      <c r="C791" s="28" t="n"/>
      <c r="D791" s="28" t="n"/>
      <c r="E791" s="28" t="n"/>
      <c r="F791" s="28" t="n"/>
      <c r="G791" s="28" t="n"/>
      <c r="H791" s="28" t="n"/>
      <c r="I791" s="28" t="n"/>
      <c r="J791" s="28" t="n"/>
      <c r="K791" s="18">
        <f>IF(AG791&gt;0,"O Google leu como fórmula: digite de novo com ' na frente.","")</f>
        <v/>
      </c>
      <c r="N791" s="19">
        <f>N790+IF(LEN($X$791)&gt;0,1,0)</f>
        <v/>
      </c>
      <c r="O791" s="19">
        <f>O790+IF(LEN($Y$791)&gt;0,1,0)</f>
        <v/>
      </c>
      <c r="P791" s="19">
        <f>P790+IF(LEN($Z$791)&gt;0,1,0)</f>
        <v/>
      </c>
      <c r="Q791" s="19">
        <f>Q790+IF(LEN($AA$791)&gt;0,1,0)</f>
        <v/>
      </c>
      <c r="R791" s="19">
        <f>R790+IF(LEN($AB$791)&gt;0,1,0)</f>
        <v/>
      </c>
      <c r="S791" s="19">
        <f>S790+IF(LEN($AC$791)&gt;0,1,0)</f>
        <v/>
      </c>
      <c r="T791" s="19">
        <f>T790+IF(LEN($AD$791)&gt;0,1,0)</f>
        <v/>
      </c>
      <c r="U791" s="19">
        <f>U790+IF(LEN($AE$791)&gt;0,1,0)</f>
        <v/>
      </c>
      <c r="V791" s="19">
        <f>V790+IF(LEN($AF$791)&gt;0,1,0)</f>
        <v/>
      </c>
      <c r="X791" s="19">
        <f>IF(ISERROR($B$791),"",IF(ISBLANK($B$791),"",$B$791))</f>
        <v/>
      </c>
      <c r="Y791" s="19">
        <f>IF(ISERROR($C$791),"",IF(ISBLANK($C$791),"",$C$791))</f>
        <v/>
      </c>
      <c r="Z791" s="19">
        <f>IF(ISERROR($D$791),"",IF(ISBLANK($D$791),"",$D$791))</f>
        <v/>
      </c>
      <c r="AA791" s="19">
        <f>IF(ISERROR($E$791),"",IF(ISBLANK($E$791),"",$E$791))</f>
        <v/>
      </c>
      <c r="AB791" s="19">
        <f>IF(ISERROR($F$791),"",IF(ISBLANK($F$791),"",$F$791))</f>
        <v/>
      </c>
      <c r="AC791" s="19">
        <f>IF(ISERROR($G$791),"",IF(ISBLANK($G$791),"",$G$791))</f>
        <v/>
      </c>
      <c r="AD791" s="19">
        <f>IF(ISERROR($H$791),"",IF(ISBLANK($H$791),"",$H$791))</f>
        <v/>
      </c>
      <c r="AE791" s="19">
        <f>IF(ISERROR($I$791),"",IF(ISBLANK($I$791),"",$I$791))</f>
        <v/>
      </c>
      <c r="AF791" s="19">
        <f>IF(ISERROR($J$791),"",IF(ISBLANK($J$791),"",$J$791))</f>
        <v/>
      </c>
      <c r="AG791" s="19">
        <f>ISERROR($B$791)*1+ISERROR($C$791)*1+ISERROR($D$791)*1+ISERROR($E$791)*1+ISERROR($F$791)*1+ISERROR($G$791)*1+ISERROR($H$791)*1+ISERROR($I$791)*1+ISERROR($J$791)*1</f>
        <v/>
      </c>
    </row>
    <row r="792" ht="26" customHeight="1">
      <c r="B792" s="30" t="n"/>
      <c r="C792" s="3" t="n"/>
      <c r="D792" s="3" t="n"/>
      <c r="E792" s="3" t="n"/>
      <c r="F792" s="3" t="n"/>
      <c r="G792" s="3" t="n"/>
      <c r="H792" s="3" t="n"/>
      <c r="I792" s="3" t="n"/>
      <c r="J792" s="3" t="n"/>
      <c r="K792" s="18">
        <f>IF(AG792&gt;0,"O Google leu como fórmula: digite de novo com ' na frente.","")</f>
        <v/>
      </c>
      <c r="N792" s="19">
        <f>N791+IF(LEN($X$792)&gt;0,1,0)</f>
        <v/>
      </c>
      <c r="O792" s="19">
        <f>O791+IF(LEN($Y$792)&gt;0,1,0)</f>
        <v/>
      </c>
      <c r="P792" s="19">
        <f>P791+IF(LEN($Z$792)&gt;0,1,0)</f>
        <v/>
      </c>
      <c r="Q792" s="19">
        <f>Q791+IF(LEN($AA$792)&gt;0,1,0)</f>
        <v/>
      </c>
      <c r="R792" s="19">
        <f>R791+IF(LEN($AB$792)&gt;0,1,0)</f>
        <v/>
      </c>
      <c r="S792" s="19">
        <f>S791+IF(LEN($AC$792)&gt;0,1,0)</f>
        <v/>
      </c>
      <c r="T792" s="19">
        <f>T791+IF(LEN($AD$792)&gt;0,1,0)</f>
        <v/>
      </c>
      <c r="U792" s="19">
        <f>U791+IF(LEN($AE$792)&gt;0,1,0)</f>
        <v/>
      </c>
      <c r="V792" s="19">
        <f>V791+IF(LEN($AF$792)&gt;0,1,0)</f>
        <v/>
      </c>
      <c r="X792" s="19">
        <f>IF(ISERROR($B$792),"",IF(ISBLANK($B$792),"",$B$792))</f>
        <v/>
      </c>
      <c r="Y792" s="19">
        <f>IF(ISERROR($C$792),"",IF(ISBLANK($C$792),"",$C$792))</f>
        <v/>
      </c>
      <c r="Z792" s="19">
        <f>IF(ISERROR($D$792),"",IF(ISBLANK($D$792),"",$D$792))</f>
        <v/>
      </c>
      <c r="AA792" s="19">
        <f>IF(ISERROR($E$792),"",IF(ISBLANK($E$792),"",$E$792))</f>
        <v/>
      </c>
      <c r="AB792" s="19">
        <f>IF(ISERROR($F$792),"",IF(ISBLANK($F$792),"",$F$792))</f>
        <v/>
      </c>
      <c r="AC792" s="19">
        <f>IF(ISERROR($G$792),"",IF(ISBLANK($G$792),"",$G$792))</f>
        <v/>
      </c>
      <c r="AD792" s="19">
        <f>IF(ISERROR($H$792),"",IF(ISBLANK($H$792),"",$H$792))</f>
        <v/>
      </c>
      <c r="AE792" s="19">
        <f>IF(ISERROR($I$792),"",IF(ISBLANK($I$792),"",$I$792))</f>
        <v/>
      </c>
      <c r="AF792" s="19">
        <f>IF(ISERROR($J$792),"",IF(ISBLANK($J$792),"",$J$792))</f>
        <v/>
      </c>
      <c r="AG792" s="19">
        <f>ISERROR($B$792)*1+ISERROR($C$792)*1+ISERROR($D$792)*1+ISERROR($E$792)*1+ISERROR($F$792)*1+ISERROR($G$792)*1+ISERROR($H$792)*1+ISERROR($I$792)*1+ISERROR($J$792)*1</f>
        <v/>
      </c>
    </row>
    <row r="793" ht="26" customHeight="1">
      <c r="B793" s="31" t="n"/>
      <c r="C793" s="28" t="n"/>
      <c r="D793" s="28" t="n"/>
      <c r="E793" s="28" t="n"/>
      <c r="F793" s="28" t="n"/>
      <c r="G793" s="28" t="n"/>
      <c r="H793" s="28" t="n"/>
      <c r="I793" s="28" t="n"/>
      <c r="J793" s="28" t="n"/>
      <c r="K793" s="18">
        <f>IF(AG793&gt;0,"O Google leu como fórmula: digite de novo com ' na frente.","")</f>
        <v/>
      </c>
      <c r="N793" s="19">
        <f>N792+IF(LEN($X$793)&gt;0,1,0)</f>
        <v/>
      </c>
      <c r="O793" s="19">
        <f>O792+IF(LEN($Y$793)&gt;0,1,0)</f>
        <v/>
      </c>
      <c r="P793" s="19">
        <f>P792+IF(LEN($Z$793)&gt;0,1,0)</f>
        <v/>
      </c>
      <c r="Q793" s="19">
        <f>Q792+IF(LEN($AA$793)&gt;0,1,0)</f>
        <v/>
      </c>
      <c r="R793" s="19">
        <f>R792+IF(LEN($AB$793)&gt;0,1,0)</f>
        <v/>
      </c>
      <c r="S793" s="19">
        <f>S792+IF(LEN($AC$793)&gt;0,1,0)</f>
        <v/>
      </c>
      <c r="T793" s="19">
        <f>T792+IF(LEN($AD$793)&gt;0,1,0)</f>
        <v/>
      </c>
      <c r="U793" s="19">
        <f>U792+IF(LEN($AE$793)&gt;0,1,0)</f>
        <v/>
      </c>
      <c r="V793" s="19">
        <f>V792+IF(LEN($AF$793)&gt;0,1,0)</f>
        <v/>
      </c>
      <c r="X793" s="19">
        <f>IF(ISERROR($B$793),"",IF(ISBLANK($B$793),"",$B$793))</f>
        <v/>
      </c>
      <c r="Y793" s="19">
        <f>IF(ISERROR($C$793),"",IF(ISBLANK($C$793),"",$C$793))</f>
        <v/>
      </c>
      <c r="Z793" s="19">
        <f>IF(ISERROR($D$793),"",IF(ISBLANK($D$793),"",$D$793))</f>
        <v/>
      </c>
      <c r="AA793" s="19">
        <f>IF(ISERROR($E$793),"",IF(ISBLANK($E$793),"",$E$793))</f>
        <v/>
      </c>
      <c r="AB793" s="19">
        <f>IF(ISERROR($F$793),"",IF(ISBLANK($F$793),"",$F$793))</f>
        <v/>
      </c>
      <c r="AC793" s="19">
        <f>IF(ISERROR($G$793),"",IF(ISBLANK($G$793),"",$G$793))</f>
        <v/>
      </c>
      <c r="AD793" s="19">
        <f>IF(ISERROR($H$793),"",IF(ISBLANK($H$793),"",$H$793))</f>
        <v/>
      </c>
      <c r="AE793" s="19">
        <f>IF(ISERROR($I$793),"",IF(ISBLANK($I$793),"",$I$793))</f>
        <v/>
      </c>
      <c r="AF793" s="19">
        <f>IF(ISERROR($J$793),"",IF(ISBLANK($J$793),"",$J$793))</f>
        <v/>
      </c>
      <c r="AG793" s="19">
        <f>ISERROR($B$793)*1+ISERROR($C$793)*1+ISERROR($D$793)*1+ISERROR($E$793)*1+ISERROR($F$793)*1+ISERROR($G$793)*1+ISERROR($H$793)*1+ISERROR($I$793)*1+ISERROR($J$793)*1</f>
        <v/>
      </c>
    </row>
    <row r="794" ht="26" customHeight="1">
      <c r="B794" s="30" t="n"/>
      <c r="C794" s="3" t="n"/>
      <c r="D794" s="3" t="n"/>
      <c r="E794" s="3" t="n"/>
      <c r="F794" s="3" t="n"/>
      <c r="G794" s="3" t="n"/>
      <c r="H794" s="3" t="n"/>
      <c r="I794" s="3" t="n"/>
      <c r="J794" s="3" t="n"/>
      <c r="K794" s="18">
        <f>IF(AG794&gt;0,"O Google leu como fórmula: digite de novo com ' na frente.","")</f>
        <v/>
      </c>
      <c r="N794" s="19">
        <f>N793+IF(LEN($X$794)&gt;0,1,0)</f>
        <v/>
      </c>
      <c r="O794" s="19">
        <f>O793+IF(LEN($Y$794)&gt;0,1,0)</f>
        <v/>
      </c>
      <c r="P794" s="19">
        <f>P793+IF(LEN($Z$794)&gt;0,1,0)</f>
        <v/>
      </c>
      <c r="Q794" s="19">
        <f>Q793+IF(LEN($AA$794)&gt;0,1,0)</f>
        <v/>
      </c>
      <c r="R794" s="19">
        <f>R793+IF(LEN($AB$794)&gt;0,1,0)</f>
        <v/>
      </c>
      <c r="S794" s="19">
        <f>S793+IF(LEN($AC$794)&gt;0,1,0)</f>
        <v/>
      </c>
      <c r="T794" s="19">
        <f>T793+IF(LEN($AD$794)&gt;0,1,0)</f>
        <v/>
      </c>
      <c r="U794" s="19">
        <f>U793+IF(LEN($AE$794)&gt;0,1,0)</f>
        <v/>
      </c>
      <c r="V794" s="19">
        <f>V793+IF(LEN($AF$794)&gt;0,1,0)</f>
        <v/>
      </c>
      <c r="X794" s="19">
        <f>IF(ISERROR($B$794),"",IF(ISBLANK($B$794),"",$B$794))</f>
        <v/>
      </c>
      <c r="Y794" s="19">
        <f>IF(ISERROR($C$794),"",IF(ISBLANK($C$794),"",$C$794))</f>
        <v/>
      </c>
      <c r="Z794" s="19">
        <f>IF(ISERROR($D$794),"",IF(ISBLANK($D$794),"",$D$794))</f>
        <v/>
      </c>
      <c r="AA794" s="19">
        <f>IF(ISERROR($E$794),"",IF(ISBLANK($E$794),"",$E$794))</f>
        <v/>
      </c>
      <c r="AB794" s="19">
        <f>IF(ISERROR($F$794),"",IF(ISBLANK($F$794),"",$F$794))</f>
        <v/>
      </c>
      <c r="AC794" s="19">
        <f>IF(ISERROR($G$794),"",IF(ISBLANK($G$794),"",$G$794))</f>
        <v/>
      </c>
      <c r="AD794" s="19">
        <f>IF(ISERROR($H$794),"",IF(ISBLANK($H$794),"",$H$794))</f>
        <v/>
      </c>
      <c r="AE794" s="19">
        <f>IF(ISERROR($I$794),"",IF(ISBLANK($I$794),"",$I$794))</f>
        <v/>
      </c>
      <c r="AF794" s="19">
        <f>IF(ISERROR($J$794),"",IF(ISBLANK($J$794),"",$J$794))</f>
        <v/>
      </c>
      <c r="AG794" s="19">
        <f>ISERROR($B$794)*1+ISERROR($C$794)*1+ISERROR($D$794)*1+ISERROR($E$794)*1+ISERROR($F$794)*1+ISERROR($G$794)*1+ISERROR($H$794)*1+ISERROR($I$794)*1+ISERROR($J$794)*1</f>
        <v/>
      </c>
    </row>
    <row r="795" ht="26" customHeight="1">
      <c r="B795" s="31" t="n"/>
      <c r="C795" s="28" t="n"/>
      <c r="D795" s="28" t="n"/>
      <c r="E795" s="28" t="n"/>
      <c r="F795" s="28" t="n"/>
      <c r="G795" s="28" t="n"/>
      <c r="H795" s="28" t="n"/>
      <c r="I795" s="28" t="n"/>
      <c r="J795" s="28" t="n"/>
      <c r="K795" s="18">
        <f>IF(AG795&gt;0,"O Google leu como fórmula: digite de novo com ' na frente.","")</f>
        <v/>
      </c>
      <c r="N795" s="19">
        <f>N794+IF(LEN($X$795)&gt;0,1,0)</f>
        <v/>
      </c>
      <c r="O795" s="19">
        <f>O794+IF(LEN($Y$795)&gt;0,1,0)</f>
        <v/>
      </c>
      <c r="P795" s="19">
        <f>P794+IF(LEN($Z$795)&gt;0,1,0)</f>
        <v/>
      </c>
      <c r="Q795" s="19">
        <f>Q794+IF(LEN($AA$795)&gt;0,1,0)</f>
        <v/>
      </c>
      <c r="R795" s="19">
        <f>R794+IF(LEN($AB$795)&gt;0,1,0)</f>
        <v/>
      </c>
      <c r="S795" s="19">
        <f>S794+IF(LEN($AC$795)&gt;0,1,0)</f>
        <v/>
      </c>
      <c r="T795" s="19">
        <f>T794+IF(LEN($AD$795)&gt;0,1,0)</f>
        <v/>
      </c>
      <c r="U795" s="19">
        <f>U794+IF(LEN($AE$795)&gt;0,1,0)</f>
        <v/>
      </c>
      <c r="V795" s="19">
        <f>V794+IF(LEN($AF$795)&gt;0,1,0)</f>
        <v/>
      </c>
      <c r="X795" s="19">
        <f>IF(ISERROR($B$795),"",IF(ISBLANK($B$795),"",$B$795))</f>
        <v/>
      </c>
      <c r="Y795" s="19">
        <f>IF(ISERROR($C$795),"",IF(ISBLANK($C$795),"",$C$795))</f>
        <v/>
      </c>
      <c r="Z795" s="19">
        <f>IF(ISERROR($D$795),"",IF(ISBLANK($D$795),"",$D$795))</f>
        <v/>
      </c>
      <c r="AA795" s="19">
        <f>IF(ISERROR($E$795),"",IF(ISBLANK($E$795),"",$E$795))</f>
        <v/>
      </c>
      <c r="AB795" s="19">
        <f>IF(ISERROR($F$795),"",IF(ISBLANK($F$795),"",$F$795))</f>
        <v/>
      </c>
      <c r="AC795" s="19">
        <f>IF(ISERROR($G$795),"",IF(ISBLANK($G$795),"",$G$795))</f>
        <v/>
      </c>
      <c r="AD795" s="19">
        <f>IF(ISERROR($H$795),"",IF(ISBLANK($H$795),"",$H$795))</f>
        <v/>
      </c>
      <c r="AE795" s="19">
        <f>IF(ISERROR($I$795),"",IF(ISBLANK($I$795),"",$I$795))</f>
        <v/>
      </c>
      <c r="AF795" s="19">
        <f>IF(ISERROR($J$795),"",IF(ISBLANK($J$795),"",$J$795))</f>
        <v/>
      </c>
      <c r="AG795" s="19">
        <f>ISERROR($B$795)*1+ISERROR($C$795)*1+ISERROR($D$795)*1+ISERROR($E$795)*1+ISERROR($F$795)*1+ISERROR($G$795)*1+ISERROR($H$795)*1+ISERROR($I$795)*1+ISERROR($J$795)*1</f>
        <v/>
      </c>
    </row>
    <row r="796" ht="26" customHeight="1">
      <c r="B796" s="30" t="n"/>
      <c r="C796" s="3" t="n"/>
      <c r="D796" s="3" t="n"/>
      <c r="E796" s="3" t="n"/>
      <c r="F796" s="3" t="n"/>
      <c r="G796" s="3" t="n"/>
      <c r="H796" s="3" t="n"/>
      <c r="I796" s="3" t="n"/>
      <c r="J796" s="3" t="n"/>
      <c r="K796" s="18">
        <f>IF(AG796&gt;0,"O Google leu como fórmula: digite de novo com ' na frente.","")</f>
        <v/>
      </c>
      <c r="N796" s="19">
        <f>N795+IF(LEN($X$796)&gt;0,1,0)</f>
        <v/>
      </c>
      <c r="O796" s="19">
        <f>O795+IF(LEN($Y$796)&gt;0,1,0)</f>
        <v/>
      </c>
      <c r="P796" s="19">
        <f>P795+IF(LEN($Z$796)&gt;0,1,0)</f>
        <v/>
      </c>
      <c r="Q796" s="19">
        <f>Q795+IF(LEN($AA$796)&gt;0,1,0)</f>
        <v/>
      </c>
      <c r="R796" s="19">
        <f>R795+IF(LEN($AB$796)&gt;0,1,0)</f>
        <v/>
      </c>
      <c r="S796" s="19">
        <f>S795+IF(LEN($AC$796)&gt;0,1,0)</f>
        <v/>
      </c>
      <c r="T796" s="19">
        <f>T795+IF(LEN($AD$796)&gt;0,1,0)</f>
        <v/>
      </c>
      <c r="U796" s="19">
        <f>U795+IF(LEN($AE$796)&gt;0,1,0)</f>
        <v/>
      </c>
      <c r="V796" s="19">
        <f>V795+IF(LEN($AF$796)&gt;0,1,0)</f>
        <v/>
      </c>
      <c r="X796" s="19">
        <f>IF(ISERROR($B$796),"",IF(ISBLANK($B$796),"",$B$796))</f>
        <v/>
      </c>
      <c r="Y796" s="19">
        <f>IF(ISERROR($C$796),"",IF(ISBLANK($C$796),"",$C$796))</f>
        <v/>
      </c>
      <c r="Z796" s="19">
        <f>IF(ISERROR($D$796),"",IF(ISBLANK($D$796),"",$D$796))</f>
        <v/>
      </c>
      <c r="AA796" s="19">
        <f>IF(ISERROR($E$796),"",IF(ISBLANK($E$796),"",$E$796))</f>
        <v/>
      </c>
      <c r="AB796" s="19">
        <f>IF(ISERROR($F$796),"",IF(ISBLANK($F$796),"",$F$796))</f>
        <v/>
      </c>
      <c r="AC796" s="19">
        <f>IF(ISERROR($G$796),"",IF(ISBLANK($G$796),"",$G$796))</f>
        <v/>
      </c>
      <c r="AD796" s="19">
        <f>IF(ISERROR($H$796),"",IF(ISBLANK($H$796),"",$H$796))</f>
        <v/>
      </c>
      <c r="AE796" s="19">
        <f>IF(ISERROR($I$796),"",IF(ISBLANK($I$796),"",$I$796))</f>
        <v/>
      </c>
      <c r="AF796" s="19">
        <f>IF(ISERROR($J$796),"",IF(ISBLANK($J$796),"",$J$796))</f>
        <v/>
      </c>
      <c r="AG796" s="19">
        <f>ISERROR($B$796)*1+ISERROR($C$796)*1+ISERROR($D$796)*1+ISERROR($E$796)*1+ISERROR($F$796)*1+ISERROR($G$796)*1+ISERROR($H$796)*1+ISERROR($I$796)*1+ISERROR($J$796)*1</f>
        <v/>
      </c>
    </row>
    <row r="797" ht="26" customHeight="1">
      <c r="B797" s="31" t="n"/>
      <c r="C797" s="28" t="n"/>
      <c r="D797" s="28" t="n"/>
      <c r="E797" s="28" t="n"/>
      <c r="F797" s="28" t="n"/>
      <c r="G797" s="28" t="n"/>
      <c r="H797" s="28" t="n"/>
      <c r="I797" s="28" t="n"/>
      <c r="J797" s="28" t="n"/>
      <c r="K797" s="18">
        <f>IF(AG797&gt;0,"O Google leu como fórmula: digite de novo com ' na frente.","")</f>
        <v/>
      </c>
      <c r="N797" s="19">
        <f>N796+IF(LEN($X$797)&gt;0,1,0)</f>
        <v/>
      </c>
      <c r="O797" s="19">
        <f>O796+IF(LEN($Y$797)&gt;0,1,0)</f>
        <v/>
      </c>
      <c r="P797" s="19">
        <f>P796+IF(LEN($Z$797)&gt;0,1,0)</f>
        <v/>
      </c>
      <c r="Q797" s="19">
        <f>Q796+IF(LEN($AA$797)&gt;0,1,0)</f>
        <v/>
      </c>
      <c r="R797" s="19">
        <f>R796+IF(LEN($AB$797)&gt;0,1,0)</f>
        <v/>
      </c>
      <c r="S797" s="19">
        <f>S796+IF(LEN($AC$797)&gt;0,1,0)</f>
        <v/>
      </c>
      <c r="T797" s="19">
        <f>T796+IF(LEN($AD$797)&gt;0,1,0)</f>
        <v/>
      </c>
      <c r="U797" s="19">
        <f>U796+IF(LEN($AE$797)&gt;0,1,0)</f>
        <v/>
      </c>
      <c r="V797" s="19">
        <f>V796+IF(LEN($AF$797)&gt;0,1,0)</f>
        <v/>
      </c>
      <c r="X797" s="19">
        <f>IF(ISERROR($B$797),"",IF(ISBLANK($B$797),"",$B$797))</f>
        <v/>
      </c>
      <c r="Y797" s="19">
        <f>IF(ISERROR($C$797),"",IF(ISBLANK($C$797),"",$C$797))</f>
        <v/>
      </c>
      <c r="Z797" s="19">
        <f>IF(ISERROR($D$797),"",IF(ISBLANK($D$797),"",$D$797))</f>
        <v/>
      </c>
      <c r="AA797" s="19">
        <f>IF(ISERROR($E$797),"",IF(ISBLANK($E$797),"",$E$797))</f>
        <v/>
      </c>
      <c r="AB797" s="19">
        <f>IF(ISERROR($F$797),"",IF(ISBLANK($F$797),"",$F$797))</f>
        <v/>
      </c>
      <c r="AC797" s="19">
        <f>IF(ISERROR($G$797),"",IF(ISBLANK($G$797),"",$G$797))</f>
        <v/>
      </c>
      <c r="AD797" s="19">
        <f>IF(ISERROR($H$797),"",IF(ISBLANK($H$797),"",$H$797))</f>
        <v/>
      </c>
      <c r="AE797" s="19">
        <f>IF(ISERROR($I$797),"",IF(ISBLANK($I$797),"",$I$797))</f>
        <v/>
      </c>
      <c r="AF797" s="19">
        <f>IF(ISERROR($J$797),"",IF(ISBLANK($J$797),"",$J$797))</f>
        <v/>
      </c>
      <c r="AG797" s="19">
        <f>ISERROR($B$797)*1+ISERROR($C$797)*1+ISERROR($D$797)*1+ISERROR($E$797)*1+ISERROR($F$797)*1+ISERROR($G$797)*1+ISERROR($H$797)*1+ISERROR($I$797)*1+ISERROR($J$797)*1</f>
        <v/>
      </c>
    </row>
    <row r="798" ht="26" customHeight="1">
      <c r="B798" s="30" t="n"/>
      <c r="C798" s="3" t="n"/>
      <c r="D798" s="3" t="n"/>
      <c r="E798" s="3" t="n"/>
      <c r="F798" s="3" t="n"/>
      <c r="G798" s="3" t="n"/>
      <c r="H798" s="3" t="n"/>
      <c r="I798" s="3" t="n"/>
      <c r="J798" s="3" t="n"/>
      <c r="K798" s="18">
        <f>IF(AG798&gt;0,"O Google leu como fórmula: digite de novo com ' na frente.","")</f>
        <v/>
      </c>
      <c r="N798" s="19">
        <f>N797+IF(LEN($X$798)&gt;0,1,0)</f>
        <v/>
      </c>
      <c r="O798" s="19">
        <f>O797+IF(LEN($Y$798)&gt;0,1,0)</f>
        <v/>
      </c>
      <c r="P798" s="19">
        <f>P797+IF(LEN($Z$798)&gt;0,1,0)</f>
        <v/>
      </c>
      <c r="Q798" s="19">
        <f>Q797+IF(LEN($AA$798)&gt;0,1,0)</f>
        <v/>
      </c>
      <c r="R798" s="19">
        <f>R797+IF(LEN($AB$798)&gt;0,1,0)</f>
        <v/>
      </c>
      <c r="S798" s="19">
        <f>S797+IF(LEN($AC$798)&gt;0,1,0)</f>
        <v/>
      </c>
      <c r="T798" s="19">
        <f>T797+IF(LEN($AD$798)&gt;0,1,0)</f>
        <v/>
      </c>
      <c r="U798" s="19">
        <f>U797+IF(LEN($AE$798)&gt;0,1,0)</f>
        <v/>
      </c>
      <c r="V798" s="19">
        <f>V797+IF(LEN($AF$798)&gt;0,1,0)</f>
        <v/>
      </c>
      <c r="X798" s="19">
        <f>IF(ISERROR($B$798),"",IF(ISBLANK($B$798),"",$B$798))</f>
        <v/>
      </c>
      <c r="Y798" s="19">
        <f>IF(ISERROR($C$798),"",IF(ISBLANK($C$798),"",$C$798))</f>
        <v/>
      </c>
      <c r="Z798" s="19">
        <f>IF(ISERROR($D$798),"",IF(ISBLANK($D$798),"",$D$798))</f>
        <v/>
      </c>
      <c r="AA798" s="19">
        <f>IF(ISERROR($E$798),"",IF(ISBLANK($E$798),"",$E$798))</f>
        <v/>
      </c>
      <c r="AB798" s="19">
        <f>IF(ISERROR($F$798),"",IF(ISBLANK($F$798),"",$F$798))</f>
        <v/>
      </c>
      <c r="AC798" s="19">
        <f>IF(ISERROR($G$798),"",IF(ISBLANK($G$798),"",$G$798))</f>
        <v/>
      </c>
      <c r="AD798" s="19">
        <f>IF(ISERROR($H$798),"",IF(ISBLANK($H$798),"",$H$798))</f>
        <v/>
      </c>
      <c r="AE798" s="19">
        <f>IF(ISERROR($I$798),"",IF(ISBLANK($I$798),"",$I$798))</f>
        <v/>
      </c>
      <c r="AF798" s="19">
        <f>IF(ISERROR($J$798),"",IF(ISBLANK($J$798),"",$J$798))</f>
        <v/>
      </c>
      <c r="AG798" s="19">
        <f>ISERROR($B$798)*1+ISERROR($C$798)*1+ISERROR($D$798)*1+ISERROR($E$798)*1+ISERROR($F$798)*1+ISERROR($G$798)*1+ISERROR($H$798)*1+ISERROR($I$798)*1+ISERROR($J$798)*1</f>
        <v/>
      </c>
    </row>
    <row r="799" ht="26" customHeight="1">
      <c r="B799" s="7" t="inlineStr">
        <is>
          <t>Pista</t>
        </is>
      </c>
      <c r="C799" s="7" t="inlineStr">
        <is>
          <t>Bugiganga</t>
        </is>
      </c>
      <c r="D799" s="7" t="inlineStr">
        <is>
          <t>Nome do Cone (início)</t>
        </is>
      </c>
      <c r="E799" s="7" t="inlineStr">
        <is>
          <t>Nome do Cone (fim)</t>
        </is>
      </c>
      <c r="F799" s="7" t="inlineStr">
        <is>
          <t>Memória do Cone</t>
        </is>
      </c>
      <c r="G799" s="7" t="inlineStr">
        <is>
          <t>Gatilho do Efeito Condicional</t>
        </is>
      </c>
      <c r="H799" s="7" t="inlineStr">
        <is>
          <t>Nome do Conjunto</t>
        </is>
      </c>
      <c r="I799" s="7" t="inlineStr">
        <is>
          <t>Origem do Conjunto</t>
        </is>
      </c>
      <c r="J799" s="7" t="inlineStr">
        <is>
          <t>Efeito de 4 peças</t>
        </is>
      </c>
      <c r="N799" s="19">
        <f>N798</f>
        <v/>
      </c>
      <c r="O799" s="19">
        <f>O798</f>
        <v/>
      </c>
      <c r="P799" s="19">
        <f>P798</f>
        <v/>
      </c>
      <c r="Q799" s="19">
        <f>Q798</f>
        <v/>
      </c>
      <c r="R799" s="19">
        <f>R798</f>
        <v/>
      </c>
      <c r="S799" s="19">
        <f>S798</f>
        <v/>
      </c>
      <c r="T799" s="19">
        <f>T798</f>
        <v/>
      </c>
      <c r="U799" s="19">
        <f>U798</f>
        <v/>
      </c>
      <c r="V799" s="19">
        <f>V798</f>
        <v/>
      </c>
      <c r="X799" s="19">
        <f>IF(ISERROR($B$799),"",IF(ISBLANK($B$799),"",$B$799))</f>
        <v/>
      </c>
      <c r="Y799" s="19">
        <f>IF(ISERROR($C$799),"",IF(ISBLANK($C$799),"",$C$799))</f>
        <v/>
      </c>
      <c r="Z799" s="19">
        <f>IF(ISERROR($D$799),"",IF(ISBLANK($D$799),"",$D$799))</f>
        <v/>
      </c>
      <c r="AA799" s="19">
        <f>IF(ISERROR($E$799),"",IF(ISBLANK($E$799),"",$E$799))</f>
        <v/>
      </c>
      <c r="AB799" s="19">
        <f>IF(ISERROR($F$799),"",IF(ISBLANK($F$799),"",$F$799))</f>
        <v/>
      </c>
      <c r="AC799" s="19">
        <f>IF(ISERROR($G$799),"",IF(ISBLANK($G$799),"",$G$799))</f>
        <v/>
      </c>
      <c r="AD799" s="19">
        <f>IF(ISERROR($H$799),"",IF(ISBLANK($H$799),"",$H$799))</f>
        <v/>
      </c>
      <c r="AE799" s="19">
        <f>IF(ISERROR($I$799),"",IF(ISBLANK($I$799),"",$I$799))</f>
        <v/>
      </c>
      <c r="AF799" s="19">
        <f>IF(ISERROR($J$799),"",IF(ISBLANK($J$799),"",$J$799))</f>
        <v/>
      </c>
    </row>
    <row r="800" ht="26" customHeight="1">
      <c r="B800" s="30" t="n"/>
      <c r="C800" s="3" t="n"/>
      <c r="D800" s="3" t="n"/>
      <c r="E800" s="3" t="n"/>
      <c r="F800" s="3" t="n"/>
      <c r="G800" s="3" t="n"/>
      <c r="H800" s="3" t="n"/>
      <c r="I800" s="3" t="n"/>
      <c r="J800" s="3" t="n"/>
      <c r="K800" s="18">
        <f>IF(AG800&gt;0,"O Google leu como fórmula: digite de novo com ' na frente.","")</f>
        <v/>
      </c>
      <c r="N800" s="19">
        <f>N799+IF(LEN($X$800)&gt;0,1,0)</f>
        <v/>
      </c>
      <c r="O800" s="19">
        <f>O799+IF(LEN($Y$800)&gt;0,1,0)</f>
        <v/>
      </c>
      <c r="P800" s="19">
        <f>P799+IF(LEN($Z$800)&gt;0,1,0)</f>
        <v/>
      </c>
      <c r="Q800" s="19">
        <f>Q799+IF(LEN($AA$800)&gt;0,1,0)</f>
        <v/>
      </c>
      <c r="R800" s="19">
        <f>R799+IF(LEN($AB$800)&gt;0,1,0)</f>
        <v/>
      </c>
      <c r="S800" s="19">
        <f>S799+IF(LEN($AC$800)&gt;0,1,0)</f>
        <v/>
      </c>
      <c r="T800" s="19">
        <f>T799+IF(LEN($AD$800)&gt;0,1,0)</f>
        <v/>
      </c>
      <c r="U800" s="19">
        <f>U799+IF(LEN($AE$800)&gt;0,1,0)</f>
        <v/>
      </c>
      <c r="V800" s="19">
        <f>V799+IF(LEN($AF$800)&gt;0,1,0)</f>
        <v/>
      </c>
      <c r="X800" s="19">
        <f>IF(ISERROR($B$800),"",IF(ISBLANK($B$800),"",$B$800))</f>
        <v/>
      </c>
      <c r="Y800" s="19">
        <f>IF(ISERROR($C$800),"",IF(ISBLANK($C$800),"",$C$800))</f>
        <v/>
      </c>
      <c r="Z800" s="19">
        <f>IF(ISERROR($D$800),"",IF(ISBLANK($D$800),"",$D$800))</f>
        <v/>
      </c>
      <c r="AA800" s="19">
        <f>IF(ISERROR($E$800),"",IF(ISBLANK($E$800),"",$E$800))</f>
        <v/>
      </c>
      <c r="AB800" s="19">
        <f>IF(ISERROR($F$800),"",IF(ISBLANK($F$800),"",$F$800))</f>
        <v/>
      </c>
      <c r="AC800" s="19">
        <f>IF(ISERROR($G$800),"",IF(ISBLANK($G$800),"",$G$800))</f>
        <v/>
      </c>
      <c r="AD800" s="19">
        <f>IF(ISERROR($H$800),"",IF(ISBLANK($H$800),"",$H$800))</f>
        <v/>
      </c>
      <c r="AE800" s="19">
        <f>IF(ISERROR($I$800),"",IF(ISBLANK($I$800),"",$I$800))</f>
        <v/>
      </c>
      <c r="AF800" s="19">
        <f>IF(ISERROR($J$800),"",IF(ISBLANK($J$800),"",$J$800))</f>
        <v/>
      </c>
      <c r="AG800" s="19">
        <f>ISERROR($B$800)*1+ISERROR($C$800)*1+ISERROR($D$800)*1+ISERROR($E$800)*1+ISERROR($F$800)*1+ISERROR($G$800)*1+ISERROR($H$800)*1+ISERROR($I$800)*1+ISERROR($J$800)*1</f>
        <v/>
      </c>
    </row>
    <row r="801" ht="26" customHeight="1">
      <c r="B801" s="31" t="n"/>
      <c r="C801" s="28" t="n"/>
      <c r="D801" s="28" t="n"/>
      <c r="E801" s="28" t="n"/>
      <c r="F801" s="28" t="n"/>
      <c r="G801" s="28" t="n"/>
      <c r="H801" s="28" t="n"/>
      <c r="I801" s="28" t="n"/>
      <c r="J801" s="28" t="n"/>
      <c r="K801" s="18">
        <f>IF(AG801&gt;0,"O Google leu como fórmula: digite de novo com ' na frente.","")</f>
        <v/>
      </c>
      <c r="N801" s="19">
        <f>N800+IF(LEN($X$801)&gt;0,1,0)</f>
        <v/>
      </c>
      <c r="O801" s="19">
        <f>O800+IF(LEN($Y$801)&gt;0,1,0)</f>
        <v/>
      </c>
      <c r="P801" s="19">
        <f>P800+IF(LEN($Z$801)&gt;0,1,0)</f>
        <v/>
      </c>
      <c r="Q801" s="19">
        <f>Q800+IF(LEN($AA$801)&gt;0,1,0)</f>
        <v/>
      </c>
      <c r="R801" s="19">
        <f>R800+IF(LEN($AB$801)&gt;0,1,0)</f>
        <v/>
      </c>
      <c r="S801" s="19">
        <f>S800+IF(LEN($AC$801)&gt;0,1,0)</f>
        <v/>
      </c>
      <c r="T801" s="19">
        <f>T800+IF(LEN($AD$801)&gt;0,1,0)</f>
        <v/>
      </c>
      <c r="U801" s="19">
        <f>U800+IF(LEN($AE$801)&gt;0,1,0)</f>
        <v/>
      </c>
      <c r="V801" s="19">
        <f>V800+IF(LEN($AF$801)&gt;0,1,0)</f>
        <v/>
      </c>
      <c r="X801" s="19">
        <f>IF(ISERROR($B$801),"",IF(ISBLANK($B$801),"",$B$801))</f>
        <v/>
      </c>
      <c r="Y801" s="19">
        <f>IF(ISERROR($C$801),"",IF(ISBLANK($C$801),"",$C$801))</f>
        <v/>
      </c>
      <c r="Z801" s="19">
        <f>IF(ISERROR($D$801),"",IF(ISBLANK($D$801),"",$D$801))</f>
        <v/>
      </c>
      <c r="AA801" s="19">
        <f>IF(ISERROR($E$801),"",IF(ISBLANK($E$801),"",$E$801))</f>
        <v/>
      </c>
      <c r="AB801" s="19">
        <f>IF(ISERROR($F$801),"",IF(ISBLANK($F$801),"",$F$801))</f>
        <v/>
      </c>
      <c r="AC801" s="19">
        <f>IF(ISERROR($G$801),"",IF(ISBLANK($G$801),"",$G$801))</f>
        <v/>
      </c>
      <c r="AD801" s="19">
        <f>IF(ISERROR($H$801),"",IF(ISBLANK($H$801),"",$H$801))</f>
        <v/>
      </c>
      <c r="AE801" s="19">
        <f>IF(ISERROR($I$801),"",IF(ISBLANK($I$801),"",$I$801))</f>
        <v/>
      </c>
      <c r="AF801" s="19">
        <f>IF(ISERROR($J$801),"",IF(ISBLANK($J$801),"",$J$801))</f>
        <v/>
      </c>
      <c r="AG801" s="19">
        <f>ISERROR($B$801)*1+ISERROR($C$801)*1+ISERROR($D$801)*1+ISERROR($E$801)*1+ISERROR($F$801)*1+ISERROR($G$801)*1+ISERROR($H$801)*1+ISERROR($I$801)*1+ISERROR($J$801)*1</f>
        <v/>
      </c>
    </row>
    <row r="802" ht="26" customHeight="1">
      <c r="B802" s="30" t="n"/>
      <c r="C802" s="3" t="n"/>
      <c r="D802" s="3" t="n"/>
      <c r="E802" s="3" t="n"/>
      <c r="F802" s="3" t="n"/>
      <c r="G802" s="3" t="n"/>
      <c r="H802" s="3" t="n"/>
      <c r="I802" s="3" t="n"/>
      <c r="J802" s="3" t="n"/>
      <c r="K802" s="18">
        <f>IF(AG802&gt;0,"O Google leu como fórmula: digite de novo com ' na frente.","")</f>
        <v/>
      </c>
      <c r="N802" s="19">
        <f>N801+IF(LEN($X$802)&gt;0,1,0)</f>
        <v/>
      </c>
      <c r="O802" s="19">
        <f>O801+IF(LEN($Y$802)&gt;0,1,0)</f>
        <v/>
      </c>
      <c r="P802" s="19">
        <f>P801+IF(LEN($Z$802)&gt;0,1,0)</f>
        <v/>
      </c>
      <c r="Q802" s="19">
        <f>Q801+IF(LEN($AA$802)&gt;0,1,0)</f>
        <v/>
      </c>
      <c r="R802" s="19">
        <f>R801+IF(LEN($AB$802)&gt;0,1,0)</f>
        <v/>
      </c>
      <c r="S802" s="19">
        <f>S801+IF(LEN($AC$802)&gt;0,1,0)</f>
        <v/>
      </c>
      <c r="T802" s="19">
        <f>T801+IF(LEN($AD$802)&gt;0,1,0)</f>
        <v/>
      </c>
      <c r="U802" s="19">
        <f>U801+IF(LEN($AE$802)&gt;0,1,0)</f>
        <v/>
      </c>
      <c r="V802" s="19">
        <f>V801+IF(LEN($AF$802)&gt;0,1,0)</f>
        <v/>
      </c>
      <c r="X802" s="19">
        <f>IF(ISERROR($B$802),"",IF(ISBLANK($B$802),"",$B$802))</f>
        <v/>
      </c>
      <c r="Y802" s="19">
        <f>IF(ISERROR($C$802),"",IF(ISBLANK($C$802),"",$C$802))</f>
        <v/>
      </c>
      <c r="Z802" s="19">
        <f>IF(ISERROR($D$802),"",IF(ISBLANK($D$802),"",$D$802))</f>
        <v/>
      </c>
      <c r="AA802" s="19">
        <f>IF(ISERROR($E$802),"",IF(ISBLANK($E$802),"",$E$802))</f>
        <v/>
      </c>
      <c r="AB802" s="19">
        <f>IF(ISERROR($F$802),"",IF(ISBLANK($F$802),"",$F$802))</f>
        <v/>
      </c>
      <c r="AC802" s="19">
        <f>IF(ISERROR($G$802),"",IF(ISBLANK($G$802),"",$G$802))</f>
        <v/>
      </c>
      <c r="AD802" s="19">
        <f>IF(ISERROR($H$802),"",IF(ISBLANK($H$802),"",$H$802))</f>
        <v/>
      </c>
      <c r="AE802" s="19">
        <f>IF(ISERROR($I$802),"",IF(ISBLANK($I$802),"",$I$802))</f>
        <v/>
      </c>
      <c r="AF802" s="19">
        <f>IF(ISERROR($J$802),"",IF(ISBLANK($J$802),"",$J$802))</f>
        <v/>
      </c>
      <c r="AG802" s="19">
        <f>ISERROR($B$802)*1+ISERROR($C$802)*1+ISERROR($D$802)*1+ISERROR($E$802)*1+ISERROR($F$802)*1+ISERROR($G$802)*1+ISERROR($H$802)*1+ISERROR($I$802)*1+ISERROR($J$802)*1</f>
        <v/>
      </c>
    </row>
    <row r="803" ht="26" customHeight="1">
      <c r="B803" s="31" t="n"/>
      <c r="C803" s="28" t="n"/>
      <c r="D803" s="28" t="n"/>
      <c r="E803" s="28" t="n"/>
      <c r="F803" s="28" t="n"/>
      <c r="G803" s="28" t="n"/>
      <c r="H803" s="28" t="n"/>
      <c r="I803" s="28" t="n"/>
      <c r="J803" s="28" t="n"/>
      <c r="K803" s="18">
        <f>IF(AG803&gt;0,"O Google leu como fórmula: digite de novo com ' na frente.","")</f>
        <v/>
      </c>
      <c r="N803" s="19">
        <f>N802+IF(LEN($X$803)&gt;0,1,0)</f>
        <v/>
      </c>
      <c r="O803" s="19">
        <f>O802+IF(LEN($Y$803)&gt;0,1,0)</f>
        <v/>
      </c>
      <c r="P803" s="19">
        <f>P802+IF(LEN($Z$803)&gt;0,1,0)</f>
        <v/>
      </c>
      <c r="Q803" s="19">
        <f>Q802+IF(LEN($AA$803)&gt;0,1,0)</f>
        <v/>
      </c>
      <c r="R803" s="19">
        <f>R802+IF(LEN($AB$803)&gt;0,1,0)</f>
        <v/>
      </c>
      <c r="S803" s="19">
        <f>S802+IF(LEN($AC$803)&gt;0,1,0)</f>
        <v/>
      </c>
      <c r="T803" s="19">
        <f>T802+IF(LEN($AD$803)&gt;0,1,0)</f>
        <v/>
      </c>
      <c r="U803" s="19">
        <f>U802+IF(LEN($AE$803)&gt;0,1,0)</f>
        <v/>
      </c>
      <c r="V803" s="19">
        <f>V802+IF(LEN($AF$803)&gt;0,1,0)</f>
        <v/>
      </c>
      <c r="X803" s="19">
        <f>IF(ISERROR($B$803),"",IF(ISBLANK($B$803),"",$B$803))</f>
        <v/>
      </c>
      <c r="Y803" s="19">
        <f>IF(ISERROR($C$803),"",IF(ISBLANK($C$803),"",$C$803))</f>
        <v/>
      </c>
      <c r="Z803" s="19">
        <f>IF(ISERROR($D$803),"",IF(ISBLANK($D$803),"",$D$803))</f>
        <v/>
      </c>
      <c r="AA803" s="19">
        <f>IF(ISERROR($E$803),"",IF(ISBLANK($E$803),"",$E$803))</f>
        <v/>
      </c>
      <c r="AB803" s="19">
        <f>IF(ISERROR($F$803),"",IF(ISBLANK($F$803),"",$F$803))</f>
        <v/>
      </c>
      <c r="AC803" s="19">
        <f>IF(ISERROR($G$803),"",IF(ISBLANK($G$803),"",$G$803))</f>
        <v/>
      </c>
      <c r="AD803" s="19">
        <f>IF(ISERROR($H$803),"",IF(ISBLANK($H$803),"",$H$803))</f>
        <v/>
      </c>
      <c r="AE803" s="19">
        <f>IF(ISERROR($I$803),"",IF(ISBLANK($I$803),"",$I$803))</f>
        <v/>
      </c>
      <c r="AF803" s="19">
        <f>IF(ISERROR($J$803),"",IF(ISBLANK($J$803),"",$J$803))</f>
        <v/>
      </c>
      <c r="AG803" s="19">
        <f>ISERROR($B$803)*1+ISERROR($C$803)*1+ISERROR($D$803)*1+ISERROR($E$803)*1+ISERROR($F$803)*1+ISERROR($G$803)*1+ISERROR($H$803)*1+ISERROR($I$803)*1+ISERROR($J$803)*1</f>
        <v/>
      </c>
    </row>
    <row r="804" ht="26" customHeight="1">
      <c r="B804" s="30" t="n"/>
      <c r="C804" s="3" t="n"/>
      <c r="D804" s="3" t="n"/>
      <c r="E804" s="3" t="n"/>
      <c r="F804" s="3" t="n"/>
      <c r="G804" s="3" t="n"/>
      <c r="H804" s="3" t="n"/>
      <c r="I804" s="3" t="n"/>
      <c r="J804" s="3" t="n"/>
      <c r="K804" s="18">
        <f>IF(AG804&gt;0,"O Google leu como fórmula: digite de novo com ' na frente.","")</f>
        <v/>
      </c>
      <c r="N804" s="19">
        <f>N803+IF(LEN($X$804)&gt;0,1,0)</f>
        <v/>
      </c>
      <c r="O804" s="19">
        <f>O803+IF(LEN($Y$804)&gt;0,1,0)</f>
        <v/>
      </c>
      <c r="P804" s="19">
        <f>P803+IF(LEN($Z$804)&gt;0,1,0)</f>
        <v/>
      </c>
      <c r="Q804" s="19">
        <f>Q803+IF(LEN($AA$804)&gt;0,1,0)</f>
        <v/>
      </c>
      <c r="R804" s="19">
        <f>R803+IF(LEN($AB$804)&gt;0,1,0)</f>
        <v/>
      </c>
      <c r="S804" s="19">
        <f>S803+IF(LEN($AC$804)&gt;0,1,0)</f>
        <v/>
      </c>
      <c r="T804" s="19">
        <f>T803+IF(LEN($AD$804)&gt;0,1,0)</f>
        <v/>
      </c>
      <c r="U804" s="19">
        <f>U803+IF(LEN($AE$804)&gt;0,1,0)</f>
        <v/>
      </c>
      <c r="V804" s="19">
        <f>V803+IF(LEN($AF$804)&gt;0,1,0)</f>
        <v/>
      </c>
      <c r="X804" s="19">
        <f>IF(ISERROR($B$804),"",IF(ISBLANK($B$804),"",$B$804))</f>
        <v/>
      </c>
      <c r="Y804" s="19">
        <f>IF(ISERROR($C$804),"",IF(ISBLANK($C$804),"",$C$804))</f>
        <v/>
      </c>
      <c r="Z804" s="19">
        <f>IF(ISERROR($D$804),"",IF(ISBLANK($D$804),"",$D$804))</f>
        <v/>
      </c>
      <c r="AA804" s="19">
        <f>IF(ISERROR($E$804),"",IF(ISBLANK($E$804),"",$E$804))</f>
        <v/>
      </c>
      <c r="AB804" s="19">
        <f>IF(ISERROR($F$804),"",IF(ISBLANK($F$804),"",$F$804))</f>
        <v/>
      </c>
      <c r="AC804" s="19">
        <f>IF(ISERROR($G$804),"",IF(ISBLANK($G$804),"",$G$804))</f>
        <v/>
      </c>
      <c r="AD804" s="19">
        <f>IF(ISERROR($H$804),"",IF(ISBLANK($H$804),"",$H$804))</f>
        <v/>
      </c>
      <c r="AE804" s="19">
        <f>IF(ISERROR($I$804),"",IF(ISBLANK($I$804),"",$I$804))</f>
        <v/>
      </c>
      <c r="AF804" s="19">
        <f>IF(ISERROR($J$804),"",IF(ISBLANK($J$804),"",$J$804))</f>
        <v/>
      </c>
      <c r="AG804" s="19">
        <f>ISERROR($B$804)*1+ISERROR($C$804)*1+ISERROR($D$804)*1+ISERROR($E$804)*1+ISERROR($F$804)*1+ISERROR($G$804)*1+ISERROR($H$804)*1+ISERROR($I$804)*1+ISERROR($J$804)*1</f>
        <v/>
      </c>
    </row>
    <row r="805" ht="26" customHeight="1">
      <c r="B805" s="31" t="n"/>
      <c r="C805" s="28" t="n"/>
      <c r="D805" s="28" t="n"/>
      <c r="E805" s="28" t="n"/>
      <c r="F805" s="28" t="n"/>
      <c r="G805" s="28" t="n"/>
      <c r="H805" s="28" t="n"/>
      <c r="I805" s="28" t="n"/>
      <c r="J805" s="28" t="n"/>
      <c r="K805" s="18">
        <f>IF(AG805&gt;0,"O Google leu como fórmula: digite de novo com ' na frente.","")</f>
        <v/>
      </c>
      <c r="N805" s="19">
        <f>N804+IF(LEN($X$805)&gt;0,1,0)</f>
        <v/>
      </c>
      <c r="O805" s="19">
        <f>O804+IF(LEN($Y$805)&gt;0,1,0)</f>
        <v/>
      </c>
      <c r="P805" s="19">
        <f>P804+IF(LEN($Z$805)&gt;0,1,0)</f>
        <v/>
      </c>
      <c r="Q805" s="19">
        <f>Q804+IF(LEN($AA$805)&gt;0,1,0)</f>
        <v/>
      </c>
      <c r="R805" s="19">
        <f>R804+IF(LEN($AB$805)&gt;0,1,0)</f>
        <v/>
      </c>
      <c r="S805" s="19">
        <f>S804+IF(LEN($AC$805)&gt;0,1,0)</f>
        <v/>
      </c>
      <c r="T805" s="19">
        <f>T804+IF(LEN($AD$805)&gt;0,1,0)</f>
        <v/>
      </c>
      <c r="U805" s="19">
        <f>U804+IF(LEN($AE$805)&gt;0,1,0)</f>
        <v/>
      </c>
      <c r="V805" s="19">
        <f>V804+IF(LEN($AF$805)&gt;0,1,0)</f>
        <v/>
      </c>
      <c r="X805" s="19">
        <f>IF(ISERROR($B$805),"",IF(ISBLANK($B$805),"",$B$805))</f>
        <v/>
      </c>
      <c r="Y805" s="19">
        <f>IF(ISERROR($C$805),"",IF(ISBLANK($C$805),"",$C$805))</f>
        <v/>
      </c>
      <c r="Z805" s="19">
        <f>IF(ISERROR($D$805),"",IF(ISBLANK($D$805),"",$D$805))</f>
        <v/>
      </c>
      <c r="AA805" s="19">
        <f>IF(ISERROR($E$805),"",IF(ISBLANK($E$805),"",$E$805))</f>
        <v/>
      </c>
      <c r="AB805" s="19">
        <f>IF(ISERROR($F$805),"",IF(ISBLANK($F$805),"",$F$805))</f>
        <v/>
      </c>
      <c r="AC805" s="19">
        <f>IF(ISERROR($G$805),"",IF(ISBLANK($G$805),"",$G$805))</f>
        <v/>
      </c>
      <c r="AD805" s="19">
        <f>IF(ISERROR($H$805),"",IF(ISBLANK($H$805),"",$H$805))</f>
        <v/>
      </c>
      <c r="AE805" s="19">
        <f>IF(ISERROR($I$805),"",IF(ISBLANK($I$805),"",$I$805))</f>
        <v/>
      </c>
      <c r="AF805" s="19">
        <f>IF(ISERROR($J$805),"",IF(ISBLANK($J$805),"",$J$805))</f>
        <v/>
      </c>
      <c r="AG805" s="19">
        <f>ISERROR($B$805)*1+ISERROR($C$805)*1+ISERROR($D$805)*1+ISERROR($E$805)*1+ISERROR($F$805)*1+ISERROR($G$805)*1+ISERROR($H$805)*1+ISERROR($I$805)*1+ISERROR($J$805)*1</f>
        <v/>
      </c>
    </row>
    <row r="806" ht="26" customHeight="1">
      <c r="B806" s="30" t="n"/>
      <c r="C806" s="3" t="n"/>
      <c r="D806" s="3" t="n"/>
      <c r="E806" s="3" t="n"/>
      <c r="F806" s="3" t="n"/>
      <c r="G806" s="3" t="n"/>
      <c r="H806" s="3" t="n"/>
      <c r="I806" s="3" t="n"/>
      <c r="J806" s="3" t="n"/>
      <c r="K806" s="18">
        <f>IF(AG806&gt;0,"O Google leu como fórmula: digite de novo com ' na frente.","")</f>
        <v/>
      </c>
      <c r="N806" s="19">
        <f>N805+IF(LEN($X$806)&gt;0,1,0)</f>
        <v/>
      </c>
      <c r="O806" s="19">
        <f>O805+IF(LEN($Y$806)&gt;0,1,0)</f>
        <v/>
      </c>
      <c r="P806" s="19">
        <f>P805+IF(LEN($Z$806)&gt;0,1,0)</f>
        <v/>
      </c>
      <c r="Q806" s="19">
        <f>Q805+IF(LEN($AA$806)&gt;0,1,0)</f>
        <v/>
      </c>
      <c r="R806" s="19">
        <f>R805+IF(LEN($AB$806)&gt;0,1,0)</f>
        <v/>
      </c>
      <c r="S806" s="19">
        <f>S805+IF(LEN($AC$806)&gt;0,1,0)</f>
        <v/>
      </c>
      <c r="T806" s="19">
        <f>T805+IF(LEN($AD$806)&gt;0,1,0)</f>
        <v/>
      </c>
      <c r="U806" s="19">
        <f>U805+IF(LEN($AE$806)&gt;0,1,0)</f>
        <v/>
      </c>
      <c r="V806" s="19">
        <f>V805+IF(LEN($AF$806)&gt;0,1,0)</f>
        <v/>
      </c>
      <c r="X806" s="19">
        <f>IF(ISERROR($B$806),"",IF(ISBLANK($B$806),"",$B$806))</f>
        <v/>
      </c>
      <c r="Y806" s="19">
        <f>IF(ISERROR($C$806),"",IF(ISBLANK($C$806),"",$C$806))</f>
        <v/>
      </c>
      <c r="Z806" s="19">
        <f>IF(ISERROR($D$806),"",IF(ISBLANK($D$806),"",$D$806))</f>
        <v/>
      </c>
      <c r="AA806" s="19">
        <f>IF(ISERROR($E$806),"",IF(ISBLANK($E$806),"",$E$806))</f>
        <v/>
      </c>
      <c r="AB806" s="19">
        <f>IF(ISERROR($F$806),"",IF(ISBLANK($F$806),"",$F$806))</f>
        <v/>
      </c>
      <c r="AC806" s="19">
        <f>IF(ISERROR($G$806),"",IF(ISBLANK($G$806),"",$G$806))</f>
        <v/>
      </c>
      <c r="AD806" s="19">
        <f>IF(ISERROR($H$806),"",IF(ISBLANK($H$806),"",$H$806))</f>
        <v/>
      </c>
      <c r="AE806" s="19">
        <f>IF(ISERROR($I$806),"",IF(ISBLANK($I$806),"",$I$806))</f>
        <v/>
      </c>
      <c r="AF806" s="19">
        <f>IF(ISERROR($J$806),"",IF(ISBLANK($J$806),"",$J$806))</f>
        <v/>
      </c>
      <c r="AG806" s="19">
        <f>ISERROR($B$806)*1+ISERROR($C$806)*1+ISERROR($D$806)*1+ISERROR($E$806)*1+ISERROR($F$806)*1+ISERROR($G$806)*1+ISERROR($H$806)*1+ISERROR($I$806)*1+ISERROR($J$806)*1</f>
        <v/>
      </c>
    </row>
    <row r="807" ht="26" customHeight="1">
      <c r="B807" s="31" t="n"/>
      <c r="C807" s="28" t="n"/>
      <c r="D807" s="28" t="n"/>
      <c r="E807" s="28" t="n"/>
      <c r="F807" s="28" t="n"/>
      <c r="G807" s="28" t="n"/>
      <c r="H807" s="28" t="n"/>
      <c r="I807" s="28" t="n"/>
      <c r="J807" s="28" t="n"/>
      <c r="K807" s="18">
        <f>IF(AG807&gt;0,"O Google leu como fórmula: digite de novo com ' na frente.","")</f>
        <v/>
      </c>
      <c r="N807" s="19">
        <f>N806+IF(LEN($X$807)&gt;0,1,0)</f>
        <v/>
      </c>
      <c r="O807" s="19">
        <f>O806+IF(LEN($Y$807)&gt;0,1,0)</f>
        <v/>
      </c>
      <c r="P807" s="19">
        <f>P806+IF(LEN($Z$807)&gt;0,1,0)</f>
        <v/>
      </c>
      <c r="Q807" s="19">
        <f>Q806+IF(LEN($AA$807)&gt;0,1,0)</f>
        <v/>
      </c>
      <c r="R807" s="19">
        <f>R806+IF(LEN($AB$807)&gt;0,1,0)</f>
        <v/>
      </c>
      <c r="S807" s="19">
        <f>S806+IF(LEN($AC$807)&gt;0,1,0)</f>
        <v/>
      </c>
      <c r="T807" s="19">
        <f>T806+IF(LEN($AD$807)&gt;0,1,0)</f>
        <v/>
      </c>
      <c r="U807" s="19">
        <f>U806+IF(LEN($AE$807)&gt;0,1,0)</f>
        <v/>
      </c>
      <c r="V807" s="19">
        <f>V806+IF(LEN($AF$807)&gt;0,1,0)</f>
        <v/>
      </c>
      <c r="X807" s="19">
        <f>IF(ISERROR($B$807),"",IF(ISBLANK($B$807),"",$B$807))</f>
        <v/>
      </c>
      <c r="Y807" s="19">
        <f>IF(ISERROR($C$807),"",IF(ISBLANK($C$807),"",$C$807))</f>
        <v/>
      </c>
      <c r="Z807" s="19">
        <f>IF(ISERROR($D$807),"",IF(ISBLANK($D$807),"",$D$807))</f>
        <v/>
      </c>
      <c r="AA807" s="19">
        <f>IF(ISERROR($E$807),"",IF(ISBLANK($E$807),"",$E$807))</f>
        <v/>
      </c>
      <c r="AB807" s="19">
        <f>IF(ISERROR($F$807),"",IF(ISBLANK($F$807),"",$F$807))</f>
        <v/>
      </c>
      <c r="AC807" s="19">
        <f>IF(ISERROR($G$807),"",IF(ISBLANK($G$807),"",$G$807))</f>
        <v/>
      </c>
      <c r="AD807" s="19">
        <f>IF(ISERROR($H$807),"",IF(ISBLANK($H$807),"",$H$807))</f>
        <v/>
      </c>
      <c r="AE807" s="19">
        <f>IF(ISERROR($I$807),"",IF(ISBLANK($I$807),"",$I$807))</f>
        <v/>
      </c>
      <c r="AF807" s="19">
        <f>IF(ISERROR($J$807),"",IF(ISBLANK($J$807),"",$J$807))</f>
        <v/>
      </c>
      <c r="AG807" s="19">
        <f>ISERROR($B$807)*1+ISERROR($C$807)*1+ISERROR($D$807)*1+ISERROR($E$807)*1+ISERROR($F$807)*1+ISERROR($G$807)*1+ISERROR($H$807)*1+ISERROR($I$807)*1+ISERROR($J$807)*1</f>
        <v/>
      </c>
    </row>
    <row r="808" ht="26" customHeight="1">
      <c r="B808" s="30" t="n"/>
      <c r="C808" s="3" t="n"/>
      <c r="D808" s="3" t="n"/>
      <c r="E808" s="3" t="n"/>
      <c r="F808" s="3" t="n"/>
      <c r="G808" s="3" t="n"/>
      <c r="H808" s="3" t="n"/>
      <c r="I808" s="3" t="n"/>
      <c r="J808" s="3" t="n"/>
      <c r="K808" s="18">
        <f>IF(AG808&gt;0,"O Google leu como fórmula: digite de novo com ' na frente.","")</f>
        <v/>
      </c>
      <c r="N808" s="19">
        <f>N807+IF(LEN($X$808)&gt;0,1,0)</f>
        <v/>
      </c>
      <c r="O808" s="19">
        <f>O807+IF(LEN($Y$808)&gt;0,1,0)</f>
        <v/>
      </c>
      <c r="P808" s="19">
        <f>P807+IF(LEN($Z$808)&gt;0,1,0)</f>
        <v/>
      </c>
      <c r="Q808" s="19">
        <f>Q807+IF(LEN($AA$808)&gt;0,1,0)</f>
        <v/>
      </c>
      <c r="R808" s="19">
        <f>R807+IF(LEN($AB$808)&gt;0,1,0)</f>
        <v/>
      </c>
      <c r="S808" s="19">
        <f>S807+IF(LEN($AC$808)&gt;0,1,0)</f>
        <v/>
      </c>
      <c r="T808" s="19">
        <f>T807+IF(LEN($AD$808)&gt;0,1,0)</f>
        <v/>
      </c>
      <c r="U808" s="19">
        <f>U807+IF(LEN($AE$808)&gt;0,1,0)</f>
        <v/>
      </c>
      <c r="V808" s="19">
        <f>V807+IF(LEN($AF$808)&gt;0,1,0)</f>
        <v/>
      </c>
      <c r="X808" s="19">
        <f>IF(ISERROR($B$808),"",IF(ISBLANK($B$808),"",$B$808))</f>
        <v/>
      </c>
      <c r="Y808" s="19">
        <f>IF(ISERROR($C$808),"",IF(ISBLANK($C$808),"",$C$808))</f>
        <v/>
      </c>
      <c r="Z808" s="19">
        <f>IF(ISERROR($D$808),"",IF(ISBLANK($D$808),"",$D$808))</f>
        <v/>
      </c>
      <c r="AA808" s="19">
        <f>IF(ISERROR($E$808),"",IF(ISBLANK($E$808),"",$E$808))</f>
        <v/>
      </c>
      <c r="AB808" s="19">
        <f>IF(ISERROR($F$808),"",IF(ISBLANK($F$808),"",$F$808))</f>
        <v/>
      </c>
      <c r="AC808" s="19">
        <f>IF(ISERROR($G$808),"",IF(ISBLANK($G$808),"",$G$808))</f>
        <v/>
      </c>
      <c r="AD808" s="19">
        <f>IF(ISERROR($H$808),"",IF(ISBLANK($H$808),"",$H$808))</f>
        <v/>
      </c>
      <c r="AE808" s="19">
        <f>IF(ISERROR($I$808),"",IF(ISBLANK($I$808),"",$I$808))</f>
        <v/>
      </c>
      <c r="AF808" s="19">
        <f>IF(ISERROR($J$808),"",IF(ISBLANK($J$808),"",$J$808))</f>
        <v/>
      </c>
      <c r="AG808" s="19">
        <f>ISERROR($B$808)*1+ISERROR($C$808)*1+ISERROR($D$808)*1+ISERROR($E$808)*1+ISERROR($F$808)*1+ISERROR($G$808)*1+ISERROR($H$808)*1+ISERROR($I$808)*1+ISERROR($J$808)*1</f>
        <v/>
      </c>
    </row>
  </sheetData>
  <mergeCells count="716">
    <mergeCell ref="K233:L233"/>
    <mergeCell ref="K338:L338"/>
    <mergeCell ref="K227:L227"/>
    <mergeCell ref="K531:L531"/>
    <mergeCell ref="K525:L525"/>
    <mergeCell ref="K792:L792"/>
    <mergeCell ref="K767:L767"/>
    <mergeCell ref="K177:L177"/>
    <mergeCell ref="K444:L444"/>
    <mergeCell ref="K33:L33"/>
    <mergeCell ref="K475:L475"/>
    <mergeCell ref="K104:L104"/>
    <mergeCell ref="K742:L742"/>
    <mergeCell ref="K536:L536"/>
    <mergeCell ref="K340:L340"/>
    <mergeCell ref="K533:L533"/>
    <mergeCell ref="K508:L508"/>
    <mergeCell ref="K35:L35"/>
    <mergeCell ref="K302:L302"/>
    <mergeCell ref="K502:L502"/>
    <mergeCell ref="K333:L333"/>
    <mergeCell ref="K744:L744"/>
    <mergeCell ref="K806:L806"/>
    <mergeCell ref="K252:L252"/>
    <mergeCell ref="K99:L99"/>
    <mergeCell ref="K366:L366"/>
    <mergeCell ref="K180:L180"/>
    <mergeCell ref="K155:L155"/>
    <mergeCell ref="K391:L391"/>
    <mergeCell ref="K689:L689"/>
    <mergeCell ref="K480:L480"/>
    <mergeCell ref="K157:L157"/>
    <mergeCell ref="K328:L328"/>
    <mergeCell ref="K455:L455"/>
    <mergeCell ref="K626:L626"/>
    <mergeCell ref="K526:L526"/>
    <mergeCell ref="K691:L691"/>
    <mergeCell ref="K101:L101"/>
    <mergeCell ref="K172:L172"/>
    <mergeCell ref="A121:H121"/>
    <mergeCell ref="K28:L28"/>
    <mergeCell ref="K221:L221"/>
    <mergeCell ref="K392:L392"/>
    <mergeCell ref="K215:L215"/>
    <mergeCell ref="K457:L457"/>
    <mergeCell ref="K755:L755"/>
    <mergeCell ref="K92:L92"/>
    <mergeCell ref="K30:L30"/>
    <mergeCell ref="K152:L152"/>
    <mergeCell ref="K223:L223"/>
    <mergeCell ref="K394:L394"/>
    <mergeCell ref="K521:L521"/>
    <mergeCell ref="K692:L692"/>
    <mergeCell ref="K248:L248"/>
    <mergeCell ref="K247:L247"/>
    <mergeCell ref="K185:L185"/>
    <mergeCell ref="K41:L41"/>
    <mergeCell ref="K483:L483"/>
    <mergeCell ref="K610:L610"/>
    <mergeCell ref="K106:L106"/>
    <mergeCell ref="K277:L277"/>
    <mergeCell ref="K404:L404"/>
    <mergeCell ref="K768:L768"/>
    <mergeCell ref="K56:L56"/>
    <mergeCell ref="K249:L249"/>
    <mergeCell ref="K105:L105"/>
    <mergeCell ref="K243:L243"/>
    <mergeCell ref="K43:L43"/>
    <mergeCell ref="K547:L547"/>
    <mergeCell ref="K170:L170"/>
    <mergeCell ref="K341:L341"/>
    <mergeCell ref="K534:L534"/>
    <mergeCell ref="K639:L639"/>
    <mergeCell ref="K783:L783"/>
    <mergeCell ref="K577:L577"/>
    <mergeCell ref="K808:L808"/>
    <mergeCell ref="K770:L770"/>
    <mergeCell ref="K316:L316"/>
    <mergeCell ref="K552:L552"/>
    <mergeCell ref="K107:L107"/>
    <mergeCell ref="K549:L549"/>
    <mergeCell ref="K745:L745"/>
    <mergeCell ref="K405:L405"/>
    <mergeCell ref="K641:L641"/>
    <mergeCell ref="K407:L407"/>
    <mergeCell ref="K705:L705"/>
    <mergeCell ref="K463:L463"/>
    <mergeCell ref="K183:L183"/>
    <mergeCell ref="K419:L419"/>
    <mergeCell ref="K717:L717"/>
    <mergeCell ref="K198:L198"/>
    <mergeCell ref="K54:L54"/>
    <mergeCell ref="K763:L763"/>
    <mergeCell ref="K173:L173"/>
    <mergeCell ref="K557:L557"/>
    <mergeCell ref="K29:L29"/>
    <mergeCell ref="K244:L244"/>
    <mergeCell ref="K271:L271"/>
    <mergeCell ref="K542:L542"/>
    <mergeCell ref="K781:L781"/>
    <mergeCell ref="K458:L458"/>
    <mergeCell ref="K262:L262"/>
    <mergeCell ref="K529:L529"/>
    <mergeCell ref="K523:L523"/>
    <mergeCell ref="K44:L44"/>
    <mergeCell ref="K765:L765"/>
    <mergeCell ref="K31:L31"/>
    <mergeCell ref="K473:L473"/>
    <mergeCell ref="K273:L273"/>
    <mergeCell ref="K571:L571"/>
    <mergeCell ref="K758:L758"/>
    <mergeCell ref="K331:L331"/>
    <mergeCell ref="K524:L524"/>
    <mergeCell ref="K176:L176"/>
    <mergeCell ref="K347:L347"/>
    <mergeCell ref="K97:L97"/>
    <mergeCell ref="K268:L268"/>
    <mergeCell ref="K710:L710"/>
    <mergeCell ref="K191:L191"/>
    <mergeCell ref="K476:L476"/>
    <mergeCell ref="K647:L647"/>
    <mergeCell ref="K57:L57"/>
    <mergeCell ref="K712:L712"/>
    <mergeCell ref="K128:L128"/>
    <mergeCell ref="K184:L184"/>
    <mergeCell ref="A6:I6"/>
    <mergeCell ref="K486:L486"/>
    <mergeCell ref="K171:L171"/>
    <mergeCell ref="K342:L342"/>
    <mergeCell ref="K242:L242"/>
    <mergeCell ref="K413:L413"/>
    <mergeCell ref="K478:L478"/>
    <mergeCell ref="K649:L649"/>
    <mergeCell ref="K776:L776"/>
    <mergeCell ref="K357:L357"/>
    <mergeCell ref="K428:L428"/>
    <mergeCell ref="K550:L550"/>
    <mergeCell ref="K344:L344"/>
    <mergeCell ref="K786:L786"/>
    <mergeCell ref="K415:L415"/>
    <mergeCell ref="K713:L713"/>
    <mergeCell ref="K110:L110"/>
    <mergeCell ref="K286:L286"/>
    <mergeCell ref="K644:L644"/>
    <mergeCell ref="A466:J466"/>
    <mergeCell ref="K738:L738"/>
    <mergeCell ref="K174:L174"/>
    <mergeCell ref="K690:L690"/>
    <mergeCell ref="K410:L410"/>
    <mergeCell ref="K75:L75"/>
    <mergeCell ref="K504:L504"/>
    <mergeCell ref="K802:L802"/>
    <mergeCell ref="K596:L596"/>
    <mergeCell ref="K12:L12"/>
    <mergeCell ref="K789:L789"/>
    <mergeCell ref="K270:L270"/>
    <mergeCell ref="K326:L326"/>
    <mergeCell ref="K497:L497"/>
    <mergeCell ref="K568:L568"/>
    <mergeCell ref="K362:L362"/>
    <mergeCell ref="K245:L245"/>
    <mergeCell ref="K660:L660"/>
    <mergeCell ref="K14:L14"/>
    <mergeCell ref="K70:L70"/>
    <mergeCell ref="K337:L337"/>
    <mergeCell ref="K312:L312"/>
    <mergeCell ref="K791:L791"/>
    <mergeCell ref="K635:L635"/>
    <mergeCell ref="K573:L573"/>
    <mergeCell ref="K299:L299"/>
    <mergeCell ref="K570:L570"/>
    <mergeCell ref="K766:L766"/>
    <mergeCell ref="K293:L293"/>
    <mergeCell ref="K597:L597"/>
    <mergeCell ref="K103:L103"/>
    <mergeCell ref="K401:L401"/>
    <mergeCell ref="K572:L572"/>
    <mergeCell ref="K314:L314"/>
    <mergeCell ref="K637:L637"/>
    <mergeCell ref="K599:L599"/>
    <mergeCell ref="K167:L167"/>
    <mergeCell ref="K403:L403"/>
    <mergeCell ref="K574:L574"/>
    <mergeCell ref="K217:L217"/>
    <mergeCell ref="K192:L192"/>
    <mergeCell ref="A696:J696"/>
    <mergeCell ref="K129:L129"/>
    <mergeCell ref="K194:L194"/>
    <mergeCell ref="K50:L50"/>
    <mergeCell ref="K492:L492"/>
    <mergeCell ref="K292:L292"/>
    <mergeCell ref="K181:L181"/>
    <mergeCell ref="K479:L479"/>
    <mergeCell ref="K650:L650"/>
    <mergeCell ref="K777:L777"/>
    <mergeCell ref="K131:L131"/>
    <mergeCell ref="K258:L258"/>
    <mergeCell ref="K58:L58"/>
    <mergeCell ref="K307:L307"/>
    <mergeCell ref="K429:L429"/>
    <mergeCell ref="K52:L52"/>
    <mergeCell ref="K494:L494"/>
    <mergeCell ref="K556:L556"/>
    <mergeCell ref="K543:L543"/>
    <mergeCell ref="K592:L592"/>
    <mergeCell ref="K481:L481"/>
    <mergeCell ref="K714:L714"/>
    <mergeCell ref="K779:L779"/>
    <mergeCell ref="K195:L195"/>
    <mergeCell ref="K493:L493"/>
    <mergeCell ref="K260:L260"/>
    <mergeCell ref="K431:L431"/>
    <mergeCell ref="K287:L287"/>
    <mergeCell ref="K558:L558"/>
    <mergeCell ref="K716:L716"/>
    <mergeCell ref="K289:L289"/>
    <mergeCell ref="K587:L587"/>
    <mergeCell ref="K13:L13"/>
    <mergeCell ref="K78:L78"/>
    <mergeCell ref="K205:L205"/>
    <mergeCell ref="K376:L376"/>
    <mergeCell ref="K447:L447"/>
    <mergeCell ref="K507:L507"/>
    <mergeCell ref="K363:L363"/>
    <mergeCell ref="K805:L805"/>
    <mergeCell ref="K15:L15"/>
    <mergeCell ref="K142:L142"/>
    <mergeCell ref="K313:L313"/>
    <mergeCell ref="K80:L80"/>
    <mergeCell ref="K378:L378"/>
    <mergeCell ref="K620:L620"/>
    <mergeCell ref="A3:L3"/>
    <mergeCell ref="K55:L55"/>
    <mergeCell ref="K365:L365"/>
    <mergeCell ref="K807:L807"/>
    <mergeCell ref="K663:L663"/>
    <mergeCell ref="K79:L79"/>
    <mergeCell ref="K734:L734"/>
    <mergeCell ref="K144:L144"/>
    <mergeCell ref="K315:L315"/>
    <mergeCell ref="K442:L442"/>
    <mergeCell ref="K613:L613"/>
    <mergeCell ref="K727:L727"/>
    <mergeCell ref="K665:L665"/>
    <mergeCell ref="K208:L208"/>
    <mergeCell ref="K379:L379"/>
    <mergeCell ref="K640:L640"/>
    <mergeCell ref="K615:L615"/>
    <mergeCell ref="K406:L406"/>
    <mergeCell ref="K500:L500"/>
    <mergeCell ref="K798:L798"/>
    <mergeCell ref="K220:L220"/>
    <mergeCell ref="K518:L518"/>
    <mergeCell ref="K589:L589"/>
    <mergeCell ref="K760:L760"/>
    <mergeCell ref="K437:L437"/>
    <mergeCell ref="K564:L564"/>
    <mergeCell ref="K284:L284"/>
    <mergeCell ref="K800:L800"/>
    <mergeCell ref="K222:L222"/>
    <mergeCell ref="K520:L520"/>
    <mergeCell ref="K66:L66"/>
    <mergeCell ref="A465:J465"/>
    <mergeCell ref="K259:L259"/>
    <mergeCell ref="K618:L618"/>
    <mergeCell ref="K197:L197"/>
    <mergeCell ref="K501:L501"/>
    <mergeCell ref="K787:L787"/>
    <mergeCell ref="K495:L495"/>
    <mergeCell ref="K737:L737"/>
    <mergeCell ref="K593:L593"/>
    <mergeCell ref="K360:L360"/>
    <mergeCell ref="K482:L482"/>
    <mergeCell ref="K780:L780"/>
    <mergeCell ref="K74:L74"/>
    <mergeCell ref="K68:L68"/>
    <mergeCell ref="K372:L372"/>
    <mergeCell ref="K310:L310"/>
    <mergeCell ref="K432:L432"/>
    <mergeCell ref="K608:L608"/>
    <mergeCell ref="K795:L795"/>
    <mergeCell ref="K424:L424"/>
    <mergeCell ref="K595:L595"/>
    <mergeCell ref="K782:L782"/>
    <mergeCell ref="K290:L290"/>
    <mergeCell ref="K213:L213"/>
    <mergeCell ref="K150:L150"/>
    <mergeCell ref="K321:L321"/>
    <mergeCell ref="K671:L671"/>
    <mergeCell ref="K323:L323"/>
    <mergeCell ref="K279:L279"/>
    <mergeCell ref="K450:L450"/>
    <mergeCell ref="K621:L621"/>
    <mergeCell ref="K748:L748"/>
    <mergeCell ref="K686:L686"/>
    <mergeCell ref="K735:L735"/>
    <mergeCell ref="K673:L673"/>
    <mergeCell ref="K23:L23"/>
    <mergeCell ref="K145:L145"/>
    <mergeCell ref="K216:L216"/>
    <mergeCell ref="K387:L387"/>
    <mergeCell ref="K381:L381"/>
    <mergeCell ref="K514:L514"/>
    <mergeCell ref="K452:L452"/>
    <mergeCell ref="K623:L623"/>
    <mergeCell ref="K308:L308"/>
    <mergeCell ref="K685:L685"/>
    <mergeCell ref="K750:L750"/>
    <mergeCell ref="K606:L606"/>
    <mergeCell ref="K160:L160"/>
    <mergeCell ref="K666:L666"/>
    <mergeCell ref="K147:L147"/>
    <mergeCell ref="K274:L274"/>
    <mergeCell ref="K18:L18"/>
    <mergeCell ref="K34:L34"/>
    <mergeCell ref="K305:L305"/>
    <mergeCell ref="K397:L397"/>
    <mergeCell ref="K36:L36"/>
    <mergeCell ref="K503:L503"/>
    <mergeCell ref="K163:L163"/>
    <mergeCell ref="K334:L334"/>
    <mergeCell ref="K801:L801"/>
    <mergeCell ref="K380:L380"/>
    <mergeCell ref="K300:L300"/>
    <mergeCell ref="K100:L100"/>
    <mergeCell ref="K94:L94"/>
    <mergeCell ref="K361:L361"/>
    <mergeCell ref="K165:L165"/>
    <mergeCell ref="K336:L336"/>
    <mergeCell ref="K659:L659"/>
    <mergeCell ref="K634:L634"/>
    <mergeCell ref="K803:L803"/>
    <mergeCell ref="K102:L102"/>
    <mergeCell ref="K740:L740"/>
    <mergeCell ref="K425:L425"/>
    <mergeCell ref="K229:L229"/>
    <mergeCell ref="K400:L400"/>
    <mergeCell ref="K661:L661"/>
    <mergeCell ref="K77:L77"/>
    <mergeCell ref="K204:L204"/>
    <mergeCell ref="A235:H235"/>
    <mergeCell ref="K375:L375"/>
    <mergeCell ref="K611:L611"/>
    <mergeCell ref="K804:L804"/>
    <mergeCell ref="K598:L598"/>
    <mergeCell ref="K725:L725"/>
    <mergeCell ref="K539:L539"/>
    <mergeCell ref="K662:L662"/>
    <mergeCell ref="K756:L756"/>
    <mergeCell ref="K87:L87"/>
    <mergeCell ref="K280:L280"/>
    <mergeCell ref="K329:L329"/>
    <mergeCell ref="K218:L218"/>
    <mergeCell ref="K451:L451"/>
    <mergeCell ref="K522:L522"/>
    <mergeCell ref="K49:L49"/>
    <mergeCell ref="K516:L516"/>
    <mergeCell ref="K627:L627"/>
    <mergeCell ref="K687:L687"/>
    <mergeCell ref="K24:L24"/>
    <mergeCell ref="K295:L295"/>
    <mergeCell ref="K266:L266"/>
    <mergeCell ref="K322:L322"/>
    <mergeCell ref="K89:L89"/>
    <mergeCell ref="K393:L393"/>
    <mergeCell ref="K453:L453"/>
    <mergeCell ref="K624:L624"/>
    <mergeCell ref="K309:L309"/>
    <mergeCell ref="K113:L113"/>
    <mergeCell ref="K629:L629"/>
    <mergeCell ref="K751:L751"/>
    <mergeCell ref="K545:L545"/>
    <mergeCell ref="K232:L232"/>
    <mergeCell ref="K616:L616"/>
    <mergeCell ref="K88:L88"/>
    <mergeCell ref="K26:L26"/>
    <mergeCell ref="K219:L219"/>
    <mergeCell ref="K153:L153"/>
    <mergeCell ref="K324:L324"/>
    <mergeCell ref="K517:L517"/>
    <mergeCell ref="K688:L688"/>
    <mergeCell ref="K753:L753"/>
    <mergeCell ref="K609:L609"/>
    <mergeCell ref="K90:L90"/>
    <mergeCell ref="K261:L261"/>
    <mergeCell ref="K519:L519"/>
    <mergeCell ref="K546:L546"/>
    <mergeCell ref="K115:L115"/>
    <mergeCell ref="K42:L42"/>
    <mergeCell ref="K544:L544"/>
    <mergeCell ref="K769:L769"/>
    <mergeCell ref="K179:L179"/>
    <mergeCell ref="K250:L250"/>
    <mergeCell ref="K166:L166"/>
    <mergeCell ref="K408:L408"/>
    <mergeCell ref="K402:L402"/>
    <mergeCell ref="K535:L535"/>
    <mergeCell ref="K669:L669"/>
    <mergeCell ref="K141:L141"/>
    <mergeCell ref="K116:L116"/>
    <mergeCell ref="K706:L706"/>
    <mergeCell ref="K377:L377"/>
    <mergeCell ref="K681:L681"/>
    <mergeCell ref="K619:L619"/>
    <mergeCell ref="K37:L37"/>
    <mergeCell ref="K230:L230"/>
    <mergeCell ref="K733:L733"/>
    <mergeCell ref="K143:L143"/>
    <mergeCell ref="K118:L118"/>
    <mergeCell ref="K416:L416"/>
    <mergeCell ref="K683:L683"/>
    <mergeCell ref="K530:L530"/>
    <mergeCell ref="K21:L21"/>
    <mergeCell ref="K32:L32"/>
    <mergeCell ref="K63:L63"/>
    <mergeCell ref="K330:L330"/>
    <mergeCell ref="K134:L134"/>
    <mergeCell ref="K566:L566"/>
    <mergeCell ref="K759:L759"/>
    <mergeCell ref="K563:L563"/>
    <mergeCell ref="K553:L553"/>
    <mergeCell ref="K96:L96"/>
    <mergeCell ref="K532:L532"/>
    <mergeCell ref="K332:L332"/>
    <mergeCell ref="K630:L630"/>
    <mergeCell ref="K761:L761"/>
    <mergeCell ref="K617:L617"/>
    <mergeCell ref="K421:L421"/>
    <mergeCell ref="K27:L27"/>
    <mergeCell ref="K98:L98"/>
    <mergeCell ref="K396:L396"/>
    <mergeCell ref="K567:L567"/>
    <mergeCell ref="K456:L456"/>
    <mergeCell ref="K390:L390"/>
    <mergeCell ref="K561:L561"/>
    <mergeCell ref="K632:L632"/>
    <mergeCell ref="K548:L548"/>
    <mergeCell ref="K790:L790"/>
    <mergeCell ref="K156:L156"/>
    <mergeCell ref="K327:L327"/>
    <mergeCell ref="K93:L93"/>
    <mergeCell ref="K16:L16"/>
    <mergeCell ref="K187:L187"/>
    <mergeCell ref="K423:L423"/>
    <mergeCell ref="K472:L472"/>
    <mergeCell ref="K643:L643"/>
    <mergeCell ref="K537:L537"/>
    <mergeCell ref="K708:L708"/>
    <mergeCell ref="K251:L251"/>
    <mergeCell ref="K189:L189"/>
    <mergeCell ref="K45:L45"/>
    <mergeCell ref="K487:L487"/>
    <mergeCell ref="K343:L343"/>
    <mergeCell ref="K281:L281"/>
    <mergeCell ref="K414:L414"/>
    <mergeCell ref="K474:L474"/>
    <mergeCell ref="K645:L645"/>
    <mergeCell ref="K772:L772"/>
    <mergeCell ref="K188:L188"/>
    <mergeCell ref="K253:L253"/>
    <mergeCell ref="K551:L551"/>
    <mergeCell ref="K47:L47"/>
    <mergeCell ref="K169:L169"/>
    <mergeCell ref="K411:L411"/>
    <mergeCell ref="K345:L345"/>
    <mergeCell ref="K538:L538"/>
    <mergeCell ref="K709:L709"/>
    <mergeCell ref="K703:L703"/>
    <mergeCell ref="K774:L774"/>
    <mergeCell ref="K46:L46"/>
    <mergeCell ref="K40:L40"/>
    <mergeCell ref="K111:L111"/>
    <mergeCell ref="K282:L282"/>
    <mergeCell ref="K749:L749"/>
    <mergeCell ref="K409:L409"/>
    <mergeCell ref="K711:L711"/>
    <mergeCell ref="K257:L257"/>
    <mergeCell ref="K71:L71"/>
    <mergeCell ref="K73:L73"/>
    <mergeCell ref="K371:L371"/>
    <mergeCell ref="K638:L638"/>
    <mergeCell ref="K358:L358"/>
    <mergeCell ref="K594:L594"/>
    <mergeCell ref="K162:L162"/>
    <mergeCell ref="K137:L137"/>
    <mergeCell ref="K460:L460"/>
    <mergeCell ref="K631:L631"/>
    <mergeCell ref="K702:L702"/>
    <mergeCell ref="K422:L422"/>
    <mergeCell ref="K658:L658"/>
    <mergeCell ref="K226:L226"/>
    <mergeCell ref="K201:L201"/>
    <mergeCell ref="K164:L164"/>
    <mergeCell ref="K139:L139"/>
    <mergeCell ref="K335:L335"/>
    <mergeCell ref="K462:L462"/>
    <mergeCell ref="K633:L633"/>
    <mergeCell ref="K704:L704"/>
    <mergeCell ref="K114:L114"/>
    <mergeCell ref="K722:L722"/>
    <mergeCell ref="K228:L228"/>
    <mergeCell ref="K399:L399"/>
    <mergeCell ref="K762:L762"/>
    <mergeCell ref="K528:L528"/>
    <mergeCell ref="A350:J350"/>
    <mergeCell ref="K59:L59"/>
    <mergeCell ref="K130:L130"/>
    <mergeCell ref="K190:L190"/>
    <mergeCell ref="K488:L488"/>
    <mergeCell ref="K117:L117"/>
    <mergeCell ref="K559:L559"/>
    <mergeCell ref="K724:L724"/>
    <mergeCell ref="K651:L651"/>
    <mergeCell ref="K773:L773"/>
    <mergeCell ref="K61:L61"/>
    <mergeCell ref="K132:L132"/>
    <mergeCell ref="K254:L254"/>
    <mergeCell ref="K359:L359"/>
    <mergeCell ref="K430:L430"/>
    <mergeCell ref="K48:L48"/>
    <mergeCell ref="K490:L490"/>
    <mergeCell ref="K346:L346"/>
    <mergeCell ref="K788:L788"/>
    <mergeCell ref="K417:L417"/>
    <mergeCell ref="K588:L588"/>
    <mergeCell ref="K477:L477"/>
    <mergeCell ref="K653:L653"/>
    <mergeCell ref="K775:L775"/>
    <mergeCell ref="A1:L1"/>
    <mergeCell ref="K427:L427"/>
    <mergeCell ref="K112:L112"/>
    <mergeCell ref="K554:L554"/>
    <mergeCell ref="K348:L348"/>
    <mergeCell ref="K590:L590"/>
    <mergeCell ref="K646:L646"/>
    <mergeCell ref="K62:L62"/>
    <mergeCell ref="K193:L193"/>
    <mergeCell ref="K298:L298"/>
    <mergeCell ref="K127:L127"/>
    <mergeCell ref="K491:L491"/>
    <mergeCell ref="K285:L285"/>
    <mergeCell ref="K648:L648"/>
    <mergeCell ref="A580:B580"/>
    <mergeCell ref="K664:L664"/>
    <mergeCell ref="K272:L272"/>
    <mergeCell ref="K443:L443"/>
    <mergeCell ref="K679:L679"/>
    <mergeCell ref="K138:L138"/>
    <mergeCell ref="K793:L793"/>
    <mergeCell ref="K76:L76"/>
    <mergeCell ref="K209:L209"/>
    <mergeCell ref="A581:B581"/>
    <mergeCell ref="K203:L203"/>
    <mergeCell ref="K374:L374"/>
    <mergeCell ref="K445:L445"/>
    <mergeCell ref="K672:L672"/>
    <mergeCell ref="K301:L301"/>
    <mergeCell ref="K178:L178"/>
    <mergeCell ref="K730:L730"/>
    <mergeCell ref="K276:L276"/>
    <mergeCell ref="K267:L267"/>
    <mergeCell ref="K438:L438"/>
    <mergeCell ref="K674:L674"/>
    <mergeCell ref="K303:L303"/>
    <mergeCell ref="K186:L186"/>
    <mergeCell ref="K601:L601"/>
    <mergeCell ref="K732:L732"/>
    <mergeCell ref="K278:L278"/>
    <mergeCell ref="K576:L576"/>
    <mergeCell ref="K636:L636"/>
    <mergeCell ref="K707:L707"/>
    <mergeCell ref="K296:L296"/>
    <mergeCell ref="K578:L578"/>
    <mergeCell ref="A351:J351"/>
    <mergeCell ref="K496:L496"/>
    <mergeCell ref="K69:L69"/>
    <mergeCell ref="A695:J695"/>
    <mergeCell ref="K367:L367"/>
    <mergeCell ref="K677:L677"/>
    <mergeCell ref="K560:L560"/>
    <mergeCell ref="K498:L498"/>
    <mergeCell ref="K158:L158"/>
    <mergeCell ref="K796:L796"/>
    <mergeCell ref="K652:L652"/>
    <mergeCell ref="K723:L723"/>
    <mergeCell ref="K133:L133"/>
    <mergeCell ref="K369:L369"/>
    <mergeCell ref="K667:L667"/>
    <mergeCell ref="K418:L418"/>
    <mergeCell ref="K489:L489"/>
    <mergeCell ref="K654:L654"/>
    <mergeCell ref="K64:L64"/>
    <mergeCell ref="K719:L719"/>
    <mergeCell ref="K135:L135"/>
    <mergeCell ref="K433:L433"/>
    <mergeCell ref="K51:L51"/>
    <mergeCell ref="K797:L797"/>
    <mergeCell ref="K731:L731"/>
    <mergeCell ref="K420:L420"/>
    <mergeCell ref="K591:L591"/>
    <mergeCell ref="K718:L718"/>
    <mergeCell ref="K778:L778"/>
    <mergeCell ref="K72:L72"/>
    <mergeCell ref="K364:L364"/>
    <mergeCell ref="K435:L435"/>
    <mergeCell ref="K291:L291"/>
    <mergeCell ref="K484:L484"/>
    <mergeCell ref="K655:L655"/>
    <mergeCell ref="A236:H236"/>
    <mergeCell ref="K720:L720"/>
    <mergeCell ref="K211:L211"/>
    <mergeCell ref="K382:L382"/>
    <mergeCell ref="K509:L509"/>
    <mergeCell ref="K680:L680"/>
    <mergeCell ref="K17:L17"/>
    <mergeCell ref="K794:L794"/>
    <mergeCell ref="K148:L148"/>
    <mergeCell ref="K82:L82"/>
    <mergeCell ref="K275:L275"/>
    <mergeCell ref="K446:L446"/>
    <mergeCell ref="K622:L622"/>
    <mergeCell ref="K511:L511"/>
    <mergeCell ref="K682:L682"/>
    <mergeCell ref="K603:L603"/>
    <mergeCell ref="K19:L19"/>
    <mergeCell ref="K212:L212"/>
    <mergeCell ref="K146:L146"/>
    <mergeCell ref="K317:L317"/>
    <mergeCell ref="K206:L206"/>
    <mergeCell ref="K510:L510"/>
    <mergeCell ref="K448:L448"/>
    <mergeCell ref="K304:L304"/>
    <mergeCell ref="K575:L575"/>
    <mergeCell ref="K746:L746"/>
    <mergeCell ref="K602:L602"/>
    <mergeCell ref="K540:L540"/>
    <mergeCell ref="K83:L83"/>
    <mergeCell ref="K214:L214"/>
    <mergeCell ref="K319:L319"/>
    <mergeCell ref="K515:L515"/>
    <mergeCell ref="K512:L512"/>
    <mergeCell ref="K368:L368"/>
    <mergeCell ref="K506:L506"/>
    <mergeCell ref="K306:L306"/>
    <mergeCell ref="K604:L604"/>
    <mergeCell ref="K60:L60"/>
    <mergeCell ref="A5:I5"/>
    <mergeCell ref="K439:L439"/>
    <mergeCell ref="K159:L159"/>
    <mergeCell ref="K395:L395"/>
    <mergeCell ref="K693:L693"/>
    <mergeCell ref="K764:L764"/>
    <mergeCell ref="K199:L199"/>
    <mergeCell ref="K441:L441"/>
    <mergeCell ref="K739:L739"/>
    <mergeCell ref="K161:L161"/>
    <mergeCell ref="K288:L288"/>
    <mergeCell ref="K459:L459"/>
    <mergeCell ref="K726:L726"/>
    <mergeCell ref="K136:L136"/>
    <mergeCell ref="K207:L207"/>
    <mergeCell ref="K263:L263"/>
    <mergeCell ref="K434:L434"/>
    <mergeCell ref="K505:L505"/>
    <mergeCell ref="K225:L225"/>
    <mergeCell ref="K741:L741"/>
    <mergeCell ref="K657:L657"/>
    <mergeCell ref="K461:L461"/>
    <mergeCell ref="K728:L728"/>
    <mergeCell ref="K784:L784"/>
    <mergeCell ref="K200:L200"/>
    <mergeCell ref="K265:L265"/>
    <mergeCell ref="K65:L65"/>
    <mergeCell ref="K436:L436"/>
    <mergeCell ref="K721:L721"/>
    <mergeCell ref="K202:L202"/>
    <mergeCell ref="K373:L373"/>
    <mergeCell ref="K294:L294"/>
    <mergeCell ref="K565:L565"/>
    <mergeCell ref="K736:L736"/>
    <mergeCell ref="K388:L388"/>
    <mergeCell ref="K752:L752"/>
    <mergeCell ref="K108:L108"/>
    <mergeCell ref="K231:L231"/>
    <mergeCell ref="K754:L754"/>
    <mergeCell ref="K20:L20"/>
    <mergeCell ref="K675:L675"/>
    <mergeCell ref="K91:L91"/>
    <mergeCell ref="K318:L318"/>
    <mergeCell ref="K85:L85"/>
    <mergeCell ref="K256:L256"/>
    <mergeCell ref="K389:L389"/>
    <mergeCell ref="K383:L383"/>
    <mergeCell ref="K625:L625"/>
    <mergeCell ref="K747:L747"/>
    <mergeCell ref="K612:L612"/>
    <mergeCell ref="K668:L668"/>
    <mergeCell ref="K84:L84"/>
    <mergeCell ref="K22:L22"/>
    <mergeCell ref="A120:H120"/>
    <mergeCell ref="K149:L149"/>
    <mergeCell ref="K264:L264"/>
    <mergeCell ref="K320:L320"/>
    <mergeCell ref="K562:L562"/>
    <mergeCell ref="K385:L385"/>
    <mergeCell ref="K605:L605"/>
    <mergeCell ref="K676:L676"/>
    <mergeCell ref="K86:L86"/>
    <mergeCell ref="K151:L151"/>
    <mergeCell ref="K449:L449"/>
    <mergeCell ref="K607:L607"/>
    <mergeCell ref="K386:L386"/>
    <mergeCell ref="K38:L38"/>
    <mergeCell ref="K175:L175"/>
    <mergeCell ref="K246:L246"/>
    <mergeCell ref="K678:L678"/>
  </mergeCells>
  <conditionalFormatting sqref="B10">
    <cfRule type="expression" priority="1" dxfId="0">
      <formula>LEN(B10)&gt;0</formula>
    </cfRule>
  </conditionalFormatting>
  <conditionalFormatting sqref="C10">
    <cfRule type="expression" priority="2" dxfId="0">
      <formula>LEN(C10)&gt;0</formula>
    </cfRule>
  </conditionalFormatting>
  <conditionalFormatting sqref="D10">
    <cfRule type="expression" priority="3" dxfId="0">
      <formula>LEN(D10)&gt;0</formula>
    </cfRule>
  </conditionalFormatting>
  <conditionalFormatting sqref="E10">
    <cfRule type="expression" priority="4" dxfId="0">
      <formula>LEN(E10)&gt;0</formula>
    </cfRule>
  </conditionalFormatting>
  <conditionalFormatting sqref="F10">
    <cfRule type="expression" priority="5" dxfId="0">
      <formula>LEN(F10)&gt;0</formula>
    </cfRule>
  </conditionalFormatting>
  <conditionalFormatting sqref="G10">
    <cfRule type="expression" priority="6" dxfId="0">
      <formula>LEN(G10)&gt;0</formula>
    </cfRule>
  </conditionalFormatting>
  <conditionalFormatting sqref="H10">
    <cfRule type="expression" priority="7" dxfId="0">
      <formula>LEN(H10)&gt;0</formula>
    </cfRule>
  </conditionalFormatting>
  <conditionalFormatting sqref="I10">
    <cfRule type="expression" priority="8" dxfId="0">
      <formula>LEN(I10)&gt;0</formula>
    </cfRule>
  </conditionalFormatting>
  <conditionalFormatting sqref="B125">
    <cfRule type="expression" priority="9" dxfId="0">
      <formula>LEN(B125)&gt;0</formula>
    </cfRule>
  </conditionalFormatting>
  <conditionalFormatting sqref="C125">
    <cfRule type="expression" priority="10" dxfId="0">
      <formula>LEN(C125)&gt;0</formula>
    </cfRule>
  </conditionalFormatting>
  <conditionalFormatting sqref="D125">
    <cfRule type="expression" priority="11" dxfId="0">
      <formula>LEN(D125)&gt;0</formula>
    </cfRule>
  </conditionalFormatting>
  <conditionalFormatting sqref="E125">
    <cfRule type="expression" priority="12" dxfId="0">
      <formula>LEN(E125)&gt;0</formula>
    </cfRule>
  </conditionalFormatting>
  <conditionalFormatting sqref="F125">
    <cfRule type="expression" priority="13" dxfId="0">
      <formula>LEN(F125)&gt;0</formula>
    </cfRule>
  </conditionalFormatting>
  <conditionalFormatting sqref="G125">
    <cfRule type="expression" priority="14" dxfId="0">
      <formula>LEN(G125)&gt;0</formula>
    </cfRule>
  </conditionalFormatting>
  <conditionalFormatting sqref="H125">
    <cfRule type="expression" priority="15" dxfId="0">
      <formula>LEN(H125)&gt;0</formula>
    </cfRule>
  </conditionalFormatting>
  <conditionalFormatting sqref="B240">
    <cfRule type="expression" priority="16" dxfId="0">
      <formula>LEN(B240)&gt;0</formula>
    </cfRule>
  </conditionalFormatting>
  <conditionalFormatting sqref="C240">
    <cfRule type="expression" priority="17" dxfId="0">
      <formula>LEN(C240)&gt;0</formula>
    </cfRule>
  </conditionalFormatting>
  <conditionalFormatting sqref="D240">
    <cfRule type="expression" priority="18" dxfId="0">
      <formula>LEN(D240)&gt;0</formula>
    </cfRule>
  </conditionalFormatting>
  <conditionalFormatting sqref="E240">
    <cfRule type="expression" priority="19" dxfId="0">
      <formula>LEN(E240)&gt;0</formula>
    </cfRule>
  </conditionalFormatting>
  <conditionalFormatting sqref="F240">
    <cfRule type="expression" priority="20" dxfId="0">
      <formula>LEN(F240)&gt;0</formula>
    </cfRule>
  </conditionalFormatting>
  <conditionalFormatting sqref="G240">
    <cfRule type="expression" priority="21" dxfId="0">
      <formula>LEN(G240)&gt;0</formula>
    </cfRule>
  </conditionalFormatting>
  <conditionalFormatting sqref="H240">
    <cfRule type="expression" priority="22" dxfId="0">
      <formula>LEN(H240)&gt;0</formula>
    </cfRule>
  </conditionalFormatting>
  <conditionalFormatting sqref="B355">
    <cfRule type="expression" priority="23" dxfId="0">
      <formula>LEN(B355)&gt;0</formula>
    </cfRule>
  </conditionalFormatting>
  <conditionalFormatting sqref="C355">
    <cfRule type="expression" priority="24" dxfId="0">
      <formula>LEN(C355)&gt;0</formula>
    </cfRule>
  </conditionalFormatting>
  <conditionalFormatting sqref="D355">
    <cfRule type="expression" priority="25" dxfId="0">
      <formula>LEN(D355)&gt;0</formula>
    </cfRule>
  </conditionalFormatting>
  <conditionalFormatting sqref="E355">
    <cfRule type="expression" priority="26" dxfId="0">
      <formula>LEN(E355)&gt;0</formula>
    </cfRule>
  </conditionalFormatting>
  <conditionalFormatting sqref="F355">
    <cfRule type="expression" priority="27" dxfId="0">
      <formula>LEN(F355)&gt;0</formula>
    </cfRule>
  </conditionalFormatting>
  <conditionalFormatting sqref="G355">
    <cfRule type="expression" priority="28" dxfId="0">
      <formula>LEN(G355)&gt;0</formula>
    </cfRule>
  </conditionalFormatting>
  <conditionalFormatting sqref="H355">
    <cfRule type="expression" priority="29" dxfId="0">
      <formula>LEN(H355)&gt;0</formula>
    </cfRule>
  </conditionalFormatting>
  <conditionalFormatting sqref="I355">
    <cfRule type="expression" priority="30" dxfId="0">
      <formula>LEN(I355)&gt;0</formula>
    </cfRule>
  </conditionalFormatting>
  <conditionalFormatting sqref="J355">
    <cfRule type="expression" priority="31" dxfId="0">
      <formula>LEN(J355)&gt;0</formula>
    </cfRule>
  </conditionalFormatting>
  <conditionalFormatting sqref="B470">
    <cfRule type="expression" priority="32" dxfId="0">
      <formula>LEN(B470)&gt;0</formula>
    </cfRule>
  </conditionalFormatting>
  <conditionalFormatting sqref="D470">
    <cfRule type="expression" priority="33" dxfId="0">
      <formula>LEN(D470)&gt;0</formula>
    </cfRule>
  </conditionalFormatting>
  <conditionalFormatting sqref="F470">
    <cfRule type="expression" priority="34" dxfId="0">
      <formula>LEN(F470)&gt;0</formula>
    </cfRule>
  </conditionalFormatting>
  <conditionalFormatting sqref="G470">
    <cfRule type="expression" priority="35" dxfId="0">
      <formula>LEN(G470)&gt;0</formula>
    </cfRule>
  </conditionalFormatting>
  <conditionalFormatting sqref="H470">
    <cfRule type="expression" priority="36" dxfId="0">
      <formula>LEN(H470)&gt;0</formula>
    </cfRule>
  </conditionalFormatting>
  <conditionalFormatting sqref="I470">
    <cfRule type="expression" priority="37" dxfId="0">
      <formula>LEN(I470)&gt;0</formula>
    </cfRule>
  </conditionalFormatting>
  <conditionalFormatting sqref="J470">
    <cfRule type="expression" priority="38" dxfId="0">
      <formula>LEN(J470)&gt;0</formula>
    </cfRule>
  </conditionalFormatting>
  <conditionalFormatting sqref="B585">
    <cfRule type="expression" priority="39" dxfId="0">
      <formula>LEN(B585)&gt;0</formula>
    </cfRule>
  </conditionalFormatting>
  <conditionalFormatting sqref="B700">
    <cfRule type="expression" priority="40" dxfId="0">
      <formula>LEN(B700)&gt;0</formula>
    </cfRule>
  </conditionalFormatting>
  <conditionalFormatting sqref="C700">
    <cfRule type="expression" priority="41" dxfId="0">
      <formula>LEN(C700)&gt;0</formula>
    </cfRule>
  </conditionalFormatting>
  <conditionalFormatting sqref="D700">
    <cfRule type="expression" priority="42" dxfId="0">
      <formula>LEN(D700)&gt;0</formula>
    </cfRule>
  </conditionalFormatting>
  <conditionalFormatting sqref="E700">
    <cfRule type="expression" priority="43" dxfId="0">
      <formula>LEN(E700)&gt;0</formula>
    </cfRule>
  </conditionalFormatting>
  <conditionalFormatting sqref="F700">
    <cfRule type="expression" priority="44" dxfId="0">
      <formula>LEN(F700)&gt;0</formula>
    </cfRule>
  </conditionalFormatting>
  <conditionalFormatting sqref="G700">
    <cfRule type="expression" priority="45" dxfId="0">
      <formula>LEN(G700)&gt;0</formula>
    </cfRule>
  </conditionalFormatting>
  <conditionalFormatting sqref="H700">
    <cfRule type="expression" priority="46" dxfId="0">
      <formula>LEN(H700)&gt;0</formula>
    </cfRule>
  </conditionalFormatting>
  <conditionalFormatting sqref="I700">
    <cfRule type="expression" priority="47" dxfId="0">
      <formula>LEN(I700)&gt;0</formula>
    </cfRule>
  </conditionalFormatting>
  <conditionalFormatting sqref="J700">
    <cfRule type="expression" priority="48" dxfId="0">
      <formula>LEN(J700)&gt;0</formula>
    </cfRule>
  </conditionalFormatting>
  <conditionalFormatting sqref="K12">
    <cfRule type="expression" priority="49" dxfId="0">
      <formula>LEN(K12)&gt;0</formula>
    </cfRule>
  </conditionalFormatting>
  <conditionalFormatting sqref="K13">
    <cfRule type="expression" priority="50" dxfId="0">
      <formula>LEN(K13)&gt;0</formula>
    </cfRule>
  </conditionalFormatting>
  <conditionalFormatting sqref="K14">
    <cfRule type="expression" priority="51" dxfId="0">
      <formula>LEN(K14)&gt;0</formula>
    </cfRule>
  </conditionalFormatting>
  <conditionalFormatting sqref="K15">
    <cfRule type="expression" priority="52" dxfId="0">
      <formula>LEN(K15)&gt;0</formula>
    </cfRule>
  </conditionalFormatting>
  <conditionalFormatting sqref="K16">
    <cfRule type="expression" priority="53" dxfId="0">
      <formula>LEN(K16)&gt;0</formula>
    </cfRule>
  </conditionalFormatting>
  <conditionalFormatting sqref="K17">
    <cfRule type="expression" priority="54" dxfId="0">
      <formula>LEN(K17)&gt;0</formula>
    </cfRule>
  </conditionalFormatting>
  <conditionalFormatting sqref="K18">
    <cfRule type="expression" priority="55" dxfId="0">
      <formula>LEN(K18)&gt;0</formula>
    </cfRule>
  </conditionalFormatting>
  <conditionalFormatting sqref="K19">
    <cfRule type="expression" priority="56" dxfId="0">
      <formula>LEN(K19)&gt;0</formula>
    </cfRule>
  </conditionalFormatting>
  <conditionalFormatting sqref="K20">
    <cfRule type="expression" priority="57" dxfId="0">
      <formula>LEN(K20)&gt;0</formula>
    </cfRule>
  </conditionalFormatting>
  <conditionalFormatting sqref="K21">
    <cfRule type="expression" priority="58" dxfId="0">
      <formula>LEN(K21)&gt;0</formula>
    </cfRule>
  </conditionalFormatting>
  <conditionalFormatting sqref="K22">
    <cfRule type="expression" priority="59" dxfId="0">
      <formula>LEN(K22)&gt;0</formula>
    </cfRule>
  </conditionalFormatting>
  <conditionalFormatting sqref="K23">
    <cfRule type="expression" priority="60" dxfId="0">
      <formula>LEN(K23)&gt;0</formula>
    </cfRule>
  </conditionalFormatting>
  <conditionalFormatting sqref="K24">
    <cfRule type="expression" priority="61" dxfId="0">
      <formula>LEN(K24)&gt;0</formula>
    </cfRule>
  </conditionalFormatting>
  <conditionalFormatting sqref="K26">
    <cfRule type="expression" priority="62" dxfId="0">
      <formula>LEN(K26)&gt;0</formula>
    </cfRule>
  </conditionalFormatting>
  <conditionalFormatting sqref="K27">
    <cfRule type="expression" priority="63" dxfId="0">
      <formula>LEN(K27)&gt;0</formula>
    </cfRule>
  </conditionalFormatting>
  <conditionalFormatting sqref="K28">
    <cfRule type="expression" priority="64" dxfId="0">
      <formula>LEN(K28)&gt;0</formula>
    </cfRule>
  </conditionalFormatting>
  <conditionalFormatting sqref="K29">
    <cfRule type="expression" priority="65" dxfId="0">
      <formula>LEN(K29)&gt;0</formula>
    </cfRule>
  </conditionalFormatting>
  <conditionalFormatting sqref="K30">
    <cfRule type="expression" priority="66" dxfId="0">
      <formula>LEN(K30)&gt;0</formula>
    </cfRule>
  </conditionalFormatting>
  <conditionalFormatting sqref="K31">
    <cfRule type="expression" priority="67" dxfId="0">
      <formula>LEN(K31)&gt;0</formula>
    </cfRule>
  </conditionalFormatting>
  <conditionalFormatting sqref="K32">
    <cfRule type="expression" priority="68" dxfId="0">
      <formula>LEN(K32)&gt;0</formula>
    </cfRule>
  </conditionalFormatting>
  <conditionalFormatting sqref="K33">
    <cfRule type="expression" priority="69" dxfId="0">
      <formula>LEN(K33)&gt;0</formula>
    </cfRule>
  </conditionalFormatting>
  <conditionalFormatting sqref="K34">
    <cfRule type="expression" priority="70" dxfId="0">
      <formula>LEN(K34)&gt;0</formula>
    </cfRule>
  </conditionalFormatting>
  <conditionalFormatting sqref="K35">
    <cfRule type="expression" priority="71" dxfId="0">
      <formula>LEN(K35)&gt;0</formula>
    </cfRule>
  </conditionalFormatting>
  <conditionalFormatting sqref="K36">
    <cfRule type="expression" priority="72" dxfId="0">
      <formula>LEN(K36)&gt;0</formula>
    </cfRule>
  </conditionalFormatting>
  <conditionalFormatting sqref="K37">
    <cfRule type="expression" priority="73" dxfId="0">
      <formula>LEN(K37)&gt;0</formula>
    </cfRule>
  </conditionalFormatting>
  <conditionalFormatting sqref="K38">
    <cfRule type="expression" priority="74" dxfId="0">
      <formula>LEN(K38)&gt;0</formula>
    </cfRule>
  </conditionalFormatting>
  <conditionalFormatting sqref="K40">
    <cfRule type="expression" priority="75" dxfId="0">
      <formula>LEN(K40)&gt;0</formula>
    </cfRule>
  </conditionalFormatting>
  <conditionalFormatting sqref="K41">
    <cfRule type="expression" priority="76" dxfId="0">
      <formula>LEN(K41)&gt;0</formula>
    </cfRule>
  </conditionalFormatting>
  <conditionalFormatting sqref="K42">
    <cfRule type="expression" priority="77" dxfId="0">
      <formula>LEN(K42)&gt;0</formula>
    </cfRule>
  </conditionalFormatting>
  <conditionalFormatting sqref="K43">
    <cfRule type="expression" priority="78" dxfId="0">
      <formula>LEN(K43)&gt;0</formula>
    </cfRule>
  </conditionalFormatting>
  <conditionalFormatting sqref="K44">
    <cfRule type="expression" priority="79" dxfId="0">
      <formula>LEN(K44)&gt;0</formula>
    </cfRule>
  </conditionalFormatting>
  <conditionalFormatting sqref="K45">
    <cfRule type="expression" priority="80" dxfId="0">
      <formula>LEN(K45)&gt;0</formula>
    </cfRule>
  </conditionalFormatting>
  <conditionalFormatting sqref="K46">
    <cfRule type="expression" priority="81" dxfId="0">
      <formula>LEN(K46)&gt;0</formula>
    </cfRule>
  </conditionalFormatting>
  <conditionalFormatting sqref="K47">
    <cfRule type="expression" priority="82" dxfId="0">
      <formula>LEN(K47)&gt;0</formula>
    </cfRule>
  </conditionalFormatting>
  <conditionalFormatting sqref="K48">
    <cfRule type="expression" priority="83" dxfId="0">
      <formula>LEN(K48)&gt;0</formula>
    </cfRule>
  </conditionalFormatting>
  <conditionalFormatting sqref="K49">
    <cfRule type="expression" priority="84" dxfId="0">
      <formula>LEN(K49)&gt;0</formula>
    </cfRule>
  </conditionalFormatting>
  <conditionalFormatting sqref="K50">
    <cfRule type="expression" priority="85" dxfId="0">
      <formula>LEN(K50)&gt;0</formula>
    </cfRule>
  </conditionalFormatting>
  <conditionalFormatting sqref="K51">
    <cfRule type="expression" priority="86" dxfId="0">
      <formula>LEN(K51)&gt;0</formula>
    </cfRule>
  </conditionalFormatting>
  <conditionalFormatting sqref="K52">
    <cfRule type="expression" priority="87" dxfId="0">
      <formula>LEN(K52)&gt;0</formula>
    </cfRule>
  </conditionalFormatting>
  <conditionalFormatting sqref="K54">
    <cfRule type="expression" priority="88" dxfId="0">
      <formula>LEN(K54)&gt;0</formula>
    </cfRule>
  </conditionalFormatting>
  <conditionalFormatting sqref="K55">
    <cfRule type="expression" priority="89" dxfId="0">
      <formula>LEN(K55)&gt;0</formula>
    </cfRule>
  </conditionalFormatting>
  <conditionalFormatting sqref="K56">
    <cfRule type="expression" priority="90" dxfId="0">
      <formula>LEN(K56)&gt;0</formula>
    </cfRule>
  </conditionalFormatting>
  <conditionalFormatting sqref="K57">
    <cfRule type="expression" priority="91" dxfId="0">
      <formula>LEN(K57)&gt;0</formula>
    </cfRule>
  </conditionalFormatting>
  <conditionalFormatting sqref="K58">
    <cfRule type="expression" priority="92" dxfId="0">
      <formula>LEN(K58)&gt;0</formula>
    </cfRule>
  </conditionalFormatting>
  <conditionalFormatting sqref="K59">
    <cfRule type="expression" priority="93" dxfId="0">
      <formula>LEN(K59)&gt;0</formula>
    </cfRule>
  </conditionalFormatting>
  <conditionalFormatting sqref="K60">
    <cfRule type="expression" priority="94" dxfId="0">
      <formula>LEN(K60)&gt;0</formula>
    </cfRule>
  </conditionalFormatting>
  <conditionalFormatting sqref="K61">
    <cfRule type="expression" priority="95" dxfId="0">
      <formula>LEN(K61)&gt;0</formula>
    </cfRule>
  </conditionalFormatting>
  <conditionalFormatting sqref="K62">
    <cfRule type="expression" priority="96" dxfId="0">
      <formula>LEN(K62)&gt;0</formula>
    </cfRule>
  </conditionalFormatting>
  <conditionalFormatting sqref="K63">
    <cfRule type="expression" priority="97" dxfId="0">
      <formula>LEN(K63)&gt;0</formula>
    </cfRule>
  </conditionalFormatting>
  <conditionalFormatting sqref="K64">
    <cfRule type="expression" priority="98" dxfId="0">
      <formula>LEN(K64)&gt;0</formula>
    </cfRule>
  </conditionalFormatting>
  <conditionalFormatting sqref="K65">
    <cfRule type="expression" priority="99" dxfId="0">
      <formula>LEN(K65)&gt;0</formula>
    </cfRule>
  </conditionalFormatting>
  <conditionalFormatting sqref="K66">
    <cfRule type="expression" priority="100" dxfId="0">
      <formula>LEN(K66)&gt;0</formula>
    </cfRule>
  </conditionalFormatting>
  <conditionalFormatting sqref="K68">
    <cfRule type="expression" priority="101" dxfId="0">
      <formula>LEN(K68)&gt;0</formula>
    </cfRule>
  </conditionalFormatting>
  <conditionalFormatting sqref="K69">
    <cfRule type="expression" priority="102" dxfId="0">
      <formula>LEN(K69)&gt;0</formula>
    </cfRule>
  </conditionalFormatting>
  <conditionalFormatting sqref="K70">
    <cfRule type="expression" priority="103" dxfId="0">
      <formula>LEN(K70)&gt;0</formula>
    </cfRule>
  </conditionalFormatting>
  <conditionalFormatting sqref="K71">
    <cfRule type="expression" priority="104" dxfId="0">
      <formula>LEN(K71)&gt;0</formula>
    </cfRule>
  </conditionalFormatting>
  <conditionalFormatting sqref="K72">
    <cfRule type="expression" priority="105" dxfId="0">
      <formula>LEN(K72)&gt;0</formula>
    </cfRule>
  </conditionalFormatting>
  <conditionalFormatting sqref="K73">
    <cfRule type="expression" priority="106" dxfId="0">
      <formula>LEN(K73)&gt;0</formula>
    </cfRule>
  </conditionalFormatting>
  <conditionalFormatting sqref="K74">
    <cfRule type="expression" priority="107" dxfId="0">
      <formula>LEN(K74)&gt;0</formula>
    </cfRule>
  </conditionalFormatting>
  <conditionalFormatting sqref="K75">
    <cfRule type="expression" priority="108" dxfId="0">
      <formula>LEN(K75)&gt;0</formula>
    </cfRule>
  </conditionalFormatting>
  <conditionalFormatting sqref="K76">
    <cfRule type="expression" priority="109" dxfId="0">
      <formula>LEN(K76)&gt;0</formula>
    </cfRule>
  </conditionalFormatting>
  <conditionalFormatting sqref="K77">
    <cfRule type="expression" priority="110" dxfId="0">
      <formula>LEN(K77)&gt;0</formula>
    </cfRule>
  </conditionalFormatting>
  <conditionalFormatting sqref="K78">
    <cfRule type="expression" priority="111" dxfId="0">
      <formula>LEN(K78)&gt;0</formula>
    </cfRule>
  </conditionalFormatting>
  <conditionalFormatting sqref="K79">
    <cfRule type="expression" priority="112" dxfId="0">
      <formula>LEN(K79)&gt;0</formula>
    </cfRule>
  </conditionalFormatting>
  <conditionalFormatting sqref="K80">
    <cfRule type="expression" priority="113" dxfId="0">
      <formula>LEN(K80)&gt;0</formula>
    </cfRule>
  </conditionalFormatting>
  <conditionalFormatting sqref="K82">
    <cfRule type="expression" priority="114" dxfId="0">
      <formula>LEN(K82)&gt;0</formula>
    </cfRule>
  </conditionalFormatting>
  <conditionalFormatting sqref="K83">
    <cfRule type="expression" priority="115" dxfId="0">
      <formula>LEN(K83)&gt;0</formula>
    </cfRule>
  </conditionalFormatting>
  <conditionalFormatting sqref="K84">
    <cfRule type="expression" priority="116" dxfId="0">
      <formula>LEN(K84)&gt;0</formula>
    </cfRule>
  </conditionalFormatting>
  <conditionalFormatting sqref="K85">
    <cfRule type="expression" priority="117" dxfId="0">
      <formula>LEN(K85)&gt;0</formula>
    </cfRule>
  </conditionalFormatting>
  <conditionalFormatting sqref="K86">
    <cfRule type="expression" priority="118" dxfId="0">
      <formula>LEN(K86)&gt;0</formula>
    </cfRule>
  </conditionalFormatting>
  <conditionalFormatting sqref="K87">
    <cfRule type="expression" priority="119" dxfId="0">
      <formula>LEN(K87)&gt;0</formula>
    </cfRule>
  </conditionalFormatting>
  <conditionalFormatting sqref="K88">
    <cfRule type="expression" priority="120" dxfId="0">
      <formula>LEN(K88)&gt;0</formula>
    </cfRule>
  </conditionalFormatting>
  <conditionalFormatting sqref="K89">
    <cfRule type="expression" priority="121" dxfId="0">
      <formula>LEN(K89)&gt;0</formula>
    </cfRule>
  </conditionalFormatting>
  <conditionalFormatting sqref="K90">
    <cfRule type="expression" priority="122" dxfId="0">
      <formula>LEN(K90)&gt;0</formula>
    </cfRule>
  </conditionalFormatting>
  <conditionalFormatting sqref="K91">
    <cfRule type="expression" priority="123" dxfId="0">
      <formula>LEN(K91)&gt;0</formula>
    </cfRule>
  </conditionalFormatting>
  <conditionalFormatting sqref="K92">
    <cfRule type="expression" priority="124" dxfId="0">
      <formula>LEN(K92)&gt;0</formula>
    </cfRule>
  </conditionalFormatting>
  <conditionalFormatting sqref="K93">
    <cfRule type="expression" priority="125" dxfId="0">
      <formula>LEN(K93)&gt;0</formula>
    </cfRule>
  </conditionalFormatting>
  <conditionalFormatting sqref="K94">
    <cfRule type="expression" priority="126" dxfId="0">
      <formula>LEN(K94)&gt;0</formula>
    </cfRule>
  </conditionalFormatting>
  <conditionalFormatting sqref="K96">
    <cfRule type="expression" priority="127" dxfId="0">
      <formula>LEN(K96)&gt;0</formula>
    </cfRule>
  </conditionalFormatting>
  <conditionalFormatting sqref="K97">
    <cfRule type="expression" priority="128" dxfId="0">
      <formula>LEN(K97)&gt;0</formula>
    </cfRule>
  </conditionalFormatting>
  <conditionalFormatting sqref="K98">
    <cfRule type="expression" priority="129" dxfId="0">
      <formula>LEN(K98)&gt;0</formula>
    </cfRule>
  </conditionalFormatting>
  <conditionalFormatting sqref="K99">
    <cfRule type="expression" priority="130" dxfId="0">
      <formula>LEN(K99)&gt;0</formula>
    </cfRule>
  </conditionalFormatting>
  <conditionalFormatting sqref="K100">
    <cfRule type="expression" priority="131" dxfId="0">
      <formula>LEN(K100)&gt;0</formula>
    </cfRule>
  </conditionalFormatting>
  <conditionalFormatting sqref="K101">
    <cfRule type="expression" priority="132" dxfId="0">
      <formula>LEN(K101)&gt;0</formula>
    </cfRule>
  </conditionalFormatting>
  <conditionalFormatting sqref="K102">
    <cfRule type="expression" priority="133" dxfId="0">
      <formula>LEN(K102)&gt;0</formula>
    </cfRule>
  </conditionalFormatting>
  <conditionalFormatting sqref="K103">
    <cfRule type="expression" priority="134" dxfId="0">
      <formula>LEN(K103)&gt;0</formula>
    </cfRule>
  </conditionalFormatting>
  <conditionalFormatting sqref="K104">
    <cfRule type="expression" priority="135" dxfId="0">
      <formula>LEN(K104)&gt;0</formula>
    </cfRule>
  </conditionalFormatting>
  <conditionalFormatting sqref="K105">
    <cfRule type="expression" priority="136" dxfId="0">
      <formula>LEN(K105)&gt;0</formula>
    </cfRule>
  </conditionalFormatting>
  <conditionalFormatting sqref="K106">
    <cfRule type="expression" priority="137" dxfId="0">
      <formula>LEN(K106)&gt;0</formula>
    </cfRule>
  </conditionalFormatting>
  <conditionalFormatting sqref="K107">
    <cfRule type="expression" priority="138" dxfId="0">
      <formula>LEN(K107)&gt;0</formula>
    </cfRule>
  </conditionalFormatting>
  <conditionalFormatting sqref="K108">
    <cfRule type="expression" priority="139" dxfId="0">
      <formula>LEN(K108)&gt;0</formula>
    </cfRule>
  </conditionalFormatting>
  <conditionalFormatting sqref="K110">
    <cfRule type="expression" priority="140" dxfId="0">
      <formula>LEN(K110)&gt;0</formula>
    </cfRule>
  </conditionalFormatting>
  <conditionalFormatting sqref="K111">
    <cfRule type="expression" priority="141" dxfId="0">
      <formula>LEN(K111)&gt;0</formula>
    </cfRule>
  </conditionalFormatting>
  <conditionalFormatting sqref="K112">
    <cfRule type="expression" priority="142" dxfId="0">
      <formula>LEN(K112)&gt;0</formula>
    </cfRule>
  </conditionalFormatting>
  <conditionalFormatting sqref="K113">
    <cfRule type="expression" priority="143" dxfId="0">
      <formula>LEN(K113)&gt;0</formula>
    </cfRule>
  </conditionalFormatting>
  <conditionalFormatting sqref="K114">
    <cfRule type="expression" priority="144" dxfId="0">
      <formula>LEN(K114)&gt;0</formula>
    </cfRule>
  </conditionalFormatting>
  <conditionalFormatting sqref="K115">
    <cfRule type="expression" priority="145" dxfId="0">
      <formula>LEN(K115)&gt;0</formula>
    </cfRule>
  </conditionalFormatting>
  <conditionalFormatting sqref="K116">
    <cfRule type="expression" priority="146" dxfId="0">
      <formula>LEN(K116)&gt;0</formula>
    </cfRule>
  </conditionalFormatting>
  <conditionalFormatting sqref="K117">
    <cfRule type="expression" priority="147" dxfId="0">
      <formula>LEN(K117)&gt;0</formula>
    </cfRule>
  </conditionalFormatting>
  <conditionalFormatting sqref="K118">
    <cfRule type="expression" priority="148" dxfId="0">
      <formula>LEN(K118)&gt;0</formula>
    </cfRule>
  </conditionalFormatting>
  <conditionalFormatting sqref="K127">
    <cfRule type="expression" priority="149" dxfId="0">
      <formula>LEN(K127)&gt;0</formula>
    </cfRule>
  </conditionalFormatting>
  <conditionalFormatting sqref="K128">
    <cfRule type="expression" priority="150" dxfId="0">
      <formula>LEN(K128)&gt;0</formula>
    </cfRule>
  </conditionalFormatting>
  <conditionalFormatting sqref="K129">
    <cfRule type="expression" priority="151" dxfId="0">
      <formula>LEN(K129)&gt;0</formula>
    </cfRule>
  </conditionalFormatting>
  <conditionalFormatting sqref="K130">
    <cfRule type="expression" priority="152" dxfId="0">
      <formula>LEN(K130)&gt;0</formula>
    </cfRule>
  </conditionalFormatting>
  <conditionalFormatting sqref="K131">
    <cfRule type="expression" priority="153" dxfId="0">
      <formula>LEN(K131)&gt;0</formula>
    </cfRule>
  </conditionalFormatting>
  <conditionalFormatting sqref="K132">
    <cfRule type="expression" priority="154" dxfId="0">
      <formula>LEN(K132)&gt;0</formula>
    </cfRule>
  </conditionalFormatting>
  <conditionalFormatting sqref="K133">
    <cfRule type="expression" priority="155" dxfId="0">
      <formula>LEN(K133)&gt;0</formula>
    </cfRule>
  </conditionalFormatting>
  <conditionalFormatting sqref="K134">
    <cfRule type="expression" priority="156" dxfId="0">
      <formula>LEN(K134)&gt;0</formula>
    </cfRule>
  </conditionalFormatting>
  <conditionalFormatting sqref="K135">
    <cfRule type="expression" priority="157" dxfId="0">
      <formula>LEN(K135)&gt;0</formula>
    </cfRule>
  </conditionalFormatting>
  <conditionalFormatting sqref="K136">
    <cfRule type="expression" priority="158" dxfId="0">
      <formula>LEN(K136)&gt;0</formula>
    </cfRule>
  </conditionalFormatting>
  <conditionalFormatting sqref="K137">
    <cfRule type="expression" priority="159" dxfId="0">
      <formula>LEN(K137)&gt;0</formula>
    </cfRule>
  </conditionalFormatting>
  <conditionalFormatting sqref="K138">
    <cfRule type="expression" priority="160" dxfId="0">
      <formula>LEN(K138)&gt;0</formula>
    </cfRule>
  </conditionalFormatting>
  <conditionalFormatting sqref="K139">
    <cfRule type="expression" priority="161" dxfId="0">
      <formula>LEN(K139)&gt;0</formula>
    </cfRule>
  </conditionalFormatting>
  <conditionalFormatting sqref="K141">
    <cfRule type="expression" priority="162" dxfId="0">
      <formula>LEN(K141)&gt;0</formula>
    </cfRule>
  </conditionalFormatting>
  <conditionalFormatting sqref="K142">
    <cfRule type="expression" priority="163" dxfId="0">
      <formula>LEN(K142)&gt;0</formula>
    </cfRule>
  </conditionalFormatting>
  <conditionalFormatting sqref="K143">
    <cfRule type="expression" priority="164" dxfId="0">
      <formula>LEN(K143)&gt;0</formula>
    </cfRule>
  </conditionalFormatting>
  <conditionalFormatting sqref="K144">
    <cfRule type="expression" priority="165" dxfId="0">
      <formula>LEN(K144)&gt;0</formula>
    </cfRule>
  </conditionalFormatting>
  <conditionalFormatting sqref="K145">
    <cfRule type="expression" priority="166" dxfId="0">
      <formula>LEN(K145)&gt;0</formula>
    </cfRule>
  </conditionalFormatting>
  <conditionalFormatting sqref="K146">
    <cfRule type="expression" priority="167" dxfId="0">
      <formula>LEN(K146)&gt;0</formula>
    </cfRule>
  </conditionalFormatting>
  <conditionalFormatting sqref="K147">
    <cfRule type="expression" priority="168" dxfId="0">
      <formula>LEN(K147)&gt;0</formula>
    </cfRule>
  </conditionalFormatting>
  <conditionalFormatting sqref="K148">
    <cfRule type="expression" priority="169" dxfId="0">
      <formula>LEN(K148)&gt;0</formula>
    </cfRule>
  </conditionalFormatting>
  <conditionalFormatting sqref="K149">
    <cfRule type="expression" priority="170" dxfId="0">
      <formula>LEN(K149)&gt;0</formula>
    </cfRule>
  </conditionalFormatting>
  <conditionalFormatting sqref="K150">
    <cfRule type="expression" priority="171" dxfId="0">
      <formula>LEN(K150)&gt;0</formula>
    </cfRule>
  </conditionalFormatting>
  <conditionalFormatting sqref="K151">
    <cfRule type="expression" priority="172" dxfId="0">
      <formula>LEN(K151)&gt;0</formula>
    </cfRule>
  </conditionalFormatting>
  <conditionalFormatting sqref="K152">
    <cfRule type="expression" priority="173" dxfId="0">
      <formula>LEN(K152)&gt;0</formula>
    </cfRule>
  </conditionalFormatting>
  <conditionalFormatting sqref="K153">
    <cfRule type="expression" priority="174" dxfId="0">
      <formula>LEN(K153)&gt;0</formula>
    </cfRule>
  </conditionalFormatting>
  <conditionalFormatting sqref="K155">
    <cfRule type="expression" priority="175" dxfId="0">
      <formula>LEN(K155)&gt;0</formula>
    </cfRule>
  </conditionalFormatting>
  <conditionalFormatting sqref="K156">
    <cfRule type="expression" priority="176" dxfId="0">
      <formula>LEN(K156)&gt;0</formula>
    </cfRule>
  </conditionalFormatting>
  <conditionalFormatting sqref="K157">
    <cfRule type="expression" priority="177" dxfId="0">
      <formula>LEN(K157)&gt;0</formula>
    </cfRule>
  </conditionalFormatting>
  <conditionalFormatting sqref="K158">
    <cfRule type="expression" priority="178" dxfId="0">
      <formula>LEN(K158)&gt;0</formula>
    </cfRule>
  </conditionalFormatting>
  <conditionalFormatting sqref="K159">
    <cfRule type="expression" priority="179" dxfId="0">
      <formula>LEN(K159)&gt;0</formula>
    </cfRule>
  </conditionalFormatting>
  <conditionalFormatting sqref="K160">
    <cfRule type="expression" priority="180" dxfId="0">
      <formula>LEN(K160)&gt;0</formula>
    </cfRule>
  </conditionalFormatting>
  <conditionalFormatting sqref="K161">
    <cfRule type="expression" priority="181" dxfId="0">
      <formula>LEN(K161)&gt;0</formula>
    </cfRule>
  </conditionalFormatting>
  <conditionalFormatting sqref="K162">
    <cfRule type="expression" priority="182" dxfId="0">
      <formula>LEN(K162)&gt;0</formula>
    </cfRule>
  </conditionalFormatting>
  <conditionalFormatting sqref="K163">
    <cfRule type="expression" priority="183" dxfId="0">
      <formula>LEN(K163)&gt;0</formula>
    </cfRule>
  </conditionalFormatting>
  <conditionalFormatting sqref="K164">
    <cfRule type="expression" priority="184" dxfId="0">
      <formula>LEN(K164)&gt;0</formula>
    </cfRule>
  </conditionalFormatting>
  <conditionalFormatting sqref="K165">
    <cfRule type="expression" priority="185" dxfId="0">
      <formula>LEN(K165)&gt;0</formula>
    </cfRule>
  </conditionalFormatting>
  <conditionalFormatting sqref="K166">
    <cfRule type="expression" priority="186" dxfId="0">
      <formula>LEN(K166)&gt;0</formula>
    </cfRule>
  </conditionalFormatting>
  <conditionalFormatting sqref="K167">
    <cfRule type="expression" priority="187" dxfId="0">
      <formula>LEN(K167)&gt;0</formula>
    </cfRule>
  </conditionalFormatting>
  <conditionalFormatting sqref="K169">
    <cfRule type="expression" priority="188" dxfId="0">
      <formula>LEN(K169)&gt;0</formula>
    </cfRule>
  </conditionalFormatting>
  <conditionalFormatting sqref="K170">
    <cfRule type="expression" priority="189" dxfId="0">
      <formula>LEN(K170)&gt;0</formula>
    </cfRule>
  </conditionalFormatting>
  <conditionalFormatting sqref="K171">
    <cfRule type="expression" priority="190" dxfId="0">
      <formula>LEN(K171)&gt;0</formula>
    </cfRule>
  </conditionalFormatting>
  <conditionalFormatting sqref="K172">
    <cfRule type="expression" priority="191" dxfId="0">
      <formula>LEN(K172)&gt;0</formula>
    </cfRule>
  </conditionalFormatting>
  <conditionalFormatting sqref="K173">
    <cfRule type="expression" priority="192" dxfId="0">
      <formula>LEN(K173)&gt;0</formula>
    </cfRule>
  </conditionalFormatting>
  <conditionalFormatting sqref="K174">
    <cfRule type="expression" priority="193" dxfId="0">
      <formula>LEN(K174)&gt;0</formula>
    </cfRule>
  </conditionalFormatting>
  <conditionalFormatting sqref="K175">
    <cfRule type="expression" priority="194" dxfId="0">
      <formula>LEN(K175)&gt;0</formula>
    </cfRule>
  </conditionalFormatting>
  <conditionalFormatting sqref="K176">
    <cfRule type="expression" priority="195" dxfId="0">
      <formula>LEN(K176)&gt;0</formula>
    </cfRule>
  </conditionalFormatting>
  <conditionalFormatting sqref="K177">
    <cfRule type="expression" priority="196" dxfId="0">
      <formula>LEN(K177)&gt;0</formula>
    </cfRule>
  </conditionalFormatting>
  <conditionalFormatting sqref="K178">
    <cfRule type="expression" priority="197" dxfId="0">
      <formula>LEN(K178)&gt;0</formula>
    </cfRule>
  </conditionalFormatting>
  <conditionalFormatting sqref="K179">
    <cfRule type="expression" priority="198" dxfId="0">
      <formula>LEN(K179)&gt;0</formula>
    </cfRule>
  </conditionalFormatting>
  <conditionalFormatting sqref="K180">
    <cfRule type="expression" priority="199" dxfId="0">
      <formula>LEN(K180)&gt;0</formula>
    </cfRule>
  </conditionalFormatting>
  <conditionalFormatting sqref="K181">
    <cfRule type="expression" priority="200" dxfId="0">
      <formula>LEN(K181)&gt;0</formula>
    </cfRule>
  </conditionalFormatting>
  <conditionalFormatting sqref="K183">
    <cfRule type="expression" priority="201" dxfId="0">
      <formula>LEN(K183)&gt;0</formula>
    </cfRule>
  </conditionalFormatting>
  <conditionalFormatting sqref="K184">
    <cfRule type="expression" priority="202" dxfId="0">
      <formula>LEN(K184)&gt;0</formula>
    </cfRule>
  </conditionalFormatting>
  <conditionalFormatting sqref="K185">
    <cfRule type="expression" priority="203" dxfId="0">
      <formula>LEN(K185)&gt;0</formula>
    </cfRule>
  </conditionalFormatting>
  <conditionalFormatting sqref="K186">
    <cfRule type="expression" priority="204" dxfId="0">
      <formula>LEN(K186)&gt;0</formula>
    </cfRule>
  </conditionalFormatting>
  <conditionalFormatting sqref="K187">
    <cfRule type="expression" priority="205" dxfId="0">
      <formula>LEN(K187)&gt;0</formula>
    </cfRule>
  </conditionalFormatting>
  <conditionalFormatting sqref="K188">
    <cfRule type="expression" priority="206" dxfId="0">
      <formula>LEN(K188)&gt;0</formula>
    </cfRule>
  </conditionalFormatting>
  <conditionalFormatting sqref="K189">
    <cfRule type="expression" priority="207" dxfId="0">
      <formula>LEN(K189)&gt;0</formula>
    </cfRule>
  </conditionalFormatting>
  <conditionalFormatting sqref="K190">
    <cfRule type="expression" priority="208" dxfId="0">
      <formula>LEN(K190)&gt;0</formula>
    </cfRule>
  </conditionalFormatting>
  <conditionalFormatting sqref="K191">
    <cfRule type="expression" priority="209" dxfId="0">
      <formula>LEN(K191)&gt;0</formula>
    </cfRule>
  </conditionalFormatting>
  <conditionalFormatting sqref="K192">
    <cfRule type="expression" priority="210" dxfId="0">
      <formula>LEN(K192)&gt;0</formula>
    </cfRule>
  </conditionalFormatting>
  <conditionalFormatting sqref="K193">
    <cfRule type="expression" priority="211" dxfId="0">
      <formula>LEN(K193)&gt;0</formula>
    </cfRule>
  </conditionalFormatting>
  <conditionalFormatting sqref="K194">
    <cfRule type="expression" priority="212" dxfId="0">
      <formula>LEN(K194)&gt;0</formula>
    </cfRule>
  </conditionalFormatting>
  <conditionalFormatting sqref="K195">
    <cfRule type="expression" priority="213" dxfId="0">
      <formula>LEN(K195)&gt;0</formula>
    </cfRule>
  </conditionalFormatting>
  <conditionalFormatting sqref="K197">
    <cfRule type="expression" priority="214" dxfId="0">
      <formula>LEN(K197)&gt;0</formula>
    </cfRule>
  </conditionalFormatting>
  <conditionalFormatting sqref="K198">
    <cfRule type="expression" priority="215" dxfId="0">
      <formula>LEN(K198)&gt;0</formula>
    </cfRule>
  </conditionalFormatting>
  <conditionalFormatting sqref="K199">
    <cfRule type="expression" priority="216" dxfId="0">
      <formula>LEN(K199)&gt;0</formula>
    </cfRule>
  </conditionalFormatting>
  <conditionalFormatting sqref="K200">
    <cfRule type="expression" priority="217" dxfId="0">
      <formula>LEN(K200)&gt;0</formula>
    </cfRule>
  </conditionalFormatting>
  <conditionalFormatting sqref="K201">
    <cfRule type="expression" priority="218" dxfId="0">
      <formula>LEN(K201)&gt;0</formula>
    </cfRule>
  </conditionalFormatting>
  <conditionalFormatting sqref="K202">
    <cfRule type="expression" priority="219" dxfId="0">
      <formula>LEN(K202)&gt;0</formula>
    </cfRule>
  </conditionalFormatting>
  <conditionalFormatting sqref="K203">
    <cfRule type="expression" priority="220" dxfId="0">
      <formula>LEN(K203)&gt;0</formula>
    </cfRule>
  </conditionalFormatting>
  <conditionalFormatting sqref="K204">
    <cfRule type="expression" priority="221" dxfId="0">
      <formula>LEN(K204)&gt;0</formula>
    </cfRule>
  </conditionalFormatting>
  <conditionalFormatting sqref="K205">
    <cfRule type="expression" priority="222" dxfId="0">
      <formula>LEN(K205)&gt;0</formula>
    </cfRule>
  </conditionalFormatting>
  <conditionalFormatting sqref="K206">
    <cfRule type="expression" priority="223" dxfId="0">
      <formula>LEN(K206)&gt;0</formula>
    </cfRule>
  </conditionalFormatting>
  <conditionalFormatting sqref="K207">
    <cfRule type="expression" priority="224" dxfId="0">
      <formula>LEN(K207)&gt;0</formula>
    </cfRule>
  </conditionalFormatting>
  <conditionalFormatting sqref="K208">
    <cfRule type="expression" priority="225" dxfId="0">
      <formula>LEN(K208)&gt;0</formula>
    </cfRule>
  </conditionalFormatting>
  <conditionalFormatting sqref="K209">
    <cfRule type="expression" priority="226" dxfId="0">
      <formula>LEN(K209)&gt;0</formula>
    </cfRule>
  </conditionalFormatting>
  <conditionalFormatting sqref="K211">
    <cfRule type="expression" priority="227" dxfId="0">
      <formula>LEN(K211)&gt;0</formula>
    </cfRule>
  </conditionalFormatting>
  <conditionalFormatting sqref="K212">
    <cfRule type="expression" priority="228" dxfId="0">
      <formula>LEN(K212)&gt;0</formula>
    </cfRule>
  </conditionalFormatting>
  <conditionalFormatting sqref="K213">
    <cfRule type="expression" priority="229" dxfId="0">
      <formula>LEN(K213)&gt;0</formula>
    </cfRule>
  </conditionalFormatting>
  <conditionalFormatting sqref="K214">
    <cfRule type="expression" priority="230" dxfId="0">
      <formula>LEN(K214)&gt;0</formula>
    </cfRule>
  </conditionalFormatting>
  <conditionalFormatting sqref="K215">
    <cfRule type="expression" priority="231" dxfId="0">
      <formula>LEN(K215)&gt;0</formula>
    </cfRule>
  </conditionalFormatting>
  <conditionalFormatting sqref="K216">
    <cfRule type="expression" priority="232" dxfId="0">
      <formula>LEN(K216)&gt;0</formula>
    </cfRule>
  </conditionalFormatting>
  <conditionalFormatting sqref="K217">
    <cfRule type="expression" priority="233" dxfId="0">
      <formula>LEN(K217)&gt;0</formula>
    </cfRule>
  </conditionalFormatting>
  <conditionalFormatting sqref="K218">
    <cfRule type="expression" priority="234" dxfId="0">
      <formula>LEN(K218)&gt;0</formula>
    </cfRule>
  </conditionalFormatting>
  <conditionalFormatting sqref="K219">
    <cfRule type="expression" priority="235" dxfId="0">
      <formula>LEN(K219)&gt;0</formula>
    </cfRule>
  </conditionalFormatting>
  <conditionalFormatting sqref="K220">
    <cfRule type="expression" priority="236" dxfId="0">
      <formula>LEN(K220)&gt;0</formula>
    </cfRule>
  </conditionalFormatting>
  <conditionalFormatting sqref="K221">
    <cfRule type="expression" priority="237" dxfId="0">
      <formula>LEN(K221)&gt;0</formula>
    </cfRule>
  </conditionalFormatting>
  <conditionalFormatting sqref="K222">
    <cfRule type="expression" priority="238" dxfId="0">
      <formula>LEN(K222)&gt;0</formula>
    </cfRule>
  </conditionalFormatting>
  <conditionalFormatting sqref="K223">
    <cfRule type="expression" priority="239" dxfId="0">
      <formula>LEN(K223)&gt;0</formula>
    </cfRule>
  </conditionalFormatting>
  <conditionalFormatting sqref="K225">
    <cfRule type="expression" priority="240" dxfId="0">
      <formula>LEN(K225)&gt;0</formula>
    </cfRule>
  </conditionalFormatting>
  <conditionalFormatting sqref="K226">
    <cfRule type="expression" priority="241" dxfId="0">
      <formula>LEN(K226)&gt;0</formula>
    </cfRule>
  </conditionalFormatting>
  <conditionalFormatting sqref="K227">
    <cfRule type="expression" priority="242" dxfId="0">
      <formula>LEN(K227)&gt;0</formula>
    </cfRule>
  </conditionalFormatting>
  <conditionalFormatting sqref="K228">
    <cfRule type="expression" priority="243" dxfId="0">
      <formula>LEN(K228)&gt;0</formula>
    </cfRule>
  </conditionalFormatting>
  <conditionalFormatting sqref="K229">
    <cfRule type="expression" priority="244" dxfId="0">
      <formula>LEN(K229)&gt;0</formula>
    </cfRule>
  </conditionalFormatting>
  <conditionalFormatting sqref="K230">
    <cfRule type="expression" priority="245" dxfId="0">
      <formula>LEN(K230)&gt;0</formula>
    </cfRule>
  </conditionalFormatting>
  <conditionalFormatting sqref="K231">
    <cfRule type="expression" priority="246" dxfId="0">
      <formula>LEN(K231)&gt;0</formula>
    </cfRule>
  </conditionalFormatting>
  <conditionalFormatting sqref="K232">
    <cfRule type="expression" priority="247" dxfId="0">
      <formula>LEN(K232)&gt;0</formula>
    </cfRule>
  </conditionalFormatting>
  <conditionalFormatting sqref="K233">
    <cfRule type="expression" priority="248" dxfId="0">
      <formula>LEN(K233)&gt;0</formula>
    </cfRule>
  </conditionalFormatting>
  <conditionalFormatting sqref="K242">
    <cfRule type="expression" priority="249" dxfId="0">
      <formula>LEN(K242)&gt;0</formula>
    </cfRule>
  </conditionalFormatting>
  <conditionalFormatting sqref="K243">
    <cfRule type="expression" priority="250" dxfId="0">
      <formula>LEN(K243)&gt;0</formula>
    </cfRule>
  </conditionalFormatting>
  <conditionalFormatting sqref="K244">
    <cfRule type="expression" priority="251" dxfId="0">
      <formula>LEN(K244)&gt;0</formula>
    </cfRule>
  </conditionalFormatting>
  <conditionalFormatting sqref="K245">
    <cfRule type="expression" priority="252" dxfId="0">
      <formula>LEN(K245)&gt;0</formula>
    </cfRule>
  </conditionalFormatting>
  <conditionalFormatting sqref="K246">
    <cfRule type="expression" priority="253" dxfId="0">
      <formula>LEN(K246)&gt;0</formula>
    </cfRule>
  </conditionalFormatting>
  <conditionalFormatting sqref="K247">
    <cfRule type="expression" priority="254" dxfId="0">
      <formula>LEN(K247)&gt;0</formula>
    </cfRule>
  </conditionalFormatting>
  <conditionalFormatting sqref="K248">
    <cfRule type="expression" priority="255" dxfId="0">
      <formula>LEN(K248)&gt;0</formula>
    </cfRule>
  </conditionalFormatting>
  <conditionalFormatting sqref="K249">
    <cfRule type="expression" priority="256" dxfId="0">
      <formula>LEN(K249)&gt;0</formula>
    </cfRule>
  </conditionalFormatting>
  <conditionalFormatting sqref="K250">
    <cfRule type="expression" priority="257" dxfId="0">
      <formula>LEN(K250)&gt;0</formula>
    </cfRule>
  </conditionalFormatting>
  <conditionalFormatting sqref="K251">
    <cfRule type="expression" priority="258" dxfId="0">
      <formula>LEN(K251)&gt;0</formula>
    </cfRule>
  </conditionalFormatting>
  <conditionalFormatting sqref="K252">
    <cfRule type="expression" priority="259" dxfId="0">
      <formula>LEN(K252)&gt;0</formula>
    </cfRule>
  </conditionalFormatting>
  <conditionalFormatting sqref="K253">
    <cfRule type="expression" priority="260" dxfId="0">
      <formula>LEN(K253)&gt;0</formula>
    </cfRule>
  </conditionalFormatting>
  <conditionalFormatting sqref="K254">
    <cfRule type="expression" priority="261" dxfId="0">
      <formula>LEN(K254)&gt;0</formula>
    </cfRule>
  </conditionalFormatting>
  <conditionalFormatting sqref="K256">
    <cfRule type="expression" priority="262" dxfId="0">
      <formula>LEN(K256)&gt;0</formula>
    </cfRule>
  </conditionalFormatting>
  <conditionalFormatting sqref="K257">
    <cfRule type="expression" priority="263" dxfId="0">
      <formula>LEN(K257)&gt;0</formula>
    </cfRule>
  </conditionalFormatting>
  <conditionalFormatting sqref="K258">
    <cfRule type="expression" priority="264" dxfId="0">
      <formula>LEN(K258)&gt;0</formula>
    </cfRule>
  </conditionalFormatting>
  <conditionalFormatting sqref="K259">
    <cfRule type="expression" priority="265" dxfId="0">
      <formula>LEN(K259)&gt;0</formula>
    </cfRule>
  </conditionalFormatting>
  <conditionalFormatting sqref="K260">
    <cfRule type="expression" priority="266" dxfId="0">
      <formula>LEN(K260)&gt;0</formula>
    </cfRule>
  </conditionalFormatting>
  <conditionalFormatting sqref="K261">
    <cfRule type="expression" priority="267" dxfId="0">
      <formula>LEN(K261)&gt;0</formula>
    </cfRule>
  </conditionalFormatting>
  <conditionalFormatting sqref="K262">
    <cfRule type="expression" priority="268" dxfId="0">
      <formula>LEN(K262)&gt;0</formula>
    </cfRule>
  </conditionalFormatting>
  <conditionalFormatting sqref="K263">
    <cfRule type="expression" priority="269" dxfId="0">
      <formula>LEN(K263)&gt;0</formula>
    </cfRule>
  </conditionalFormatting>
  <conditionalFormatting sqref="K264">
    <cfRule type="expression" priority="270" dxfId="0">
      <formula>LEN(K264)&gt;0</formula>
    </cfRule>
  </conditionalFormatting>
  <conditionalFormatting sqref="K265">
    <cfRule type="expression" priority="271" dxfId="0">
      <formula>LEN(K265)&gt;0</formula>
    </cfRule>
  </conditionalFormatting>
  <conditionalFormatting sqref="K266">
    <cfRule type="expression" priority="272" dxfId="0">
      <formula>LEN(K266)&gt;0</formula>
    </cfRule>
  </conditionalFormatting>
  <conditionalFormatting sqref="K267">
    <cfRule type="expression" priority="273" dxfId="0">
      <formula>LEN(K267)&gt;0</formula>
    </cfRule>
  </conditionalFormatting>
  <conditionalFormatting sqref="K268">
    <cfRule type="expression" priority="274" dxfId="0">
      <formula>LEN(K268)&gt;0</formula>
    </cfRule>
  </conditionalFormatting>
  <conditionalFormatting sqref="K270">
    <cfRule type="expression" priority="275" dxfId="0">
      <formula>LEN(K270)&gt;0</formula>
    </cfRule>
  </conditionalFormatting>
  <conditionalFormatting sqref="K271">
    <cfRule type="expression" priority="276" dxfId="0">
      <formula>LEN(K271)&gt;0</formula>
    </cfRule>
  </conditionalFormatting>
  <conditionalFormatting sqref="K272">
    <cfRule type="expression" priority="277" dxfId="0">
      <formula>LEN(K272)&gt;0</formula>
    </cfRule>
  </conditionalFormatting>
  <conditionalFormatting sqref="K273">
    <cfRule type="expression" priority="278" dxfId="0">
      <formula>LEN(K273)&gt;0</formula>
    </cfRule>
  </conditionalFormatting>
  <conditionalFormatting sqref="K274">
    <cfRule type="expression" priority="279" dxfId="0">
      <formula>LEN(K274)&gt;0</formula>
    </cfRule>
  </conditionalFormatting>
  <conditionalFormatting sqref="K275">
    <cfRule type="expression" priority="280" dxfId="0">
      <formula>LEN(K275)&gt;0</formula>
    </cfRule>
  </conditionalFormatting>
  <conditionalFormatting sqref="K276">
    <cfRule type="expression" priority="281" dxfId="0">
      <formula>LEN(K276)&gt;0</formula>
    </cfRule>
  </conditionalFormatting>
  <conditionalFormatting sqref="K277">
    <cfRule type="expression" priority="282" dxfId="0">
      <formula>LEN(K277)&gt;0</formula>
    </cfRule>
  </conditionalFormatting>
  <conditionalFormatting sqref="K278">
    <cfRule type="expression" priority="283" dxfId="0">
      <formula>LEN(K278)&gt;0</formula>
    </cfRule>
  </conditionalFormatting>
  <conditionalFormatting sqref="K279">
    <cfRule type="expression" priority="284" dxfId="0">
      <formula>LEN(K279)&gt;0</formula>
    </cfRule>
  </conditionalFormatting>
  <conditionalFormatting sqref="K280">
    <cfRule type="expression" priority="285" dxfId="0">
      <formula>LEN(K280)&gt;0</formula>
    </cfRule>
  </conditionalFormatting>
  <conditionalFormatting sqref="K281">
    <cfRule type="expression" priority="286" dxfId="0">
      <formula>LEN(K281)&gt;0</formula>
    </cfRule>
  </conditionalFormatting>
  <conditionalFormatting sqref="K282">
    <cfRule type="expression" priority="287" dxfId="0">
      <formula>LEN(K282)&gt;0</formula>
    </cfRule>
  </conditionalFormatting>
  <conditionalFormatting sqref="K284">
    <cfRule type="expression" priority="288" dxfId="0">
      <formula>LEN(K284)&gt;0</formula>
    </cfRule>
  </conditionalFormatting>
  <conditionalFormatting sqref="K285">
    <cfRule type="expression" priority="289" dxfId="0">
      <formula>LEN(K285)&gt;0</formula>
    </cfRule>
  </conditionalFormatting>
  <conditionalFormatting sqref="K286">
    <cfRule type="expression" priority="290" dxfId="0">
      <formula>LEN(K286)&gt;0</formula>
    </cfRule>
  </conditionalFormatting>
  <conditionalFormatting sqref="K287">
    <cfRule type="expression" priority="291" dxfId="0">
      <formula>LEN(K287)&gt;0</formula>
    </cfRule>
  </conditionalFormatting>
  <conditionalFormatting sqref="K288">
    <cfRule type="expression" priority="292" dxfId="0">
      <formula>LEN(K288)&gt;0</formula>
    </cfRule>
  </conditionalFormatting>
  <conditionalFormatting sqref="K289">
    <cfRule type="expression" priority="293" dxfId="0">
      <formula>LEN(K289)&gt;0</formula>
    </cfRule>
  </conditionalFormatting>
  <conditionalFormatting sqref="K290">
    <cfRule type="expression" priority="294" dxfId="0">
      <formula>LEN(K290)&gt;0</formula>
    </cfRule>
  </conditionalFormatting>
  <conditionalFormatting sqref="K291">
    <cfRule type="expression" priority="295" dxfId="0">
      <formula>LEN(K291)&gt;0</formula>
    </cfRule>
  </conditionalFormatting>
  <conditionalFormatting sqref="K292">
    <cfRule type="expression" priority="296" dxfId="0">
      <formula>LEN(K292)&gt;0</formula>
    </cfRule>
  </conditionalFormatting>
  <conditionalFormatting sqref="K293">
    <cfRule type="expression" priority="297" dxfId="0">
      <formula>LEN(K293)&gt;0</formula>
    </cfRule>
  </conditionalFormatting>
  <conditionalFormatting sqref="K294">
    <cfRule type="expression" priority="298" dxfId="0">
      <formula>LEN(K294)&gt;0</formula>
    </cfRule>
  </conditionalFormatting>
  <conditionalFormatting sqref="K295">
    <cfRule type="expression" priority="299" dxfId="0">
      <formula>LEN(K295)&gt;0</formula>
    </cfRule>
  </conditionalFormatting>
  <conditionalFormatting sqref="K296">
    <cfRule type="expression" priority="300" dxfId="0">
      <formula>LEN(K296)&gt;0</formula>
    </cfRule>
  </conditionalFormatting>
  <conditionalFormatting sqref="K298">
    <cfRule type="expression" priority="301" dxfId="0">
      <formula>LEN(K298)&gt;0</formula>
    </cfRule>
  </conditionalFormatting>
  <conditionalFormatting sqref="K299">
    <cfRule type="expression" priority="302" dxfId="0">
      <formula>LEN(K299)&gt;0</formula>
    </cfRule>
  </conditionalFormatting>
  <conditionalFormatting sqref="K300">
    <cfRule type="expression" priority="303" dxfId="0">
      <formula>LEN(K300)&gt;0</formula>
    </cfRule>
  </conditionalFormatting>
  <conditionalFormatting sqref="K301">
    <cfRule type="expression" priority="304" dxfId="0">
      <formula>LEN(K301)&gt;0</formula>
    </cfRule>
  </conditionalFormatting>
  <conditionalFormatting sqref="K302">
    <cfRule type="expression" priority="305" dxfId="0">
      <formula>LEN(K302)&gt;0</formula>
    </cfRule>
  </conditionalFormatting>
  <conditionalFormatting sqref="K303">
    <cfRule type="expression" priority="306" dxfId="0">
      <formula>LEN(K303)&gt;0</formula>
    </cfRule>
  </conditionalFormatting>
  <conditionalFormatting sqref="K304">
    <cfRule type="expression" priority="307" dxfId="0">
      <formula>LEN(K304)&gt;0</formula>
    </cfRule>
  </conditionalFormatting>
  <conditionalFormatting sqref="K305">
    <cfRule type="expression" priority="308" dxfId="0">
      <formula>LEN(K305)&gt;0</formula>
    </cfRule>
  </conditionalFormatting>
  <conditionalFormatting sqref="K306">
    <cfRule type="expression" priority="309" dxfId="0">
      <formula>LEN(K306)&gt;0</formula>
    </cfRule>
  </conditionalFormatting>
  <conditionalFormatting sqref="K307">
    <cfRule type="expression" priority="310" dxfId="0">
      <formula>LEN(K307)&gt;0</formula>
    </cfRule>
  </conditionalFormatting>
  <conditionalFormatting sqref="K308">
    <cfRule type="expression" priority="311" dxfId="0">
      <formula>LEN(K308)&gt;0</formula>
    </cfRule>
  </conditionalFormatting>
  <conditionalFormatting sqref="K309">
    <cfRule type="expression" priority="312" dxfId="0">
      <formula>LEN(K309)&gt;0</formula>
    </cfRule>
  </conditionalFormatting>
  <conditionalFormatting sqref="K310">
    <cfRule type="expression" priority="313" dxfId="0">
      <formula>LEN(K310)&gt;0</formula>
    </cfRule>
  </conditionalFormatting>
  <conditionalFormatting sqref="K312">
    <cfRule type="expression" priority="314" dxfId="0">
      <formula>LEN(K312)&gt;0</formula>
    </cfRule>
  </conditionalFormatting>
  <conditionalFormatting sqref="K313">
    <cfRule type="expression" priority="315" dxfId="0">
      <formula>LEN(K313)&gt;0</formula>
    </cfRule>
  </conditionalFormatting>
  <conditionalFormatting sqref="K314">
    <cfRule type="expression" priority="316" dxfId="0">
      <formula>LEN(K314)&gt;0</formula>
    </cfRule>
  </conditionalFormatting>
  <conditionalFormatting sqref="K315">
    <cfRule type="expression" priority="317" dxfId="0">
      <formula>LEN(K315)&gt;0</formula>
    </cfRule>
  </conditionalFormatting>
  <conditionalFormatting sqref="K316">
    <cfRule type="expression" priority="318" dxfId="0">
      <formula>LEN(K316)&gt;0</formula>
    </cfRule>
  </conditionalFormatting>
  <conditionalFormatting sqref="K317">
    <cfRule type="expression" priority="319" dxfId="0">
      <formula>LEN(K317)&gt;0</formula>
    </cfRule>
  </conditionalFormatting>
  <conditionalFormatting sqref="K318">
    <cfRule type="expression" priority="320" dxfId="0">
      <formula>LEN(K318)&gt;0</formula>
    </cfRule>
  </conditionalFormatting>
  <conditionalFormatting sqref="K319">
    <cfRule type="expression" priority="321" dxfId="0">
      <formula>LEN(K319)&gt;0</formula>
    </cfRule>
  </conditionalFormatting>
  <conditionalFormatting sqref="K320">
    <cfRule type="expression" priority="322" dxfId="0">
      <formula>LEN(K320)&gt;0</formula>
    </cfRule>
  </conditionalFormatting>
  <conditionalFormatting sqref="K321">
    <cfRule type="expression" priority="323" dxfId="0">
      <formula>LEN(K321)&gt;0</formula>
    </cfRule>
  </conditionalFormatting>
  <conditionalFormatting sqref="K322">
    <cfRule type="expression" priority="324" dxfId="0">
      <formula>LEN(K322)&gt;0</formula>
    </cfRule>
  </conditionalFormatting>
  <conditionalFormatting sqref="K323">
    <cfRule type="expression" priority="325" dxfId="0">
      <formula>LEN(K323)&gt;0</formula>
    </cfRule>
  </conditionalFormatting>
  <conditionalFormatting sqref="K324">
    <cfRule type="expression" priority="326" dxfId="0">
      <formula>LEN(K324)&gt;0</formula>
    </cfRule>
  </conditionalFormatting>
  <conditionalFormatting sqref="K326">
    <cfRule type="expression" priority="327" dxfId="0">
      <formula>LEN(K326)&gt;0</formula>
    </cfRule>
  </conditionalFormatting>
  <conditionalFormatting sqref="K327">
    <cfRule type="expression" priority="328" dxfId="0">
      <formula>LEN(K327)&gt;0</formula>
    </cfRule>
  </conditionalFormatting>
  <conditionalFormatting sqref="K328">
    <cfRule type="expression" priority="329" dxfId="0">
      <formula>LEN(K328)&gt;0</formula>
    </cfRule>
  </conditionalFormatting>
  <conditionalFormatting sqref="K329">
    <cfRule type="expression" priority="330" dxfId="0">
      <formula>LEN(K329)&gt;0</formula>
    </cfRule>
  </conditionalFormatting>
  <conditionalFormatting sqref="K330">
    <cfRule type="expression" priority="331" dxfId="0">
      <formula>LEN(K330)&gt;0</formula>
    </cfRule>
  </conditionalFormatting>
  <conditionalFormatting sqref="K331">
    <cfRule type="expression" priority="332" dxfId="0">
      <formula>LEN(K331)&gt;0</formula>
    </cfRule>
  </conditionalFormatting>
  <conditionalFormatting sqref="K332">
    <cfRule type="expression" priority="333" dxfId="0">
      <formula>LEN(K332)&gt;0</formula>
    </cfRule>
  </conditionalFormatting>
  <conditionalFormatting sqref="K333">
    <cfRule type="expression" priority="334" dxfId="0">
      <formula>LEN(K333)&gt;0</formula>
    </cfRule>
  </conditionalFormatting>
  <conditionalFormatting sqref="K334">
    <cfRule type="expression" priority="335" dxfId="0">
      <formula>LEN(K334)&gt;0</formula>
    </cfRule>
  </conditionalFormatting>
  <conditionalFormatting sqref="K335">
    <cfRule type="expression" priority="336" dxfId="0">
      <formula>LEN(K335)&gt;0</formula>
    </cfRule>
  </conditionalFormatting>
  <conditionalFormatting sqref="K336">
    <cfRule type="expression" priority="337" dxfId="0">
      <formula>LEN(K336)&gt;0</formula>
    </cfRule>
  </conditionalFormatting>
  <conditionalFormatting sqref="K337">
    <cfRule type="expression" priority="338" dxfId="0">
      <formula>LEN(K337)&gt;0</formula>
    </cfRule>
  </conditionalFormatting>
  <conditionalFormatting sqref="K338">
    <cfRule type="expression" priority="339" dxfId="0">
      <formula>LEN(K338)&gt;0</formula>
    </cfRule>
  </conditionalFormatting>
  <conditionalFormatting sqref="K340">
    <cfRule type="expression" priority="340" dxfId="0">
      <formula>LEN(K340)&gt;0</formula>
    </cfRule>
  </conditionalFormatting>
  <conditionalFormatting sqref="K341">
    <cfRule type="expression" priority="341" dxfId="0">
      <formula>LEN(K341)&gt;0</formula>
    </cfRule>
  </conditionalFormatting>
  <conditionalFormatting sqref="K342">
    <cfRule type="expression" priority="342" dxfId="0">
      <formula>LEN(K342)&gt;0</formula>
    </cfRule>
  </conditionalFormatting>
  <conditionalFormatting sqref="K343">
    <cfRule type="expression" priority="343" dxfId="0">
      <formula>LEN(K343)&gt;0</formula>
    </cfRule>
  </conditionalFormatting>
  <conditionalFormatting sqref="K344">
    <cfRule type="expression" priority="344" dxfId="0">
      <formula>LEN(K344)&gt;0</formula>
    </cfRule>
  </conditionalFormatting>
  <conditionalFormatting sqref="K345">
    <cfRule type="expression" priority="345" dxfId="0">
      <formula>LEN(K345)&gt;0</formula>
    </cfRule>
  </conditionalFormatting>
  <conditionalFormatting sqref="K346">
    <cfRule type="expression" priority="346" dxfId="0">
      <formula>LEN(K346)&gt;0</formula>
    </cfRule>
  </conditionalFormatting>
  <conditionalFormatting sqref="K347">
    <cfRule type="expression" priority="347" dxfId="0">
      <formula>LEN(K347)&gt;0</formula>
    </cfRule>
  </conditionalFormatting>
  <conditionalFormatting sqref="K348">
    <cfRule type="expression" priority="348" dxfId="0">
      <formula>LEN(K348)&gt;0</formula>
    </cfRule>
  </conditionalFormatting>
  <conditionalFormatting sqref="K357">
    <cfRule type="expression" priority="349" dxfId="0">
      <formula>LEN(K357)&gt;0</formula>
    </cfRule>
  </conditionalFormatting>
  <conditionalFormatting sqref="K358">
    <cfRule type="expression" priority="350" dxfId="0">
      <formula>LEN(K358)&gt;0</formula>
    </cfRule>
  </conditionalFormatting>
  <conditionalFormatting sqref="K359">
    <cfRule type="expression" priority="351" dxfId="0">
      <formula>LEN(K359)&gt;0</formula>
    </cfRule>
  </conditionalFormatting>
  <conditionalFormatting sqref="K360">
    <cfRule type="expression" priority="352" dxfId="0">
      <formula>LEN(K360)&gt;0</formula>
    </cfRule>
  </conditionalFormatting>
  <conditionalFormatting sqref="K361">
    <cfRule type="expression" priority="353" dxfId="0">
      <formula>LEN(K361)&gt;0</formula>
    </cfRule>
  </conditionalFormatting>
  <conditionalFormatting sqref="K362">
    <cfRule type="expression" priority="354" dxfId="0">
      <formula>LEN(K362)&gt;0</formula>
    </cfRule>
  </conditionalFormatting>
  <conditionalFormatting sqref="K363">
    <cfRule type="expression" priority="355" dxfId="0">
      <formula>LEN(K363)&gt;0</formula>
    </cfRule>
  </conditionalFormatting>
  <conditionalFormatting sqref="K364">
    <cfRule type="expression" priority="356" dxfId="0">
      <formula>LEN(K364)&gt;0</formula>
    </cfRule>
  </conditionalFormatting>
  <conditionalFormatting sqref="K365">
    <cfRule type="expression" priority="357" dxfId="0">
      <formula>LEN(K365)&gt;0</formula>
    </cfRule>
  </conditionalFormatting>
  <conditionalFormatting sqref="K366">
    <cfRule type="expression" priority="358" dxfId="0">
      <formula>LEN(K366)&gt;0</formula>
    </cfRule>
  </conditionalFormatting>
  <conditionalFormatting sqref="K367">
    <cfRule type="expression" priority="359" dxfId="0">
      <formula>LEN(K367)&gt;0</formula>
    </cfRule>
  </conditionalFormatting>
  <conditionalFormatting sqref="K368">
    <cfRule type="expression" priority="360" dxfId="0">
      <formula>LEN(K368)&gt;0</formula>
    </cfRule>
  </conditionalFormatting>
  <conditionalFormatting sqref="K369">
    <cfRule type="expression" priority="361" dxfId="0">
      <formula>LEN(K369)&gt;0</formula>
    </cfRule>
  </conditionalFormatting>
  <conditionalFormatting sqref="K371">
    <cfRule type="expression" priority="362" dxfId="0">
      <formula>LEN(K371)&gt;0</formula>
    </cfRule>
  </conditionalFormatting>
  <conditionalFormatting sqref="K372">
    <cfRule type="expression" priority="363" dxfId="0">
      <formula>LEN(K372)&gt;0</formula>
    </cfRule>
  </conditionalFormatting>
  <conditionalFormatting sqref="K373">
    <cfRule type="expression" priority="364" dxfId="0">
      <formula>LEN(K373)&gt;0</formula>
    </cfRule>
  </conditionalFormatting>
  <conditionalFormatting sqref="K374">
    <cfRule type="expression" priority="365" dxfId="0">
      <formula>LEN(K374)&gt;0</formula>
    </cfRule>
  </conditionalFormatting>
  <conditionalFormatting sqref="K375">
    <cfRule type="expression" priority="366" dxfId="0">
      <formula>LEN(K375)&gt;0</formula>
    </cfRule>
  </conditionalFormatting>
  <conditionalFormatting sqref="K376">
    <cfRule type="expression" priority="367" dxfId="0">
      <formula>LEN(K376)&gt;0</formula>
    </cfRule>
  </conditionalFormatting>
  <conditionalFormatting sqref="K377">
    <cfRule type="expression" priority="368" dxfId="0">
      <formula>LEN(K377)&gt;0</formula>
    </cfRule>
  </conditionalFormatting>
  <conditionalFormatting sqref="K378">
    <cfRule type="expression" priority="369" dxfId="0">
      <formula>LEN(K378)&gt;0</formula>
    </cfRule>
  </conditionalFormatting>
  <conditionalFormatting sqref="K379">
    <cfRule type="expression" priority="370" dxfId="0">
      <formula>LEN(K379)&gt;0</formula>
    </cfRule>
  </conditionalFormatting>
  <conditionalFormatting sqref="K380">
    <cfRule type="expression" priority="371" dxfId="0">
      <formula>LEN(K380)&gt;0</formula>
    </cfRule>
  </conditionalFormatting>
  <conditionalFormatting sqref="K381">
    <cfRule type="expression" priority="372" dxfId="0">
      <formula>LEN(K381)&gt;0</formula>
    </cfRule>
  </conditionalFormatting>
  <conditionalFormatting sqref="K382">
    <cfRule type="expression" priority="373" dxfId="0">
      <formula>LEN(K382)&gt;0</formula>
    </cfRule>
  </conditionalFormatting>
  <conditionalFormatting sqref="K383">
    <cfRule type="expression" priority="374" dxfId="0">
      <formula>LEN(K383)&gt;0</formula>
    </cfRule>
  </conditionalFormatting>
  <conditionalFormatting sqref="K385">
    <cfRule type="expression" priority="375" dxfId="0">
      <formula>LEN(K385)&gt;0</formula>
    </cfRule>
  </conditionalFormatting>
  <conditionalFormatting sqref="K386">
    <cfRule type="expression" priority="376" dxfId="0">
      <formula>LEN(K386)&gt;0</formula>
    </cfRule>
  </conditionalFormatting>
  <conditionalFormatting sqref="K387">
    <cfRule type="expression" priority="377" dxfId="0">
      <formula>LEN(K387)&gt;0</formula>
    </cfRule>
  </conditionalFormatting>
  <conditionalFormatting sqref="K388">
    <cfRule type="expression" priority="378" dxfId="0">
      <formula>LEN(K388)&gt;0</formula>
    </cfRule>
  </conditionalFormatting>
  <conditionalFormatting sqref="K389">
    <cfRule type="expression" priority="379" dxfId="0">
      <formula>LEN(K389)&gt;0</formula>
    </cfRule>
  </conditionalFormatting>
  <conditionalFormatting sqref="K390">
    <cfRule type="expression" priority="380" dxfId="0">
      <formula>LEN(K390)&gt;0</formula>
    </cfRule>
  </conditionalFormatting>
  <conditionalFormatting sqref="K391">
    <cfRule type="expression" priority="381" dxfId="0">
      <formula>LEN(K391)&gt;0</formula>
    </cfRule>
  </conditionalFormatting>
  <conditionalFormatting sqref="K392">
    <cfRule type="expression" priority="382" dxfId="0">
      <formula>LEN(K392)&gt;0</formula>
    </cfRule>
  </conditionalFormatting>
  <conditionalFormatting sqref="K393">
    <cfRule type="expression" priority="383" dxfId="0">
      <formula>LEN(K393)&gt;0</formula>
    </cfRule>
  </conditionalFormatting>
  <conditionalFormatting sqref="K394">
    <cfRule type="expression" priority="384" dxfId="0">
      <formula>LEN(K394)&gt;0</formula>
    </cfRule>
  </conditionalFormatting>
  <conditionalFormatting sqref="K395">
    <cfRule type="expression" priority="385" dxfId="0">
      <formula>LEN(K395)&gt;0</formula>
    </cfRule>
  </conditionalFormatting>
  <conditionalFormatting sqref="K396">
    <cfRule type="expression" priority="386" dxfId="0">
      <formula>LEN(K396)&gt;0</formula>
    </cfRule>
  </conditionalFormatting>
  <conditionalFormatting sqref="K397">
    <cfRule type="expression" priority="387" dxfId="0">
      <formula>LEN(K397)&gt;0</formula>
    </cfRule>
  </conditionalFormatting>
  <conditionalFormatting sqref="K399">
    <cfRule type="expression" priority="388" dxfId="0">
      <formula>LEN(K399)&gt;0</formula>
    </cfRule>
  </conditionalFormatting>
  <conditionalFormatting sqref="K400">
    <cfRule type="expression" priority="389" dxfId="0">
      <formula>LEN(K400)&gt;0</formula>
    </cfRule>
  </conditionalFormatting>
  <conditionalFormatting sqref="K401">
    <cfRule type="expression" priority="390" dxfId="0">
      <formula>LEN(K401)&gt;0</formula>
    </cfRule>
  </conditionalFormatting>
  <conditionalFormatting sqref="K402">
    <cfRule type="expression" priority="391" dxfId="0">
      <formula>LEN(K402)&gt;0</formula>
    </cfRule>
  </conditionalFormatting>
  <conditionalFormatting sqref="K403">
    <cfRule type="expression" priority="392" dxfId="0">
      <formula>LEN(K403)&gt;0</formula>
    </cfRule>
  </conditionalFormatting>
  <conditionalFormatting sqref="K404">
    <cfRule type="expression" priority="393" dxfId="0">
      <formula>LEN(K404)&gt;0</formula>
    </cfRule>
  </conditionalFormatting>
  <conditionalFormatting sqref="K405">
    <cfRule type="expression" priority="394" dxfId="0">
      <formula>LEN(K405)&gt;0</formula>
    </cfRule>
  </conditionalFormatting>
  <conditionalFormatting sqref="K406">
    <cfRule type="expression" priority="395" dxfId="0">
      <formula>LEN(K406)&gt;0</formula>
    </cfRule>
  </conditionalFormatting>
  <conditionalFormatting sqref="K407">
    <cfRule type="expression" priority="396" dxfId="0">
      <formula>LEN(K407)&gt;0</formula>
    </cfRule>
  </conditionalFormatting>
  <conditionalFormatting sqref="K408">
    <cfRule type="expression" priority="397" dxfId="0">
      <formula>LEN(K408)&gt;0</formula>
    </cfRule>
  </conditionalFormatting>
  <conditionalFormatting sqref="K409">
    <cfRule type="expression" priority="398" dxfId="0">
      <formula>LEN(K409)&gt;0</formula>
    </cfRule>
  </conditionalFormatting>
  <conditionalFormatting sqref="K410">
    <cfRule type="expression" priority="399" dxfId="0">
      <formula>LEN(K410)&gt;0</formula>
    </cfRule>
  </conditionalFormatting>
  <conditionalFormatting sqref="K411">
    <cfRule type="expression" priority="400" dxfId="0">
      <formula>LEN(K411)&gt;0</formula>
    </cfRule>
  </conditionalFormatting>
  <conditionalFormatting sqref="K413">
    <cfRule type="expression" priority="401" dxfId="0">
      <formula>LEN(K413)&gt;0</formula>
    </cfRule>
  </conditionalFormatting>
  <conditionalFormatting sqref="K414">
    <cfRule type="expression" priority="402" dxfId="0">
      <formula>LEN(K414)&gt;0</formula>
    </cfRule>
  </conditionalFormatting>
  <conditionalFormatting sqref="K415">
    <cfRule type="expression" priority="403" dxfId="0">
      <formula>LEN(K415)&gt;0</formula>
    </cfRule>
  </conditionalFormatting>
  <conditionalFormatting sqref="K416">
    <cfRule type="expression" priority="404" dxfId="0">
      <formula>LEN(K416)&gt;0</formula>
    </cfRule>
  </conditionalFormatting>
  <conditionalFormatting sqref="K417">
    <cfRule type="expression" priority="405" dxfId="0">
      <formula>LEN(K417)&gt;0</formula>
    </cfRule>
  </conditionalFormatting>
  <conditionalFormatting sqref="K418">
    <cfRule type="expression" priority="406" dxfId="0">
      <formula>LEN(K418)&gt;0</formula>
    </cfRule>
  </conditionalFormatting>
  <conditionalFormatting sqref="K419">
    <cfRule type="expression" priority="407" dxfId="0">
      <formula>LEN(K419)&gt;0</formula>
    </cfRule>
  </conditionalFormatting>
  <conditionalFormatting sqref="K420">
    <cfRule type="expression" priority="408" dxfId="0">
      <formula>LEN(K420)&gt;0</formula>
    </cfRule>
  </conditionalFormatting>
  <conditionalFormatting sqref="K421">
    <cfRule type="expression" priority="409" dxfId="0">
      <formula>LEN(K421)&gt;0</formula>
    </cfRule>
  </conditionalFormatting>
  <conditionalFormatting sqref="K422">
    <cfRule type="expression" priority="410" dxfId="0">
      <formula>LEN(K422)&gt;0</formula>
    </cfRule>
  </conditionalFormatting>
  <conditionalFormatting sqref="K423">
    <cfRule type="expression" priority="411" dxfId="0">
      <formula>LEN(K423)&gt;0</formula>
    </cfRule>
  </conditionalFormatting>
  <conditionalFormatting sqref="K424">
    <cfRule type="expression" priority="412" dxfId="0">
      <formula>LEN(K424)&gt;0</formula>
    </cfRule>
  </conditionalFormatting>
  <conditionalFormatting sqref="K425">
    <cfRule type="expression" priority="413" dxfId="0">
      <formula>LEN(K425)&gt;0</formula>
    </cfRule>
  </conditionalFormatting>
  <conditionalFormatting sqref="K427">
    <cfRule type="expression" priority="414" dxfId="0">
      <formula>LEN(K427)&gt;0</formula>
    </cfRule>
  </conditionalFormatting>
  <conditionalFormatting sqref="K428">
    <cfRule type="expression" priority="415" dxfId="0">
      <formula>LEN(K428)&gt;0</formula>
    </cfRule>
  </conditionalFormatting>
  <conditionalFormatting sqref="K429">
    <cfRule type="expression" priority="416" dxfId="0">
      <formula>LEN(K429)&gt;0</formula>
    </cfRule>
  </conditionalFormatting>
  <conditionalFormatting sqref="K430">
    <cfRule type="expression" priority="417" dxfId="0">
      <formula>LEN(K430)&gt;0</formula>
    </cfRule>
  </conditionalFormatting>
  <conditionalFormatting sqref="K431">
    <cfRule type="expression" priority="418" dxfId="0">
      <formula>LEN(K431)&gt;0</formula>
    </cfRule>
  </conditionalFormatting>
  <conditionalFormatting sqref="K432">
    <cfRule type="expression" priority="419" dxfId="0">
      <formula>LEN(K432)&gt;0</formula>
    </cfRule>
  </conditionalFormatting>
  <conditionalFormatting sqref="K433">
    <cfRule type="expression" priority="420" dxfId="0">
      <formula>LEN(K433)&gt;0</formula>
    </cfRule>
  </conditionalFormatting>
  <conditionalFormatting sqref="K434">
    <cfRule type="expression" priority="421" dxfId="0">
      <formula>LEN(K434)&gt;0</formula>
    </cfRule>
  </conditionalFormatting>
  <conditionalFormatting sqref="K435">
    <cfRule type="expression" priority="422" dxfId="0">
      <formula>LEN(K435)&gt;0</formula>
    </cfRule>
  </conditionalFormatting>
  <conditionalFormatting sqref="K436">
    <cfRule type="expression" priority="423" dxfId="0">
      <formula>LEN(K436)&gt;0</formula>
    </cfRule>
  </conditionalFormatting>
  <conditionalFormatting sqref="K437">
    <cfRule type="expression" priority="424" dxfId="0">
      <formula>LEN(K437)&gt;0</formula>
    </cfRule>
  </conditionalFormatting>
  <conditionalFormatting sqref="K438">
    <cfRule type="expression" priority="425" dxfId="0">
      <formula>LEN(K438)&gt;0</formula>
    </cfRule>
  </conditionalFormatting>
  <conditionalFormatting sqref="K439">
    <cfRule type="expression" priority="426" dxfId="0">
      <formula>LEN(K439)&gt;0</formula>
    </cfRule>
  </conditionalFormatting>
  <conditionalFormatting sqref="K441">
    <cfRule type="expression" priority="427" dxfId="0">
      <formula>LEN(K441)&gt;0</formula>
    </cfRule>
  </conditionalFormatting>
  <conditionalFormatting sqref="K442">
    <cfRule type="expression" priority="428" dxfId="0">
      <formula>LEN(K442)&gt;0</formula>
    </cfRule>
  </conditionalFormatting>
  <conditionalFormatting sqref="K443">
    <cfRule type="expression" priority="429" dxfId="0">
      <formula>LEN(K443)&gt;0</formula>
    </cfRule>
  </conditionalFormatting>
  <conditionalFormatting sqref="K444">
    <cfRule type="expression" priority="430" dxfId="0">
      <formula>LEN(K444)&gt;0</formula>
    </cfRule>
  </conditionalFormatting>
  <conditionalFormatting sqref="K445">
    <cfRule type="expression" priority="431" dxfId="0">
      <formula>LEN(K445)&gt;0</formula>
    </cfRule>
  </conditionalFormatting>
  <conditionalFormatting sqref="K446">
    <cfRule type="expression" priority="432" dxfId="0">
      <formula>LEN(K446)&gt;0</formula>
    </cfRule>
  </conditionalFormatting>
  <conditionalFormatting sqref="K447">
    <cfRule type="expression" priority="433" dxfId="0">
      <formula>LEN(K447)&gt;0</formula>
    </cfRule>
  </conditionalFormatting>
  <conditionalFormatting sqref="K448">
    <cfRule type="expression" priority="434" dxfId="0">
      <formula>LEN(K448)&gt;0</formula>
    </cfRule>
  </conditionalFormatting>
  <conditionalFormatting sqref="K449">
    <cfRule type="expression" priority="435" dxfId="0">
      <formula>LEN(K449)&gt;0</formula>
    </cfRule>
  </conditionalFormatting>
  <conditionalFormatting sqref="K450">
    <cfRule type="expression" priority="436" dxfId="0">
      <formula>LEN(K450)&gt;0</formula>
    </cfRule>
  </conditionalFormatting>
  <conditionalFormatting sqref="K451">
    <cfRule type="expression" priority="437" dxfId="0">
      <formula>LEN(K451)&gt;0</formula>
    </cfRule>
  </conditionalFormatting>
  <conditionalFormatting sqref="K452">
    <cfRule type="expression" priority="438" dxfId="0">
      <formula>LEN(K452)&gt;0</formula>
    </cfRule>
  </conditionalFormatting>
  <conditionalFormatting sqref="K453">
    <cfRule type="expression" priority="439" dxfId="0">
      <formula>LEN(K453)&gt;0</formula>
    </cfRule>
  </conditionalFormatting>
  <conditionalFormatting sqref="K455">
    <cfRule type="expression" priority="440" dxfId="0">
      <formula>LEN(K455)&gt;0</formula>
    </cfRule>
  </conditionalFormatting>
  <conditionalFormatting sqref="K456">
    <cfRule type="expression" priority="441" dxfId="0">
      <formula>LEN(K456)&gt;0</formula>
    </cfRule>
  </conditionalFormatting>
  <conditionalFormatting sqref="K457">
    <cfRule type="expression" priority="442" dxfId="0">
      <formula>LEN(K457)&gt;0</formula>
    </cfRule>
  </conditionalFormatting>
  <conditionalFormatting sqref="K458">
    <cfRule type="expression" priority="443" dxfId="0">
      <formula>LEN(K458)&gt;0</formula>
    </cfRule>
  </conditionalFormatting>
  <conditionalFormatting sqref="K459">
    <cfRule type="expression" priority="444" dxfId="0">
      <formula>LEN(K459)&gt;0</formula>
    </cfRule>
  </conditionalFormatting>
  <conditionalFormatting sqref="K460">
    <cfRule type="expression" priority="445" dxfId="0">
      <formula>LEN(K460)&gt;0</formula>
    </cfRule>
  </conditionalFormatting>
  <conditionalFormatting sqref="K461">
    <cfRule type="expression" priority="446" dxfId="0">
      <formula>LEN(K461)&gt;0</formula>
    </cfRule>
  </conditionalFormatting>
  <conditionalFormatting sqref="K462">
    <cfRule type="expression" priority="447" dxfId="0">
      <formula>LEN(K462)&gt;0</formula>
    </cfRule>
  </conditionalFormatting>
  <conditionalFormatting sqref="K463">
    <cfRule type="expression" priority="448" dxfId="0">
      <formula>LEN(K463)&gt;0</formula>
    </cfRule>
  </conditionalFormatting>
  <conditionalFormatting sqref="K472">
    <cfRule type="expression" priority="449" dxfId="0">
      <formula>LEN(K472)&gt;0</formula>
    </cfRule>
  </conditionalFormatting>
  <conditionalFormatting sqref="K473">
    <cfRule type="expression" priority="450" dxfId="0">
      <formula>LEN(K473)&gt;0</formula>
    </cfRule>
  </conditionalFormatting>
  <conditionalFormatting sqref="K474">
    <cfRule type="expression" priority="451" dxfId="0">
      <formula>LEN(K474)&gt;0</formula>
    </cfRule>
  </conditionalFormatting>
  <conditionalFormatting sqref="K475">
    <cfRule type="expression" priority="452" dxfId="0">
      <formula>LEN(K475)&gt;0</formula>
    </cfRule>
  </conditionalFormatting>
  <conditionalFormatting sqref="K476">
    <cfRule type="expression" priority="453" dxfId="0">
      <formula>LEN(K476)&gt;0</formula>
    </cfRule>
  </conditionalFormatting>
  <conditionalFormatting sqref="K477">
    <cfRule type="expression" priority="454" dxfId="0">
      <formula>LEN(K477)&gt;0</formula>
    </cfRule>
  </conditionalFormatting>
  <conditionalFormatting sqref="K478">
    <cfRule type="expression" priority="455" dxfId="0">
      <formula>LEN(K478)&gt;0</formula>
    </cfRule>
  </conditionalFormatting>
  <conditionalFormatting sqref="K479">
    <cfRule type="expression" priority="456" dxfId="0">
      <formula>LEN(K479)&gt;0</formula>
    </cfRule>
  </conditionalFormatting>
  <conditionalFormatting sqref="K480">
    <cfRule type="expression" priority="457" dxfId="0">
      <formula>LEN(K480)&gt;0</formula>
    </cfRule>
  </conditionalFormatting>
  <conditionalFormatting sqref="K481">
    <cfRule type="expression" priority="458" dxfId="0">
      <formula>LEN(K481)&gt;0</formula>
    </cfRule>
  </conditionalFormatting>
  <conditionalFormatting sqref="K482">
    <cfRule type="expression" priority="459" dxfId="0">
      <formula>LEN(K482)&gt;0</formula>
    </cfRule>
  </conditionalFormatting>
  <conditionalFormatting sqref="K483">
    <cfRule type="expression" priority="460" dxfId="0">
      <formula>LEN(K483)&gt;0</formula>
    </cfRule>
  </conditionalFormatting>
  <conditionalFormatting sqref="K484">
    <cfRule type="expression" priority="461" dxfId="0">
      <formula>LEN(K484)&gt;0</formula>
    </cfRule>
  </conditionalFormatting>
  <conditionalFormatting sqref="K486">
    <cfRule type="expression" priority="462" dxfId="0">
      <formula>LEN(K486)&gt;0</formula>
    </cfRule>
  </conditionalFormatting>
  <conditionalFormatting sqref="K487">
    <cfRule type="expression" priority="463" dxfId="0">
      <formula>LEN(K487)&gt;0</formula>
    </cfRule>
  </conditionalFormatting>
  <conditionalFormatting sqref="K488">
    <cfRule type="expression" priority="464" dxfId="0">
      <formula>LEN(K488)&gt;0</formula>
    </cfRule>
  </conditionalFormatting>
  <conditionalFormatting sqref="K489">
    <cfRule type="expression" priority="465" dxfId="0">
      <formula>LEN(K489)&gt;0</formula>
    </cfRule>
  </conditionalFormatting>
  <conditionalFormatting sqref="K490">
    <cfRule type="expression" priority="466" dxfId="0">
      <formula>LEN(K490)&gt;0</formula>
    </cfRule>
  </conditionalFormatting>
  <conditionalFormatting sqref="K491">
    <cfRule type="expression" priority="467" dxfId="0">
      <formula>LEN(K491)&gt;0</formula>
    </cfRule>
  </conditionalFormatting>
  <conditionalFormatting sqref="K492">
    <cfRule type="expression" priority="468" dxfId="0">
      <formula>LEN(K492)&gt;0</formula>
    </cfRule>
  </conditionalFormatting>
  <conditionalFormatting sqref="K493">
    <cfRule type="expression" priority="469" dxfId="0">
      <formula>LEN(K493)&gt;0</formula>
    </cfRule>
  </conditionalFormatting>
  <conditionalFormatting sqref="K494">
    <cfRule type="expression" priority="470" dxfId="0">
      <formula>LEN(K494)&gt;0</formula>
    </cfRule>
  </conditionalFormatting>
  <conditionalFormatting sqref="K495">
    <cfRule type="expression" priority="471" dxfId="0">
      <formula>LEN(K495)&gt;0</formula>
    </cfRule>
  </conditionalFormatting>
  <conditionalFormatting sqref="K496">
    <cfRule type="expression" priority="472" dxfId="0">
      <formula>LEN(K496)&gt;0</formula>
    </cfRule>
  </conditionalFormatting>
  <conditionalFormatting sqref="K497">
    <cfRule type="expression" priority="473" dxfId="0">
      <formula>LEN(K497)&gt;0</formula>
    </cfRule>
  </conditionalFormatting>
  <conditionalFormatting sqref="K498">
    <cfRule type="expression" priority="474" dxfId="0">
      <formula>LEN(K498)&gt;0</formula>
    </cfRule>
  </conditionalFormatting>
  <conditionalFormatting sqref="K500">
    <cfRule type="expression" priority="475" dxfId="0">
      <formula>LEN(K500)&gt;0</formula>
    </cfRule>
  </conditionalFormatting>
  <conditionalFormatting sqref="K501">
    <cfRule type="expression" priority="476" dxfId="0">
      <formula>LEN(K501)&gt;0</formula>
    </cfRule>
  </conditionalFormatting>
  <conditionalFormatting sqref="K502">
    <cfRule type="expression" priority="477" dxfId="0">
      <formula>LEN(K502)&gt;0</formula>
    </cfRule>
  </conditionalFormatting>
  <conditionalFormatting sqref="K503">
    <cfRule type="expression" priority="478" dxfId="0">
      <formula>LEN(K503)&gt;0</formula>
    </cfRule>
  </conditionalFormatting>
  <conditionalFormatting sqref="K504">
    <cfRule type="expression" priority="479" dxfId="0">
      <formula>LEN(K504)&gt;0</formula>
    </cfRule>
  </conditionalFormatting>
  <conditionalFormatting sqref="K505">
    <cfRule type="expression" priority="480" dxfId="0">
      <formula>LEN(K505)&gt;0</formula>
    </cfRule>
  </conditionalFormatting>
  <conditionalFormatting sqref="K506">
    <cfRule type="expression" priority="481" dxfId="0">
      <formula>LEN(K506)&gt;0</formula>
    </cfRule>
  </conditionalFormatting>
  <conditionalFormatting sqref="K507">
    <cfRule type="expression" priority="482" dxfId="0">
      <formula>LEN(K507)&gt;0</formula>
    </cfRule>
  </conditionalFormatting>
  <conditionalFormatting sqref="K508">
    <cfRule type="expression" priority="483" dxfId="0">
      <formula>LEN(K508)&gt;0</formula>
    </cfRule>
  </conditionalFormatting>
  <conditionalFormatting sqref="K509">
    <cfRule type="expression" priority="484" dxfId="0">
      <formula>LEN(K509)&gt;0</formula>
    </cfRule>
  </conditionalFormatting>
  <conditionalFormatting sqref="K510">
    <cfRule type="expression" priority="485" dxfId="0">
      <formula>LEN(K510)&gt;0</formula>
    </cfRule>
  </conditionalFormatting>
  <conditionalFormatting sqref="K511">
    <cfRule type="expression" priority="486" dxfId="0">
      <formula>LEN(K511)&gt;0</formula>
    </cfRule>
  </conditionalFormatting>
  <conditionalFormatting sqref="K512">
    <cfRule type="expression" priority="487" dxfId="0">
      <formula>LEN(K512)&gt;0</formula>
    </cfRule>
  </conditionalFormatting>
  <conditionalFormatting sqref="K514">
    <cfRule type="expression" priority="488" dxfId="0">
      <formula>LEN(K514)&gt;0</formula>
    </cfRule>
  </conditionalFormatting>
  <conditionalFormatting sqref="K515">
    <cfRule type="expression" priority="489" dxfId="0">
      <formula>LEN(K515)&gt;0</formula>
    </cfRule>
  </conditionalFormatting>
  <conditionalFormatting sqref="K516">
    <cfRule type="expression" priority="490" dxfId="0">
      <formula>LEN(K516)&gt;0</formula>
    </cfRule>
  </conditionalFormatting>
  <conditionalFormatting sqref="K517">
    <cfRule type="expression" priority="491" dxfId="0">
      <formula>LEN(K517)&gt;0</formula>
    </cfRule>
  </conditionalFormatting>
  <conditionalFormatting sqref="K518">
    <cfRule type="expression" priority="492" dxfId="0">
      <formula>LEN(K518)&gt;0</formula>
    </cfRule>
  </conditionalFormatting>
  <conditionalFormatting sqref="K519">
    <cfRule type="expression" priority="493" dxfId="0">
      <formula>LEN(K519)&gt;0</formula>
    </cfRule>
  </conditionalFormatting>
  <conditionalFormatting sqref="K520">
    <cfRule type="expression" priority="494" dxfId="0">
      <formula>LEN(K520)&gt;0</formula>
    </cfRule>
  </conditionalFormatting>
  <conditionalFormatting sqref="K521">
    <cfRule type="expression" priority="495" dxfId="0">
      <formula>LEN(K521)&gt;0</formula>
    </cfRule>
  </conditionalFormatting>
  <conditionalFormatting sqref="K522">
    <cfRule type="expression" priority="496" dxfId="0">
      <formula>LEN(K522)&gt;0</formula>
    </cfRule>
  </conditionalFormatting>
  <conditionalFormatting sqref="K523">
    <cfRule type="expression" priority="497" dxfId="0">
      <formula>LEN(K523)&gt;0</formula>
    </cfRule>
  </conditionalFormatting>
  <conditionalFormatting sqref="K524">
    <cfRule type="expression" priority="498" dxfId="0">
      <formula>LEN(K524)&gt;0</formula>
    </cfRule>
  </conditionalFormatting>
  <conditionalFormatting sqref="K525">
    <cfRule type="expression" priority="499" dxfId="0">
      <formula>LEN(K525)&gt;0</formula>
    </cfRule>
  </conditionalFormatting>
  <conditionalFormatting sqref="K526">
    <cfRule type="expression" priority="500" dxfId="0">
      <formula>LEN(K526)&gt;0</formula>
    </cfRule>
  </conditionalFormatting>
  <conditionalFormatting sqref="K528">
    <cfRule type="expression" priority="501" dxfId="0">
      <formula>LEN(K528)&gt;0</formula>
    </cfRule>
  </conditionalFormatting>
  <conditionalFormatting sqref="K529">
    <cfRule type="expression" priority="502" dxfId="0">
      <formula>LEN(K529)&gt;0</formula>
    </cfRule>
  </conditionalFormatting>
  <conditionalFormatting sqref="K530">
    <cfRule type="expression" priority="503" dxfId="0">
      <formula>LEN(K530)&gt;0</formula>
    </cfRule>
  </conditionalFormatting>
  <conditionalFormatting sqref="K531">
    <cfRule type="expression" priority="504" dxfId="0">
      <formula>LEN(K531)&gt;0</formula>
    </cfRule>
  </conditionalFormatting>
  <conditionalFormatting sqref="K532">
    <cfRule type="expression" priority="505" dxfId="0">
      <formula>LEN(K532)&gt;0</formula>
    </cfRule>
  </conditionalFormatting>
  <conditionalFormatting sqref="K533">
    <cfRule type="expression" priority="506" dxfId="0">
      <formula>LEN(K533)&gt;0</formula>
    </cfRule>
  </conditionalFormatting>
  <conditionalFormatting sqref="K534">
    <cfRule type="expression" priority="507" dxfId="0">
      <formula>LEN(K534)&gt;0</formula>
    </cfRule>
  </conditionalFormatting>
  <conditionalFormatting sqref="K535">
    <cfRule type="expression" priority="508" dxfId="0">
      <formula>LEN(K535)&gt;0</formula>
    </cfRule>
  </conditionalFormatting>
  <conditionalFormatting sqref="K536">
    <cfRule type="expression" priority="509" dxfId="0">
      <formula>LEN(K536)&gt;0</formula>
    </cfRule>
  </conditionalFormatting>
  <conditionalFormatting sqref="K537">
    <cfRule type="expression" priority="510" dxfId="0">
      <formula>LEN(K537)&gt;0</formula>
    </cfRule>
  </conditionalFormatting>
  <conditionalFormatting sqref="K538">
    <cfRule type="expression" priority="511" dxfId="0">
      <formula>LEN(K538)&gt;0</formula>
    </cfRule>
  </conditionalFormatting>
  <conditionalFormatting sqref="K539">
    <cfRule type="expression" priority="512" dxfId="0">
      <formula>LEN(K539)&gt;0</formula>
    </cfRule>
  </conditionalFormatting>
  <conditionalFormatting sqref="K540">
    <cfRule type="expression" priority="513" dxfId="0">
      <formula>LEN(K540)&gt;0</formula>
    </cfRule>
  </conditionalFormatting>
  <conditionalFormatting sqref="K542">
    <cfRule type="expression" priority="514" dxfId="0">
      <formula>LEN(K542)&gt;0</formula>
    </cfRule>
  </conditionalFormatting>
  <conditionalFormatting sqref="K543">
    <cfRule type="expression" priority="515" dxfId="0">
      <formula>LEN(K543)&gt;0</formula>
    </cfRule>
  </conditionalFormatting>
  <conditionalFormatting sqref="K544">
    <cfRule type="expression" priority="516" dxfId="0">
      <formula>LEN(K544)&gt;0</formula>
    </cfRule>
  </conditionalFormatting>
  <conditionalFormatting sqref="K545">
    <cfRule type="expression" priority="517" dxfId="0">
      <formula>LEN(K545)&gt;0</formula>
    </cfRule>
  </conditionalFormatting>
  <conditionalFormatting sqref="K546">
    <cfRule type="expression" priority="518" dxfId="0">
      <formula>LEN(K546)&gt;0</formula>
    </cfRule>
  </conditionalFormatting>
  <conditionalFormatting sqref="K547">
    <cfRule type="expression" priority="519" dxfId="0">
      <formula>LEN(K547)&gt;0</formula>
    </cfRule>
  </conditionalFormatting>
  <conditionalFormatting sqref="K548">
    <cfRule type="expression" priority="520" dxfId="0">
      <formula>LEN(K548)&gt;0</formula>
    </cfRule>
  </conditionalFormatting>
  <conditionalFormatting sqref="K549">
    <cfRule type="expression" priority="521" dxfId="0">
      <formula>LEN(K549)&gt;0</formula>
    </cfRule>
  </conditionalFormatting>
  <conditionalFormatting sqref="K550">
    <cfRule type="expression" priority="522" dxfId="0">
      <formula>LEN(K550)&gt;0</formula>
    </cfRule>
  </conditionalFormatting>
  <conditionalFormatting sqref="K551">
    <cfRule type="expression" priority="523" dxfId="0">
      <formula>LEN(K551)&gt;0</formula>
    </cfRule>
  </conditionalFormatting>
  <conditionalFormatting sqref="K552">
    <cfRule type="expression" priority="524" dxfId="0">
      <formula>LEN(K552)&gt;0</formula>
    </cfRule>
  </conditionalFormatting>
  <conditionalFormatting sqref="K553">
    <cfRule type="expression" priority="525" dxfId="0">
      <formula>LEN(K553)&gt;0</formula>
    </cfRule>
  </conditionalFormatting>
  <conditionalFormatting sqref="K554">
    <cfRule type="expression" priority="526" dxfId="0">
      <formula>LEN(K554)&gt;0</formula>
    </cfRule>
  </conditionalFormatting>
  <conditionalFormatting sqref="K556">
    <cfRule type="expression" priority="527" dxfId="0">
      <formula>LEN(K556)&gt;0</formula>
    </cfRule>
  </conditionalFormatting>
  <conditionalFormatting sqref="K557">
    <cfRule type="expression" priority="528" dxfId="0">
      <formula>LEN(K557)&gt;0</formula>
    </cfRule>
  </conditionalFormatting>
  <conditionalFormatting sqref="K558">
    <cfRule type="expression" priority="529" dxfId="0">
      <formula>LEN(K558)&gt;0</formula>
    </cfRule>
  </conditionalFormatting>
  <conditionalFormatting sqref="K559">
    <cfRule type="expression" priority="530" dxfId="0">
      <formula>LEN(K559)&gt;0</formula>
    </cfRule>
  </conditionalFormatting>
  <conditionalFormatting sqref="K560">
    <cfRule type="expression" priority="531" dxfId="0">
      <formula>LEN(K560)&gt;0</formula>
    </cfRule>
  </conditionalFormatting>
  <conditionalFormatting sqref="K561">
    <cfRule type="expression" priority="532" dxfId="0">
      <formula>LEN(K561)&gt;0</formula>
    </cfRule>
  </conditionalFormatting>
  <conditionalFormatting sqref="K562">
    <cfRule type="expression" priority="533" dxfId="0">
      <formula>LEN(K562)&gt;0</formula>
    </cfRule>
  </conditionalFormatting>
  <conditionalFormatting sqref="K563">
    <cfRule type="expression" priority="534" dxfId="0">
      <formula>LEN(K563)&gt;0</formula>
    </cfRule>
  </conditionalFormatting>
  <conditionalFormatting sqref="K564">
    <cfRule type="expression" priority="535" dxfId="0">
      <formula>LEN(K564)&gt;0</formula>
    </cfRule>
  </conditionalFormatting>
  <conditionalFormatting sqref="K565">
    <cfRule type="expression" priority="536" dxfId="0">
      <formula>LEN(K565)&gt;0</formula>
    </cfRule>
  </conditionalFormatting>
  <conditionalFormatting sqref="K566">
    <cfRule type="expression" priority="537" dxfId="0">
      <formula>LEN(K566)&gt;0</formula>
    </cfRule>
  </conditionalFormatting>
  <conditionalFormatting sqref="K567">
    <cfRule type="expression" priority="538" dxfId="0">
      <formula>LEN(K567)&gt;0</formula>
    </cfRule>
  </conditionalFormatting>
  <conditionalFormatting sqref="K568">
    <cfRule type="expression" priority="539" dxfId="0">
      <formula>LEN(K568)&gt;0</formula>
    </cfRule>
  </conditionalFormatting>
  <conditionalFormatting sqref="K570">
    <cfRule type="expression" priority="540" dxfId="0">
      <formula>LEN(K570)&gt;0</formula>
    </cfRule>
  </conditionalFormatting>
  <conditionalFormatting sqref="K571">
    <cfRule type="expression" priority="541" dxfId="0">
      <formula>LEN(K571)&gt;0</formula>
    </cfRule>
  </conditionalFormatting>
  <conditionalFormatting sqref="K572">
    <cfRule type="expression" priority="542" dxfId="0">
      <formula>LEN(K572)&gt;0</formula>
    </cfRule>
  </conditionalFormatting>
  <conditionalFormatting sqref="K573">
    <cfRule type="expression" priority="543" dxfId="0">
      <formula>LEN(K573)&gt;0</formula>
    </cfRule>
  </conditionalFormatting>
  <conditionalFormatting sqref="K574">
    <cfRule type="expression" priority="544" dxfId="0">
      <formula>LEN(K574)&gt;0</formula>
    </cfRule>
  </conditionalFormatting>
  <conditionalFormatting sqref="K575">
    <cfRule type="expression" priority="545" dxfId="0">
      <formula>LEN(K575)&gt;0</formula>
    </cfRule>
  </conditionalFormatting>
  <conditionalFormatting sqref="K576">
    <cfRule type="expression" priority="546" dxfId="0">
      <formula>LEN(K576)&gt;0</formula>
    </cfRule>
  </conditionalFormatting>
  <conditionalFormatting sqref="K577">
    <cfRule type="expression" priority="547" dxfId="0">
      <formula>LEN(K577)&gt;0</formula>
    </cfRule>
  </conditionalFormatting>
  <conditionalFormatting sqref="K578">
    <cfRule type="expression" priority="548" dxfId="0">
      <formula>LEN(K578)&gt;0</formula>
    </cfRule>
  </conditionalFormatting>
  <conditionalFormatting sqref="K587">
    <cfRule type="expression" priority="549" dxfId="0">
      <formula>LEN(K587)&gt;0</formula>
    </cfRule>
  </conditionalFormatting>
  <conditionalFormatting sqref="K588">
    <cfRule type="expression" priority="550" dxfId="0">
      <formula>LEN(K588)&gt;0</formula>
    </cfRule>
  </conditionalFormatting>
  <conditionalFormatting sqref="K589">
    <cfRule type="expression" priority="551" dxfId="0">
      <formula>LEN(K589)&gt;0</formula>
    </cfRule>
  </conditionalFormatting>
  <conditionalFormatting sqref="K590">
    <cfRule type="expression" priority="552" dxfId="0">
      <formula>LEN(K590)&gt;0</formula>
    </cfRule>
  </conditionalFormatting>
  <conditionalFormatting sqref="K591">
    <cfRule type="expression" priority="553" dxfId="0">
      <formula>LEN(K591)&gt;0</formula>
    </cfRule>
  </conditionalFormatting>
  <conditionalFormatting sqref="K592">
    <cfRule type="expression" priority="554" dxfId="0">
      <formula>LEN(K592)&gt;0</formula>
    </cfRule>
  </conditionalFormatting>
  <conditionalFormatting sqref="K593">
    <cfRule type="expression" priority="555" dxfId="0">
      <formula>LEN(K593)&gt;0</formula>
    </cfRule>
  </conditionalFormatting>
  <conditionalFormatting sqref="K594">
    <cfRule type="expression" priority="556" dxfId="0">
      <formula>LEN(K594)&gt;0</formula>
    </cfRule>
  </conditionalFormatting>
  <conditionalFormatting sqref="K595">
    <cfRule type="expression" priority="557" dxfId="0">
      <formula>LEN(K595)&gt;0</formula>
    </cfRule>
  </conditionalFormatting>
  <conditionalFormatting sqref="K596">
    <cfRule type="expression" priority="558" dxfId="0">
      <formula>LEN(K596)&gt;0</formula>
    </cfRule>
  </conditionalFormatting>
  <conditionalFormatting sqref="K597">
    <cfRule type="expression" priority="559" dxfId="0">
      <formula>LEN(K597)&gt;0</formula>
    </cfRule>
  </conditionalFormatting>
  <conditionalFormatting sqref="K598">
    <cfRule type="expression" priority="560" dxfId="0">
      <formula>LEN(K598)&gt;0</formula>
    </cfRule>
  </conditionalFormatting>
  <conditionalFormatting sqref="K599">
    <cfRule type="expression" priority="561" dxfId="0">
      <formula>LEN(K599)&gt;0</formula>
    </cfRule>
  </conditionalFormatting>
  <conditionalFormatting sqref="K601">
    <cfRule type="expression" priority="562" dxfId="0">
      <formula>LEN(K601)&gt;0</formula>
    </cfRule>
  </conditionalFormatting>
  <conditionalFormatting sqref="K602">
    <cfRule type="expression" priority="563" dxfId="0">
      <formula>LEN(K602)&gt;0</formula>
    </cfRule>
  </conditionalFormatting>
  <conditionalFormatting sqref="K603">
    <cfRule type="expression" priority="564" dxfId="0">
      <formula>LEN(K603)&gt;0</formula>
    </cfRule>
  </conditionalFormatting>
  <conditionalFormatting sqref="K604">
    <cfRule type="expression" priority="565" dxfId="0">
      <formula>LEN(K604)&gt;0</formula>
    </cfRule>
  </conditionalFormatting>
  <conditionalFormatting sqref="K605">
    <cfRule type="expression" priority="566" dxfId="0">
      <formula>LEN(K605)&gt;0</formula>
    </cfRule>
  </conditionalFormatting>
  <conditionalFormatting sqref="K606">
    <cfRule type="expression" priority="567" dxfId="0">
      <formula>LEN(K606)&gt;0</formula>
    </cfRule>
  </conditionalFormatting>
  <conditionalFormatting sqref="K607">
    <cfRule type="expression" priority="568" dxfId="0">
      <formula>LEN(K607)&gt;0</formula>
    </cfRule>
  </conditionalFormatting>
  <conditionalFormatting sqref="K608">
    <cfRule type="expression" priority="569" dxfId="0">
      <formula>LEN(K608)&gt;0</formula>
    </cfRule>
  </conditionalFormatting>
  <conditionalFormatting sqref="K609">
    <cfRule type="expression" priority="570" dxfId="0">
      <formula>LEN(K609)&gt;0</formula>
    </cfRule>
  </conditionalFormatting>
  <conditionalFormatting sqref="K610">
    <cfRule type="expression" priority="571" dxfId="0">
      <formula>LEN(K610)&gt;0</formula>
    </cfRule>
  </conditionalFormatting>
  <conditionalFormatting sqref="K611">
    <cfRule type="expression" priority="572" dxfId="0">
      <formula>LEN(K611)&gt;0</formula>
    </cfRule>
  </conditionalFormatting>
  <conditionalFormatting sqref="K612">
    <cfRule type="expression" priority="573" dxfId="0">
      <formula>LEN(K612)&gt;0</formula>
    </cfRule>
  </conditionalFormatting>
  <conditionalFormatting sqref="K613">
    <cfRule type="expression" priority="574" dxfId="0">
      <formula>LEN(K613)&gt;0</formula>
    </cfRule>
  </conditionalFormatting>
  <conditionalFormatting sqref="K615">
    <cfRule type="expression" priority="575" dxfId="0">
      <formula>LEN(K615)&gt;0</formula>
    </cfRule>
  </conditionalFormatting>
  <conditionalFormatting sqref="K616">
    <cfRule type="expression" priority="576" dxfId="0">
      <formula>LEN(K616)&gt;0</formula>
    </cfRule>
  </conditionalFormatting>
  <conditionalFormatting sqref="K617">
    <cfRule type="expression" priority="577" dxfId="0">
      <formula>LEN(K617)&gt;0</formula>
    </cfRule>
  </conditionalFormatting>
  <conditionalFormatting sqref="K618">
    <cfRule type="expression" priority="578" dxfId="0">
      <formula>LEN(K618)&gt;0</formula>
    </cfRule>
  </conditionalFormatting>
  <conditionalFormatting sqref="K619">
    <cfRule type="expression" priority="579" dxfId="0">
      <formula>LEN(K619)&gt;0</formula>
    </cfRule>
  </conditionalFormatting>
  <conditionalFormatting sqref="K620">
    <cfRule type="expression" priority="580" dxfId="0">
      <formula>LEN(K620)&gt;0</formula>
    </cfRule>
  </conditionalFormatting>
  <conditionalFormatting sqref="K621">
    <cfRule type="expression" priority="581" dxfId="0">
      <formula>LEN(K621)&gt;0</formula>
    </cfRule>
  </conditionalFormatting>
  <conditionalFormatting sqref="K622">
    <cfRule type="expression" priority="582" dxfId="0">
      <formula>LEN(K622)&gt;0</formula>
    </cfRule>
  </conditionalFormatting>
  <conditionalFormatting sqref="K623">
    <cfRule type="expression" priority="583" dxfId="0">
      <formula>LEN(K623)&gt;0</formula>
    </cfRule>
  </conditionalFormatting>
  <conditionalFormatting sqref="K624">
    <cfRule type="expression" priority="584" dxfId="0">
      <formula>LEN(K624)&gt;0</formula>
    </cfRule>
  </conditionalFormatting>
  <conditionalFormatting sqref="K625">
    <cfRule type="expression" priority="585" dxfId="0">
      <formula>LEN(K625)&gt;0</formula>
    </cfRule>
  </conditionalFormatting>
  <conditionalFormatting sqref="K626">
    <cfRule type="expression" priority="586" dxfId="0">
      <formula>LEN(K626)&gt;0</formula>
    </cfRule>
  </conditionalFormatting>
  <conditionalFormatting sqref="K627">
    <cfRule type="expression" priority="587" dxfId="0">
      <formula>LEN(K627)&gt;0</formula>
    </cfRule>
  </conditionalFormatting>
  <conditionalFormatting sqref="K629">
    <cfRule type="expression" priority="588" dxfId="0">
      <formula>LEN(K629)&gt;0</formula>
    </cfRule>
  </conditionalFormatting>
  <conditionalFormatting sqref="K630">
    <cfRule type="expression" priority="589" dxfId="0">
      <formula>LEN(K630)&gt;0</formula>
    </cfRule>
  </conditionalFormatting>
  <conditionalFormatting sqref="K631">
    <cfRule type="expression" priority="590" dxfId="0">
      <formula>LEN(K631)&gt;0</formula>
    </cfRule>
  </conditionalFormatting>
  <conditionalFormatting sqref="K632">
    <cfRule type="expression" priority="591" dxfId="0">
      <formula>LEN(K632)&gt;0</formula>
    </cfRule>
  </conditionalFormatting>
  <conditionalFormatting sqref="K633">
    <cfRule type="expression" priority="592" dxfId="0">
      <formula>LEN(K633)&gt;0</formula>
    </cfRule>
  </conditionalFormatting>
  <conditionalFormatting sqref="K634">
    <cfRule type="expression" priority="593" dxfId="0">
      <formula>LEN(K634)&gt;0</formula>
    </cfRule>
  </conditionalFormatting>
  <conditionalFormatting sqref="K635">
    <cfRule type="expression" priority="594" dxfId="0">
      <formula>LEN(K635)&gt;0</formula>
    </cfRule>
  </conditionalFormatting>
  <conditionalFormatting sqref="K636">
    <cfRule type="expression" priority="595" dxfId="0">
      <formula>LEN(K636)&gt;0</formula>
    </cfRule>
  </conditionalFormatting>
  <conditionalFormatting sqref="K637">
    <cfRule type="expression" priority="596" dxfId="0">
      <formula>LEN(K637)&gt;0</formula>
    </cfRule>
  </conditionalFormatting>
  <conditionalFormatting sqref="K638">
    <cfRule type="expression" priority="597" dxfId="0">
      <formula>LEN(K638)&gt;0</formula>
    </cfRule>
  </conditionalFormatting>
  <conditionalFormatting sqref="K639">
    <cfRule type="expression" priority="598" dxfId="0">
      <formula>LEN(K639)&gt;0</formula>
    </cfRule>
  </conditionalFormatting>
  <conditionalFormatting sqref="K640">
    <cfRule type="expression" priority="599" dxfId="0">
      <formula>LEN(K640)&gt;0</formula>
    </cfRule>
  </conditionalFormatting>
  <conditionalFormatting sqref="K641">
    <cfRule type="expression" priority="600" dxfId="0">
      <formula>LEN(K641)&gt;0</formula>
    </cfRule>
  </conditionalFormatting>
  <conditionalFormatting sqref="K643">
    <cfRule type="expression" priority="601" dxfId="0">
      <formula>LEN(K643)&gt;0</formula>
    </cfRule>
  </conditionalFormatting>
  <conditionalFormatting sqref="K644">
    <cfRule type="expression" priority="602" dxfId="0">
      <formula>LEN(K644)&gt;0</formula>
    </cfRule>
  </conditionalFormatting>
  <conditionalFormatting sqref="K645">
    <cfRule type="expression" priority="603" dxfId="0">
      <formula>LEN(K645)&gt;0</formula>
    </cfRule>
  </conditionalFormatting>
  <conditionalFormatting sqref="K646">
    <cfRule type="expression" priority="604" dxfId="0">
      <formula>LEN(K646)&gt;0</formula>
    </cfRule>
  </conditionalFormatting>
  <conditionalFormatting sqref="K647">
    <cfRule type="expression" priority="605" dxfId="0">
      <formula>LEN(K647)&gt;0</formula>
    </cfRule>
  </conditionalFormatting>
  <conditionalFormatting sqref="K648">
    <cfRule type="expression" priority="606" dxfId="0">
      <formula>LEN(K648)&gt;0</formula>
    </cfRule>
  </conditionalFormatting>
  <conditionalFormatting sqref="K649">
    <cfRule type="expression" priority="607" dxfId="0">
      <formula>LEN(K649)&gt;0</formula>
    </cfRule>
  </conditionalFormatting>
  <conditionalFormatting sqref="K650">
    <cfRule type="expression" priority="608" dxfId="0">
      <formula>LEN(K650)&gt;0</formula>
    </cfRule>
  </conditionalFormatting>
  <conditionalFormatting sqref="K651">
    <cfRule type="expression" priority="609" dxfId="0">
      <formula>LEN(K651)&gt;0</formula>
    </cfRule>
  </conditionalFormatting>
  <conditionalFormatting sqref="K652">
    <cfRule type="expression" priority="610" dxfId="0">
      <formula>LEN(K652)&gt;0</formula>
    </cfRule>
  </conditionalFormatting>
  <conditionalFormatting sqref="K653">
    <cfRule type="expression" priority="611" dxfId="0">
      <formula>LEN(K653)&gt;0</formula>
    </cfRule>
  </conditionalFormatting>
  <conditionalFormatting sqref="K654">
    <cfRule type="expression" priority="612" dxfId="0">
      <formula>LEN(K654)&gt;0</formula>
    </cfRule>
  </conditionalFormatting>
  <conditionalFormatting sqref="K655">
    <cfRule type="expression" priority="613" dxfId="0">
      <formula>LEN(K655)&gt;0</formula>
    </cfRule>
  </conditionalFormatting>
  <conditionalFormatting sqref="K657">
    <cfRule type="expression" priority="614" dxfId="0">
      <formula>LEN(K657)&gt;0</formula>
    </cfRule>
  </conditionalFormatting>
  <conditionalFormatting sqref="K658">
    <cfRule type="expression" priority="615" dxfId="0">
      <formula>LEN(K658)&gt;0</formula>
    </cfRule>
  </conditionalFormatting>
  <conditionalFormatting sqref="K659">
    <cfRule type="expression" priority="616" dxfId="0">
      <formula>LEN(K659)&gt;0</formula>
    </cfRule>
  </conditionalFormatting>
  <conditionalFormatting sqref="K660">
    <cfRule type="expression" priority="617" dxfId="0">
      <formula>LEN(K660)&gt;0</formula>
    </cfRule>
  </conditionalFormatting>
  <conditionalFormatting sqref="K661">
    <cfRule type="expression" priority="618" dxfId="0">
      <formula>LEN(K661)&gt;0</formula>
    </cfRule>
  </conditionalFormatting>
  <conditionalFormatting sqref="K662">
    <cfRule type="expression" priority="619" dxfId="0">
      <formula>LEN(K662)&gt;0</formula>
    </cfRule>
  </conditionalFormatting>
  <conditionalFormatting sqref="K663">
    <cfRule type="expression" priority="620" dxfId="0">
      <formula>LEN(K663)&gt;0</formula>
    </cfRule>
  </conditionalFormatting>
  <conditionalFormatting sqref="K664">
    <cfRule type="expression" priority="621" dxfId="0">
      <formula>LEN(K664)&gt;0</formula>
    </cfRule>
  </conditionalFormatting>
  <conditionalFormatting sqref="K665">
    <cfRule type="expression" priority="622" dxfId="0">
      <formula>LEN(K665)&gt;0</formula>
    </cfRule>
  </conditionalFormatting>
  <conditionalFormatting sqref="K666">
    <cfRule type="expression" priority="623" dxfId="0">
      <formula>LEN(K666)&gt;0</formula>
    </cfRule>
  </conditionalFormatting>
  <conditionalFormatting sqref="K667">
    <cfRule type="expression" priority="624" dxfId="0">
      <formula>LEN(K667)&gt;0</formula>
    </cfRule>
  </conditionalFormatting>
  <conditionalFormatting sqref="K668">
    <cfRule type="expression" priority="625" dxfId="0">
      <formula>LEN(K668)&gt;0</formula>
    </cfRule>
  </conditionalFormatting>
  <conditionalFormatting sqref="K669">
    <cfRule type="expression" priority="626" dxfId="0">
      <formula>LEN(K669)&gt;0</formula>
    </cfRule>
  </conditionalFormatting>
  <conditionalFormatting sqref="K671">
    <cfRule type="expression" priority="627" dxfId="0">
      <formula>LEN(K671)&gt;0</formula>
    </cfRule>
  </conditionalFormatting>
  <conditionalFormatting sqref="K672">
    <cfRule type="expression" priority="628" dxfId="0">
      <formula>LEN(K672)&gt;0</formula>
    </cfRule>
  </conditionalFormatting>
  <conditionalFormatting sqref="K673">
    <cfRule type="expression" priority="629" dxfId="0">
      <formula>LEN(K673)&gt;0</formula>
    </cfRule>
  </conditionalFormatting>
  <conditionalFormatting sqref="K674">
    <cfRule type="expression" priority="630" dxfId="0">
      <formula>LEN(K674)&gt;0</formula>
    </cfRule>
  </conditionalFormatting>
  <conditionalFormatting sqref="K675">
    <cfRule type="expression" priority="631" dxfId="0">
      <formula>LEN(K675)&gt;0</formula>
    </cfRule>
  </conditionalFormatting>
  <conditionalFormatting sqref="K676">
    <cfRule type="expression" priority="632" dxfId="0">
      <formula>LEN(K676)&gt;0</formula>
    </cfRule>
  </conditionalFormatting>
  <conditionalFormatting sqref="K677">
    <cfRule type="expression" priority="633" dxfId="0">
      <formula>LEN(K677)&gt;0</formula>
    </cfRule>
  </conditionalFormatting>
  <conditionalFormatting sqref="K678">
    <cfRule type="expression" priority="634" dxfId="0">
      <formula>LEN(K678)&gt;0</formula>
    </cfRule>
  </conditionalFormatting>
  <conditionalFormatting sqref="K679">
    <cfRule type="expression" priority="635" dxfId="0">
      <formula>LEN(K679)&gt;0</formula>
    </cfRule>
  </conditionalFormatting>
  <conditionalFormatting sqref="K680">
    <cfRule type="expression" priority="636" dxfId="0">
      <formula>LEN(K680)&gt;0</formula>
    </cfRule>
  </conditionalFormatting>
  <conditionalFormatting sqref="K681">
    <cfRule type="expression" priority="637" dxfId="0">
      <formula>LEN(K681)&gt;0</formula>
    </cfRule>
  </conditionalFormatting>
  <conditionalFormatting sqref="K682">
    <cfRule type="expression" priority="638" dxfId="0">
      <formula>LEN(K682)&gt;0</formula>
    </cfRule>
  </conditionalFormatting>
  <conditionalFormatting sqref="K683">
    <cfRule type="expression" priority="639" dxfId="0">
      <formula>LEN(K683)&gt;0</formula>
    </cfRule>
  </conditionalFormatting>
  <conditionalFormatting sqref="K685">
    <cfRule type="expression" priority="640" dxfId="0">
      <formula>LEN(K685)&gt;0</formula>
    </cfRule>
  </conditionalFormatting>
  <conditionalFormatting sqref="K686">
    <cfRule type="expression" priority="641" dxfId="0">
      <formula>LEN(K686)&gt;0</formula>
    </cfRule>
  </conditionalFormatting>
  <conditionalFormatting sqref="K687">
    <cfRule type="expression" priority="642" dxfId="0">
      <formula>LEN(K687)&gt;0</formula>
    </cfRule>
  </conditionalFormatting>
  <conditionalFormatting sqref="K688">
    <cfRule type="expression" priority="643" dxfId="0">
      <formula>LEN(K688)&gt;0</formula>
    </cfRule>
  </conditionalFormatting>
  <conditionalFormatting sqref="K689">
    <cfRule type="expression" priority="644" dxfId="0">
      <formula>LEN(K689)&gt;0</formula>
    </cfRule>
  </conditionalFormatting>
  <conditionalFormatting sqref="K690">
    <cfRule type="expression" priority="645" dxfId="0">
      <formula>LEN(K690)&gt;0</formula>
    </cfRule>
  </conditionalFormatting>
  <conditionalFormatting sqref="K691">
    <cfRule type="expression" priority="646" dxfId="0">
      <formula>LEN(K691)&gt;0</formula>
    </cfRule>
  </conditionalFormatting>
  <conditionalFormatting sqref="K692">
    <cfRule type="expression" priority="647" dxfId="0">
      <formula>LEN(K692)&gt;0</formula>
    </cfRule>
  </conditionalFormatting>
  <conditionalFormatting sqref="K693">
    <cfRule type="expression" priority="648" dxfId="0">
      <formula>LEN(K693)&gt;0</formula>
    </cfRule>
  </conditionalFormatting>
  <conditionalFormatting sqref="K702">
    <cfRule type="expression" priority="649" dxfId="0">
      <formula>LEN(K702)&gt;0</formula>
    </cfRule>
  </conditionalFormatting>
  <conditionalFormatting sqref="K703">
    <cfRule type="expression" priority="650" dxfId="0">
      <formula>LEN(K703)&gt;0</formula>
    </cfRule>
  </conditionalFormatting>
  <conditionalFormatting sqref="K704">
    <cfRule type="expression" priority="651" dxfId="0">
      <formula>LEN(K704)&gt;0</formula>
    </cfRule>
  </conditionalFormatting>
  <conditionalFormatting sqref="K705">
    <cfRule type="expression" priority="652" dxfId="0">
      <formula>LEN(K705)&gt;0</formula>
    </cfRule>
  </conditionalFormatting>
  <conditionalFormatting sqref="K706">
    <cfRule type="expression" priority="653" dxfId="0">
      <formula>LEN(K706)&gt;0</formula>
    </cfRule>
  </conditionalFormatting>
  <conditionalFormatting sqref="K707">
    <cfRule type="expression" priority="654" dxfId="0">
      <formula>LEN(K707)&gt;0</formula>
    </cfRule>
  </conditionalFormatting>
  <conditionalFormatting sqref="K708">
    <cfRule type="expression" priority="655" dxfId="0">
      <formula>LEN(K708)&gt;0</formula>
    </cfRule>
  </conditionalFormatting>
  <conditionalFormatting sqref="K709">
    <cfRule type="expression" priority="656" dxfId="0">
      <formula>LEN(K709)&gt;0</formula>
    </cfRule>
  </conditionalFormatting>
  <conditionalFormatting sqref="K710">
    <cfRule type="expression" priority="657" dxfId="0">
      <formula>LEN(K710)&gt;0</formula>
    </cfRule>
  </conditionalFormatting>
  <conditionalFormatting sqref="K711">
    <cfRule type="expression" priority="658" dxfId="0">
      <formula>LEN(K711)&gt;0</formula>
    </cfRule>
  </conditionalFormatting>
  <conditionalFormatting sqref="K712">
    <cfRule type="expression" priority="659" dxfId="0">
      <formula>LEN(K712)&gt;0</formula>
    </cfRule>
  </conditionalFormatting>
  <conditionalFormatting sqref="K713">
    <cfRule type="expression" priority="660" dxfId="0">
      <formula>LEN(K713)&gt;0</formula>
    </cfRule>
  </conditionalFormatting>
  <conditionalFormatting sqref="K714">
    <cfRule type="expression" priority="661" dxfId="0">
      <formula>LEN(K714)&gt;0</formula>
    </cfRule>
  </conditionalFormatting>
  <conditionalFormatting sqref="K716">
    <cfRule type="expression" priority="662" dxfId="0">
      <formula>LEN(K716)&gt;0</formula>
    </cfRule>
  </conditionalFormatting>
  <conditionalFormatting sqref="K717">
    <cfRule type="expression" priority="663" dxfId="0">
      <formula>LEN(K717)&gt;0</formula>
    </cfRule>
  </conditionalFormatting>
  <conditionalFormatting sqref="K718">
    <cfRule type="expression" priority="664" dxfId="0">
      <formula>LEN(K718)&gt;0</formula>
    </cfRule>
  </conditionalFormatting>
  <conditionalFormatting sqref="K719">
    <cfRule type="expression" priority="665" dxfId="0">
      <formula>LEN(K719)&gt;0</formula>
    </cfRule>
  </conditionalFormatting>
  <conditionalFormatting sqref="K720">
    <cfRule type="expression" priority="666" dxfId="0">
      <formula>LEN(K720)&gt;0</formula>
    </cfRule>
  </conditionalFormatting>
  <conditionalFormatting sqref="K721">
    <cfRule type="expression" priority="667" dxfId="0">
      <formula>LEN(K721)&gt;0</formula>
    </cfRule>
  </conditionalFormatting>
  <conditionalFormatting sqref="K722">
    <cfRule type="expression" priority="668" dxfId="0">
      <formula>LEN(K722)&gt;0</formula>
    </cfRule>
  </conditionalFormatting>
  <conditionalFormatting sqref="K723">
    <cfRule type="expression" priority="669" dxfId="0">
      <formula>LEN(K723)&gt;0</formula>
    </cfRule>
  </conditionalFormatting>
  <conditionalFormatting sqref="K724">
    <cfRule type="expression" priority="670" dxfId="0">
      <formula>LEN(K724)&gt;0</formula>
    </cfRule>
  </conditionalFormatting>
  <conditionalFormatting sqref="K725">
    <cfRule type="expression" priority="671" dxfId="0">
      <formula>LEN(K725)&gt;0</formula>
    </cfRule>
  </conditionalFormatting>
  <conditionalFormatting sqref="K726">
    <cfRule type="expression" priority="672" dxfId="0">
      <formula>LEN(K726)&gt;0</formula>
    </cfRule>
  </conditionalFormatting>
  <conditionalFormatting sqref="K727">
    <cfRule type="expression" priority="673" dxfId="0">
      <formula>LEN(K727)&gt;0</formula>
    </cfRule>
  </conditionalFormatting>
  <conditionalFormatting sqref="K728">
    <cfRule type="expression" priority="674" dxfId="0">
      <formula>LEN(K728)&gt;0</formula>
    </cfRule>
  </conditionalFormatting>
  <conditionalFormatting sqref="K730">
    <cfRule type="expression" priority="675" dxfId="0">
      <formula>LEN(K730)&gt;0</formula>
    </cfRule>
  </conditionalFormatting>
  <conditionalFormatting sqref="K731">
    <cfRule type="expression" priority="676" dxfId="0">
      <formula>LEN(K731)&gt;0</formula>
    </cfRule>
  </conditionalFormatting>
  <conditionalFormatting sqref="K732">
    <cfRule type="expression" priority="677" dxfId="0">
      <formula>LEN(K732)&gt;0</formula>
    </cfRule>
  </conditionalFormatting>
  <conditionalFormatting sqref="K733">
    <cfRule type="expression" priority="678" dxfId="0">
      <formula>LEN(K733)&gt;0</formula>
    </cfRule>
  </conditionalFormatting>
  <conditionalFormatting sqref="K734">
    <cfRule type="expression" priority="679" dxfId="0">
      <formula>LEN(K734)&gt;0</formula>
    </cfRule>
  </conditionalFormatting>
  <conditionalFormatting sqref="K735">
    <cfRule type="expression" priority="680" dxfId="0">
      <formula>LEN(K735)&gt;0</formula>
    </cfRule>
  </conditionalFormatting>
  <conditionalFormatting sqref="K736">
    <cfRule type="expression" priority="681" dxfId="0">
      <formula>LEN(K736)&gt;0</formula>
    </cfRule>
  </conditionalFormatting>
  <conditionalFormatting sqref="K737">
    <cfRule type="expression" priority="682" dxfId="0">
      <formula>LEN(K737)&gt;0</formula>
    </cfRule>
  </conditionalFormatting>
  <conditionalFormatting sqref="K738">
    <cfRule type="expression" priority="683" dxfId="0">
      <formula>LEN(K738)&gt;0</formula>
    </cfRule>
  </conditionalFormatting>
  <conditionalFormatting sqref="K739">
    <cfRule type="expression" priority="684" dxfId="0">
      <formula>LEN(K739)&gt;0</formula>
    </cfRule>
  </conditionalFormatting>
  <conditionalFormatting sqref="K740">
    <cfRule type="expression" priority="685" dxfId="0">
      <formula>LEN(K740)&gt;0</formula>
    </cfRule>
  </conditionalFormatting>
  <conditionalFormatting sqref="K741">
    <cfRule type="expression" priority="686" dxfId="0">
      <formula>LEN(K741)&gt;0</formula>
    </cfRule>
  </conditionalFormatting>
  <conditionalFormatting sqref="K742">
    <cfRule type="expression" priority="687" dxfId="0">
      <formula>LEN(K742)&gt;0</formula>
    </cfRule>
  </conditionalFormatting>
  <conditionalFormatting sqref="K744">
    <cfRule type="expression" priority="688" dxfId="0">
      <formula>LEN(K744)&gt;0</formula>
    </cfRule>
  </conditionalFormatting>
  <conditionalFormatting sqref="K745">
    <cfRule type="expression" priority="689" dxfId="0">
      <formula>LEN(K745)&gt;0</formula>
    </cfRule>
  </conditionalFormatting>
  <conditionalFormatting sqref="K746">
    <cfRule type="expression" priority="690" dxfId="0">
      <formula>LEN(K746)&gt;0</formula>
    </cfRule>
  </conditionalFormatting>
  <conditionalFormatting sqref="K747">
    <cfRule type="expression" priority="691" dxfId="0">
      <formula>LEN(K747)&gt;0</formula>
    </cfRule>
  </conditionalFormatting>
  <conditionalFormatting sqref="K748">
    <cfRule type="expression" priority="692" dxfId="0">
      <formula>LEN(K748)&gt;0</formula>
    </cfRule>
  </conditionalFormatting>
  <conditionalFormatting sqref="K749">
    <cfRule type="expression" priority="693" dxfId="0">
      <formula>LEN(K749)&gt;0</formula>
    </cfRule>
  </conditionalFormatting>
  <conditionalFormatting sqref="K750">
    <cfRule type="expression" priority="694" dxfId="0">
      <formula>LEN(K750)&gt;0</formula>
    </cfRule>
  </conditionalFormatting>
  <conditionalFormatting sqref="K751">
    <cfRule type="expression" priority="695" dxfId="0">
      <formula>LEN(K751)&gt;0</formula>
    </cfRule>
  </conditionalFormatting>
  <conditionalFormatting sqref="K752">
    <cfRule type="expression" priority="696" dxfId="0">
      <formula>LEN(K752)&gt;0</formula>
    </cfRule>
  </conditionalFormatting>
  <conditionalFormatting sqref="K753">
    <cfRule type="expression" priority="697" dxfId="0">
      <formula>LEN(K753)&gt;0</formula>
    </cfRule>
  </conditionalFormatting>
  <conditionalFormatting sqref="K754">
    <cfRule type="expression" priority="698" dxfId="0">
      <formula>LEN(K754)&gt;0</formula>
    </cfRule>
  </conditionalFormatting>
  <conditionalFormatting sqref="K755">
    <cfRule type="expression" priority="699" dxfId="0">
      <formula>LEN(K755)&gt;0</formula>
    </cfRule>
  </conditionalFormatting>
  <conditionalFormatting sqref="K756">
    <cfRule type="expression" priority="700" dxfId="0">
      <formula>LEN(K756)&gt;0</formula>
    </cfRule>
  </conditionalFormatting>
  <conditionalFormatting sqref="K758">
    <cfRule type="expression" priority="701" dxfId="0">
      <formula>LEN(K758)&gt;0</formula>
    </cfRule>
  </conditionalFormatting>
  <conditionalFormatting sqref="K759">
    <cfRule type="expression" priority="702" dxfId="0">
      <formula>LEN(K759)&gt;0</formula>
    </cfRule>
  </conditionalFormatting>
  <conditionalFormatting sqref="K760">
    <cfRule type="expression" priority="703" dxfId="0">
      <formula>LEN(K760)&gt;0</formula>
    </cfRule>
  </conditionalFormatting>
  <conditionalFormatting sqref="K761">
    <cfRule type="expression" priority="704" dxfId="0">
      <formula>LEN(K761)&gt;0</formula>
    </cfRule>
  </conditionalFormatting>
  <conditionalFormatting sqref="K762">
    <cfRule type="expression" priority="705" dxfId="0">
      <formula>LEN(K762)&gt;0</formula>
    </cfRule>
  </conditionalFormatting>
  <conditionalFormatting sqref="K763">
    <cfRule type="expression" priority="706" dxfId="0">
      <formula>LEN(K763)&gt;0</formula>
    </cfRule>
  </conditionalFormatting>
  <conditionalFormatting sqref="K764">
    <cfRule type="expression" priority="707" dxfId="0">
      <formula>LEN(K764)&gt;0</formula>
    </cfRule>
  </conditionalFormatting>
  <conditionalFormatting sqref="K765">
    <cfRule type="expression" priority="708" dxfId="0">
      <formula>LEN(K765)&gt;0</formula>
    </cfRule>
  </conditionalFormatting>
  <conditionalFormatting sqref="K766">
    <cfRule type="expression" priority="709" dxfId="0">
      <formula>LEN(K766)&gt;0</formula>
    </cfRule>
  </conditionalFormatting>
  <conditionalFormatting sqref="K767">
    <cfRule type="expression" priority="710" dxfId="0">
      <formula>LEN(K767)&gt;0</formula>
    </cfRule>
  </conditionalFormatting>
  <conditionalFormatting sqref="K768">
    <cfRule type="expression" priority="711" dxfId="0">
      <formula>LEN(K768)&gt;0</formula>
    </cfRule>
  </conditionalFormatting>
  <conditionalFormatting sqref="K769">
    <cfRule type="expression" priority="712" dxfId="0">
      <formula>LEN(K769)&gt;0</formula>
    </cfRule>
  </conditionalFormatting>
  <conditionalFormatting sqref="K770">
    <cfRule type="expression" priority="713" dxfId="0">
      <formula>LEN(K770)&gt;0</formula>
    </cfRule>
  </conditionalFormatting>
  <conditionalFormatting sqref="K772">
    <cfRule type="expression" priority="714" dxfId="0">
      <formula>LEN(K772)&gt;0</formula>
    </cfRule>
  </conditionalFormatting>
  <conditionalFormatting sqref="K773">
    <cfRule type="expression" priority="715" dxfId="0">
      <formula>LEN(K773)&gt;0</formula>
    </cfRule>
  </conditionalFormatting>
  <conditionalFormatting sqref="K774">
    <cfRule type="expression" priority="716" dxfId="0">
      <formula>LEN(K774)&gt;0</formula>
    </cfRule>
  </conditionalFormatting>
  <conditionalFormatting sqref="K775">
    <cfRule type="expression" priority="717" dxfId="0">
      <formula>LEN(K775)&gt;0</formula>
    </cfRule>
  </conditionalFormatting>
  <conditionalFormatting sqref="K776">
    <cfRule type="expression" priority="718" dxfId="0">
      <formula>LEN(K776)&gt;0</formula>
    </cfRule>
  </conditionalFormatting>
  <conditionalFormatting sqref="K777">
    <cfRule type="expression" priority="719" dxfId="0">
      <formula>LEN(K777)&gt;0</formula>
    </cfRule>
  </conditionalFormatting>
  <conditionalFormatting sqref="K778">
    <cfRule type="expression" priority="720" dxfId="0">
      <formula>LEN(K778)&gt;0</formula>
    </cfRule>
  </conditionalFormatting>
  <conditionalFormatting sqref="K779">
    <cfRule type="expression" priority="721" dxfId="0">
      <formula>LEN(K779)&gt;0</formula>
    </cfRule>
  </conditionalFormatting>
  <conditionalFormatting sqref="K780">
    <cfRule type="expression" priority="722" dxfId="0">
      <formula>LEN(K780)&gt;0</formula>
    </cfRule>
  </conditionalFormatting>
  <conditionalFormatting sqref="K781">
    <cfRule type="expression" priority="723" dxfId="0">
      <formula>LEN(K781)&gt;0</formula>
    </cfRule>
  </conditionalFormatting>
  <conditionalFormatting sqref="K782">
    <cfRule type="expression" priority="724" dxfId="0">
      <formula>LEN(K782)&gt;0</formula>
    </cfRule>
  </conditionalFormatting>
  <conditionalFormatting sqref="K783">
    <cfRule type="expression" priority="725" dxfId="0">
      <formula>LEN(K783)&gt;0</formula>
    </cfRule>
  </conditionalFormatting>
  <conditionalFormatting sqref="K784">
    <cfRule type="expression" priority="726" dxfId="0">
      <formula>LEN(K784)&gt;0</formula>
    </cfRule>
  </conditionalFormatting>
  <conditionalFormatting sqref="K786">
    <cfRule type="expression" priority="727" dxfId="0">
      <formula>LEN(K786)&gt;0</formula>
    </cfRule>
  </conditionalFormatting>
  <conditionalFormatting sqref="K787">
    <cfRule type="expression" priority="728" dxfId="0">
      <formula>LEN(K787)&gt;0</formula>
    </cfRule>
  </conditionalFormatting>
  <conditionalFormatting sqref="K788">
    <cfRule type="expression" priority="729" dxfId="0">
      <formula>LEN(K788)&gt;0</formula>
    </cfRule>
  </conditionalFormatting>
  <conditionalFormatting sqref="K789">
    <cfRule type="expression" priority="730" dxfId="0">
      <formula>LEN(K789)&gt;0</formula>
    </cfRule>
  </conditionalFormatting>
  <conditionalFormatting sqref="K790">
    <cfRule type="expression" priority="731" dxfId="0">
      <formula>LEN(K790)&gt;0</formula>
    </cfRule>
  </conditionalFormatting>
  <conditionalFormatting sqref="K791">
    <cfRule type="expression" priority="732" dxfId="0">
      <formula>LEN(K791)&gt;0</formula>
    </cfRule>
  </conditionalFormatting>
  <conditionalFormatting sqref="K792">
    <cfRule type="expression" priority="733" dxfId="0">
      <formula>LEN(K792)&gt;0</formula>
    </cfRule>
  </conditionalFormatting>
  <conditionalFormatting sqref="K793">
    <cfRule type="expression" priority="734" dxfId="0">
      <formula>LEN(K793)&gt;0</formula>
    </cfRule>
  </conditionalFormatting>
  <conditionalFormatting sqref="K794">
    <cfRule type="expression" priority="735" dxfId="0">
      <formula>LEN(K794)&gt;0</formula>
    </cfRule>
  </conditionalFormatting>
  <conditionalFormatting sqref="K795">
    <cfRule type="expression" priority="736" dxfId="0">
      <formula>LEN(K795)&gt;0</formula>
    </cfRule>
  </conditionalFormatting>
  <conditionalFormatting sqref="K796">
    <cfRule type="expression" priority="737" dxfId="0">
      <formula>LEN(K796)&gt;0</formula>
    </cfRule>
  </conditionalFormatting>
  <conditionalFormatting sqref="K797">
    <cfRule type="expression" priority="738" dxfId="0">
      <formula>LEN(K797)&gt;0</formula>
    </cfRule>
  </conditionalFormatting>
  <conditionalFormatting sqref="K798">
    <cfRule type="expression" priority="739" dxfId="0">
      <formula>LEN(K798)&gt;0</formula>
    </cfRule>
  </conditionalFormatting>
  <conditionalFormatting sqref="K800">
    <cfRule type="expression" priority="740" dxfId="0">
      <formula>LEN(K800)&gt;0</formula>
    </cfRule>
  </conditionalFormatting>
  <conditionalFormatting sqref="K801">
    <cfRule type="expression" priority="741" dxfId="0">
      <formula>LEN(K801)&gt;0</formula>
    </cfRule>
  </conditionalFormatting>
  <conditionalFormatting sqref="K802">
    <cfRule type="expression" priority="742" dxfId="0">
      <formula>LEN(K802)&gt;0</formula>
    </cfRule>
  </conditionalFormatting>
  <conditionalFormatting sqref="K803">
    <cfRule type="expression" priority="743" dxfId="0">
      <formula>LEN(K803)&gt;0</formula>
    </cfRule>
  </conditionalFormatting>
  <conditionalFormatting sqref="K804">
    <cfRule type="expression" priority="744" dxfId="0">
      <formula>LEN(K804)&gt;0</formula>
    </cfRule>
  </conditionalFormatting>
  <conditionalFormatting sqref="K805">
    <cfRule type="expression" priority="745" dxfId="0">
      <formula>LEN(K805)&gt;0</formula>
    </cfRule>
  </conditionalFormatting>
  <conditionalFormatting sqref="K806">
    <cfRule type="expression" priority="746" dxfId="0">
      <formula>LEN(K806)&gt;0</formula>
    </cfRule>
  </conditionalFormatting>
  <conditionalFormatting sqref="K807">
    <cfRule type="expression" priority="747" dxfId="0">
      <formula>LEN(K807)&gt;0</formula>
    </cfRule>
  </conditionalFormatting>
  <conditionalFormatting sqref="K808">
    <cfRule type="expression" priority="748" dxfId="0">
      <formula>LEN(K808)&gt;0</formula>
    </cfRule>
  </conditionalFormatting>
  <dataValidations count="51">
    <dataValidation sqref="B12 B13 B14 B15 B16 B17 B18 B19 B20 B21 B22 B23 B24 B26 B27 B28 B29 B30 B31 B32 B33 B34 B35 B36 B37 B38 B40 B41 B42 B43 B44 B45 B46 B47 B48 B49 B50 B51 B52 B54 B55 B56 B57 B58 B59 B60 B61 B62 B63 B64 B65 B66 B68 B69 B70 B71 B72 B73 B74 B75 B76 B77 B78 B79 B80 B82 B83 B84 B85 B86 B87 B88 B89 B90 B91 B92 B93 B94 B96 B97 B98 B99 B100 B101 B102 B103 B104 B105 B106 B107 B108 B110 B111 B112 B113 B114 B115 B116 B117 B118" showDropDown="0" showInputMessage="0" showErrorMessage="1" allowBlank="1" errorTitle="Texto longo" error="Facções: até 200 caracteres (o sorteio usa o texto mesmo assim)." type="textLength" errorStyle="warning" operator="lessThanOrEqual">
      <formula1>200</formula1>
    </dataValidation>
    <dataValidation sqref="C12 C13 C14 C15 C16 C17 C18 C19 C20 C21 C22 C23 C24 C26 C27 C28 C29 C30 C31 C32 C33 C34 C35 C36 C37 C38 C40 C41 C42 C43 C44 C45 C46 C47 C48 C49 C50 C51 C52 C54 C55 C56 C57 C58 C59 C60 C61 C62 C63 C64 C65 C66 C68 C69 C70 C71 C72 C73 C74 C75 C76 C77 C78 C79 C80 C82 C83 C84 C85 C86 C87 C88 C89 C90 C91 C92 C93 C94 C96 C97 C98 C99 C100 C101 C102 C103 C104 C105 C106 C107 C108 C110 C111 C112 C113 C114 C115 C116 C117 C118" showDropDown="0" showInputMessage="0" showErrorMessage="1" allowBlank="1" errorTitle="Texto longo" error="Locais: até 200 caracteres (o sorteio usa o texto mesmo assim)." type="textLength" errorStyle="warning" operator="lessThanOrEqual">
      <formula1>200</formula1>
    </dataValidation>
    <dataValidation sqref="D12 D13 D14 D15 D16 D17 D18 D19 D20 D21 D22 D23 D24 D26 D27 D28 D29 D30 D31 D32 D33 D34 D35 D36 D37 D38 D40 D41 D42 D43 D44 D45 D46 D47 D48 D49 D50 D51 D52 D54 D55 D56 D57 D58 D59 D60 D61 D62 D63 D64 D65 D66 D68 D69 D70 D71 D72 D73 D74 D75 D76 D77 D78 D79 D80 D82 D83 D84 D85 D86 D87 D88 D89 D90 D91 D92 D93 D94 D96 D97 D98 D99 D100 D101 D102 D103 D104 D105 D106 D107 D108 D110 D111 D112 D113 D114 D115 D116 D117 D118" showDropDown="0" showInputMessage="0" showErrorMessage="1" allowBlank="1" errorTitle="Texto longo" error="Ganchos 1-4: até 200 caracteres (o sorteio usa o texto mesmo assim)." type="textLength" errorStyle="warning" operator="lessThanOrEqual">
      <formula1>200</formula1>
    </dataValidation>
    <dataValidation sqref="E12 E13 E14 E15 E16 E17 E18 E19 E20 E21 E22 E23 E24 E26 E27 E28 E29 E30 E31 E32 E33 E34 E35 E36 E37 E38 E40 E41 E42 E43 E44 E45 E46 E47 E48 E49 E50 E51 E52 E54 E55 E56 E57 E58 E59 E60 E61 E62 E63 E64 E65 E66 E68 E69 E70 E71 E72 E73 E74 E75 E76 E77 E78 E79 E80 E82 E83 E84 E85 E86 E87 E88 E89 E90 E91 E92 E93 E94 E96 E97 E98 E99 E100 E101 E102 E103 E104 E105 E106 E107 E108 E110 E111 E112 E113 E114 E115 E116 E117 E118" showDropDown="0" showInputMessage="0" showErrorMessage="1" allowBlank="1" errorTitle="Texto longo" error="Ganchos 5-8: até 200 caracteres (o sorteio usa o texto mesmo assim)." type="textLength" errorStyle="warning" operator="lessThanOrEqual">
      <formula1>200</formula1>
    </dataValidation>
    <dataValidation sqref="F12 F13 F14 F15 F16 F17 F18 F19 F20 F21 F22 F23 F24 F26 F27 F28 F29 F30 F31 F32 F33 F34 F35 F36 F37 F38 F40 F41 F42 F43 F44 F45 F46 F47 F48 F49 F50 F51 F52 F54 F55 F56 F57 F58 F59 F60 F61 F62 F63 F64 F65 F66 F68 F69 F70 F71 F72 F73 F74 F75 F76 F77 F78 F79 F80 F82 F83 F84 F85 F86 F87 F88 F89 F90 F91 F92 F93 F94 F96 F97 F98 F99 F100 F101 F102 F103 F104 F105 F106 F107 F108 F110 F111 F112 F113 F114 F115 F116 F117 F118" showDropDown="0" showInputMessage="0" showErrorMessage="1" allowBlank="1" errorTitle="Texto longo" error="Ganchos 9-12: até 200 caracteres (o sorteio usa o texto mesmo assim)." type="textLength" errorStyle="warning" operator="lessThanOrEqual">
      <formula1>200</formula1>
    </dataValidation>
    <dataValidation sqref="G12 G13 G14 G15 G16 G17 G18 G19 G20 G21 G22 G23 G24 G26 G27 G28 G29 G30 G31 G32 G33 G34 G35 G36 G37 G38 G40 G41 G42 G43 G44 G45 G46 G47 G48 G49 G50 G51 G52 G54 G55 G56 G57 G58 G59 G60 G61 G62 G63 G64 G65 G66 G68 G69 G70 G71 G72 G73 G74 G75 G76 G77 G78 G79 G80 G82 G83 G84 G85 G86 G87 G88 G89 G90 G91 G92 G93 G94 G96 G97 G98 G99 G100 G101 G102 G103 G104 G105 G106 G107 G108 G110 G111 G112 G113 G114 G115 G116 G117 G118" showDropDown="0" showInputMessage="0" showErrorMessage="1" allowBlank="1" errorTitle="Texto longo" error="Ganchos 13-16: até 200 caracteres (o sorteio usa o texto mesmo assim)." type="textLength" errorStyle="warning" operator="lessThanOrEqual">
      <formula1>200</formula1>
    </dataValidation>
    <dataValidation sqref="H12 H13 H14 H15 H16 H17 H18 H19 H20 H21 H22 H23 H24 H26 H27 H28 H29 H30 H31 H32 H33 H34 H35 H36 H37 H38 H40 H41 H42 H43 H44 H45 H46 H47 H48 H49 H50 H51 H52 H54 H55 H56 H57 H58 H59 H60 H61 H62 H63 H64 H65 H66 H68 H69 H70 H71 H72 H73 H74 H75 H76 H77 H78 H79 H80 H82 H83 H84 H85 H86 H87 H88 H89 H90 H91 H92 H93 H94 H96 H97 H98 H99 H100 H101 H102 H103 H104 H105 H106 H107 H108 H110 H111 H112 H113 H114 H115 H116 H117 H118" showDropDown="0" showInputMessage="0" showErrorMessage="1" allowBlank="1" errorTitle="Texto longo" error="Ganchos 17-20: até 200 caracteres (o sorteio usa o texto mesmo assim)." type="textLength" errorStyle="warning" operator="lessThanOrEqual">
      <formula1>200</formula1>
    </dataValidation>
    <dataValidation sqref="I12 I13 I14 I15 I16 I17 I18 I19 I20 I21 I22 I23 I24 I26 I27 I28 I29 I30 I31 I32 I33 I34 I35 I36 I37 I38 I40 I41 I42 I43 I44 I45 I46 I47 I48 I49 I50 I51 I52 I54 I55 I56 I57 I58 I59 I60 I61 I62 I63 I64 I65 I66 I68 I69 I70 I71 I72 I73 I74 I75 I76 I77 I78 I79 I80 I82 I83 I84 I85 I86 I87 I88 I89 I90 I91 I92 I93 I94 I96 I97 I98 I99 I100 I101 I102 I103 I104 I105 I106 I107 I108 I110 I111 I112 I113 I114 I115 I116 I117 I118" showDropDown="0" showInputMessage="0" showErrorMessage="1" allowBlank="1" errorTitle="Texto longo" error="Facção ou origem (H8): até 200 caracteres (o sorteio usa o texto mesmo assim)." type="textLength" errorStyle="warning" operator="lessThanOrEqual">
      <formula1>200</formula1>
    </dataValidation>
    <dataValidation sqref="J12 J13 J14 J15 J16 J17 J18 J19 J20 J21 J22 J23 J24 J26 J27 J28 J29 J30 J31 J32 J33 J34 J35 J36 J37 J38 J40 J41 J42 J43 J44 J45 J46 J47 J48 J49 J50 J51 J52 J54 J55 J56 J57 J58 J59 J60 J61 J62 J63 J64 J65 J66 J68 J69 J70 J71 J72 J73 J74 J75 J76 J77 J78 J79 J80 J82 J83 J84 J85 J86 J87 J88 J89 J90 J91 J92 J93 J94 J96 J97 J98 J99 J100 J101 J102 J103 J104 J105 J106 J107 J108 J110 J111 J112 J113 J114 J115 J116 J117 J118" showDropDown="0" showInputMessage="0" showErrorMessage="1" allowBlank="1" errorTitle="Fora da lista" error="Ambiente: escolha um da lista, ou digite um novo (o filtro do Bestiário usa o texto)." type="list" errorStyle="warning">
      <formula1>'Dados'!$BC$6:$BC$19</formula1>
    </dataValidation>
    <dataValidation sqref="B127 B128 B129 B130 B131 B132 B133 B134 B135 B136 B137 B138 B139 B141 B142 B143 B144 B145 B146 B147 B148 B149 B150 B151 B152 B153 B155 B156 B157 B158 B159 B160 B161 B162 B163 B164 B165 B166 B167 B169 B170 B171 B172 B173 B174 B175 B176 B177 B178 B179 B180 B181 B183 B184 B185 B186 B187 B188 B189 B190 B191 B192 B193 B194 B195 B197 B198 B199 B200 B201 B202 B203 B204 B205 B206 B207 B208 B209 B211 B212 B213 B214 B215 B216 B217 B218 B219 B220 B221 B222 B223 B225 B226 B227 B228 B229 B230 B231 B232 B233" showDropDown="0" showInputMessage="0" showErrorMessage="1" allowBlank="1" errorTitle="Texto longo" error="Nome — Humano: até 200 caracteres (o sorteio usa o texto mesmo assim)." type="textLength" errorStyle="warning" operator="lessThanOrEqual">
      <formula1>200</formula1>
    </dataValidation>
    <dataValidation sqref="C127 C128 C129 C130 C131 C132 C133 C134 C135 C136 C137 C138 C139 C141 C142 C143 C144 C145 C146 C147 C148 C149 C150 C151 C152 C153 C155 C156 C157 C158 C159 C160 C161 C162 C163 C164 C165 C166 C167 C169 C170 C171 C172 C173 C174 C175 C176 C177 C178 C179 C180 C181 C183 C184 C185 C186 C187 C188 C189 C190 C191 C192 C193 C194 C195 C197 C198 C199 C200 C201 C202 C203 C204 C205 C206 C207 C208 C209 C211 C212 C213 C214 C215 C216 C217 C218 C219 C220 C221 C222 C223 C225 C226 C227 C228 C229 C230 C231 C232 C233" showDropDown="0" showInputMessage="0" showErrorMessage="1" allowBlank="1" errorTitle="Texto longo" error="Nome — Xianzhouíta: até 200 caracteres (o sorteio usa o texto mesmo assim)." type="textLength" errorStyle="warning" operator="lessThanOrEqual">
      <formula1>200</formula1>
    </dataValidation>
    <dataValidation sqref="D127 D128 D129 D130 D131 D132 D133 D134 D135 D136 D137 D138 D139 D141 D142 D143 D144 D145 D146 D147 D148 D149 D150 D151 D152 D153 D155 D156 D157 D158 D159 D160 D161 D162 D163 D164 D165 D166 D167 D169 D170 D171 D172 D173 D174 D175 D176 D177 D178 D179 D180 D181 D183 D184 D185 D186 D187 D188 D189 D190 D191 D192 D193 D194 D195 D197 D198 D199 D200 D201 D202 D203 D204 D205 D206 D207 D208 D209 D211 D212 D213 D214 D215 D216 D217 D218 D219 D220 D221 D222 D223 D225 D226 D227 D228 D229 D230 D231 D232 D233" showDropDown="0" showInputMessage="0" showErrorMessage="1" allowBlank="1" errorTitle="Texto longo" error="Nome — Vidyadhara: até 200 caracteres (o sorteio usa o texto mesmo assim)." type="textLength" errorStyle="warning" operator="lessThanOrEqual">
      <formula1>200</formula1>
    </dataValidation>
    <dataValidation sqref="E127 E128 E129 E130 E131 E132 E133 E134 E135 E136 E137 E138 E139 E141 E142 E143 E144 E145 E146 E147 E148 E149 E150 E151 E152 E153 E155 E156 E157 E158 E159 E160 E161 E162 E163 E164 E165 E166 E167 E169 E170 E171 E172 E173 E174 E175 E176 E177 E178 E179 E180 E181 E183 E184 E185 E186 E187 E188 E189 E190 E191 E192 E193 E194 E195 E197 E198 E199 E200 E201 E202 E203 E204 E205 E206 E207 E208 E209 E211 E212 E213 E214 E215 E216 E217 E218 E219 E220 E221 E222 E223 E225 E226 E227 E228 E229 E230 E231 E232 E233" showDropDown="0" showInputMessage="0" showErrorMessage="1" allowBlank="1" errorTitle="Texto longo" error="Nome — Vulpes: até 200 caracteres (o sorteio usa o texto mesmo assim)." type="textLength" errorStyle="warning" operator="lessThanOrEqual">
      <formula1>200</formula1>
    </dataValidation>
    <dataValidation sqref="F127 F128 F129 F130 F131 F132 F133 F134 F135 F136 F137 F138 F139 F141 F142 F143 F144 F145 F146 F147 F148 F149 F150 F151 F152 F153 F155 F156 F157 F158 F159 F160 F161 F162 F163 F164 F165 F166 F167 F169 F170 F171 F172 F173 F174 F175 F176 F177 F178 F179 F180 F181 F183 F184 F185 F186 F187 F188 F189 F190 F191 F192 F193 F194 F195 F197 F198 F199 F200 F201 F202 F203 F204 F205 F206 F207 F208 F209 F211 F212 F213 F214 F215 F216 F217 F218 F219 F220 F221 F222 F223 F225 F226 F227 F228 F229 F230 F231 F232 F233" showDropDown="0" showInputMessage="0" showErrorMessage="1" allowBlank="1" errorTitle="Texto longo" error="Nome — Haloviano: até 200 caracteres (o sorteio usa o texto mesmo assim)." type="textLength" errorStyle="warning" operator="lessThanOrEqual">
      <formula1>200</formula1>
    </dataValidation>
    <dataValidation sqref="G127 G128 G129 G130 G131 G132 G133 G134 G135 G136 G137 G138 G139 G141 G142 G143 G144 G145 G146 G147 G148 G149 G150 G151 G152 G153 G155 G156 G157 G158 G159 G160 G161 G162 G163 G164 G165 G166 G167 G169 G170 G171 G172 G173 G174 G175 G176 G177 G178 G179 G180 G181 G183 G184 G185 G186 G187 G188 G189 G190 G191 G192 G193 G194 G195 G197 G198 G199 G200 G201 G202 G203 G204 G205 G206 G207 G208 G209 G211 G212 G213 G214 G215 G216 G217 G218 G219 G220 G221 G222 G223 G225 G226 G227 G228 G229 G230 G231 G232 G233" showDropDown="0" showInputMessage="0" showErrorMessage="1" allowBlank="1" errorTitle="Texto longo" error="Nome — Avginiano: até 200 caracteres (o sorteio usa o texto mesmo assim)." type="textLength" errorStyle="warning" operator="lessThanOrEqual">
      <formula1>200</formula1>
    </dataValidation>
    <dataValidation sqref="H127 H128 H129 H130 H131 H132 H133 H134 H135 H136 H137 H138 H139 H141 H142 H143 H144 H145 H146 H147 H148 H149 H150 H151 H152 H153 H155 H156 H157 H158 H159 H160 H161 H162 H163 H164 H165 H166 H167 H169 H170 H171 H172 H173 H174 H175 H176 H177 H178 H179 H180 H181 H183 H184 H185 H186 H187 H188 H189 H190 H191 H192 H193 H194 H195 H197 H198 H199 H200 H201 H202 H203 H204 H205 H206 H207 H208 H209 H211 H212 H213 H214 H215 H216 H217 H218 H219 H220 H221 H222 H223 H225 H226 H227 H228 H229 H230 H231 H232 H233" showDropDown="0" showInputMessage="0" showErrorMessage="1" allowBlank="1" errorTitle="Texto longo" error="Nome — Intellitron: até 200 caracteres (o sorteio usa o texto mesmo assim)." type="textLength" errorStyle="warning" operator="lessThanOrEqual">
      <formula1>200</formula1>
    </dataValidation>
    <dataValidation sqref="B242 B243 B244 B245 B246 B247 B248 B249 B250 B251 B252 B253 B254 B256 B257 B258 B259 B260 B261 B262 B263 B264 B265 B266 B267 B268 B270 B271 B272 B273 B274 B275 B276 B277 B278 B279 B280 B281 B282 B284 B285 B286 B287 B288 B289 B290 B291 B292 B293 B294 B295 B296 B298 B299 B300 B301 B302 B303 B304 B305 B306 B307 B308 B309 B310 B312 B313 B314 B315 B316 B317 B318 B319 B320 B321 B322 B323 B324 B326 B327 B328 B329 B330 B331 B332 B333 B334 B335 B336 B337 B338 B340 B341 B342 B343 B344 B345 B346 B347 B348" showDropDown="0" showInputMessage="0" showErrorMessage="1" allowBlank="1" errorTitle="Texto longo" error="Sobrenome — Humano: até 200 caracteres (o sorteio usa o texto mesmo assim)." type="textLength" errorStyle="warning" operator="lessThanOrEqual">
      <formula1>200</formula1>
    </dataValidation>
    <dataValidation sqref="C242 C243 C244 C245 C246 C247 C248 C249 C250 C251 C252 C253 C254 C256 C257 C258 C259 C260 C261 C262 C263 C264 C265 C266 C267 C268 C270 C271 C272 C273 C274 C275 C276 C277 C278 C279 C280 C281 C282 C284 C285 C286 C287 C288 C289 C290 C291 C292 C293 C294 C295 C296 C298 C299 C300 C301 C302 C303 C304 C305 C306 C307 C308 C309 C310 C312 C313 C314 C315 C316 C317 C318 C319 C320 C321 C322 C323 C324 C326 C327 C328 C329 C330 C331 C332 C333 C334 C335 C336 C337 C338 C340 C341 C342 C343 C344 C345 C346 C347 C348" showDropDown="0" showInputMessage="0" showErrorMessage="1" allowBlank="1" errorTitle="Texto longo" error="Sobrenome — Xianzhouíta: até 200 caracteres (o sorteio usa o texto mesmo assim)." type="textLength" errorStyle="warning" operator="lessThanOrEqual">
      <formula1>200</formula1>
    </dataValidation>
    <dataValidation sqref="D242 D243 D244 D245 D246 D247 D248 D249 D250 D251 D252 D253 D254 D256 D257 D258 D259 D260 D261 D262 D263 D264 D265 D266 D267 D268 D270 D271 D272 D273 D274 D275 D276 D277 D278 D279 D280 D281 D282 D284 D285 D286 D287 D288 D289 D290 D291 D292 D293 D294 D295 D296 D298 D299 D300 D301 D302 D303 D304 D305 D306 D307 D308 D309 D310 D312 D313 D314 D315 D316 D317 D318 D319 D320 D321 D322 D323 D324 D326 D327 D328 D329 D330 D331 D332 D333 D334 D335 D336 D337 D338 D340 D341 D342 D343 D344 D345 D346 D347 D348" showDropDown="0" showInputMessage="0" showErrorMessage="1" allowBlank="1" errorTitle="Texto longo" error="Sobrenome — Vidyadhara: até 200 caracteres (o sorteio usa o texto mesmo assim)." type="textLength" errorStyle="warning" operator="lessThanOrEqual">
      <formula1>200</formula1>
    </dataValidation>
    <dataValidation sqref="E242 E243 E244 E245 E246 E247 E248 E249 E250 E251 E252 E253 E254 E256 E257 E258 E259 E260 E261 E262 E263 E264 E265 E266 E267 E268 E270 E271 E272 E273 E274 E275 E276 E277 E278 E279 E280 E281 E282 E284 E285 E286 E287 E288 E289 E290 E291 E292 E293 E294 E295 E296 E298 E299 E300 E301 E302 E303 E304 E305 E306 E307 E308 E309 E310 E312 E313 E314 E315 E316 E317 E318 E319 E320 E321 E322 E323 E324 E326 E327 E328 E329 E330 E331 E332 E333 E334 E335 E336 E337 E338 E340 E341 E342 E343 E344 E345 E346 E347 E348" showDropDown="0" showInputMessage="0" showErrorMessage="1" allowBlank="1" errorTitle="Texto longo" error="Sobrenome — Vulpes: até 200 caracteres (o sorteio usa o texto mesmo assim)." type="textLength" errorStyle="warning" operator="lessThanOrEqual">
      <formula1>200</formula1>
    </dataValidation>
    <dataValidation sqref="F242 F243 F244 F245 F246 F247 F248 F249 F250 F251 F252 F253 F254 F256 F257 F258 F259 F260 F261 F262 F263 F264 F265 F266 F267 F268 F270 F271 F272 F273 F274 F275 F276 F277 F278 F279 F280 F281 F282 F284 F285 F286 F287 F288 F289 F290 F291 F292 F293 F294 F295 F296 F298 F299 F300 F301 F302 F303 F304 F305 F306 F307 F308 F309 F310 F312 F313 F314 F315 F316 F317 F318 F319 F320 F321 F322 F323 F324 F326 F327 F328 F329 F330 F331 F332 F333 F334 F335 F336 F337 F338 F340 F341 F342 F343 F344 F345 F346 F347 F348" showDropDown="0" showInputMessage="0" showErrorMessage="1" allowBlank="1" errorTitle="Texto longo" error="Sobrenome — Haloviano: até 200 caracteres (o sorteio usa o texto mesmo assim)." type="textLength" errorStyle="warning" operator="lessThanOrEqual">
      <formula1>200</formula1>
    </dataValidation>
    <dataValidation sqref="G242 G243 G244 G245 G246 G247 G248 G249 G250 G251 G252 G253 G254 G256 G257 G258 G259 G260 G261 G262 G263 G264 G265 G266 G267 G268 G270 G271 G272 G273 G274 G275 G276 G277 G278 G279 G280 G281 G282 G284 G285 G286 G287 G288 G289 G290 G291 G292 G293 G294 G295 G296 G298 G299 G300 G301 G302 G303 G304 G305 G306 G307 G308 G309 G310 G312 G313 G314 G315 G316 G317 G318 G319 G320 G321 G322 G323 G324 G326 G327 G328 G329 G330 G331 G332 G333 G334 G335 G336 G337 G338 G340 G341 G342 G343 G344 G345 G346 G347 G348" showDropDown="0" showInputMessage="0" showErrorMessage="1" allowBlank="1" errorTitle="Texto longo" error="Sobrenome — Avginiano: até 200 caracteres (o sorteio usa o texto mesmo assim)." type="textLength" errorStyle="warning" operator="lessThanOrEqual">
      <formula1>200</formula1>
    </dataValidation>
    <dataValidation sqref="H242 H243 H244 H245 H246 H247 H248 H249 H250 H251 H252 H253 H254 H256 H257 H258 H259 H260 H261 H262 H263 H264 H265 H266 H267 H268 H270 H271 H272 H273 H274 H275 H276 H277 H278 H279 H280 H281 H282 H284 H285 H286 H287 H288 H289 H290 H291 H292 H293 H294 H295 H296 H298 H299 H300 H301 H302 H303 H304 H305 H306 H307 H308 H309 H310 H312 H313 H314 H315 H316 H317 H318 H319 H320 H321 H322 H323 H324 H326 H327 H328 H329 H330 H331 H332 H333 H334 H335 H336 H337 H338 H340 H341 H342 H343 H344 H345 H346 H347 H348" showDropDown="0" showInputMessage="0" showErrorMessage="1" allowBlank="1" errorTitle="Texto longo" error="Sobrenome — Intellitron: até 200 caracteres (o sorteio usa o texto mesmo assim)." type="textLength" errorStyle="warning" operator="lessThanOrEqual">
      <formula1>200</formula1>
    </dataValidation>
    <dataValidation sqref="B357 B358 B359 B360 B361 B362 B363 B364 B365 B366 B367 B368 B369 B371 B372 B373 B374 B375 B376 B377 B378 B379 B380 B381 B382 B383 B385 B386 B387 B388 B389 B390 B391 B392 B393 B394 B395 B396 B397 B399 B400 B401 B402 B403 B404 B405 B406 B407 B408 B409 B410 B411 B413 B414 B415 B416 B417 B418 B419 B420 B421 B422 B423 B424 B425 B427 B428 B429 B430 B431 B432 B433 B434 B435 B436 B437 B438 B439 B441 B442 B443 B444 B445 B446 B447 B448 B449 B450 B451 B452 B453 B455 B456 B457 B458 B459 B460 B461 B462 B463" showDropDown="0" showInputMessage="0" showErrorMessage="1" allowBlank="1" errorTitle="Texto longo" error="Ocupação (NPC): até 200 caracteres (o sorteio usa o texto mesmo assim)." type="textLength" errorStyle="warning" operator="lessThanOrEqual">
      <formula1>200</formula1>
    </dataValidation>
    <dataValidation sqref="C357 C358 C359 C360 C361 C362 C363 C364 C365 C366 C367 C368 C369 C371 C372 C373 C374 C375 C376 C377 C378 C379 C380 C381 C382 C383 C385 C386 C387 C388 C389 C390 C391 C392 C393 C394 C395 C396 C397 C399 C400 C401 C402 C403 C404 C405 C406 C407 C408 C409 C410 C411 C413 C414 C415 C416 C417 C418 C419 C420 C421 C422 C423 C424 C425 C427 C428 C429 C430 C431 C432 C433 C434 C435 C436 C437 C438 C439 C441 C442 C443 C444 C445 C446 C447 C448 C449 C450 C451 C452 C453 C455 C456 C457 C458 C459 C460 C461 C462 C463" showDropDown="0" showInputMessage="0" showErrorMessage="1" allowBlank="1" errorTitle="Texto longo" error="Traço de aparência: até 200 caracteres (o sorteio usa o texto mesmo assim)." type="textLength" errorStyle="warning" operator="lessThanOrEqual">
      <formula1>200</formula1>
    </dataValidation>
    <dataValidation sqref="D357 D358 D359 D360 D361 D362 D363 D364 D365 D366 D367 D368 D369 D371 D372 D373 D374 D375 D376 D377 D378 D379 D380 D381 D382 D383 D385 D386 D387 D388 D389 D390 D391 D392 D393 D394 D395 D396 D397 D399 D400 D401 D402 D403 D404 D405 D406 D407 D408 D409 D410 D411 D413 D414 D415 D416 D417 D418 D419 D420 D421 D422 D423 D424 D425 D427 D428 D429 D430 D431 D432 D433 D434 D435 D436 D437 D438 D439 D441 D442 D443 D444 D445 D446 D447 D448 D449 D450 D451 D452 D453 D455 D456 D457 D458 D459 D460 D461 D462 D463" showDropDown="0" showInputMessage="0" showErrorMessage="1" allowBlank="1" errorTitle="Texto longo" error="Personalidade: até 200 caracteres (o sorteio usa o texto mesmo assim)." type="textLength" errorStyle="warning" operator="lessThanOrEqual">
      <formula1>200</formula1>
    </dataValidation>
    <dataValidation sqref="E357 E358 E359 E360 E361 E362 E363 E364 E365 E366 E367 E368 E369 E371 E372 E373 E374 E375 E376 E377 E378 E379 E380 E381 E382 E383 E385 E386 E387 E388 E389 E390 E391 E392 E393 E394 E395 E396 E397 E399 E400 E401 E402 E403 E404 E405 E406 E407 E408 E409 E410 E411 E413 E414 E415 E416 E417 E418 E419 E420 E421 E422 E423 E424 E425 E427 E428 E429 E430 E431 E432 E433 E434 E435 E436 E437 E438 E439 E441 E442 E443 E444 E445 E446 E447 E448 E449 E450 E451 E452 E453 E455 E456 E457 E458 E459 E460 E461 E462 E463" showDropDown="0" showInputMessage="0" showErrorMessage="1" allowBlank="1" errorTitle="Texto longo" error="Motivação (sem Caminho): até 200 caracteres (o sorteio usa o texto mesmo assim)." type="textLength" errorStyle="warning" operator="lessThanOrEqual">
      <formula1>200</formula1>
    </dataValidation>
    <dataValidation sqref="F357 F358 F359 F360 F361 F362 F363 F364 F365 F366 F367 F368 F369 F371 F372 F373 F374 F375 F376 F377 F378 F379 F380 F381 F382 F383 F385 F386 F387 F388 F389 F390 F391 F392 F393 F394 F395 F396 F397 F399 F400 F401 F402 F403 F404 F405 F406 F407 F408 F409 F410 F411 F413 F414 F415 F416 F417 F418 F419 F420 F421 F422 F423 F424 F425 F427 F428 F429 F430 F431 F432 F433 F434 F435 F436 F437 F438 F439 F441 F442 F443 F444 F445 F446 F447 F448 F449 F450 F451 F452 F453 F455 F456 F457 F458 F459 F460 F461 F462 F463" showDropDown="0" showInputMessage="0" showErrorMessage="1" allowBlank="1" errorTitle="Texto longo" error="Segredo: até 200 caracteres (o sorteio usa o texto mesmo assim)." type="textLength" errorStyle="warning" operator="lessThanOrEqual">
      <formula1>200</formula1>
    </dataValidation>
    <dataValidation sqref="G357 G358 G359 G360 G361 G362 G363 G364 G365 G366 G367 G368 G369 G371 G372 G373 G374 G375 G376 G377 G378 G379 G380 G381 G382 G383 G385 G386 G387 G388 G389 G390 G391 G392 G393 G394 G395 G396 G397 G399 G400 G401 G402 G403 G404 G405 G406 G407 G408 G409 G410 G411 G413 G414 G415 G416 G417 G418 G419 G420 G421 G422 G423 G424 G425 G427 G428 G429 G430 G431 G432 G433 G434 G435 G436 G437 G438 G439 G441 G442 G443 G444 G445 G446 G447 G448 G449 G450 G451 G452 G453 G455 G456 G457 G458 G459 G460 G461 G462 G463" showDropDown="0" showInputMessage="0" showErrorMessage="1" allowBlank="1" errorTitle="Texto longo" error="Maneirismo e voz: até 200 caracteres (o sorteio usa o texto mesmo assim)." type="textLength" errorStyle="warning" operator="lessThanOrEqual">
      <formula1>200</formula1>
    </dataValidation>
    <dataValidation sqref="H357 H358 H359 H360 H361 H362 H363 H364 H365 H366 H367 H368 H369 H371 H372 H373 H374 H375 H376 H377 H378 H379 H380 H381 H382 H383 H385 H386 H387 H388 H389 H390 H391 H392 H393 H394 H395 H396 H397 H399 H400 H401 H402 H403 H404 H405 H406 H407 H408 H409 H410 H411 H413 H414 H415 H416 H417 H418 H419 H420 H421 H422 H423 H424 H425 H427 H428 H429 H430 H431 H432 H433 H434 H435 H436 H437 H438 H439 H441 H442 H443 H444 H445 H446 H447 H448 H449 H450 H451 H452 H453 H455 H456 H457 H458 H459 H460 H461 H462 H463" showDropDown="0" showInputMessage="0" showErrorMessage="1" allowBlank="1" errorTitle="Texto longo" error="Caminho do NPC (peso): até 200 caracteres (o sorteio usa o texto mesmo assim)." type="textLength" errorStyle="warning" operator="lessThanOrEqual">
      <formula1>200</formula1>
    </dataValidation>
    <dataValidation sqref="I357 I358 I359 I360 I361 I362 I363 I364 I365 I366 I367 I368 I369 I371 I372 I373 I374 I375 I376 I377 I378 I379 I380 I381 I382 I383 I385 I386 I387 I388 I389 I390 I391 I392 I393 I394 I395 I396 I397 I399 I400 I401 I402 I403 I404 I405 I406 I407 I408 I409 I410 I411 I413 I414 I415 I416 I417 I418 I419 I420 I421 I422 I423 I424 I425 I427 I428 I429 I430 I431 I432 I433 I434 I435 I436 I437 I438 I439 I441 I442 I443 I444 I445 I446 I447 I448 I449 I450 I451 I452 I453 I455 I456 I457 I458 I459 I460 I461 I462 I463" showDropDown="0" showInputMessage="0" showErrorMessage="1" allowBlank="1" errorTitle="Texto longo" error="Atitude com o grupo: até 200 caracteres (o sorteio usa o texto mesmo assim)." type="textLength" errorStyle="warning" operator="lessThanOrEqual">
      <formula1>200</formula1>
    </dataValidation>
    <dataValidation sqref="J357 J358 J359 J360 J361 J362 J363 J364 J365 J366 J367 J368 J369 J371 J372 J373 J374 J375 J376 J377 J378 J379 J380 J381 J382 J383 J385 J386 J387 J388 J389 J390 J391 J392 J393 J394 J395 J396 J397 J399 J400 J401 J402 J403 J404 J405 J406 J407 J408 J409 J410 J411 J413 J414 J415 J416 J417 J418 J419 J420 J421 J422 J423 J424 J425 J427 J428 J429 J430 J431 J432 J433 J434 J435 J436 J437 J438 J439 J441 J442 J443 J444 J445 J446 J447 J448 J449 J450 J451 J452 J453 J455 J456 J457 J458 J459 J460 J461 J462 J463" showDropDown="0" showInputMessage="0" showErrorMessage="1" allowBlank="1" errorTitle="Texto longo" error="Gancho do NPC: até 200 caracteres (o sorteio usa o texto mesmo assim)." type="textLength" errorStyle="warning" operator="lessThanOrEqual">
      <formula1>200</formula1>
    </dataValidation>
    <dataValidation sqref="B472 B473 B474 B475 B476 B477 B478 B479 B480 B481 B482 B483 B484 B486 B487 B488 B489 B490 B491 B492 B493 B494 B495 B496 B497 B498 B500 B501 B502 B503 B504 B505 B506 B507 B508 B509 B510 B511 B512 B514 B515 B516 B517 B518 B519 B520 B521 B522 B523 B524 B525 B526 B528 B529 B530 B531 B532 B533 B534 B535 B536 B537 B538 B539 B540 B542 B543 B544 B545 B546 B547 B548 B549 B550 B551 B552 B553 B554 B556 B557 B558 B559 B560 B561 B562 B563 B564 B565 B566 B567 B568 B570 B571 B572 B573 B574 B575 B576 B577 B578" showDropDown="0" showInputMessage="0" showErrorMessage="1" allowBlank="1" errorTitle="Texto longo" error="Caminho (motivação): até 200 caracteres (o sorteio usa o texto mesmo assim)." type="textLength" errorStyle="warning" operator="lessThanOrEqual">
      <formula1>200</formula1>
    </dataValidation>
    <dataValidation sqref="C472 C473 C474 C475 C476 C477 C478 C479 C480 C481 C482 C483 C484 C486 C487 C488 C489 C490 C491 C492 C493 C494 C495 C496 C497 C498 C500 C501 C502 C503 C504 C505 C506 C507 C508 C509 C510 C511 C512 C514 C515 C516 C517 C518 C519 C520 C521 C522 C523 C524 C525 C526 C528 C529 C530 C531 C532 C533 C534 C535 C536 C537 C538 C539 C540 C542 C543 C544 C545 C546 C547 C548 C549 C550 C551 C552 C553 C554 C556 C557 C558 C559 C560 C561 C562 C563 C564 C565 C566 C567 C568 C570 C571 C572 C573 C574 C575 C576 C577 C578" showDropDown="0" showInputMessage="0" showErrorMessage="1" allowBlank="1" errorTitle="Texto longo" error="Motivação por Caminho: até 200 caracteres (o sorteio usa o texto mesmo assim)." type="textLength" errorStyle="warning" operator="lessThanOrEqual">
      <formula1>200</formula1>
    </dataValidation>
    <dataValidation sqref="D472 D473 D474 D475 D476 D477 D478 D479 D480 D481 D482 D483 D484 D486 D487 D488 D489 D490 D491 D492 D493 D494 D495 D496 D497 D498 D500 D501 D502 D503 D504 D505 D506 D507 D508 D509 D510 D511 D512 D514 D515 D516 D517 D518 D519 D520 D521 D522 D523 D524 D525 D526 D528 D529 D530 D531 D532 D533 D534 D535 D536 D537 D538 D539 D540 D542 D543 D544 D545 D546 D547 D548 D549 D550 D551 D552 D553 D554 D556 D557 D558 D559 D560 D561 D562 D563 D564 D565 D566 D567 D568 D570 D571 D572 D573 D574 D575 D576 D577 D578" showDropDown="0" showInputMessage="0" showErrorMessage="1" allowBlank="1" errorTitle="Texto longo" error="Tipo (objetivo): até 200 caracteres (o sorteio usa o texto mesmo assim)." type="textLength" errorStyle="warning" operator="lessThanOrEqual">
      <formula1>200</formula1>
    </dataValidation>
    <dataValidation sqref="E472 E473 E474 E475 E476 E477 E478 E479 E480 E481 E482 E483 E484 E486 E487 E488 E489 E490 E491 E492 E493 E494 E495 E496 E497 E498 E500 E501 E502 E503 E504 E505 E506 E507 E508 E509 E510 E511 E512 E514 E515 E516 E517 E518 E519 E520 E521 E522 E523 E524 E525 E526 E528 E529 E530 E531 E532 E533 E534 E535 E536 E537 E538 E539 E540 E542 E543 E544 E545 E546 E547 E548 E549 E550 E551 E552 E553 E554 E556 E557 E558 E559 E560 E561 E562 E563 E564 E565 E566 E567 E568 E570 E571 E572 E573 E574 E575 E576 E577 E578" showDropDown="0" showInputMessage="0" showErrorMessage="1" allowBlank="1" errorTitle="Texto longo" error="Objetivo por tipo: até 200 caracteres (o sorteio usa o texto mesmo assim)." type="textLength" errorStyle="warning" operator="lessThanOrEqual">
      <formula1>200</formula1>
    </dataValidation>
    <dataValidation sqref="F472 F473 F474 F475 F476 F477 F478 F479 F480 F481 F482 F483 F484 F486 F487 F488 F489 F490 F491 F492 F493 F494 F495 F496 F497 F498 F500 F501 F502 F503 F504 F505 F506 F507 F508 F509 F510 F511 F512 F514 F515 F516 F517 F518 F519 F520 F521 F522 F523 F524 F525 F526 F528 F529 F530 F531 F532 F533 F534 F535 F536 F537 F538 F539 F540 F542 F543 F544 F545 F546 F547 F548 F549 F550 F551 F552 F553 F554 F556 F557 F558 F559 F560 F561 F562 F563 F564 F565 F566 F567 F568 F570 F571 F572 F573 F574 F575 F576 F577 F578" showDropDown="0" showInputMessage="0" showErrorMessage="1" allowBlank="1" errorTitle="Texto longo" error="Tipo de aventura: até 200 caracteres (o sorteio usa o texto mesmo assim)." type="textLength" errorStyle="warning" operator="lessThanOrEqual">
      <formula1>200</formula1>
    </dataValidation>
    <dataValidation sqref="G472 G473 G474 G475 G476 G477 G478 G479 G480 G481 G482 G483 G484 G486 G487 G488 G489 G490 G491 G492 G493 G494 G495 G496 G497 G498 G500 G501 G502 G503 G504 G505 G506 G507 G508 G509 G510 G511 G512 G514 G515 G516 G517 G518 G519 G520 G521 G522 G523 G524 G525 G526 G528 G529 G530 G531 G532 G533 G534 G535 G536 G537 G538 G539 G540 G542 G543 G544 G545 G546 G547 G548 G549 G550 G551 G552 G553 G554 G556 G557 G558 G559 G560 G561 G562 G563 G564 G565 G566 G567 G568 G570 G571 G572 G573 G574 G575 G576 G577 G578" showDropDown="0" showInputMessage="0" showErrorMessage="1" allowBlank="1" errorTitle="Texto longo" error="Gancho de aventura: até 200 caracteres (o sorteio usa o texto mesmo assim)." type="textLength" errorStyle="warning" operator="lessThanOrEqual">
      <formula1>200</formula1>
    </dataValidation>
    <dataValidation sqref="H472 H473 H474 H475 H476 H477 H478 H479 H480 H481 H482 H483 H484 H486 H487 H488 H489 H490 H491 H492 H493 H494 H495 H496 H497 H498 H500 H501 H502 H503 H504 H505 H506 H507 H508 H509 H510 H511 H512 H514 H515 H516 H517 H518 H519 H520 H521 H522 H523 H524 H525 H526 H528 H529 H530 H531 H532 H533 H534 H535 H536 H537 H538 H539 H540 H542 H543 H544 H545 H546 H547 H548 H549 H550 H551 H552 H553 H554 H556 H557 H558 H559 H560 H561 H562 H563 H564 H565 H566 H567 H568 H570 H571 H572 H573 H574 H575 H576 H577 H578" showDropDown="0" showInputMessage="0" showErrorMessage="1" allowBlank="1" errorTitle="Texto longo" error="Local (sabor): até 200 caracteres (o sorteio usa o texto mesmo assim)." type="textLength" errorStyle="warning" operator="lessThanOrEqual">
      <formula1>200</formula1>
    </dataValidation>
    <dataValidation sqref="I472 I473 I474 I475 I476 I477 I478 I479 I480 I481 I482 I483 I484 I486 I487 I488 I489 I490 I491 I492 I493 I494 I495 I496 I497 I498 I500 I501 I502 I503 I504 I505 I506 I507 I508 I509 I510 I511 I512 I514 I515 I516 I517 I518 I519 I520 I521 I522 I523 I524 I525 I526 I528 I529 I530 I531 I532 I533 I534 I535 I536 I537 I538 I539 I540 I542 I543 I544 I545 I546 I547 I548 I549 I550 I551 I552 I553 I554 I556 I557 I558 I559 I560 I561 I562 I563 I564 I565 I566 I567 I568 I570 I571 I572 I573 I574 I575 I576 I577 I578" showDropDown="0" showInputMessage="0" showErrorMessage="1" allowBlank="1" errorTitle="Texto longo" error="Complicação: até 200 caracteres (o sorteio usa o texto mesmo assim)." type="textLength" errorStyle="warning" operator="lessThanOrEqual">
      <formula1>200</formula1>
    </dataValidation>
    <dataValidation sqref="J472 J473 J474 J475 J476 J477 J478 J479 J480 J481 J482 J483 J484 J486 J487 J488 J489 J490 J491 J492 J493 J494 J495 J496 J497 J498 J500 J501 J502 J503 J504 J505 J506 J507 J508 J509 J510 J511 J512 J514 J515 J516 J517 J518 J519 J520 J521 J522 J523 J524 J525 J526 J528 J529 J530 J531 J532 J533 J534 J535 J536 J537 J538 J539 J540 J542 J543 J544 J545 J546 J547 J548 J549 J550 J551 J552 J553 J554 J556 J557 J558 J559 J560 J561 J562 J563 J564 J565 J566 J567 J568 J570 J571 J572 J573 J574 J575 J576 J577 J578" showDropDown="0" showInputMessage="0" showErrorMessage="1" allowBlank="1" errorTitle="Texto longo" error="Reviravolta: até 200 caracteres (o sorteio usa o texto mesmo assim)." type="textLength" errorStyle="warning" operator="lessThanOrEqual">
      <formula1>200</formula1>
    </dataValidation>
    <dataValidation sqref="B587 B588 B589 B590 B591 B592 B593 B594 B595 B596 B597 B598 B599 B601 B602 B603 B604 B605 B606 B607 B608 B609 B610 B611 B612 B613 B615 B616 B617 B618 B619 B620 B621 B622 B623 B624 B625 B626 B627 B629 B630 B631 B632 B633 B634 B635 B636 B637 B638 B639 B640 B641 B643 B644 B645 B646 B647 B648 B649 B650 B651 B652 B653 B654 B655 B657 B658 B659 B660 B661 B662 B663 B664 B665 B666 B667 B668 B669 B671 B672 B673 B674 B675 B676 B677 B678 B679 B680 B681 B682 B683 B685 B686 B687 B688 B689 B690 B691 B692 B693" showDropDown="0" showInputMessage="0" showErrorMessage="1" allowBlank="1" errorTitle="Texto longo" error="Prazo ou risco: até 200 caracteres (o sorteio usa o texto mesmo assim)." type="textLength" errorStyle="warning" operator="lessThanOrEqual">
      <formula1>200</formula1>
    </dataValidation>
    <dataValidation sqref="B702 B703 B704 B705 B706 B707 B708 B709 B710 B711 B712 B713 B714 B716 B717 B718 B719 B720 B721 B722 B723 B724 B725 B726 B727 B728 B730 B731 B732 B733 B734 B735 B736 B737 B738 B739 B740 B741 B742 B744 B745 B746 B747 B748 B749 B750 B751 B752 B753 B754 B755 B756 B758 B759 B760 B761 B762 B763 B764 B765 B766 B767 B768 B769 B770 B772 B773 B774 B775 B776 B777 B778 B779 B780 B781 B782 B783 B784 B786 B787 B788 B789 B790 B791 B792 B793 B794 B795 B796 B797 B798 B800 B801 B802 B803 B804 B805 B806 B807 B808" showDropDown="0" showInputMessage="0" showErrorMessage="1" allowBlank="1" errorTitle="Texto longo" error="Pista: até 200 caracteres (o sorteio usa o texto mesmo assim)." type="textLength" errorStyle="warning" operator="lessThanOrEqual">
      <formula1>200</formula1>
    </dataValidation>
    <dataValidation sqref="C702 C703 C704 C705 C706 C707 C708 C709 C710 C711 C712 C713 C714 C716 C717 C718 C719 C720 C721 C722 C723 C724 C725 C726 C727 C728 C730 C731 C732 C733 C734 C735 C736 C737 C738 C739 C740 C741 C742 C744 C745 C746 C747 C748 C749 C750 C751 C752 C753 C754 C755 C756 C758 C759 C760 C761 C762 C763 C764 C765 C766 C767 C768 C769 C770 C772 C773 C774 C775 C776 C777 C778 C779 C780 C781 C782 C783 C784 C786 C787 C788 C789 C790 C791 C792 C793 C794 C795 C796 C797 C798 C800 C801 C802 C803 C804 C805 C806 C807 C808" showDropDown="0" showInputMessage="0" showErrorMessage="1" allowBlank="1" errorTitle="Texto longo" error="Bugiganga: até 200 caracteres (o sorteio usa o texto mesmo assim)." type="textLength" errorStyle="warning" operator="lessThanOrEqual">
      <formula1>200</formula1>
    </dataValidation>
    <dataValidation sqref="D702 D703 D704 D705 D706 D707 D708 D709 D710 D711 D712 D713 D714 D716 D717 D718 D719 D720 D721 D722 D723 D724 D725 D726 D727 D728 D730 D731 D732 D733 D734 D735 D736 D737 D738 D739 D740 D741 D742 D744 D745 D746 D747 D748 D749 D750 D751 D752 D753 D754 D755 D756 D758 D759 D760 D761 D762 D763 D764 D765 D766 D767 D768 D769 D770 D772 D773 D774 D775 D776 D777 D778 D779 D780 D781 D782 D783 D784 D786 D787 D788 D789 D790 D791 D792 D793 D794 D795 D796 D797 D798 D800 D801 D802 D803 D804 D805 D806 D807 D808" showDropDown="0" showInputMessage="0" showErrorMessage="1" allowBlank="1" errorTitle="Texto longo" error="Nome do Cone (início): até 200 caracteres (o sorteio usa o texto mesmo assim)." type="textLength" errorStyle="warning" operator="lessThanOrEqual">
      <formula1>200</formula1>
    </dataValidation>
    <dataValidation sqref="E702 E703 E704 E705 E706 E707 E708 E709 E710 E711 E712 E713 E714 E716 E717 E718 E719 E720 E721 E722 E723 E724 E725 E726 E727 E728 E730 E731 E732 E733 E734 E735 E736 E737 E738 E739 E740 E741 E742 E744 E745 E746 E747 E748 E749 E750 E751 E752 E753 E754 E755 E756 E758 E759 E760 E761 E762 E763 E764 E765 E766 E767 E768 E769 E770 E772 E773 E774 E775 E776 E777 E778 E779 E780 E781 E782 E783 E784 E786 E787 E788 E789 E790 E791 E792 E793 E794 E795 E796 E797 E798 E800 E801 E802 E803 E804 E805 E806 E807 E808" showDropDown="0" showInputMessage="0" showErrorMessage="1" allowBlank="1" errorTitle="Texto longo" error="Nome do Cone (fim): até 200 caracteres (o sorteio usa o texto mesmo assim)." type="textLength" errorStyle="warning" operator="lessThanOrEqual">
      <formula1>200</formula1>
    </dataValidation>
    <dataValidation sqref="F702 F703 F704 F705 F706 F707 F708 F709 F710 F711 F712 F713 F714 F716 F717 F718 F719 F720 F721 F722 F723 F724 F725 F726 F727 F728 F730 F731 F732 F733 F734 F735 F736 F737 F738 F739 F740 F741 F742 F744 F745 F746 F747 F748 F749 F750 F751 F752 F753 F754 F755 F756 F758 F759 F760 F761 F762 F763 F764 F765 F766 F767 F768 F769 F770 F772 F773 F774 F775 F776 F777 F778 F779 F780 F781 F782 F783 F784 F786 F787 F788 F789 F790 F791 F792 F793 F794 F795 F796 F797 F798 F800 F801 F802 F803 F804 F805 F806 F807 F808" showDropDown="0" showInputMessage="0" showErrorMessage="1" allowBlank="1" errorTitle="Texto longo" error="Memória do Cone: até 200 caracteres (o sorteio usa o texto mesmo assim)." type="textLength" errorStyle="warning" operator="lessThanOrEqual">
      <formula1>200</formula1>
    </dataValidation>
    <dataValidation sqref="G702 G703 G704 G705 G706 G707 G708 G709 G710 G711 G712 G713 G714 G716 G717 G718 G719 G720 G721 G722 G723 G724 G725 G726 G727 G728 G730 G731 G732 G733 G734 G735 G736 G737 G738 G739 G740 G741 G742 G744 G745 G746 G747 G748 G749 G750 G751 G752 G753 G754 G755 G756 G758 G759 G760 G761 G762 G763 G764 G765 G766 G767 G768 G769 G770 G772 G773 G774 G775 G776 G777 G778 G779 G780 G781 G782 G783 G784 G786 G787 G788 G789 G790 G791 G792 G793 G794 G795 G796 G797 G798 G800 G801 G802 G803 G804 G805 G806 G807 G808" showDropDown="0" showInputMessage="0" showErrorMessage="1" allowBlank="1" errorTitle="Texto longo" error="Gatilho do Efeito Condicional: até 200 caracteres (o sorteio usa o texto mesmo assim)." type="textLength" errorStyle="warning" operator="lessThanOrEqual">
      <formula1>200</formula1>
    </dataValidation>
    <dataValidation sqref="H702 H703 H704 H705 H706 H707 H708 H709 H710 H711 H712 H713 H714 H716 H717 H718 H719 H720 H721 H722 H723 H724 H725 H726 H727 H728 H730 H731 H732 H733 H734 H735 H736 H737 H738 H739 H740 H741 H742 H744 H745 H746 H747 H748 H749 H750 H751 H752 H753 H754 H755 H756 H758 H759 H760 H761 H762 H763 H764 H765 H766 H767 H768 H769 H770 H772 H773 H774 H775 H776 H777 H778 H779 H780 H781 H782 H783 H784 H786 H787 H788 H789 H790 H791 H792 H793 H794 H795 H796 H797 H798 H800 H801 H802 H803 H804 H805 H806 H807 H808" showDropDown="0" showInputMessage="0" showErrorMessage="1" allowBlank="1" errorTitle="Texto longo" error="Nome do Conjunto: até 200 caracteres (o sorteio usa o texto mesmo assim)." type="textLength" errorStyle="warning" operator="lessThanOrEqual">
      <formula1>200</formula1>
    </dataValidation>
    <dataValidation sqref="I702 I703 I704 I705 I706 I707 I708 I709 I710 I711 I712 I713 I714 I716 I717 I718 I719 I720 I721 I722 I723 I724 I725 I726 I727 I728 I730 I731 I732 I733 I734 I735 I736 I737 I738 I739 I740 I741 I742 I744 I745 I746 I747 I748 I749 I750 I751 I752 I753 I754 I755 I756 I758 I759 I760 I761 I762 I763 I764 I765 I766 I767 I768 I769 I770 I772 I773 I774 I775 I776 I777 I778 I779 I780 I781 I782 I783 I784 I786 I787 I788 I789 I790 I791 I792 I793 I794 I795 I796 I797 I798 I800 I801 I802 I803 I804 I805 I806 I807 I808" showDropDown="0" showInputMessage="0" showErrorMessage="1" allowBlank="1" errorTitle="Texto longo" error="Origem do Conjunto: até 200 caracteres (o sorteio usa o texto mesmo assim)." type="textLength" errorStyle="warning" operator="lessThanOrEqual">
      <formula1>200</formula1>
    </dataValidation>
    <dataValidation sqref="J702 J703 J704 J705 J706 J707 J708 J709 J710 J711 J712 J713 J714 J716 J717 J718 J719 J720 J721 J722 J723 J724 J725 J726 J727 J728 J730 J731 J732 J733 J734 J735 J736 J737 J738 J739 J740 J741 J742 J744 J745 J746 J747 J748 J749 J750 J751 J752 J753 J754 J755 J756 J758 J759 J760 J761 J762 J763 J764 J765 J766 J767 J768 J769 J770 J772 J773 J774 J775 J776 J777 J778 J779 J780 J781 J782 J783 J784 J786 J787 J788 J789 J790 J791 J792 J793 J794 J795 J796 J797 J798 J800 J801 J802 J803 J804 J805 J806 J807 J808" showDropDown="0" showInputMessage="0" showErrorMessage="1" allowBlank="1" errorTitle="Texto longo" error="Efeito de 4 peças: até 200 caracteres (o sorteio usa o texto mesmo assim)." type="textLength" errorStyle="warning" operator="lessThanOrEqual">
      <formula1>200</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U588"/>
  <sheetViews>
    <sheetView showGridLines="1" workbookViewId="0">
      <selection activeCell="A1" sqref="A1"/>
    </sheetView>
  </sheetViews>
  <sheetFormatPr baseColWidth="8" defaultRowHeight="15"/>
  <cols>
    <col width="34"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13"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s>
  <sheetData>
    <row r="1" ht="24" customHeight="1">
      <c r="A1" s="1" t="inlineStr">
        <is>
          <t>Dados — Explorando Galáxias v1.1</t>
        </is>
      </c>
    </row>
    <row r="2" ht="26" customHeight="1">
      <c r="A2" s="2" t="inlineStr">
        <is>
          <t>Legenda:</t>
        </is>
      </c>
      <c r="B2" s="3" t="inlineStr">
        <is>
          <t>Entrada (preencha)</t>
        </is>
      </c>
      <c r="C2" s="4" t="inlineStr">
        <is>
          <t>Calculada (automático)</t>
        </is>
      </c>
      <c r="D2" s="5" t="inlineStr">
        <is>
          <t>Aviso (texto em vermelho)</t>
        </is>
      </c>
      <c r="E2" s="6" t="inlineStr">
        <is>
          <t>Título de bloco</t>
        </is>
      </c>
      <c r="F2" s="7" t="inlineStr">
        <is>
          <t>Cabeçalho de coluna</t>
        </is>
      </c>
      <c r="G2" s="8" t="inlineStr">
        <is>
          <t>Rótulo da linha</t>
        </is>
      </c>
      <c r="H2" s="9" t="inlineStr">
        <is>
          <t>Linha alternada (outro tom)</t>
        </is>
      </c>
      <c r="I2" s="10" t="inlineStr">
        <is>
          <t>Não se aplica</t>
        </is>
      </c>
    </row>
    <row r="3">
      <c r="A3" s="11" t="inlineStr">
        <is>
          <t>Tabelas do livro usadas pelas fórmulas. Não edite: o gerador reescreve esta aba.</t>
        </is>
      </c>
    </row>
    <row r="4" ht="60" customHeight="1">
      <c r="AN4" s="47" t="inlineStr">
        <is>
          <t>Listas de validação (uma por coluna; a fonte está no cabeçalho)</t>
        </is>
      </c>
      <c r="AO4" s="48" t="n"/>
      <c r="AP4" s="48" t="n"/>
      <c r="AQ4" s="48" t="n"/>
      <c r="AR4" s="48" t="n"/>
      <c r="AS4" s="48" t="n"/>
      <c r="AT4" s="48" t="n"/>
      <c r="AU4" s="48" t="n"/>
      <c r="AV4" s="48" t="n"/>
      <c r="AW4" s="48" t="n"/>
      <c r="AX4" s="48" t="n"/>
      <c r="AY4" s="48" t="n"/>
      <c r="AZ4" s="48" t="n"/>
      <c r="BA4" s="48" t="n"/>
      <c r="BB4" s="48" t="n"/>
      <c r="BC4" s="48" t="n"/>
      <c r="BD4" s="48" t="n"/>
      <c r="BE4" s="48" t="n"/>
      <c r="BF4" s="48" t="n"/>
      <c r="BG4" s="48" t="n"/>
      <c r="BH4" s="48" t="n"/>
      <c r="BI4" s="48" t="n"/>
      <c r="BJ4" s="48" t="n"/>
      <c r="BK4" s="48" t="n"/>
      <c r="BL4" s="48" t="n"/>
      <c r="BM4" s="48" t="n"/>
      <c r="BN4" s="48" t="n"/>
      <c r="BO4" s="48" t="n"/>
      <c r="BP4" s="48" t="n"/>
      <c r="BQ4" s="48" t="n"/>
      <c r="BR4" s="48" t="n"/>
      <c r="BS4" s="48" t="n"/>
      <c r="BT4" s="48" t="n"/>
      <c r="BU4" s="48" t="n"/>
    </row>
    <row r="5" ht="46" customHeight="1">
      <c r="A5" s="47" t="inlineStr">
        <is>
          <t>Faixas de nível — 26.3, 29.1 (nível de referência) e 28.3 (Eficiência do inimigo)</t>
        </is>
      </c>
      <c r="B5" s="48" t="n"/>
      <c r="C5" s="48" t="n"/>
      <c r="D5" s="48" t="n"/>
      <c r="E5" s="48" t="n"/>
      <c r="F5" s="48" t="n"/>
      <c r="AN5" s="7" t="inlineStr">
        <is>
          <t>Elementos — 20.1</t>
        </is>
      </c>
      <c r="AO5" s="7" t="inlineStr">
        <is>
          <t>Tipos de inimigo — 28.1</t>
        </is>
      </c>
      <c r="AP5" s="7" t="inlineStr">
        <is>
          <t>Faixas — 28.1</t>
        </is>
      </c>
      <c r="AQ5" s="7" t="inlineStr">
        <is>
          <t>Modo do Criador — 6.7.1</t>
        </is>
      </c>
      <c r="AR5" s="7" t="inlineStr">
        <is>
          <t>Raças — 05</t>
        </is>
      </c>
      <c r="AS5" s="7" t="inlineStr">
        <is>
          <t>Caminhos — 06.3</t>
        </is>
      </c>
      <c r="AT5" s="7" t="inlineStr">
        <is>
          <t>Sim/Não — convenção da planilha</t>
        </is>
      </c>
      <c r="AU5" s="7" t="inlineStr">
        <is>
          <t>Ser racional? — 23.5</t>
        </is>
      </c>
      <c r="AV5" s="7" t="inlineStr">
        <is>
          <t>Facção ou origem — 27.16</t>
        </is>
      </c>
      <c r="AW5" s="7" t="inlineStr">
        <is>
          <t>Criaturas do bestiário — 28.11</t>
        </is>
      </c>
      <c r="AX5" s="7" t="inlineStr">
        <is>
          <t>Faixa (filtro) — 28.1</t>
        </is>
      </c>
      <c r="AY5" s="7" t="inlineStr">
        <is>
          <t>Tipo (filtro) — 28.1</t>
        </is>
      </c>
      <c r="AZ5" s="7" t="inlineStr">
        <is>
          <t>Fraqueza (filtro) — 20.1</t>
        </is>
      </c>
      <c r="BA5" s="7" t="inlineStr">
        <is>
          <t>Facção (filtro) — 28.11</t>
        </is>
      </c>
      <c r="BB5" s="7" t="inlineStr">
        <is>
          <t>Ambiente (filtro) — Sugestão da planilha (H8)</t>
        </is>
      </c>
      <c r="BC5" s="7" t="inlineStr">
        <is>
          <t>Ambiente (encontro aleatório) — Sugestão da planilha (H8)</t>
        </is>
      </c>
      <c r="BD5" s="7" t="inlineStr">
        <is>
          <t>Composição — 27.4</t>
        </is>
      </c>
      <c r="BE5" s="7" t="inlineStr">
        <is>
          <t>Carregar encontro — 6.10</t>
        </is>
      </c>
      <c r="BF5" s="7" t="inlineStr">
        <is>
          <t>Surpresa — 19.3</t>
        </is>
      </c>
      <c r="BG5" s="7" t="inlineStr">
        <is>
          <t>Condição (Combate) — 21.5</t>
        </is>
      </c>
      <c r="BH5" s="7" t="inlineStr">
        <is>
          <t>Condição (ação de inimigo) — 21.5 e 28.4</t>
        </is>
      </c>
      <c r="BI5" s="7" t="inlineStr">
        <is>
          <t>Fonte do dano — 20.3</t>
        </is>
      </c>
      <c r="BJ5" s="7" t="inlineStr">
        <is>
          <t>Tipo de ação — 28.4</t>
        </is>
      </c>
      <c r="BK5" s="7" t="inlineStr">
        <is>
          <t>Alcances — 18.3</t>
        </is>
      </c>
      <c r="BL5" s="7" t="inlineStr">
        <is>
          <t>Testes de Resistência — 04.6</t>
        </is>
      </c>
      <c r="BM5" s="7" t="inlineStr">
        <is>
          <t>Raça (NPC) — 05</t>
        </is>
      </c>
      <c r="BN5" s="7" t="inlineStr">
        <is>
          <t>Caminho (NPC) — 06.3 e 27.12</t>
        </is>
      </c>
      <c r="BO5" s="7" t="inlineStr">
        <is>
          <t>Papel do NPC — 6.6</t>
        </is>
      </c>
      <c r="BP5" s="7" t="inlineStr">
        <is>
          <t>Caminho (Elenco) — 06.3 e 27.12</t>
        </is>
      </c>
      <c r="BQ5" s="7" t="inlineStr">
        <is>
          <t>Papel (Elenco) — 6.6</t>
        </is>
      </c>
      <c r="BR5" s="7" t="inlineStr">
        <is>
          <t>Bloco de combate do NPC — 28.3</t>
        </is>
      </c>
      <c r="BS5" s="7" t="inlineStr">
        <is>
          <t>Tipo do bloco — 28.1</t>
        </is>
      </c>
      <c r="BT5" s="7" t="inlineStr">
        <is>
          <t>Leitura do encontro — 27.4 (H6)</t>
        </is>
      </c>
      <c r="BU5" s="7" t="inlineStr">
        <is>
          <t>O que aconteceu — 26.1 e 27.8</t>
        </is>
      </c>
    </row>
    <row r="6">
      <c r="A6" s="7" t="inlineStr">
        <is>
          <t>Índice</t>
        </is>
      </c>
      <c r="B6" s="7" t="inlineStr">
        <is>
          <t>Faixa</t>
        </is>
      </c>
      <c r="C6" s="7" t="inlineStr">
        <is>
          <t>Nível de referência</t>
        </is>
      </c>
      <c r="D6" s="7" t="inlineStr">
        <is>
          <t>Primeiro nível</t>
        </is>
      </c>
      <c r="E6" s="7" t="inlineStr">
        <is>
          <t>Último nível</t>
        </is>
      </c>
      <c r="F6" s="7" t="inlineStr">
        <is>
          <t>Eficiência do inimigo</t>
        </is>
      </c>
      <c r="AN6" s="4" t="inlineStr">
        <is>
          <t>Físico</t>
        </is>
      </c>
      <c r="AO6" s="4" t="inlineStr">
        <is>
          <t>Comum</t>
        </is>
      </c>
      <c r="AP6" s="4" t="inlineStr">
        <is>
          <t>Faixa 1-4</t>
        </is>
      </c>
      <c r="AQ6" s="4" t="inlineStr">
        <is>
          <t>Faixa do livro</t>
        </is>
      </c>
      <c r="AR6" s="4" t="inlineStr">
        <is>
          <t>Humano</t>
        </is>
      </c>
      <c r="AS6" s="4" t="inlineStr">
        <is>
          <t>A Destruição</t>
        </is>
      </c>
      <c r="AT6" s="4" t="inlineStr">
        <is>
          <t>Sim</t>
        </is>
      </c>
      <c r="AU6" s="4" t="inlineStr">
        <is>
          <t>Pode Executar</t>
        </is>
      </c>
      <c r="AV6" s="4" t="inlineStr">
        <is>
          <t>Legião da Antimatéria</t>
        </is>
      </c>
      <c r="AW6" s="4" t="inlineStr">
        <is>
          <t>Casco Oco</t>
        </is>
      </c>
      <c r="AX6" s="4" t="inlineStr">
        <is>
          <t>Todas</t>
        </is>
      </c>
      <c r="AY6" s="4" t="inlineStr">
        <is>
          <t>Todos</t>
        </is>
      </c>
      <c r="AZ6" s="4" t="inlineStr">
        <is>
          <t>Qualquer</t>
        </is>
      </c>
      <c r="BA6" s="4" t="inlineStr">
        <is>
          <t>Todas</t>
        </is>
      </c>
      <c r="BB6" s="4" t="inlineStr">
        <is>
          <t>Todos</t>
        </is>
      </c>
      <c r="BC6" s="4" t="inlineStr">
        <is>
          <t>Qualquer</t>
        </is>
      </c>
      <c r="BD6" s="4" t="inlineStr">
        <is>
          <t>Sortear</t>
        </is>
      </c>
      <c r="BE6" s="4" t="inlineStr">
        <is>
          <t>Nenhum</t>
        </is>
      </c>
      <c r="BF6" s="4" t="inlineStr">
        <is>
          <t>Ninguém</t>
        </is>
      </c>
      <c r="BG6" s="4" t="inlineStr">
        <is>
          <t>Sangramento</t>
        </is>
      </c>
      <c r="BH6" s="4" t="inlineStr">
        <is>
          <t>Sangramento</t>
        </is>
      </c>
      <c r="BI6" s="4" t="inlineStr">
        <is>
          <t>Ataque Básico</t>
        </is>
      </c>
      <c r="BJ6" s="4" t="inlineStr">
        <is>
          <t>Ataque normal</t>
        </is>
      </c>
      <c r="BK6" s="4" t="inlineStr">
        <is>
          <t>Pessoal</t>
        </is>
      </c>
      <c r="BL6" s="4" t="inlineStr">
        <is>
          <t>Potência Física</t>
        </is>
      </c>
      <c r="BM6" s="4" t="inlineStr">
        <is>
          <t>Sortear</t>
        </is>
      </c>
      <c r="BN6" s="4" t="inlineStr">
        <is>
          <t>Sortear</t>
        </is>
      </c>
      <c r="BO6" s="4" t="inlineStr">
        <is>
          <t>Sortear</t>
        </is>
      </c>
      <c r="BP6" s="4" t="inlineStr">
        <is>
          <t>A Destruição</t>
        </is>
      </c>
      <c r="BQ6" s="4" t="inlineStr">
        <is>
          <t>Aliado</t>
        </is>
      </c>
      <c r="BR6" s="4" t="inlineStr">
        <is>
          <t>Nenhum</t>
        </is>
      </c>
      <c r="BS6" s="4" t="inlineStr">
        <is>
          <t>Comum</t>
        </is>
      </c>
      <c r="BT6" s="4" t="inlineStr">
        <is>
          <t>Passagem</t>
        </is>
      </c>
      <c r="BU6" s="4" t="inlineStr">
        <is>
          <t>Subiu de nível</t>
        </is>
      </c>
    </row>
    <row r="7" ht="26" customHeight="1">
      <c r="A7" s="32" t="n">
        <v>1</v>
      </c>
      <c r="B7" s="4" t="inlineStr">
        <is>
          <t>1-4</t>
        </is>
      </c>
      <c r="C7" s="4" t="n">
        <v>3</v>
      </c>
      <c r="D7" s="4" t="n">
        <v>1</v>
      </c>
      <c r="E7" s="4" t="n">
        <v>4</v>
      </c>
      <c r="F7" s="4" t="n">
        <v>2</v>
      </c>
      <c r="AN7" s="4" t="inlineStr">
        <is>
          <t>Fogo</t>
        </is>
      </c>
      <c r="AO7" s="4" t="inlineStr">
        <is>
          <t>Elite</t>
        </is>
      </c>
      <c r="AP7" s="4" t="inlineStr">
        <is>
          <t>Faixa 5-8</t>
        </is>
      </c>
      <c r="AQ7" s="4" t="inlineStr">
        <is>
          <t>Por nível — Sugestão</t>
        </is>
      </c>
      <c r="AR7" s="4" t="inlineStr">
        <is>
          <t>Xianzhouíta</t>
        </is>
      </c>
      <c r="AS7" s="4" t="inlineStr">
        <is>
          <t>A Inexistência</t>
        </is>
      </c>
      <c r="AT7" s="4" t="inlineStr">
        <is>
          <t>Não</t>
        </is>
      </c>
      <c r="AU7" s="4" t="inlineStr">
        <is>
          <t>Não Executa</t>
        </is>
      </c>
      <c r="AV7" s="4" t="inlineStr">
        <is>
          <t>Corporação da Paz Interastral</t>
        </is>
      </c>
      <c r="AW7" s="4" t="inlineStr">
        <is>
          <t>Larva Fuliginosa</t>
        </is>
      </c>
      <c r="AX7" s="4" t="inlineStr">
        <is>
          <t>Faixa 1-4</t>
        </is>
      </c>
      <c r="AY7" s="4" t="inlineStr">
        <is>
          <t>Comum</t>
        </is>
      </c>
      <c r="AZ7" s="4" t="inlineStr">
        <is>
          <t>Físico</t>
        </is>
      </c>
      <c r="BA7" s="4" t="inlineStr">
        <is>
          <t>Fragmentum</t>
        </is>
      </c>
      <c r="BB7" s="4" t="inlineStr">
        <is>
          <t>Colônia ou mina abandonada</t>
        </is>
      </c>
      <c r="BC7" s="4" t="inlineStr">
        <is>
          <t>Colônia ou mina abandonada</t>
        </is>
      </c>
      <c r="BD7" s="4" t="inlineStr">
        <is>
          <t>1 Boss + 1 Comum</t>
        </is>
      </c>
      <c r="BE7" s="4" t="inlineStr">
        <is>
          <t>A</t>
        </is>
      </c>
      <c r="BF7" s="4" t="inlineStr">
        <is>
          <t>Grupo surpreendido</t>
        </is>
      </c>
      <c r="BG7" s="4" t="inlineStr">
        <is>
          <t>Queimadura</t>
        </is>
      </c>
      <c r="BH7" s="4" t="inlineStr">
        <is>
          <t>Queimadura</t>
        </is>
      </c>
      <c r="BI7" s="4" t="inlineStr">
        <is>
          <t>Habilidade de Nível 1</t>
        </is>
      </c>
      <c r="BJ7" s="4" t="inlineStr">
        <is>
          <t>Especial de dano 1 alvo (até 1,5×)</t>
        </is>
      </c>
      <c r="BK7" s="4" t="inlineStr">
        <is>
          <t>Curta</t>
        </is>
      </c>
      <c r="BL7" s="4" t="inlineStr">
        <is>
          <t>Reflexos</t>
        </is>
      </c>
      <c r="BM7" s="4" t="inlineStr">
        <is>
          <t>Humano</t>
        </is>
      </c>
      <c r="BN7" s="4" t="inlineStr">
        <is>
          <t>A Destruição</t>
        </is>
      </c>
      <c r="BO7" s="4" t="inlineStr">
        <is>
          <t>Aliado</t>
        </is>
      </c>
      <c r="BP7" s="4" t="inlineStr">
        <is>
          <t>A Inexistência</t>
        </is>
      </c>
      <c r="BQ7" s="4" t="inlineStr">
        <is>
          <t>Contratante</t>
        </is>
      </c>
      <c r="BR7" s="4" t="inlineStr">
        <is>
          <t>Faixa 1-4</t>
        </is>
      </c>
      <c r="BS7" s="4" t="inlineStr">
        <is>
          <t>Elite</t>
        </is>
      </c>
      <c r="BT7" s="4" t="inlineStr">
        <is>
          <t>Típico</t>
        </is>
      </c>
      <c r="BU7" s="4" t="inlineStr">
        <is>
          <t>Entrou em faixa nova</t>
        </is>
      </c>
    </row>
    <row r="8" ht="26" customHeight="1">
      <c r="A8" s="33" t="n">
        <v>2</v>
      </c>
      <c r="B8" s="9" t="inlineStr">
        <is>
          <t>5-8</t>
        </is>
      </c>
      <c r="C8" s="9" t="n">
        <v>7</v>
      </c>
      <c r="D8" s="9" t="n">
        <v>5</v>
      </c>
      <c r="E8" s="9" t="n">
        <v>8</v>
      </c>
      <c r="F8" s="9" t="n">
        <v>4</v>
      </c>
      <c r="AN8" s="4" t="inlineStr">
        <is>
          <t>Gelo</t>
        </is>
      </c>
      <c r="AO8" s="4" t="inlineStr">
        <is>
          <t>Boss</t>
        </is>
      </c>
      <c r="AP8" s="4" t="inlineStr">
        <is>
          <t>Faixa 9-12</t>
        </is>
      </c>
      <c r="AQ8" s="4" t="inlineStr">
        <is>
          <t>Ajustar do bestiário</t>
        </is>
      </c>
      <c r="AR8" s="4" t="inlineStr">
        <is>
          <t>Vidyadhara</t>
        </is>
      </c>
      <c r="AS8" s="4" t="inlineStr">
        <is>
          <t>A Harmonia</t>
        </is>
      </c>
      <c r="AV8" s="4" t="inlineStr">
        <is>
          <t>Aliança Xianzhou</t>
        </is>
      </c>
      <c r="AW8" s="4" t="inlineStr">
        <is>
          <t>Esporo Rancoroso</t>
        </is>
      </c>
      <c r="AX8" s="4" t="inlineStr">
        <is>
          <t>Faixa 5-8</t>
        </is>
      </c>
      <c r="AY8" s="4" t="inlineStr">
        <is>
          <t>Elite</t>
        </is>
      </c>
      <c r="AZ8" s="4" t="inlineStr">
        <is>
          <t>Fogo</t>
        </is>
      </c>
      <c r="BA8" s="4" t="inlineStr">
        <is>
          <t>Legião da Antimatéria</t>
        </is>
      </c>
      <c r="BB8" s="4" t="inlineStr">
        <is>
          <t>Ruína</t>
        </is>
      </c>
      <c r="BC8" s="4" t="inlineStr">
        <is>
          <t>Ruína</t>
        </is>
      </c>
      <c r="BD8" s="4" t="inlineStr">
        <is>
          <t>1 Elite + 4 Comuns</t>
        </is>
      </c>
      <c r="BE8" s="4" t="inlineStr">
        <is>
          <t>B</t>
        </is>
      </c>
      <c r="BF8" s="4" t="inlineStr">
        <is>
          <t>Inimigos surpreendidos</t>
        </is>
      </c>
      <c r="BG8" s="4" t="inlineStr">
        <is>
          <t>Choque</t>
        </is>
      </c>
      <c r="BH8" s="4" t="inlineStr">
        <is>
          <t>Choque</t>
        </is>
      </c>
      <c r="BI8" s="4" t="inlineStr">
        <is>
          <t>Habilidade de Nível 2</t>
        </is>
      </c>
      <c r="BJ8" s="4" t="inlineStr">
        <is>
          <t>Especial de dano 2–3 alvos (dano cheio por alvo)</t>
        </is>
      </c>
      <c r="BK8" s="4" t="inlineStr">
        <is>
          <t>Média</t>
        </is>
      </c>
      <c r="BL8" s="4" t="inlineStr">
        <is>
          <t>Resistência Física</t>
        </is>
      </c>
      <c r="BM8" s="4" t="inlineStr">
        <is>
          <t>Xianzhouíta</t>
        </is>
      </c>
      <c r="BN8" s="4" t="inlineStr">
        <is>
          <t>A Inexistência</t>
        </is>
      </c>
      <c r="BO8" s="4" t="inlineStr">
        <is>
          <t>Contratante</t>
        </is>
      </c>
      <c r="BP8" s="4" t="inlineStr">
        <is>
          <t>A Harmonia</t>
        </is>
      </c>
      <c r="BQ8" s="4" t="inlineStr">
        <is>
          <t>Rival</t>
        </is>
      </c>
      <c r="BR8" s="4" t="inlineStr">
        <is>
          <t>Faixa 5-8</t>
        </is>
      </c>
      <c r="BT8" s="4" t="inlineStr">
        <is>
          <t>Pesado</t>
        </is>
      </c>
      <c r="BU8" s="4" t="inlineStr">
        <is>
          <t>Fim de arco</t>
        </is>
      </c>
    </row>
    <row r="9">
      <c r="A9" s="32" t="n">
        <v>3</v>
      </c>
      <c r="B9" s="4" t="inlineStr">
        <is>
          <t>9-12</t>
        </is>
      </c>
      <c r="C9" s="4" t="n">
        <v>11</v>
      </c>
      <c r="D9" s="4" t="n">
        <v>9</v>
      </c>
      <c r="E9" s="4" t="n">
        <v>12</v>
      </c>
      <c r="F9" s="4" t="n">
        <v>5</v>
      </c>
      <c r="AN9" s="4" t="inlineStr">
        <is>
          <t>Raio</t>
        </is>
      </c>
      <c r="AP9" s="4" t="inlineStr">
        <is>
          <t>Faixa 13-16</t>
        </is>
      </c>
      <c r="AR9" s="4" t="inlineStr">
        <is>
          <t>Vulpes</t>
        </is>
      </c>
      <c r="AS9" s="4" t="inlineStr">
        <is>
          <t>A Abundância</t>
        </is>
      </c>
      <c r="AV9" s="4" t="inlineStr">
        <is>
          <t>Caçadores de Stellaron</t>
        </is>
      </c>
      <c r="AW9" s="4" t="inlineStr">
        <is>
          <t>Peão da Antimatéria</t>
        </is>
      </c>
      <c r="AX9" s="4" t="inlineStr">
        <is>
          <t>Faixa 9-12</t>
        </is>
      </c>
      <c r="AY9" s="4" t="inlineStr">
        <is>
          <t>Boss</t>
        </is>
      </c>
      <c r="AZ9" s="4" t="inlineStr">
        <is>
          <t>Gelo</t>
        </is>
      </c>
      <c r="BA9" s="4" t="inlineStr">
        <is>
          <t>Autômato</t>
        </is>
      </c>
      <c r="BB9" s="4" t="inlineStr">
        <is>
          <t>Frente de guerra</t>
        </is>
      </c>
      <c r="BC9" s="4" t="inlineStr">
        <is>
          <t>Frente de guerra</t>
        </is>
      </c>
      <c r="BD9" s="4" t="inlineStr">
        <is>
          <t>3 Elites</t>
        </is>
      </c>
      <c r="BE9" s="4" t="inlineStr">
        <is>
          <t>C</t>
        </is>
      </c>
      <c r="BG9" s="4" t="inlineStr">
        <is>
          <t>Cisalhamento de Vento</t>
        </is>
      </c>
      <c r="BH9" s="4" t="inlineStr">
        <is>
          <t>Cisalhamento de Vento</t>
        </is>
      </c>
      <c r="BI9" s="4" t="inlineStr">
        <is>
          <t>Habilidade de Nível 3</t>
        </is>
      </c>
      <c r="BJ9" s="4" t="inlineStr">
        <is>
          <t>Especial de controle</t>
        </is>
      </c>
      <c r="BK9" s="4" t="inlineStr">
        <is>
          <t>Longa</t>
        </is>
      </c>
      <c r="BL9" s="4" t="inlineStr">
        <is>
          <t>Resistência Mental</t>
        </is>
      </c>
      <c r="BM9" s="4" t="inlineStr">
        <is>
          <t>Vidyadhara</t>
        </is>
      </c>
      <c r="BN9" s="4" t="inlineStr">
        <is>
          <t>A Harmonia</t>
        </is>
      </c>
      <c r="BO9" s="4" t="inlineStr">
        <is>
          <t>Rival</t>
        </is>
      </c>
      <c r="BP9" s="4" t="inlineStr">
        <is>
          <t>A Abundância</t>
        </is>
      </c>
      <c r="BQ9" s="4" t="inlineStr">
        <is>
          <t>Neutro</t>
        </is>
      </c>
      <c r="BR9" s="4" t="inlineStr">
        <is>
          <t>Faixa 9-12</t>
        </is>
      </c>
    </row>
    <row r="10" ht="26" customHeight="1">
      <c r="A10" s="33" t="n">
        <v>4</v>
      </c>
      <c r="B10" s="9" t="inlineStr">
        <is>
          <t>13-16</t>
        </is>
      </c>
      <c r="C10" s="9" t="n">
        <v>15</v>
      </c>
      <c r="D10" s="9" t="n">
        <v>13</v>
      </c>
      <c r="E10" s="9" t="n">
        <v>16</v>
      </c>
      <c r="F10" s="9" t="n">
        <v>6</v>
      </c>
      <c r="AN10" s="4" t="inlineStr">
        <is>
          <t>Vento</t>
        </is>
      </c>
      <c r="AP10" s="4" t="inlineStr">
        <is>
          <t>Faixa 17-20</t>
        </is>
      </c>
      <c r="AR10" s="4" t="inlineStr">
        <is>
          <t>Haloviano</t>
        </is>
      </c>
      <c r="AS10" s="4" t="inlineStr">
        <is>
          <t>A Recordação</t>
        </is>
      </c>
      <c r="AV10" s="4" t="inlineStr">
        <is>
          <t>Tolos Mascarados</t>
        </is>
      </c>
      <c r="AW10" s="4" t="inlineStr">
        <is>
          <t>Sentinela Enferrujada</t>
        </is>
      </c>
      <c r="AX10" s="4" t="inlineStr">
        <is>
          <t>Faixa 13-16</t>
        </is>
      </c>
      <c r="AZ10" s="4" t="inlineStr">
        <is>
          <t>Raio</t>
        </is>
      </c>
      <c r="BA10" s="4" t="inlineStr">
        <is>
          <t>Corporação da Paz Interastral</t>
        </is>
      </c>
      <c r="BB10" s="4" t="inlineStr">
        <is>
          <t>Lua-forja</t>
        </is>
      </c>
      <c r="BC10" s="4" t="inlineStr">
        <is>
          <t>Lua-forja</t>
        </is>
      </c>
      <c r="BD10" s="4" t="inlineStr">
        <is>
          <t>7 Comuns</t>
        </is>
      </c>
      <c r="BE10" s="4" t="inlineStr">
        <is>
          <t>Aleatório</t>
        </is>
      </c>
      <c r="BG10" s="4" t="inlineStr">
        <is>
          <t>Embaraço</t>
        </is>
      </c>
      <c r="BH10" s="4" t="inlineStr">
        <is>
          <t>Embaraço</t>
        </is>
      </c>
      <c r="BI10" s="4" t="inlineStr">
        <is>
          <t>Habilidade de Nível 4</t>
        </is>
      </c>
      <c r="BJ10" s="4" t="inlineStr">
        <is>
          <t>Reação</t>
        </is>
      </c>
      <c r="BK10" s="4" t="inlineStr">
        <is>
          <t>Extrema</t>
        </is>
      </c>
      <c r="BL10" s="4" t="inlineStr">
        <is>
          <t>Percepção Mental</t>
        </is>
      </c>
      <c r="BM10" s="4" t="inlineStr">
        <is>
          <t>Vulpes</t>
        </is>
      </c>
      <c r="BN10" s="4" t="inlineStr">
        <is>
          <t>A Abundância</t>
        </is>
      </c>
      <c r="BO10" s="4" t="inlineStr">
        <is>
          <t>Neutro</t>
        </is>
      </c>
      <c r="BP10" s="4" t="inlineStr">
        <is>
          <t>A Recordação</t>
        </is>
      </c>
      <c r="BQ10" s="4" t="inlineStr">
        <is>
          <t>Informante</t>
        </is>
      </c>
      <c r="BR10" s="4" t="inlineStr">
        <is>
          <t>Faixa 13-16</t>
        </is>
      </c>
    </row>
    <row r="11">
      <c r="A11" s="32" t="n">
        <v>5</v>
      </c>
      <c r="B11" s="4" t="inlineStr">
        <is>
          <t>17-20</t>
        </is>
      </c>
      <c r="C11" s="4" t="n">
        <v>19</v>
      </c>
      <c r="D11" s="4" t="n">
        <v>17</v>
      </c>
      <c r="E11" s="4" t="n">
        <v>20</v>
      </c>
      <c r="F11" s="4" t="n">
        <v>8</v>
      </c>
      <c r="AN11" s="4" t="inlineStr">
        <is>
          <t>Quântico</t>
        </is>
      </c>
      <c r="AR11" s="4" t="inlineStr">
        <is>
          <t>Avginiano</t>
        </is>
      </c>
      <c r="AS11" s="4" t="inlineStr">
        <is>
          <t>A Erudição</t>
        </is>
      </c>
      <c r="AV11" s="4" t="inlineStr">
        <is>
          <t>Cavaleiros da Beleza</t>
        </is>
      </c>
      <c r="AW11" s="4" t="inlineStr">
        <is>
          <t>Capataz Oco</t>
        </is>
      </c>
      <c r="AX11" s="4" t="inlineStr">
        <is>
          <t>Faixa 17-20</t>
        </is>
      </c>
      <c r="AZ11" s="4" t="inlineStr">
        <is>
          <t>Vento</t>
        </is>
      </c>
      <c r="BA11" s="4" t="inlineStr">
        <is>
          <t>Culto da Inexistência</t>
        </is>
      </c>
      <c r="BB11" s="4" t="inlineStr">
        <is>
          <t>Estação</t>
        </is>
      </c>
      <c r="BC11" s="4" t="inlineStr">
        <is>
          <t>Estação</t>
        </is>
      </c>
      <c r="BG11" s="4" t="inlineStr">
        <is>
          <t>Aprisionamento</t>
        </is>
      </c>
      <c r="BH11" s="4" t="inlineStr">
        <is>
          <t>Aprisionamento</t>
        </is>
      </c>
      <c r="BI11" s="4" t="inlineStr">
        <is>
          <t>Habilidade de Nível 5</t>
        </is>
      </c>
      <c r="BL11" s="4" t="inlineStr">
        <is>
          <t>Força de Vontade</t>
        </is>
      </c>
      <c r="BM11" s="4" t="inlineStr">
        <is>
          <t>Haloviano</t>
        </is>
      </c>
      <c r="BN11" s="4" t="inlineStr">
        <is>
          <t>A Recordação</t>
        </is>
      </c>
      <c r="BO11" s="4" t="inlineStr">
        <is>
          <t>Informante</t>
        </is>
      </c>
      <c r="BP11" s="4" t="inlineStr">
        <is>
          <t>A Erudição</t>
        </is>
      </c>
      <c r="BQ11" s="4" t="inlineStr">
        <is>
          <t>Vítima</t>
        </is>
      </c>
      <c r="BR11" s="4" t="inlineStr">
        <is>
          <t>Faixa 17-20</t>
        </is>
      </c>
    </row>
    <row r="12">
      <c r="AN12" s="4" t="inlineStr">
        <is>
          <t>Imaginário</t>
        </is>
      </c>
      <c r="AR12" s="4" t="inlineStr">
        <is>
          <t>Intellitron</t>
        </is>
      </c>
      <c r="AS12" s="4" t="inlineStr">
        <is>
          <t>A Euforia</t>
        </is>
      </c>
      <c r="AV12" s="4" t="inlineStr">
        <is>
          <t>Culto da Inexistência</t>
        </is>
      </c>
      <c r="AW12" s="4" t="inlineStr">
        <is>
          <t>Sargento de Trincheira</t>
        </is>
      </c>
      <c r="AZ12" s="4" t="inlineStr">
        <is>
          <t>Quântico</t>
        </is>
      </c>
      <c r="BA12" s="4" t="inlineStr">
        <is>
          <t>Aliança Xianzhou</t>
        </is>
      </c>
      <c r="BB12" s="4" t="inlineStr">
        <is>
          <t>Cidade corporativa</t>
        </is>
      </c>
      <c r="BC12" s="4" t="inlineStr">
        <is>
          <t>Cidade corporativa</t>
        </is>
      </c>
      <c r="BG12" s="4" t="inlineStr">
        <is>
          <t>Congelado</t>
        </is>
      </c>
      <c r="BH12" s="4" t="inlineStr">
        <is>
          <t>Congelado</t>
        </is>
      </c>
      <c r="BI12" s="4" t="inlineStr">
        <is>
          <t>Habilidade de Nível 6</t>
        </is>
      </c>
      <c r="BM12" s="4" t="inlineStr">
        <is>
          <t>Avginiano</t>
        </is>
      </c>
      <c r="BN12" s="4" t="inlineStr">
        <is>
          <t>A Erudição</t>
        </is>
      </c>
      <c r="BO12" s="4" t="inlineStr">
        <is>
          <t>Vítima</t>
        </is>
      </c>
      <c r="BP12" s="4" t="inlineStr">
        <is>
          <t>A Euforia</t>
        </is>
      </c>
      <c r="BQ12" s="4" t="inlineStr">
        <is>
          <t>Antagonista</t>
        </is>
      </c>
      <c r="BR12" s="4" t="inlineStr">
        <is>
          <t>Do grupo</t>
        </is>
      </c>
    </row>
    <row r="13" ht="32" customHeight="1">
      <c r="A13" s="47" t="inlineStr">
        <is>
          <t>Eficiência por nível — 26.2 (02.3)</t>
        </is>
      </c>
      <c r="B13" s="48" t="n"/>
      <c r="AS13" s="4" t="inlineStr">
        <is>
          <t>A Caça</t>
        </is>
      </c>
      <c r="AV13" s="4" t="inlineStr">
        <is>
          <t>Autômatos</t>
        </is>
      </c>
      <c r="AW13" s="4" t="inlineStr">
        <is>
          <t>O Afogado do Poço Sete</t>
        </is>
      </c>
      <c r="AZ13" s="4" t="inlineStr">
        <is>
          <t>Imaginário</t>
        </is>
      </c>
      <c r="BA13" s="4" t="inlineStr">
        <is>
          <t>Tolos Mascarados</t>
        </is>
      </c>
      <c r="BB13" s="4" t="inlineStr">
        <is>
          <t>Nave-cidade</t>
        </is>
      </c>
      <c r="BC13" s="4" t="inlineStr">
        <is>
          <t>Nave-cidade</t>
        </is>
      </c>
      <c r="BG13" s="4" t="inlineStr">
        <is>
          <t>Lentidão</t>
        </is>
      </c>
      <c r="BH13" s="4" t="inlineStr">
        <is>
          <t>Lentidão</t>
        </is>
      </c>
      <c r="BI13" s="4" t="inlineStr">
        <is>
          <t>Habilidade de Nível 7</t>
        </is>
      </c>
      <c r="BM13" s="4" t="inlineStr">
        <is>
          <t>Intellitron</t>
        </is>
      </c>
      <c r="BN13" s="4" t="inlineStr">
        <is>
          <t>A Euforia</t>
        </is>
      </c>
      <c r="BO13" s="4" t="inlineStr">
        <is>
          <t>Antagonista</t>
        </is>
      </c>
      <c r="BP13" s="4" t="inlineStr">
        <is>
          <t>A Caça</t>
        </is>
      </c>
    </row>
    <row r="14">
      <c r="A14" s="7" t="inlineStr">
        <is>
          <t>Nível</t>
        </is>
      </c>
      <c r="B14" s="7" t="inlineStr">
        <is>
          <t>Eficiência</t>
        </is>
      </c>
      <c r="AS14" s="4" t="inlineStr">
        <is>
          <t>A Preservação</t>
        </is>
      </c>
      <c r="AV14" s="4" t="inlineStr">
        <is>
          <t>Fragmentum</t>
        </is>
      </c>
      <c r="AW14" s="4" t="inlineStr">
        <is>
          <t>Fuzileiro da Legião</t>
        </is>
      </c>
      <c r="BA14" s="4" t="inlineStr">
        <is>
          <t>Xianzhou</t>
        </is>
      </c>
      <c r="BB14" s="4" t="inlineStr">
        <is>
          <t>Teatro, festa ou multidão</t>
        </is>
      </c>
      <c r="BC14" s="4" t="inlineStr">
        <is>
          <t>Teatro, festa ou multidão</t>
        </is>
      </c>
      <c r="BG14" s="4" t="inlineStr">
        <is>
          <t>Marcado</t>
        </is>
      </c>
      <c r="BH14" s="4" t="inlineStr">
        <is>
          <t>Marcado</t>
        </is>
      </c>
      <c r="BI14" s="4" t="inlineStr">
        <is>
          <t>Ultimate</t>
        </is>
      </c>
      <c r="BN14" s="4" t="inlineStr">
        <is>
          <t>A Caça</t>
        </is>
      </c>
      <c r="BP14" s="4" t="inlineStr">
        <is>
          <t>A Preservação</t>
        </is>
      </c>
    </row>
    <row r="15" ht="26" customHeight="1">
      <c r="A15" s="32" t="n">
        <v>1</v>
      </c>
      <c r="B15" s="4" t="n">
        <v>2</v>
      </c>
      <c r="AV15" s="4" t="inlineStr">
        <is>
          <t>Stellaron</t>
        </is>
      </c>
      <c r="AW15" s="4" t="inlineStr">
        <is>
          <t>Dron de Vigilância Pacificadora</t>
        </is>
      </c>
      <c r="BA15" s="4" t="inlineStr">
        <is>
          <t>Cavaleiros da Beleza</t>
        </is>
      </c>
      <c r="BB15" s="4" t="inlineStr">
        <is>
          <t>Clínica ou ateliê</t>
        </is>
      </c>
      <c r="BC15" s="4" t="inlineStr">
        <is>
          <t>Clínica ou ateliê</t>
        </is>
      </c>
      <c r="BG15" s="4" t="inlineStr">
        <is>
          <t>Silenciado</t>
        </is>
      </c>
      <c r="BH15" s="4" t="inlineStr">
        <is>
          <t>Silenciado</t>
        </is>
      </c>
      <c r="BI15" s="4" t="inlineStr">
        <is>
          <t>Dano Contínuo</t>
        </is>
      </c>
      <c r="BN15" s="4" t="inlineStr">
        <is>
          <t>A Preservação</t>
        </is>
      </c>
      <c r="BP15" s="4" t="inlineStr">
        <is>
          <t>Nenhum</t>
        </is>
      </c>
    </row>
    <row r="16" ht="26" customHeight="1">
      <c r="A16" s="33" t="n">
        <v>2</v>
      </c>
      <c r="B16" s="9" t="n">
        <v>2</v>
      </c>
      <c r="AV16" s="4" t="inlineStr">
        <is>
          <t>Emanador</t>
        </is>
      </c>
      <c r="AW16" s="4" t="inlineStr">
        <is>
          <t>Devoto do Silêncio</t>
        </is>
      </c>
      <c r="BA16" s="4" t="inlineStr">
        <is>
          <t>Caçadores de Stellaron</t>
        </is>
      </c>
      <c r="BB16" s="4" t="inlineStr">
        <is>
          <t>Qualquer lugar onde o grupo esteja</t>
        </is>
      </c>
      <c r="BC16" s="4" t="inlineStr">
        <is>
          <t>Qualquer lugar onde o grupo esteja</t>
        </is>
      </c>
      <c r="BG16" s="4" t="inlineStr">
        <is>
          <t>Vulnerável</t>
        </is>
      </c>
      <c r="BH16" s="4" t="inlineStr">
        <is>
          <t>Vulnerável</t>
        </is>
      </c>
      <c r="BN16" s="4" t="inlineStr">
        <is>
          <t>Nenhum</t>
        </is>
      </c>
    </row>
    <row r="17">
      <c r="A17" s="32" t="n">
        <v>3</v>
      </c>
      <c r="B17" s="4" t="n">
        <v>2</v>
      </c>
      <c r="AV17" s="4" t="inlineStr">
        <is>
          <t>Outra</t>
        </is>
      </c>
      <c r="AW17" s="4" t="inlineStr">
        <is>
          <t>Centurião Catafracto</t>
        </is>
      </c>
      <c r="BA17" s="4" t="inlineStr">
        <is>
          <t>Autômato de guerra</t>
        </is>
      </c>
      <c r="BB17" s="4" t="inlineStr">
        <is>
          <t>Lugar esvaziado</t>
        </is>
      </c>
      <c r="BC17" s="4" t="inlineStr">
        <is>
          <t>Lugar esvaziado</t>
        </is>
      </c>
      <c r="BG17" s="4" t="inlineStr">
        <is>
          <t>Controlado</t>
        </is>
      </c>
      <c r="BH17" s="4" t="inlineStr">
        <is>
          <t>Controlado</t>
        </is>
      </c>
    </row>
    <row r="18">
      <c r="A18" s="33" t="n">
        <v>4</v>
      </c>
      <c r="B18" s="9" t="n">
        <v>3</v>
      </c>
      <c r="AW18" s="4" t="inlineStr">
        <is>
          <t>Auditora de Risco</t>
        </is>
      </c>
      <c r="BA18" s="4" t="inlineStr">
        <is>
          <t>Stellaron</t>
        </is>
      </c>
      <c r="BB18" s="4" t="inlineStr">
        <is>
          <t>Instalação antiga</t>
        </is>
      </c>
      <c r="BC18" s="4" t="inlineStr">
        <is>
          <t>Instalação antiga</t>
        </is>
      </c>
      <c r="BG18" s="4" t="inlineStr">
        <is>
          <t>Corrupção</t>
        </is>
      </c>
      <c r="BH18" s="4" t="inlineStr">
        <is>
          <t>Corrupção</t>
        </is>
      </c>
    </row>
    <row r="19">
      <c r="A19" s="32" t="n">
        <v>5</v>
      </c>
      <c r="B19" s="4" t="n">
        <v>3</v>
      </c>
      <c r="AW19" s="4" t="inlineStr">
        <is>
          <t>Pretor Vazio-Nove</t>
        </is>
      </c>
      <c r="BA19" s="4" t="inlineStr">
        <is>
          <t>Emanadora da Inexistência</t>
        </is>
      </c>
      <c r="BB19" s="4" t="inlineStr">
        <is>
          <t>Mundo com Stellaron</t>
        </is>
      </c>
      <c r="BC19" s="4" t="inlineStr">
        <is>
          <t>Mundo com Stellaron</t>
        </is>
      </c>
      <c r="BG19" s="4" t="inlineStr">
        <is>
          <t>Surpreso</t>
        </is>
      </c>
    </row>
    <row r="20">
      <c r="A20" s="33" t="n">
        <v>6</v>
      </c>
      <c r="B20" s="9" t="n">
        <v>3</v>
      </c>
      <c r="AW20" s="4" t="inlineStr">
        <is>
          <t>Lanceiro da Frota de Jade</t>
        </is>
      </c>
    </row>
    <row r="21">
      <c r="A21" s="32" t="n">
        <v>7</v>
      </c>
      <c r="B21" s="4" t="n">
        <v>4</v>
      </c>
      <c r="AW21" s="4" t="inlineStr">
        <is>
          <t>Palhaço de Pólvora</t>
        </is>
      </c>
    </row>
    <row r="22">
      <c r="A22" s="33" t="n">
        <v>8</v>
      </c>
      <c r="B22" s="9" t="n">
        <v>4</v>
      </c>
      <c r="AW22" s="4" t="inlineStr">
        <is>
          <t>Centenário Enlouquecido</t>
        </is>
      </c>
    </row>
    <row r="23" ht="26" customHeight="1">
      <c r="A23" s="32" t="n">
        <v>9</v>
      </c>
      <c r="B23" s="4" t="n">
        <v>4</v>
      </c>
      <c r="AW23" s="4" t="inlineStr">
        <is>
          <t>Oficial-Lâmina da Frota de Jade</t>
        </is>
      </c>
    </row>
    <row r="24" ht="26" customHeight="1">
      <c r="A24" s="33" t="n">
        <v>10</v>
      </c>
      <c r="B24" s="9" t="n">
        <v>5</v>
      </c>
      <c r="AW24" s="4" t="inlineStr">
        <is>
          <t>Mestre de Cerimônias Mascarado</t>
        </is>
      </c>
    </row>
    <row r="25">
      <c r="A25" s="32" t="n">
        <v>11</v>
      </c>
      <c r="B25" s="4" t="n">
        <v>5</v>
      </c>
      <c r="AW25" s="4" t="inlineStr">
        <is>
          <t>O Dramaturgo de Mil Faces</t>
        </is>
      </c>
    </row>
    <row r="26">
      <c r="A26" s="33" t="n">
        <v>12</v>
      </c>
      <c r="B26" s="9" t="n">
        <v>5</v>
      </c>
      <c r="AW26" s="4" t="inlineStr">
        <is>
          <t>Noviço da Beleza</t>
        </is>
      </c>
    </row>
    <row r="27" ht="26" customHeight="1">
      <c r="A27" s="32" t="n">
        <v>13</v>
      </c>
      <c r="B27" s="4" t="n">
        <v>6</v>
      </c>
      <c r="AW27" s="4" t="inlineStr">
        <is>
          <t>Operativo de Campo dos Caçadores</t>
        </is>
      </c>
    </row>
    <row r="28">
      <c r="A28" s="33" t="n">
        <v>14</v>
      </c>
      <c r="B28" s="9" t="n">
        <v>6</v>
      </c>
      <c r="AW28" s="4" t="inlineStr">
        <is>
          <t>Autômato Taciturno</t>
        </is>
      </c>
    </row>
    <row r="29">
      <c r="A29" s="32" t="n">
        <v>15</v>
      </c>
      <c r="B29" s="4" t="n">
        <v>6</v>
      </c>
      <c r="AW29" s="4" t="inlineStr">
        <is>
          <t>Escultor de Carne</t>
        </is>
      </c>
    </row>
    <row r="30">
      <c r="A30" s="33" t="n">
        <v>16</v>
      </c>
      <c r="B30" s="9" t="n">
        <v>7</v>
      </c>
      <c r="AW30" s="4" t="inlineStr">
        <is>
          <t>Executora de Contrato</t>
        </is>
      </c>
    </row>
    <row r="31">
      <c r="A31" s="32" t="n">
        <v>17</v>
      </c>
      <c r="B31" s="4" t="n">
        <v>7</v>
      </c>
      <c r="AW31" s="4" t="inlineStr">
        <is>
          <t>Vênia, a Primeira Obra</t>
        </is>
      </c>
    </row>
    <row r="32" ht="26" customHeight="1">
      <c r="A32" s="33" t="n">
        <v>18</v>
      </c>
      <c r="B32" s="9" t="n">
        <v>7</v>
      </c>
      <c r="AW32" s="4" t="inlineStr">
        <is>
          <t>Guarda Pretoriano da Antimatéria</t>
        </is>
      </c>
    </row>
    <row r="33">
      <c r="A33" s="32" t="n">
        <v>19</v>
      </c>
      <c r="B33" s="4" t="n">
        <v>8</v>
      </c>
      <c r="AW33" s="4" t="inlineStr">
        <is>
          <t>Escória de Stellaron</t>
        </is>
      </c>
    </row>
    <row r="34">
      <c r="A34" s="33" t="n">
        <v>20</v>
      </c>
      <c r="B34" s="9" t="n">
        <v>8</v>
      </c>
      <c r="AW34" s="4" t="inlineStr">
        <is>
          <t>Arcanjo de Ferro-Vazio</t>
        </is>
      </c>
    </row>
    <row r="35" ht="26" customHeight="1">
      <c r="AW35" s="4" t="inlineStr">
        <is>
          <t>Arauto da Tempestade Vazia</t>
        </is>
      </c>
    </row>
    <row r="36" ht="46" customHeight="1">
      <c r="A36" s="47" t="inlineStr">
        <is>
          <t>Âncoras do inimigo — 28.3 (com 28.2 regras 3 e 5 e 19.4)</t>
        </is>
      </c>
      <c r="B36" s="48" t="n"/>
      <c r="C36" s="48" t="n"/>
      <c r="D36" s="48" t="n"/>
      <c r="E36" s="48" t="n"/>
      <c r="F36" s="48" t="n"/>
      <c r="G36" s="48" t="n"/>
      <c r="H36" s="48" t="n"/>
      <c r="I36" s="48" t="n"/>
      <c r="J36" s="48" t="n"/>
      <c r="K36" s="48" t="n"/>
      <c r="L36" s="48" t="n"/>
      <c r="M36" s="48" t="n"/>
      <c r="N36" s="48" t="n"/>
      <c r="O36" s="48" t="n"/>
      <c r="P36" s="48" t="n"/>
      <c r="Q36" s="48" t="n"/>
      <c r="R36" s="48" t="n"/>
      <c r="S36" s="48" t="n"/>
      <c r="T36" s="48" t="n"/>
      <c r="U36" s="48" t="n"/>
      <c r="AW36" s="4" t="inlineStr">
        <is>
          <t>O Germe de Pavor</t>
        </is>
      </c>
    </row>
    <row r="37">
      <c r="A37" s="7" t="inlineStr">
        <is>
          <t>Chave</t>
        </is>
      </c>
      <c r="B37" s="7" t="inlineStr">
        <is>
          <t>Faixa</t>
        </is>
      </c>
      <c r="C37" s="7" t="inlineStr">
        <is>
          <t>Tipo</t>
        </is>
      </c>
      <c r="D37" s="7" t="inlineStr">
        <is>
          <t>PV</t>
        </is>
      </c>
      <c r="E37" s="7" t="inlineStr">
        <is>
          <t>Defesa</t>
        </is>
      </c>
      <c r="F37" s="7" t="inlineStr">
        <is>
          <t>RD</t>
        </is>
      </c>
      <c r="G37" s="7" t="inlineStr">
        <is>
          <t>Tenacidade</t>
        </is>
      </c>
      <c r="H37" s="7" t="inlineStr">
        <is>
          <t>VEL</t>
        </is>
      </c>
      <c r="I37" s="7" t="inlineStr">
        <is>
          <t>Ataque</t>
        </is>
      </c>
      <c r="J37" s="7" t="inlineStr">
        <is>
          <t>Dano por acerto</t>
        </is>
      </c>
      <c r="K37" s="7" t="inlineStr">
        <is>
          <t>Média do dano</t>
        </is>
      </c>
      <c r="L37" s="7" t="inlineStr">
        <is>
          <t>DT dos efeitos</t>
        </is>
      </c>
      <c r="M37" s="7" t="inlineStr">
        <is>
          <t>Teste de Resistência</t>
        </is>
      </c>
      <c r="N37" s="7" t="inlineStr">
        <is>
          <t>Nº de Fraquezas</t>
        </is>
      </c>
      <c r="O37" s="7" t="inlineStr">
        <is>
          <t>Fraquezas sugeridas</t>
        </is>
      </c>
      <c r="P37" s="7" t="inlineStr">
        <is>
          <t>Firmeza</t>
        </is>
      </c>
      <c r="Q37" s="7" t="inlineStr">
        <is>
          <t>Ações agressivas</t>
        </is>
      </c>
      <c r="R37" s="7" t="inlineStr">
        <is>
          <t>Teto de Atraso</t>
        </is>
      </c>
      <c r="S37" s="7" t="inlineStr">
        <is>
          <t>Dano especial 1,5×</t>
        </is>
      </c>
      <c r="T37" s="7" t="inlineStr">
        <is>
          <t>Média do especial</t>
        </is>
      </c>
      <c r="U37" s="7" t="inlineStr">
        <is>
          <t>Fonte do especial</t>
        </is>
      </c>
      <c r="AW37" s="4" t="inlineStr">
        <is>
          <t>Vazia Coroada</t>
        </is>
      </c>
    </row>
    <row r="38" ht="26" customHeight="1">
      <c r="A38" s="32" t="inlineStr">
        <is>
          <t>1-4|Comum</t>
        </is>
      </c>
      <c r="B38" s="4" t="inlineStr">
        <is>
          <t>1-4</t>
        </is>
      </c>
      <c r="C38" s="4" t="inlineStr">
        <is>
          <t>Comum</t>
        </is>
      </c>
      <c r="D38" s="4" t="n">
        <v>50</v>
      </c>
      <c r="E38" s="4" t="n">
        <v>13</v>
      </c>
      <c r="F38" s="4" t="n">
        <v>0</v>
      </c>
      <c r="G38" s="4" t="n">
        <v>3</v>
      </c>
      <c r="H38" s="4" t="n">
        <v>11</v>
      </c>
      <c r="I38" s="4" t="n">
        <v>7</v>
      </c>
      <c r="J38" s="4" t="inlineStr">
        <is>
          <t>1d6</t>
        </is>
      </c>
      <c r="K38" s="4" t="n">
        <v>3</v>
      </c>
      <c r="L38" s="4" t="n">
        <v>12</v>
      </c>
      <c r="M38" s="4" t="n">
        <v>1</v>
      </c>
      <c r="N38" s="4" t="inlineStr">
        <is>
          <t>1-2</t>
        </is>
      </c>
      <c r="O38" s="4" t="n">
        <v>2</v>
      </c>
      <c r="P38" s="4" t="inlineStr">
        <is>
          <t>sem Firmeza</t>
        </is>
      </c>
      <c r="Q38" s="4" t="n">
        <v>1</v>
      </c>
      <c r="R38" s="4" t="n">
        <v>3</v>
      </c>
      <c r="S38" s="4" t="inlineStr">
        <is>
          <t>1d6 + 1</t>
        </is>
      </c>
      <c r="T38" s="4" t="n">
        <v>4</v>
      </c>
      <c r="U38" s="4" t="inlineStr">
        <is>
          <t>Sugestão da planilha (H2)</t>
        </is>
      </c>
    </row>
    <row r="39">
      <c r="A39" s="33" t="inlineStr">
        <is>
          <t>1-4|Elite</t>
        </is>
      </c>
      <c r="B39" s="9" t="inlineStr">
        <is>
          <t>1-4</t>
        </is>
      </c>
      <c r="C39" s="9" t="inlineStr">
        <is>
          <t>Elite</t>
        </is>
      </c>
      <c r="D39" s="9" t="n">
        <v>120</v>
      </c>
      <c r="E39" s="9" t="n">
        <v>15</v>
      </c>
      <c r="F39" s="9" t="n">
        <v>2</v>
      </c>
      <c r="G39" s="9" t="n">
        <v>5</v>
      </c>
      <c r="H39" s="9" t="n">
        <v>12</v>
      </c>
      <c r="I39" s="9" t="n">
        <v>7</v>
      </c>
      <c r="J39" s="9" t="inlineStr">
        <is>
          <t>2d6</t>
        </is>
      </c>
      <c r="K39" s="9" t="n">
        <v>7</v>
      </c>
      <c r="L39" s="9" t="n">
        <v>13</v>
      </c>
      <c r="M39" s="9" t="n">
        <v>2</v>
      </c>
      <c r="N39" s="9" t="inlineStr">
        <is>
          <t>3</t>
        </is>
      </c>
      <c r="O39" s="9" t="n">
        <v>3</v>
      </c>
      <c r="P39" s="9" t="inlineStr">
        <is>
          <t>com Firmeza</t>
        </is>
      </c>
      <c r="Q39" s="9" t="n">
        <v>1.5</v>
      </c>
      <c r="R39" s="9" t="n">
        <v>2</v>
      </c>
      <c r="S39" s="9" t="inlineStr">
        <is>
          <t>3d6</t>
        </is>
      </c>
      <c r="T39" s="9" t="n">
        <v>10</v>
      </c>
      <c r="U39" s="9" t="inlineStr">
        <is>
          <t>ficha</t>
        </is>
      </c>
    </row>
    <row r="40">
      <c r="A40" s="32" t="inlineStr">
        <is>
          <t>1-4|Boss</t>
        </is>
      </c>
      <c r="B40" s="4" t="inlineStr">
        <is>
          <t>1-4</t>
        </is>
      </c>
      <c r="C40" s="4" t="inlineStr">
        <is>
          <t>Boss</t>
        </is>
      </c>
      <c r="D40" s="4" t="n">
        <v>305</v>
      </c>
      <c r="E40" s="4" t="n">
        <v>16</v>
      </c>
      <c r="F40" s="4" t="n">
        <v>4</v>
      </c>
      <c r="G40" s="4" t="n">
        <v>10</v>
      </c>
      <c r="H40" s="4" t="n">
        <v>13</v>
      </c>
      <c r="I40" s="4" t="n">
        <v>7</v>
      </c>
      <c r="J40" s="4" t="inlineStr">
        <is>
          <t>3d6</t>
        </is>
      </c>
      <c r="K40" s="4" t="n">
        <v>10</v>
      </c>
      <c r="L40" s="4" t="n">
        <v>14</v>
      </c>
      <c r="M40" s="4" t="n">
        <v>3</v>
      </c>
      <c r="N40" s="4" t="inlineStr">
        <is>
          <t>4</t>
        </is>
      </c>
      <c r="O40" s="4" t="n">
        <v>4</v>
      </c>
      <c r="P40" s="4" t="inlineStr">
        <is>
          <t>com Firmeza</t>
        </is>
      </c>
      <c r="Q40" s="4" t="n">
        <v>2</v>
      </c>
      <c r="R40" s="4" t="n">
        <v>2</v>
      </c>
      <c r="S40" s="4" t="inlineStr">
        <is>
          <t>3d8 + 2</t>
        </is>
      </c>
      <c r="T40" s="4" t="n">
        <v>15</v>
      </c>
      <c r="U40" s="4" t="inlineStr">
        <is>
          <t>ficha</t>
        </is>
      </c>
    </row>
    <row r="41" ht="26" customHeight="1">
      <c r="A41" s="33" t="inlineStr">
        <is>
          <t>5-8|Comum</t>
        </is>
      </c>
      <c r="B41" s="9" t="inlineStr">
        <is>
          <t>5-8</t>
        </is>
      </c>
      <c r="C41" s="9" t="inlineStr">
        <is>
          <t>Comum</t>
        </is>
      </c>
      <c r="D41" s="9" t="n">
        <v>70</v>
      </c>
      <c r="E41" s="9" t="n">
        <v>16</v>
      </c>
      <c r="F41" s="9" t="n">
        <v>0</v>
      </c>
      <c r="G41" s="9" t="n">
        <v>3</v>
      </c>
      <c r="H41" s="9" t="n">
        <v>12</v>
      </c>
      <c r="I41" s="9" t="n">
        <v>9</v>
      </c>
      <c r="J41" s="9" t="inlineStr">
        <is>
          <t>2d6</t>
        </is>
      </c>
      <c r="K41" s="9" t="n">
        <v>7</v>
      </c>
      <c r="L41" s="9" t="n">
        <v>14</v>
      </c>
      <c r="M41" s="9" t="n">
        <v>3</v>
      </c>
      <c r="N41" s="9" t="inlineStr">
        <is>
          <t>1-2</t>
        </is>
      </c>
      <c r="O41" s="9" t="n">
        <v>2</v>
      </c>
      <c r="P41" s="9" t="inlineStr">
        <is>
          <t>sem Firmeza</t>
        </is>
      </c>
      <c r="Q41" s="9" t="n">
        <v>1</v>
      </c>
      <c r="R41" s="9" t="n">
        <v>3</v>
      </c>
      <c r="S41" s="9" t="inlineStr">
        <is>
          <t>2d6 + 3</t>
        </is>
      </c>
      <c r="T41" s="9" t="n">
        <v>10</v>
      </c>
      <c r="U41" s="9" t="inlineStr">
        <is>
          <t>Sugestão da planilha (H2)</t>
        </is>
      </c>
    </row>
    <row r="42">
      <c r="A42" s="32" t="inlineStr">
        <is>
          <t>5-8|Elite</t>
        </is>
      </c>
      <c r="B42" s="4" t="inlineStr">
        <is>
          <t>5-8</t>
        </is>
      </c>
      <c r="C42" s="4" t="inlineStr">
        <is>
          <t>Elite</t>
        </is>
      </c>
      <c r="D42" s="4" t="n">
        <v>160</v>
      </c>
      <c r="E42" s="4" t="n">
        <v>18</v>
      </c>
      <c r="F42" s="4" t="n">
        <v>2</v>
      </c>
      <c r="G42" s="4" t="n">
        <v>6</v>
      </c>
      <c r="H42" s="4" t="n">
        <v>13</v>
      </c>
      <c r="I42" s="4" t="n">
        <v>9</v>
      </c>
      <c r="J42" s="4" t="inlineStr">
        <is>
          <t>3d8</t>
        </is>
      </c>
      <c r="K42" s="4" t="n">
        <v>13</v>
      </c>
      <c r="L42" s="4" t="n">
        <v>15</v>
      </c>
      <c r="M42" s="4" t="n">
        <v>4</v>
      </c>
      <c r="N42" s="4" t="inlineStr">
        <is>
          <t>3</t>
        </is>
      </c>
      <c r="O42" s="4" t="n">
        <v>3</v>
      </c>
      <c r="P42" s="4" t="inlineStr">
        <is>
          <t>com Firmeza</t>
        </is>
      </c>
      <c r="Q42" s="4" t="n">
        <v>1.5</v>
      </c>
      <c r="R42" s="4" t="n">
        <v>2</v>
      </c>
      <c r="S42" s="4" t="inlineStr">
        <is>
          <t>4d8 + 1</t>
        </is>
      </c>
      <c r="T42" s="4" t="n">
        <v>19</v>
      </c>
      <c r="U42" s="4" t="inlineStr">
        <is>
          <t>ficha</t>
        </is>
      </c>
    </row>
    <row r="43" ht="26" customHeight="1">
      <c r="A43" s="33" t="inlineStr">
        <is>
          <t>5-8|Boss</t>
        </is>
      </c>
      <c r="B43" s="9" t="inlineStr">
        <is>
          <t>5-8</t>
        </is>
      </c>
      <c r="C43" s="9" t="inlineStr">
        <is>
          <t>Boss</t>
        </is>
      </c>
      <c r="D43" s="9" t="n">
        <v>410</v>
      </c>
      <c r="E43" s="9" t="n">
        <v>19</v>
      </c>
      <c r="F43" s="9" t="n">
        <v>4</v>
      </c>
      <c r="G43" s="9" t="n">
        <v>11</v>
      </c>
      <c r="H43" s="9" t="n">
        <v>15</v>
      </c>
      <c r="I43" s="9" t="n">
        <v>9</v>
      </c>
      <c r="J43" s="9" t="inlineStr">
        <is>
          <t>4d8 + 2</t>
        </is>
      </c>
      <c r="K43" s="9" t="n">
        <v>20</v>
      </c>
      <c r="L43" s="9" t="n">
        <v>16</v>
      </c>
      <c r="M43" s="9" t="n">
        <v>5</v>
      </c>
      <c r="N43" s="9" t="inlineStr">
        <is>
          <t>4</t>
        </is>
      </c>
      <c r="O43" s="9" t="n">
        <v>4</v>
      </c>
      <c r="P43" s="9" t="inlineStr">
        <is>
          <t>com Firmeza</t>
        </is>
      </c>
      <c r="Q43" s="9" t="n">
        <v>2</v>
      </c>
      <c r="R43" s="9" t="n">
        <v>2</v>
      </c>
      <c r="S43" s="9" t="inlineStr">
        <is>
          <t>4d8 + 12</t>
        </is>
      </c>
      <c r="T43" s="9" t="n">
        <v>30</v>
      </c>
      <c r="U43" s="9" t="inlineStr">
        <is>
          <t>Sugestão da planilha (H2)</t>
        </is>
      </c>
    </row>
    <row r="44" ht="26" customHeight="1">
      <c r="A44" s="32" t="inlineStr">
        <is>
          <t>9-12|Comum</t>
        </is>
      </c>
      <c r="B44" s="4" t="inlineStr">
        <is>
          <t>9-12</t>
        </is>
      </c>
      <c r="C44" s="4" t="inlineStr">
        <is>
          <t>Comum</t>
        </is>
      </c>
      <c r="D44" s="4" t="n">
        <v>95</v>
      </c>
      <c r="E44" s="4" t="n">
        <v>19</v>
      </c>
      <c r="F44" s="4" t="n">
        <v>0</v>
      </c>
      <c r="G44" s="4" t="n">
        <v>4</v>
      </c>
      <c r="H44" s="4" t="n">
        <v>13</v>
      </c>
      <c r="I44" s="4" t="n">
        <v>11</v>
      </c>
      <c r="J44" s="4" t="inlineStr">
        <is>
          <t>2d8</t>
        </is>
      </c>
      <c r="K44" s="4" t="n">
        <v>9</v>
      </c>
      <c r="L44" s="4" t="n">
        <v>16</v>
      </c>
      <c r="M44" s="4" t="n">
        <v>4</v>
      </c>
      <c r="N44" s="4" t="inlineStr">
        <is>
          <t>1-2</t>
        </is>
      </c>
      <c r="O44" s="4" t="n">
        <v>2</v>
      </c>
      <c r="P44" s="4" t="inlineStr">
        <is>
          <t>sem Firmeza</t>
        </is>
      </c>
      <c r="Q44" s="4" t="n">
        <v>1</v>
      </c>
      <c r="R44" s="4" t="n">
        <v>3</v>
      </c>
      <c r="S44" s="4" t="inlineStr">
        <is>
          <t>2d8 + 4</t>
        </is>
      </c>
      <c r="T44" s="4" t="n">
        <v>13</v>
      </c>
      <c r="U44" s="4" t="inlineStr">
        <is>
          <t>Sugestão da planilha (H2)</t>
        </is>
      </c>
    </row>
    <row r="45">
      <c r="A45" s="33" t="inlineStr">
        <is>
          <t>9-12|Elite</t>
        </is>
      </c>
      <c r="B45" s="9" t="inlineStr">
        <is>
          <t>9-12</t>
        </is>
      </c>
      <c r="C45" s="9" t="inlineStr">
        <is>
          <t>Elite</t>
        </is>
      </c>
      <c r="D45" s="9" t="n">
        <v>225</v>
      </c>
      <c r="E45" s="9" t="n">
        <v>21</v>
      </c>
      <c r="F45" s="9" t="n">
        <v>3</v>
      </c>
      <c r="G45" s="9" t="n">
        <v>7</v>
      </c>
      <c r="H45" s="9" t="n">
        <v>15</v>
      </c>
      <c r="I45" s="9" t="n">
        <v>11</v>
      </c>
      <c r="J45" s="9" t="inlineStr">
        <is>
          <t>4d8 + 1</t>
        </is>
      </c>
      <c r="K45" s="9" t="n">
        <v>19</v>
      </c>
      <c r="L45" s="9" t="n">
        <v>17</v>
      </c>
      <c r="M45" s="9" t="n">
        <v>5</v>
      </c>
      <c r="N45" s="9" t="inlineStr">
        <is>
          <t>3</t>
        </is>
      </c>
      <c r="O45" s="9" t="n">
        <v>3</v>
      </c>
      <c r="P45" s="9" t="inlineStr">
        <is>
          <t>com Firmeza</t>
        </is>
      </c>
      <c r="Q45" s="9" t="n">
        <v>1.5</v>
      </c>
      <c r="R45" s="9" t="n">
        <v>2</v>
      </c>
      <c r="S45" s="9" t="inlineStr">
        <is>
          <t>5d10 + 1</t>
        </is>
      </c>
      <c r="T45" s="9" t="n">
        <v>28</v>
      </c>
      <c r="U45" s="9" t="inlineStr">
        <is>
          <t>ficha</t>
        </is>
      </c>
    </row>
    <row r="46">
      <c r="A46" s="32" t="inlineStr">
        <is>
          <t>9-12|Boss</t>
        </is>
      </c>
      <c r="B46" s="4" t="inlineStr">
        <is>
          <t>9-12</t>
        </is>
      </c>
      <c r="C46" s="4" t="inlineStr">
        <is>
          <t>Boss</t>
        </is>
      </c>
      <c r="D46" s="4" t="n">
        <v>580</v>
      </c>
      <c r="E46" s="4" t="n">
        <v>22</v>
      </c>
      <c r="F46" s="4" t="n">
        <v>6</v>
      </c>
      <c r="G46" s="4" t="n">
        <v>12</v>
      </c>
      <c r="H46" s="4" t="n">
        <v>16</v>
      </c>
      <c r="I46" s="4" t="n">
        <v>11</v>
      </c>
      <c r="J46" s="4" t="inlineStr">
        <is>
          <t>5d10 + 1</t>
        </is>
      </c>
      <c r="K46" s="4" t="n">
        <v>28</v>
      </c>
      <c r="L46" s="4" t="n">
        <v>18</v>
      </c>
      <c r="M46" s="4" t="n">
        <v>6</v>
      </c>
      <c r="N46" s="4" t="inlineStr">
        <is>
          <t>4</t>
        </is>
      </c>
      <c r="O46" s="4" t="n">
        <v>4</v>
      </c>
      <c r="P46" s="4" t="inlineStr">
        <is>
          <t>com Firmeza</t>
        </is>
      </c>
      <c r="Q46" s="4" t="n">
        <v>2</v>
      </c>
      <c r="R46" s="4" t="n">
        <v>2</v>
      </c>
      <c r="S46" s="4" t="inlineStr">
        <is>
          <t>7d10 + 4</t>
        </is>
      </c>
      <c r="T46" s="4" t="n">
        <v>42</v>
      </c>
      <c r="U46" s="4" t="inlineStr">
        <is>
          <t>ficha</t>
        </is>
      </c>
    </row>
    <row r="47" ht="26" customHeight="1">
      <c r="A47" s="33" t="inlineStr">
        <is>
          <t>13-16|Comum</t>
        </is>
      </c>
      <c r="B47" s="9" t="inlineStr">
        <is>
          <t>13-16</t>
        </is>
      </c>
      <c r="C47" s="9" t="inlineStr">
        <is>
          <t>Comum</t>
        </is>
      </c>
      <c r="D47" s="9" t="n">
        <v>125</v>
      </c>
      <c r="E47" s="9" t="n">
        <v>20</v>
      </c>
      <c r="F47" s="9" t="n">
        <v>0</v>
      </c>
      <c r="G47" s="9" t="n">
        <v>4</v>
      </c>
      <c r="H47" s="9" t="n">
        <v>14</v>
      </c>
      <c r="I47" s="9" t="n">
        <v>12</v>
      </c>
      <c r="J47" s="9" t="inlineStr">
        <is>
          <t>3d6 + 2</t>
        </is>
      </c>
      <c r="K47" s="9" t="n">
        <v>12</v>
      </c>
      <c r="L47" s="9" t="n">
        <v>17</v>
      </c>
      <c r="M47" s="9" t="n">
        <v>5</v>
      </c>
      <c r="N47" s="9" t="inlineStr">
        <is>
          <t>1-2</t>
        </is>
      </c>
      <c r="O47" s="9" t="n">
        <v>2</v>
      </c>
      <c r="P47" s="9" t="inlineStr">
        <is>
          <t>sem Firmeza</t>
        </is>
      </c>
      <c r="Q47" s="9" t="n">
        <v>1</v>
      </c>
      <c r="R47" s="9" t="n">
        <v>3</v>
      </c>
      <c r="S47" s="9" t="inlineStr">
        <is>
          <t>3d6 + 8</t>
        </is>
      </c>
      <c r="T47" s="9" t="n">
        <v>18</v>
      </c>
      <c r="U47" s="9" t="inlineStr">
        <is>
          <t>Sugestão da planilha (H2)</t>
        </is>
      </c>
    </row>
    <row r="48">
      <c r="A48" s="32" t="inlineStr">
        <is>
          <t>13-16|Elite</t>
        </is>
      </c>
      <c r="B48" s="4" t="inlineStr">
        <is>
          <t>13-16</t>
        </is>
      </c>
      <c r="C48" s="4" t="inlineStr">
        <is>
          <t>Elite</t>
        </is>
      </c>
      <c r="D48" s="4" t="n">
        <v>295</v>
      </c>
      <c r="E48" s="4" t="n">
        <v>22</v>
      </c>
      <c r="F48" s="4" t="n">
        <v>3</v>
      </c>
      <c r="G48" s="4" t="n">
        <v>6</v>
      </c>
      <c r="H48" s="4" t="n">
        <v>16</v>
      </c>
      <c r="I48" s="4" t="n">
        <v>12</v>
      </c>
      <c r="J48" s="4" t="inlineStr">
        <is>
          <t>4d10 + 2</t>
        </is>
      </c>
      <c r="K48" s="4" t="n">
        <v>24</v>
      </c>
      <c r="L48" s="4" t="n">
        <v>18</v>
      </c>
      <c r="M48" s="4" t="n">
        <v>6</v>
      </c>
      <c r="N48" s="4" t="inlineStr">
        <is>
          <t>3</t>
        </is>
      </c>
      <c r="O48" s="4" t="n">
        <v>3</v>
      </c>
      <c r="P48" s="4" t="inlineStr">
        <is>
          <t>com Firmeza</t>
        </is>
      </c>
      <c r="Q48" s="4" t="n">
        <v>1.5</v>
      </c>
      <c r="R48" s="4" t="n">
        <v>2</v>
      </c>
      <c r="S48" s="4" t="inlineStr">
        <is>
          <t>6d10 + 3</t>
        </is>
      </c>
      <c r="T48" s="4" t="n">
        <v>36</v>
      </c>
      <c r="U48" s="4" t="inlineStr">
        <is>
          <t>ficha</t>
        </is>
      </c>
    </row>
    <row r="49">
      <c r="A49" s="33" t="inlineStr">
        <is>
          <t>13-16|Boss</t>
        </is>
      </c>
      <c r="B49" s="9" t="inlineStr">
        <is>
          <t>13-16</t>
        </is>
      </c>
      <c r="C49" s="9" t="inlineStr">
        <is>
          <t>Boss</t>
        </is>
      </c>
      <c r="D49" s="9" t="n">
        <v>750</v>
      </c>
      <c r="E49" s="9" t="n">
        <v>23</v>
      </c>
      <c r="F49" s="9" t="n">
        <v>6</v>
      </c>
      <c r="G49" s="9" t="n">
        <v>12</v>
      </c>
      <c r="H49" s="9" t="n">
        <v>18</v>
      </c>
      <c r="I49" s="9" t="n">
        <v>12</v>
      </c>
      <c r="J49" s="9" t="inlineStr">
        <is>
          <t>6d10 + 3</t>
        </is>
      </c>
      <c r="K49" s="9" t="n">
        <v>36</v>
      </c>
      <c r="L49" s="9" t="n">
        <v>19</v>
      </c>
      <c r="M49" s="9" t="n">
        <v>7</v>
      </c>
      <c r="N49" s="9" t="inlineStr">
        <is>
          <t>4</t>
        </is>
      </c>
      <c r="O49" s="9" t="n">
        <v>4</v>
      </c>
      <c r="P49" s="9" t="inlineStr">
        <is>
          <t>com Firmeza</t>
        </is>
      </c>
      <c r="Q49" s="9" t="n">
        <v>2</v>
      </c>
      <c r="R49" s="9" t="n">
        <v>2</v>
      </c>
      <c r="S49" s="9" t="inlineStr">
        <is>
          <t>9d10 + 5</t>
        </is>
      </c>
      <c r="T49" s="9" t="n">
        <v>54</v>
      </c>
      <c r="U49" s="9" t="inlineStr">
        <is>
          <t>ficha</t>
        </is>
      </c>
    </row>
    <row r="50" ht="26" customHeight="1">
      <c r="A50" s="32" t="inlineStr">
        <is>
          <t>17-20|Comum</t>
        </is>
      </c>
      <c r="B50" s="4" t="inlineStr">
        <is>
          <t>17-20</t>
        </is>
      </c>
      <c r="C50" s="4" t="inlineStr">
        <is>
          <t>Comum</t>
        </is>
      </c>
      <c r="D50" s="4" t="n">
        <v>155</v>
      </c>
      <c r="E50" s="4" t="n">
        <v>24</v>
      </c>
      <c r="F50" s="4" t="n">
        <v>0</v>
      </c>
      <c r="G50" s="4" t="n">
        <v>4</v>
      </c>
      <c r="H50" s="4" t="n">
        <v>15</v>
      </c>
      <c r="I50" s="4" t="n">
        <v>13</v>
      </c>
      <c r="J50" s="4" t="inlineStr">
        <is>
          <t>3d8 + 3</t>
        </is>
      </c>
      <c r="K50" s="4" t="n">
        <v>16</v>
      </c>
      <c r="L50" s="4" t="n">
        <v>19</v>
      </c>
      <c r="M50" s="4" t="n">
        <v>7</v>
      </c>
      <c r="N50" s="4" t="inlineStr">
        <is>
          <t>1-2</t>
        </is>
      </c>
      <c r="O50" s="4" t="n">
        <v>2</v>
      </c>
      <c r="P50" s="4" t="inlineStr">
        <is>
          <t>sem Firmeza</t>
        </is>
      </c>
      <c r="Q50" s="4" t="n">
        <v>1</v>
      </c>
      <c r="R50" s="4" t="n">
        <v>3</v>
      </c>
      <c r="S50" s="4" t="inlineStr">
        <is>
          <t>3d8 + 11</t>
        </is>
      </c>
      <c r="T50" s="4" t="n">
        <v>24</v>
      </c>
      <c r="U50" s="4" t="inlineStr">
        <is>
          <t>Sugestão da planilha (H2)</t>
        </is>
      </c>
    </row>
    <row r="51">
      <c r="A51" s="33" t="inlineStr">
        <is>
          <t>17-20|Elite</t>
        </is>
      </c>
      <c r="B51" s="9" t="inlineStr">
        <is>
          <t>17-20</t>
        </is>
      </c>
      <c r="C51" s="9" t="inlineStr">
        <is>
          <t>Elite</t>
        </is>
      </c>
      <c r="D51" s="9" t="n">
        <v>365</v>
      </c>
      <c r="E51" s="9" t="n">
        <v>26</v>
      </c>
      <c r="F51" s="9" t="n">
        <v>4</v>
      </c>
      <c r="G51" s="9" t="n">
        <v>7</v>
      </c>
      <c r="H51" s="9" t="n">
        <v>17</v>
      </c>
      <c r="I51" s="9" t="n">
        <v>13</v>
      </c>
      <c r="J51" s="9" t="inlineStr">
        <is>
          <t>5d12</t>
        </is>
      </c>
      <c r="K51" s="9" t="n">
        <v>32</v>
      </c>
      <c r="L51" s="9" t="n">
        <v>20</v>
      </c>
      <c r="M51" s="9" t="n">
        <v>8</v>
      </c>
      <c r="N51" s="9" t="inlineStr">
        <is>
          <t>3</t>
        </is>
      </c>
      <c r="O51" s="9" t="n">
        <v>3</v>
      </c>
      <c r="P51" s="9" t="inlineStr">
        <is>
          <t>com Firmeza</t>
        </is>
      </c>
      <c r="Q51" s="9" t="n">
        <v>1.5</v>
      </c>
      <c r="R51" s="9" t="n">
        <v>2</v>
      </c>
      <c r="S51" s="9" t="inlineStr">
        <is>
          <t>7d12 + 3</t>
        </is>
      </c>
      <c r="T51" s="9" t="n">
        <v>48</v>
      </c>
      <c r="U51" s="9" t="inlineStr">
        <is>
          <t>ficha</t>
        </is>
      </c>
    </row>
    <row r="52">
      <c r="A52" s="32" t="inlineStr">
        <is>
          <t>17-20|Boss</t>
        </is>
      </c>
      <c r="B52" s="4" t="inlineStr">
        <is>
          <t>17-20</t>
        </is>
      </c>
      <c r="C52" s="4" t="inlineStr">
        <is>
          <t>Boss</t>
        </is>
      </c>
      <c r="D52" s="4" t="n">
        <v>935</v>
      </c>
      <c r="E52" s="4" t="n">
        <v>27</v>
      </c>
      <c r="F52" s="4" t="n">
        <v>8</v>
      </c>
      <c r="G52" s="4" t="n">
        <v>13</v>
      </c>
      <c r="H52" s="4" t="n">
        <v>19</v>
      </c>
      <c r="I52" s="4" t="n">
        <v>13</v>
      </c>
      <c r="J52" s="4" t="inlineStr">
        <is>
          <t>7d12 + 3</t>
        </is>
      </c>
      <c r="K52" s="4" t="n">
        <v>48</v>
      </c>
      <c r="L52" s="4" t="n">
        <v>21</v>
      </c>
      <c r="M52" s="4" t="n">
        <v>9</v>
      </c>
      <c r="N52" s="4" t="inlineStr">
        <is>
          <t>4</t>
        </is>
      </c>
      <c r="O52" s="4" t="n">
        <v>4</v>
      </c>
      <c r="P52" s="4" t="inlineStr">
        <is>
          <t>com Firmeza</t>
        </is>
      </c>
      <c r="Q52" s="4" t="n">
        <v>2</v>
      </c>
      <c r="R52" s="4" t="n">
        <v>2</v>
      </c>
      <c r="S52" s="4" t="inlineStr">
        <is>
          <t>10d12 + 7</t>
        </is>
      </c>
      <c r="T52" s="4" t="n">
        <v>72</v>
      </c>
      <c r="U52" s="4" t="inlineStr">
        <is>
          <t>ficha</t>
        </is>
      </c>
    </row>
    <row r="53"/>
    <row r="54" ht="32" customHeight="1">
      <c r="A54" s="47" t="inlineStr">
        <is>
          <t>Dano por acerto, convertido em dados — 28.3</t>
        </is>
      </c>
      <c r="B54" s="48" t="n"/>
      <c r="C54" s="48" t="n"/>
      <c r="D54" s="48" t="n"/>
      <c r="E54" s="48" t="n"/>
      <c r="F54" s="48" t="n"/>
    </row>
    <row r="55">
      <c r="A55" s="7" t="inlineStr">
        <is>
          <t>Chave</t>
        </is>
      </c>
      <c r="B55" s="7" t="inlineStr">
        <is>
          <t>Expressão</t>
        </is>
      </c>
      <c r="C55" s="7" t="inlineStr">
        <is>
          <t>Nº de dados</t>
        </is>
      </c>
      <c r="D55" s="7" t="inlineStr">
        <is>
          <t>Faces</t>
        </is>
      </c>
      <c r="E55" s="7" t="inlineStr">
        <is>
          <t>Fixo</t>
        </is>
      </c>
      <c r="F55" s="7" t="inlineStr">
        <is>
          <t>Média</t>
        </is>
      </c>
    </row>
    <row r="56">
      <c r="A56" s="32" t="inlineStr">
        <is>
          <t>1-4|Comum</t>
        </is>
      </c>
      <c r="B56" s="4" t="inlineStr">
        <is>
          <t>1d6</t>
        </is>
      </c>
      <c r="C56" s="4" t="n">
        <v>1</v>
      </c>
      <c r="D56" s="4" t="n">
        <v>6</v>
      </c>
      <c r="E56" s="4" t="n">
        <v>0</v>
      </c>
      <c r="F56" s="4" t="n">
        <v>3</v>
      </c>
    </row>
    <row r="57">
      <c r="A57" s="33" t="inlineStr">
        <is>
          <t>1-4|Elite</t>
        </is>
      </c>
      <c r="B57" s="9" t="inlineStr">
        <is>
          <t>2d6</t>
        </is>
      </c>
      <c r="C57" s="9" t="n">
        <v>2</v>
      </c>
      <c r="D57" s="9" t="n">
        <v>6</v>
      </c>
      <c r="E57" s="9" t="n">
        <v>0</v>
      </c>
      <c r="F57" s="9" t="n">
        <v>7</v>
      </c>
    </row>
    <row r="58">
      <c r="A58" s="32" t="inlineStr">
        <is>
          <t>1-4|Boss</t>
        </is>
      </c>
      <c r="B58" s="4" t="inlineStr">
        <is>
          <t>3d6</t>
        </is>
      </c>
      <c r="C58" s="4" t="n">
        <v>3</v>
      </c>
      <c r="D58" s="4" t="n">
        <v>6</v>
      </c>
      <c r="E58" s="4" t="n">
        <v>0</v>
      </c>
      <c r="F58" s="4" t="n">
        <v>10</v>
      </c>
    </row>
    <row r="59">
      <c r="A59" s="33" t="inlineStr">
        <is>
          <t>5-8|Comum</t>
        </is>
      </c>
      <c r="B59" s="9" t="inlineStr">
        <is>
          <t>2d6</t>
        </is>
      </c>
      <c r="C59" s="9" t="n">
        <v>2</v>
      </c>
      <c r="D59" s="9" t="n">
        <v>6</v>
      </c>
      <c r="E59" s="9" t="n">
        <v>0</v>
      </c>
      <c r="F59" s="9" t="n">
        <v>7</v>
      </c>
    </row>
    <row r="60">
      <c r="A60" s="32" t="inlineStr">
        <is>
          <t>5-8|Elite</t>
        </is>
      </c>
      <c r="B60" s="4" t="inlineStr">
        <is>
          <t>3d8</t>
        </is>
      </c>
      <c r="C60" s="4" t="n">
        <v>3</v>
      </c>
      <c r="D60" s="4" t="n">
        <v>8</v>
      </c>
      <c r="E60" s="4" t="n">
        <v>0</v>
      </c>
      <c r="F60" s="4" t="n">
        <v>13</v>
      </c>
    </row>
    <row r="61">
      <c r="A61" s="33" t="inlineStr">
        <is>
          <t>5-8|Boss</t>
        </is>
      </c>
      <c r="B61" s="9" t="inlineStr">
        <is>
          <t>4d8 + 2</t>
        </is>
      </c>
      <c r="C61" s="9" t="n">
        <v>4</v>
      </c>
      <c r="D61" s="9" t="n">
        <v>8</v>
      </c>
      <c r="E61" s="9" t="n">
        <v>2</v>
      </c>
      <c r="F61" s="9" t="n">
        <v>20</v>
      </c>
    </row>
    <row r="62">
      <c r="A62" s="32" t="inlineStr">
        <is>
          <t>9-12|Comum</t>
        </is>
      </c>
      <c r="B62" s="4" t="inlineStr">
        <is>
          <t>2d8</t>
        </is>
      </c>
      <c r="C62" s="4" t="n">
        <v>2</v>
      </c>
      <c r="D62" s="4" t="n">
        <v>8</v>
      </c>
      <c r="E62" s="4" t="n">
        <v>0</v>
      </c>
      <c r="F62" s="4" t="n">
        <v>9</v>
      </c>
    </row>
    <row r="63">
      <c r="A63" s="33" t="inlineStr">
        <is>
          <t>9-12|Elite</t>
        </is>
      </c>
      <c r="B63" s="9" t="inlineStr">
        <is>
          <t>4d8 + 1</t>
        </is>
      </c>
      <c r="C63" s="9" t="n">
        <v>4</v>
      </c>
      <c r="D63" s="9" t="n">
        <v>8</v>
      </c>
      <c r="E63" s="9" t="n">
        <v>1</v>
      </c>
      <c r="F63" s="9" t="n">
        <v>19</v>
      </c>
    </row>
    <row r="64">
      <c r="A64" s="32" t="inlineStr">
        <is>
          <t>9-12|Boss</t>
        </is>
      </c>
      <c r="B64" s="4" t="inlineStr">
        <is>
          <t>5d10 + 1</t>
        </is>
      </c>
      <c r="C64" s="4" t="n">
        <v>5</v>
      </c>
      <c r="D64" s="4" t="n">
        <v>10</v>
      </c>
      <c r="E64" s="4" t="n">
        <v>1</v>
      </c>
      <c r="F64" s="4" t="n">
        <v>28</v>
      </c>
    </row>
    <row r="65">
      <c r="A65" s="33" t="inlineStr">
        <is>
          <t>13-16|Comum</t>
        </is>
      </c>
      <c r="B65" s="9" t="inlineStr">
        <is>
          <t>3d6 + 2</t>
        </is>
      </c>
      <c r="C65" s="9" t="n">
        <v>3</v>
      </c>
      <c r="D65" s="9" t="n">
        <v>6</v>
      </c>
      <c r="E65" s="9" t="n">
        <v>2</v>
      </c>
      <c r="F65" s="9" t="n">
        <v>12</v>
      </c>
    </row>
    <row r="66">
      <c r="A66" s="32" t="inlineStr">
        <is>
          <t>13-16|Elite</t>
        </is>
      </c>
      <c r="B66" s="4" t="inlineStr">
        <is>
          <t>4d10 + 2</t>
        </is>
      </c>
      <c r="C66" s="4" t="n">
        <v>4</v>
      </c>
      <c r="D66" s="4" t="n">
        <v>10</v>
      </c>
      <c r="E66" s="4" t="n">
        <v>2</v>
      </c>
      <c r="F66" s="4" t="n">
        <v>24</v>
      </c>
    </row>
    <row r="67">
      <c r="A67" s="33" t="inlineStr">
        <is>
          <t>13-16|Boss</t>
        </is>
      </c>
      <c r="B67" s="9" t="inlineStr">
        <is>
          <t>6d10 + 3</t>
        </is>
      </c>
      <c r="C67" s="9" t="n">
        <v>6</v>
      </c>
      <c r="D67" s="9" t="n">
        <v>10</v>
      </c>
      <c r="E67" s="9" t="n">
        <v>3</v>
      </c>
      <c r="F67" s="9" t="n">
        <v>36</v>
      </c>
    </row>
    <row r="68">
      <c r="A68" s="32" t="inlineStr">
        <is>
          <t>17-20|Comum</t>
        </is>
      </c>
      <c r="B68" s="4" t="inlineStr">
        <is>
          <t>3d8 + 3</t>
        </is>
      </c>
      <c r="C68" s="4" t="n">
        <v>3</v>
      </c>
      <c r="D68" s="4" t="n">
        <v>8</v>
      </c>
      <c r="E68" s="4" t="n">
        <v>3</v>
      </c>
      <c r="F68" s="4" t="n">
        <v>16</v>
      </c>
    </row>
    <row r="69">
      <c r="A69" s="33" t="inlineStr">
        <is>
          <t>17-20|Elite</t>
        </is>
      </c>
      <c r="B69" s="9" t="inlineStr">
        <is>
          <t>5d12</t>
        </is>
      </c>
      <c r="C69" s="9" t="n">
        <v>5</v>
      </c>
      <c r="D69" s="9" t="n">
        <v>12</v>
      </c>
      <c r="E69" s="9" t="n">
        <v>0</v>
      </c>
      <c r="F69" s="9" t="n">
        <v>32</v>
      </c>
    </row>
    <row r="70">
      <c r="A70" s="32" t="inlineStr">
        <is>
          <t>17-20|Boss</t>
        </is>
      </c>
      <c r="B70" s="4" t="inlineStr">
        <is>
          <t>7d12 + 3</t>
        </is>
      </c>
      <c r="C70" s="4" t="n">
        <v>7</v>
      </c>
      <c r="D70" s="4" t="n">
        <v>12</v>
      </c>
      <c r="E70" s="4" t="n">
        <v>3</v>
      </c>
      <c r="F70" s="4" t="n">
        <v>48</v>
      </c>
    </row>
    <row r="71"/>
    <row r="72" ht="46" customHeight="1">
      <c r="A72" s="47" t="inlineStr">
        <is>
          <t>Dano de ação especial 1,5× — 28.4 regra 5 (fonte: ficha do livro ou Sugestão H2)</t>
        </is>
      </c>
      <c r="B72" s="48" t="n"/>
      <c r="C72" s="48" t="n"/>
      <c r="D72" s="48" t="n"/>
      <c r="E72" s="48" t="n"/>
    </row>
    <row r="73">
      <c r="A73" s="7" t="inlineStr">
        <is>
          <t>Chave</t>
        </is>
      </c>
      <c r="B73" s="7" t="inlineStr">
        <is>
          <t>Expressão</t>
        </is>
      </c>
      <c r="C73" s="7" t="inlineStr">
        <is>
          <t>Média</t>
        </is>
      </c>
      <c r="D73" s="7" t="inlineStr">
        <is>
          <t>Fonte</t>
        </is>
      </c>
      <c r="E73" s="7" t="inlineStr">
        <is>
          <t>Ficha</t>
        </is>
      </c>
    </row>
    <row r="74" ht="26" customHeight="1">
      <c r="A74" s="32" t="inlineStr">
        <is>
          <t>1-4|Comum</t>
        </is>
      </c>
      <c r="B74" s="4" t="inlineStr">
        <is>
          <t>1d6 + 1</t>
        </is>
      </c>
      <c r="C74" s="4" t="n">
        <v>4</v>
      </c>
      <c r="D74" s="4" t="inlineStr">
        <is>
          <t>Sugestão da planilha (H2)</t>
        </is>
      </c>
      <c r="E74" s="4" t="inlineStr"/>
    </row>
    <row r="75">
      <c r="A75" s="33" t="inlineStr">
        <is>
          <t>1-4|Elite</t>
        </is>
      </c>
      <c r="B75" s="9" t="inlineStr">
        <is>
          <t>3d6</t>
        </is>
      </c>
      <c r="C75" s="9" t="n">
        <v>10</v>
      </c>
      <c r="D75" s="9" t="inlineStr">
        <is>
          <t>ficha</t>
        </is>
      </c>
      <c r="E75" s="9" t="inlineStr">
        <is>
          <t>Capataz Oco</t>
        </is>
      </c>
    </row>
    <row r="76" ht="26" customHeight="1">
      <c r="A76" s="32" t="inlineStr">
        <is>
          <t>1-4|Boss</t>
        </is>
      </c>
      <c r="B76" s="4" t="inlineStr">
        <is>
          <t>3d8 + 2</t>
        </is>
      </c>
      <c r="C76" s="4" t="n">
        <v>15</v>
      </c>
      <c r="D76" s="4" t="inlineStr">
        <is>
          <t>ficha</t>
        </is>
      </c>
      <c r="E76" s="4" t="inlineStr">
        <is>
          <t>O Afogado do Poço Sete</t>
        </is>
      </c>
    </row>
    <row r="77" ht="26" customHeight="1">
      <c r="A77" s="33" t="inlineStr">
        <is>
          <t>5-8|Comum</t>
        </is>
      </c>
      <c r="B77" s="9" t="inlineStr">
        <is>
          <t>2d6 + 3</t>
        </is>
      </c>
      <c r="C77" s="9" t="n">
        <v>10</v>
      </c>
      <c r="D77" s="9" t="inlineStr">
        <is>
          <t>Sugestão da planilha (H2)</t>
        </is>
      </c>
      <c r="E77" s="9" t="inlineStr"/>
    </row>
    <row r="78">
      <c r="A78" s="32" t="inlineStr">
        <is>
          <t>5-8|Elite</t>
        </is>
      </c>
      <c r="B78" s="4" t="inlineStr">
        <is>
          <t>4d8 + 1</t>
        </is>
      </c>
      <c r="C78" s="4" t="n">
        <v>19</v>
      </c>
      <c r="D78" s="4" t="inlineStr">
        <is>
          <t>ficha</t>
        </is>
      </c>
      <c r="E78" s="4" t="inlineStr">
        <is>
          <t>Centurião Catafracto</t>
        </is>
      </c>
    </row>
    <row r="79" ht="26" customHeight="1">
      <c r="A79" s="33" t="inlineStr">
        <is>
          <t>5-8|Boss</t>
        </is>
      </c>
      <c r="B79" s="9" t="inlineStr">
        <is>
          <t>4d8 + 12</t>
        </is>
      </c>
      <c r="C79" s="9" t="n">
        <v>30</v>
      </c>
      <c r="D79" s="9" t="inlineStr">
        <is>
          <t>Sugestão da planilha (H2)</t>
        </is>
      </c>
      <c r="E79" s="9" t="inlineStr"/>
    </row>
    <row r="80" ht="26" customHeight="1">
      <c r="A80" s="32" t="inlineStr">
        <is>
          <t>9-12|Comum</t>
        </is>
      </c>
      <c r="B80" s="4" t="inlineStr">
        <is>
          <t>2d8 + 4</t>
        </is>
      </c>
      <c r="C80" s="4" t="n">
        <v>13</v>
      </c>
      <c r="D80" s="4" t="inlineStr">
        <is>
          <t>Sugestão da planilha (H2)</t>
        </is>
      </c>
      <c r="E80" s="4" t="inlineStr"/>
    </row>
    <row r="81" ht="26" customHeight="1">
      <c r="A81" s="33" t="inlineStr">
        <is>
          <t>9-12|Elite</t>
        </is>
      </c>
      <c r="B81" s="9" t="inlineStr">
        <is>
          <t>5d10 + 1</t>
        </is>
      </c>
      <c r="C81" s="9" t="n">
        <v>28</v>
      </c>
      <c r="D81" s="9" t="inlineStr">
        <is>
          <t>ficha</t>
        </is>
      </c>
      <c r="E81" s="9" t="inlineStr">
        <is>
          <t>Oficial-Lâmina da Frota de Jade</t>
        </is>
      </c>
    </row>
    <row r="82" ht="26" customHeight="1">
      <c r="A82" s="32" t="inlineStr">
        <is>
          <t>9-12|Boss</t>
        </is>
      </c>
      <c r="B82" s="4" t="inlineStr">
        <is>
          <t>7d10 + 4</t>
        </is>
      </c>
      <c r="C82" s="4" t="n">
        <v>42</v>
      </c>
      <c r="D82" s="4" t="inlineStr">
        <is>
          <t>ficha</t>
        </is>
      </c>
      <c r="E82" s="4" t="inlineStr">
        <is>
          <t>O Dramaturgo de Mil Faces</t>
        </is>
      </c>
    </row>
    <row r="83" ht="26" customHeight="1">
      <c r="A83" s="33" t="inlineStr">
        <is>
          <t>13-16|Comum</t>
        </is>
      </c>
      <c r="B83" s="9" t="inlineStr">
        <is>
          <t>3d6 + 8</t>
        </is>
      </c>
      <c r="C83" s="9" t="n">
        <v>18</v>
      </c>
      <c r="D83" s="9" t="inlineStr">
        <is>
          <t>Sugestão da planilha (H2)</t>
        </is>
      </c>
      <c r="E83" s="9" t="inlineStr"/>
    </row>
    <row r="84">
      <c r="A84" s="32" t="inlineStr">
        <is>
          <t>13-16|Elite</t>
        </is>
      </c>
      <c r="B84" s="4" t="inlineStr">
        <is>
          <t>6d10 + 3</t>
        </is>
      </c>
      <c r="C84" s="4" t="n">
        <v>36</v>
      </c>
      <c r="D84" s="4" t="inlineStr">
        <is>
          <t>ficha</t>
        </is>
      </c>
      <c r="E84" s="4" t="inlineStr">
        <is>
          <t>Escultor de Carne</t>
        </is>
      </c>
    </row>
    <row r="85">
      <c r="A85" s="33" t="inlineStr">
        <is>
          <t>13-16|Boss</t>
        </is>
      </c>
      <c r="B85" s="9" t="inlineStr">
        <is>
          <t>9d10 + 5</t>
        </is>
      </c>
      <c r="C85" s="9" t="n">
        <v>54</v>
      </c>
      <c r="D85" s="9" t="inlineStr">
        <is>
          <t>ficha</t>
        </is>
      </c>
      <c r="E85" s="9" t="inlineStr">
        <is>
          <t>Vênia, a Primeira Obra</t>
        </is>
      </c>
    </row>
    <row r="86" ht="26" customHeight="1">
      <c r="A86" s="32" t="inlineStr">
        <is>
          <t>17-20|Comum</t>
        </is>
      </c>
      <c r="B86" s="4" t="inlineStr">
        <is>
          <t>3d8 + 11</t>
        </is>
      </c>
      <c r="C86" s="4" t="n">
        <v>24</v>
      </c>
      <c r="D86" s="4" t="inlineStr">
        <is>
          <t>Sugestão da planilha (H2)</t>
        </is>
      </c>
      <c r="E86" s="4" t="inlineStr"/>
    </row>
    <row r="87">
      <c r="A87" s="33" t="inlineStr">
        <is>
          <t>17-20|Elite</t>
        </is>
      </c>
      <c r="B87" s="9" t="inlineStr">
        <is>
          <t>7d12 + 3</t>
        </is>
      </c>
      <c r="C87" s="9" t="n">
        <v>48</v>
      </c>
      <c r="D87" s="9" t="inlineStr">
        <is>
          <t>ficha</t>
        </is>
      </c>
      <c r="E87" s="9" t="inlineStr">
        <is>
          <t>Arcanjo de Ferro-Vazio</t>
        </is>
      </c>
    </row>
    <row r="88">
      <c r="A88" s="32" t="inlineStr">
        <is>
          <t>17-20|Boss</t>
        </is>
      </c>
      <c r="B88" s="4" t="inlineStr">
        <is>
          <t>10d12 + 7</t>
        </is>
      </c>
      <c r="C88" s="4" t="n">
        <v>72</v>
      </c>
      <c r="D88" s="4" t="inlineStr">
        <is>
          <t>ficha</t>
        </is>
      </c>
      <c r="E88" s="4" t="inlineStr">
        <is>
          <t>O Germe de Pavor</t>
        </is>
      </c>
    </row>
    <row r="89"/>
    <row r="90" ht="46" customHeight="1">
      <c r="A90" s="47" t="inlineStr">
        <is>
          <t>Bestiário: as 32 fichas — 28.6 a 28.11 (ambiente: Sugestão da planilha, H8)</t>
        </is>
      </c>
      <c r="B90" s="48" t="n"/>
      <c r="C90" s="48" t="n"/>
      <c r="D90" s="48" t="n"/>
      <c r="E90" s="48" t="n"/>
      <c r="F90" s="48" t="n"/>
      <c r="G90" s="48" t="n"/>
      <c r="H90" s="48" t="n"/>
      <c r="I90" s="48" t="n"/>
      <c r="J90" s="48" t="n"/>
      <c r="K90" s="48" t="n"/>
      <c r="L90" s="48" t="n"/>
      <c r="M90" s="48" t="n"/>
      <c r="N90" s="48" t="n"/>
      <c r="O90" s="48" t="n"/>
      <c r="P90" s="48" t="n"/>
      <c r="Q90" s="48" t="n"/>
      <c r="R90" s="48" t="n"/>
      <c r="S90" s="48" t="n"/>
      <c r="T90" s="48" t="n"/>
      <c r="U90" s="48" t="n"/>
      <c r="V90" s="48" t="n"/>
      <c r="W90" s="48" t="n"/>
      <c r="X90" s="48" t="n"/>
      <c r="Y90" s="48" t="n"/>
      <c r="Z90" s="48" t="n"/>
      <c r="AA90" s="48" t="n"/>
      <c r="AB90" s="48" t="n"/>
      <c r="AC90" s="48" t="n"/>
      <c r="AD90" s="48" t="n"/>
      <c r="AE90" s="48" t="n"/>
      <c r="AF90" s="48" t="n"/>
      <c r="AG90" s="48" t="n"/>
      <c r="AH90" s="48" t="n"/>
      <c r="AI90" s="48" t="n"/>
      <c r="AJ90" s="48" t="n"/>
      <c r="AK90" s="48" t="n"/>
      <c r="AL90" s="48" t="n"/>
    </row>
    <row r="91">
      <c r="A91" s="7" t="inlineStr">
        <is>
          <t>Nº</t>
        </is>
      </c>
      <c r="B91" s="7" t="inlineStr">
        <is>
          <t>Nome</t>
        </is>
      </c>
      <c r="C91" s="7" t="inlineStr">
        <is>
          <t>Tipo</t>
        </is>
      </c>
      <c r="D91" s="7" t="inlineStr">
        <is>
          <t>Faixa</t>
        </is>
      </c>
      <c r="E91" s="7" t="inlineStr">
        <is>
          <t>Facção ou origem</t>
        </is>
      </c>
      <c r="F91" s="7" t="inlineStr">
        <is>
          <t>Fases</t>
        </is>
      </c>
      <c r="G91" s="7" t="inlineStr">
        <is>
          <t>PV</t>
        </is>
      </c>
      <c r="H91" s="7" t="inlineStr">
        <is>
          <t>Defesa</t>
        </is>
      </c>
      <c r="I91" s="7" t="inlineStr">
        <is>
          <t>RD</t>
        </is>
      </c>
      <c r="J91" s="7" t="inlineStr">
        <is>
          <t>Tenacidade</t>
        </is>
      </c>
      <c r="K91" s="7" t="inlineStr">
        <is>
          <t>VEL</t>
        </is>
      </c>
      <c r="L91" s="7" t="inlineStr">
        <is>
          <t>Ataque</t>
        </is>
      </c>
      <c r="M91" s="7" t="inlineStr">
        <is>
          <t>Dano por acerto</t>
        </is>
      </c>
      <c r="N91" s="7" t="inlineStr">
        <is>
          <t>Média do dano</t>
        </is>
      </c>
      <c r="O91" s="7" t="inlineStr">
        <is>
          <t>DT dos efeitos</t>
        </is>
      </c>
      <c r="P91" s="7" t="inlineStr">
        <is>
          <t>Teste de Resistência</t>
        </is>
      </c>
      <c r="Q91" s="7" t="inlineStr">
        <is>
          <t>Fraqueza 1</t>
        </is>
      </c>
      <c r="R91" s="7" t="inlineStr">
        <is>
          <t>Fraqueza 2</t>
        </is>
      </c>
      <c r="S91" s="7" t="inlineStr">
        <is>
          <t>Fraqueza 3</t>
        </is>
      </c>
      <c r="T91" s="7" t="inlineStr">
        <is>
          <t>Fraqueza 4</t>
        </is>
      </c>
      <c r="U91" s="7" t="inlineStr">
        <is>
          <t>Resistência</t>
        </is>
      </c>
      <c r="V91" s="7" t="inlineStr">
        <is>
          <t>Execução</t>
        </is>
      </c>
      <c r="W91" s="7" t="inlineStr">
        <is>
          <t>Firmeza</t>
        </is>
      </c>
      <c r="X91" s="7" t="inlineStr">
        <is>
          <t>Na Fila (resto)</t>
        </is>
      </c>
      <c r="Y91" s="7" t="inlineStr">
        <is>
          <t>Frase</t>
        </is>
      </c>
      <c r="Z91" s="7" t="inlineStr">
        <is>
          <t>Ações agressivas</t>
        </is>
      </c>
      <c r="AA91" s="7" t="inlineStr">
        <is>
          <t>Custo no orçamento</t>
        </is>
      </c>
      <c r="AB91" s="7" t="inlineStr">
        <is>
          <t>Índice da faixa</t>
        </is>
      </c>
      <c r="AC91" s="7" t="inlineStr">
        <is>
          <t>Índice do tipo</t>
        </is>
      </c>
      <c r="AD91" s="7" t="inlineStr">
        <is>
          <t>Origem 2</t>
        </is>
      </c>
      <c r="AE91" s="7" t="inlineStr">
        <is>
          <t>Fraquezas (texto)</t>
        </is>
      </c>
      <c r="AF91" s="7" t="inlineStr">
        <is>
          <t>Especial 1</t>
        </is>
      </c>
      <c r="AG91" s="7" t="inlineStr">
        <is>
          <t>Recarga 1</t>
        </is>
      </c>
      <c r="AH91" s="7" t="inlineStr">
        <is>
          <t>Especial 2</t>
        </is>
      </c>
      <c r="AI91" s="7" t="inlineStr">
        <is>
          <t>Recarga 2</t>
        </is>
      </c>
      <c r="AJ91" s="7" t="inlineStr">
        <is>
          <t>Especial 3</t>
        </is>
      </c>
      <c r="AK91" s="7" t="inlineStr">
        <is>
          <t>Recarga 3</t>
        </is>
      </c>
      <c r="AL91" s="7" t="inlineStr">
        <is>
          <t>Origem no cartão</t>
        </is>
      </c>
    </row>
    <row r="92" ht="37" customHeight="1">
      <c r="A92" s="32" t="n">
        <v>1</v>
      </c>
      <c r="B92" s="4" t="inlineStr">
        <is>
          <t>Casco Oco</t>
        </is>
      </c>
      <c r="C92" s="4" t="inlineStr">
        <is>
          <t>Comum</t>
        </is>
      </c>
      <c r="D92" s="4" t="inlineStr">
        <is>
          <t>1-4</t>
        </is>
      </c>
      <c r="E92" s="4" t="inlineStr">
        <is>
          <t>Fragmentum</t>
        </is>
      </c>
      <c r="F92" s="4" t="n">
        <v>1</v>
      </c>
      <c r="G92" s="4" t="n">
        <v>50</v>
      </c>
      <c r="H92" s="4" t="n">
        <v>13</v>
      </c>
      <c r="I92" s="4" t="n">
        <v>0</v>
      </c>
      <c r="J92" s="4" t="n">
        <v>3</v>
      </c>
      <c r="K92" s="4" t="n">
        <v>11</v>
      </c>
      <c r="L92" s="4" t="n">
        <v>7</v>
      </c>
      <c r="M92" s="4" t="inlineStr">
        <is>
          <t>1d6</t>
        </is>
      </c>
      <c r="N92" s="4" t="n">
        <v>3</v>
      </c>
      <c r="O92" s="4" t="n">
        <v>12</v>
      </c>
      <c r="P92" s="4" t="n">
        <v>1</v>
      </c>
      <c r="Q92" s="4" t="inlineStr">
        <is>
          <t>Físico</t>
        </is>
      </c>
      <c r="R92" s="4" t="inlineStr">
        <is>
          <t>Fogo</t>
        </is>
      </c>
      <c r="S92" s="4" t="inlineStr"/>
      <c r="T92" s="4" t="inlineStr"/>
      <c r="U92" s="4" t="inlineStr"/>
      <c r="V92" s="4" t="inlineStr">
        <is>
          <t>Não declarado</t>
        </is>
      </c>
      <c r="W92" s="4" t="inlineStr">
        <is>
          <t>sem Firmeza</t>
        </is>
      </c>
      <c r="X92" s="4" t="inlineStr">
        <is>
          <t>Avança em linha reta no alvo mais próximo e não recua nunca.</t>
        </is>
      </c>
      <c r="Y92" s="4" t="inlineStr">
        <is>
          <t>"Ainda dá para ler o nome dele no crachá."</t>
        </is>
      </c>
      <c r="Z92" s="4" t="n">
        <v>1</v>
      </c>
      <c r="AA92" s="4" t="n">
        <v>50</v>
      </c>
      <c r="AB92" s="4" t="n">
        <v>1</v>
      </c>
      <c r="AC92" s="4" t="n">
        <v>1</v>
      </c>
      <c r="AD92" s="4" t="inlineStr"/>
      <c r="AE92" s="4" t="inlineStr">
        <is>
          <t>Físico, Fogo</t>
        </is>
      </c>
      <c r="AF92" s="4" t="inlineStr"/>
      <c r="AG92" s="4" t="inlineStr"/>
      <c r="AH92" s="4" t="inlineStr"/>
      <c r="AI92" s="4" t="inlineStr"/>
      <c r="AJ92" s="4" t="inlineStr"/>
      <c r="AK92" s="4" t="inlineStr"/>
      <c r="AL92" s="4" t="inlineStr">
        <is>
          <t>Fragmentum</t>
        </is>
      </c>
    </row>
    <row r="93" ht="60" customHeight="1">
      <c r="A93" s="33" t="n">
        <v>2</v>
      </c>
      <c r="B93" s="9" t="inlineStr">
        <is>
          <t>Larva Fuliginosa</t>
        </is>
      </c>
      <c r="C93" s="9" t="inlineStr">
        <is>
          <t>Comum</t>
        </is>
      </c>
      <c r="D93" s="9" t="inlineStr">
        <is>
          <t>1-4</t>
        </is>
      </c>
      <c r="E93" s="9" t="inlineStr">
        <is>
          <t>Fragmentum</t>
        </is>
      </c>
      <c r="F93" s="9" t="n">
        <v>1</v>
      </c>
      <c r="G93" s="9" t="n">
        <v>50</v>
      </c>
      <c r="H93" s="9" t="n">
        <v>13</v>
      </c>
      <c r="I93" s="9" t="n">
        <v>0</v>
      </c>
      <c r="J93" s="9" t="n">
        <v>3</v>
      </c>
      <c r="K93" s="9" t="n">
        <v>11</v>
      </c>
      <c r="L93" s="9" t="n">
        <v>7</v>
      </c>
      <c r="M93" s="9" t="inlineStr">
        <is>
          <t>1d6</t>
        </is>
      </c>
      <c r="N93" s="9" t="n">
        <v>3</v>
      </c>
      <c r="O93" s="9" t="n">
        <v>12</v>
      </c>
      <c r="P93" s="9" t="n">
        <v>1</v>
      </c>
      <c r="Q93" s="9" t="inlineStr">
        <is>
          <t>Fogo</t>
        </is>
      </c>
      <c r="R93" s="9" t="inlineStr">
        <is>
          <t>Vento</t>
        </is>
      </c>
      <c r="S93" s="9" t="inlineStr"/>
      <c r="T93" s="9" t="inlineStr"/>
      <c r="U93" s="9" t="inlineStr"/>
      <c r="V93" s="9" t="inlineStr">
        <is>
          <t>Não declarado</t>
        </is>
      </c>
      <c r="W93" s="9" t="inlineStr">
        <is>
          <t>sem Firmeza</t>
        </is>
      </c>
      <c r="X93" s="9" t="inlineStr">
        <is>
          <t>Nunca aparece sozinha: use 3 a 5 por cena, e deixe a mesa descobrir o Estouro do jeito difícil.</t>
        </is>
      </c>
      <c r="Y93" s="9" t="inlineStr">
        <is>
          <t>"Elas não atacam você. Elas atacam o lugar onde você está."</t>
        </is>
      </c>
      <c r="Z93" s="9" t="n">
        <v>1</v>
      </c>
      <c r="AA93" s="9" t="n">
        <v>50</v>
      </c>
      <c r="AB93" s="9" t="n">
        <v>1</v>
      </c>
      <c r="AC93" s="9" t="n">
        <v>1</v>
      </c>
      <c r="AD93" s="9" t="inlineStr"/>
      <c r="AE93" s="9" t="inlineStr">
        <is>
          <t>Fogo, Vento</t>
        </is>
      </c>
      <c r="AF93" s="9" t="inlineStr"/>
      <c r="AG93" s="9" t="inlineStr"/>
      <c r="AH93" s="9" t="inlineStr"/>
      <c r="AI93" s="9" t="inlineStr"/>
      <c r="AJ93" s="9" t="inlineStr"/>
      <c r="AK93" s="9" t="inlineStr"/>
      <c r="AL93" s="9" t="inlineStr">
        <is>
          <t>Fragmentum</t>
        </is>
      </c>
    </row>
    <row r="94" ht="82" customHeight="1">
      <c r="A94" s="32" t="n">
        <v>3</v>
      </c>
      <c r="B94" s="4" t="inlineStr">
        <is>
          <t>Esporo Rancoroso</t>
        </is>
      </c>
      <c r="C94" s="4" t="inlineStr">
        <is>
          <t>Comum</t>
        </is>
      </c>
      <c r="D94" s="4" t="inlineStr">
        <is>
          <t>1-4</t>
        </is>
      </c>
      <c r="E94" s="4" t="inlineStr">
        <is>
          <t>Fragmentum</t>
        </is>
      </c>
      <c r="F94" s="4" t="n">
        <v>1</v>
      </c>
      <c r="G94" s="4" t="n">
        <v>50</v>
      </c>
      <c r="H94" s="4" t="n">
        <v>13</v>
      </c>
      <c r="I94" s="4" t="n">
        <v>0</v>
      </c>
      <c r="J94" s="4" t="n">
        <v>3</v>
      </c>
      <c r="K94" s="4" t="n">
        <v>11</v>
      </c>
      <c r="L94" s="4" t="n">
        <v>7</v>
      </c>
      <c r="M94" s="4" t="inlineStr">
        <is>
          <t>1d6</t>
        </is>
      </c>
      <c r="N94" s="4" t="n">
        <v>3</v>
      </c>
      <c r="O94" s="4" t="n">
        <v>12</v>
      </c>
      <c r="P94" s="4" t="n">
        <v>1</v>
      </c>
      <c r="Q94" s="4" t="inlineStr">
        <is>
          <t>Fogo</t>
        </is>
      </c>
      <c r="R94" s="4" t="inlineStr"/>
      <c r="S94" s="4" t="inlineStr"/>
      <c r="T94" s="4" t="inlineStr"/>
      <c r="U94" s="4" t="inlineStr"/>
      <c r="V94" s="4" t="inlineStr">
        <is>
          <t>Não declarado</t>
        </is>
      </c>
      <c r="W94" s="4" t="inlineStr">
        <is>
          <t>sem Firmeza</t>
        </is>
      </c>
      <c r="X94" s="4" t="inlineStr">
        <is>
          <t>Tem 1 Fraqueza só — é o exemplo de Comum na ponta baixa da coluna, e ele é notavelmente mais chato de Quebrar por causa disso.</t>
        </is>
      </c>
      <c r="Y94" s="4" t="inlineStr">
        <is>
          <t>"Parece um tronco. Até abrir."</t>
        </is>
      </c>
      <c r="Z94" s="4" t="n">
        <v>1</v>
      </c>
      <c r="AA94" s="4" t="n">
        <v>50</v>
      </c>
      <c r="AB94" s="4" t="n">
        <v>1</v>
      </c>
      <c r="AC94" s="4" t="n">
        <v>1</v>
      </c>
      <c r="AD94" s="4" t="inlineStr"/>
      <c r="AE94" s="4" t="inlineStr">
        <is>
          <t>Fogo</t>
        </is>
      </c>
      <c r="AF94" s="4" t="inlineStr">
        <is>
          <t>Agarrar</t>
        </is>
      </c>
      <c r="AG94" s="4" t="n">
        <v>2</v>
      </c>
      <c r="AH94" s="4" t="inlineStr"/>
      <c r="AI94" s="4" t="inlineStr"/>
      <c r="AJ94" s="4" t="inlineStr"/>
      <c r="AK94" s="4" t="inlineStr"/>
      <c r="AL94" s="4" t="inlineStr">
        <is>
          <t>Fragmentum</t>
        </is>
      </c>
    </row>
    <row r="95" ht="48" customHeight="1">
      <c r="A95" s="33" t="n">
        <v>4</v>
      </c>
      <c r="B95" s="9" t="inlineStr">
        <is>
          <t>Peão da Antimatéria</t>
        </is>
      </c>
      <c r="C95" s="9" t="inlineStr">
        <is>
          <t>Comum</t>
        </is>
      </c>
      <c r="D95" s="9" t="inlineStr">
        <is>
          <t>1-4</t>
        </is>
      </c>
      <c r="E95" s="9" t="inlineStr">
        <is>
          <t>Legião da Antimatéria</t>
        </is>
      </c>
      <c r="F95" s="9" t="n">
        <v>1</v>
      </c>
      <c r="G95" s="9" t="n">
        <v>50</v>
      </c>
      <c r="H95" s="9" t="n">
        <v>13</v>
      </c>
      <c r="I95" s="9" t="n">
        <v>0</v>
      </c>
      <c r="J95" s="9" t="n">
        <v>3</v>
      </c>
      <c r="K95" s="9" t="n">
        <v>11</v>
      </c>
      <c r="L95" s="9" t="n">
        <v>7</v>
      </c>
      <c r="M95" s="9" t="inlineStr">
        <is>
          <t>1d6</t>
        </is>
      </c>
      <c r="N95" s="9" t="n">
        <v>3</v>
      </c>
      <c r="O95" s="9" t="n">
        <v>12</v>
      </c>
      <c r="P95" s="9" t="n">
        <v>1</v>
      </c>
      <c r="Q95" s="9" t="inlineStr">
        <is>
          <t>Físico</t>
        </is>
      </c>
      <c r="R95" s="9" t="inlineStr">
        <is>
          <t>Raio</t>
        </is>
      </c>
      <c r="S95" s="9" t="inlineStr"/>
      <c r="T95" s="9" t="inlineStr"/>
      <c r="U95" s="9" t="inlineStr"/>
      <c r="V95" s="9" t="inlineStr">
        <is>
          <t>Não declarado</t>
        </is>
      </c>
      <c r="W95" s="9" t="inlineStr">
        <is>
          <t>sem Firmeza</t>
        </is>
      </c>
      <c r="X95" s="9" t="inlineStr">
        <is>
          <t>Dois ataques na ficha, um por turno: ele escolhe o alcance, não dobra o dano.</t>
        </is>
      </c>
      <c r="Y95" s="9" t="inlineStr">
        <is>
          <t>"Eles não querem o planeta. Eles querem que ele deixe de existir."</t>
        </is>
      </c>
      <c r="Z95" s="9" t="n">
        <v>1</v>
      </c>
      <c r="AA95" s="9" t="n">
        <v>50</v>
      </c>
      <c r="AB95" s="9" t="n">
        <v>1</v>
      </c>
      <c r="AC95" s="9" t="n">
        <v>1</v>
      </c>
      <c r="AD95" s="9" t="inlineStr"/>
      <c r="AE95" s="9" t="inlineStr">
        <is>
          <t>Físico, Raio</t>
        </is>
      </c>
      <c r="AF95" s="9" t="inlineStr">
        <is>
          <t>Fogo de supressão</t>
        </is>
      </c>
      <c r="AG95" s="9" t="n">
        <v>2</v>
      </c>
      <c r="AH95" s="9" t="inlineStr"/>
      <c r="AI95" s="9" t="inlineStr"/>
      <c r="AJ95" s="9" t="inlineStr"/>
      <c r="AK95" s="9" t="inlineStr"/>
      <c r="AL95" s="9" t="inlineStr">
        <is>
          <t>Legião da Antimatéria</t>
        </is>
      </c>
    </row>
    <row r="96" ht="48" customHeight="1">
      <c r="A96" s="32" t="n">
        <v>5</v>
      </c>
      <c r="B96" s="4" t="inlineStr">
        <is>
          <t>Sentinela Enferrujada</t>
        </is>
      </c>
      <c r="C96" s="4" t="inlineStr">
        <is>
          <t>Comum</t>
        </is>
      </c>
      <c r="D96" s="4" t="inlineStr">
        <is>
          <t>1-4</t>
        </is>
      </c>
      <c r="E96" s="4" t="inlineStr">
        <is>
          <t>Autômato</t>
        </is>
      </c>
      <c r="F96" s="4" t="n">
        <v>1</v>
      </c>
      <c r="G96" s="4" t="n">
        <v>50</v>
      </c>
      <c r="H96" s="4" t="n">
        <v>13</v>
      </c>
      <c r="I96" s="4" t="n">
        <v>0</v>
      </c>
      <c r="J96" s="4" t="n">
        <v>3</v>
      </c>
      <c r="K96" s="4" t="n">
        <v>11</v>
      </c>
      <c r="L96" s="4" t="n">
        <v>7</v>
      </c>
      <c r="M96" s="4" t="inlineStr">
        <is>
          <t>1d6</t>
        </is>
      </c>
      <c r="N96" s="4" t="n">
        <v>3</v>
      </c>
      <c r="O96" s="4" t="n">
        <v>12</v>
      </c>
      <c r="P96" s="4" t="n">
        <v>1</v>
      </c>
      <c r="Q96" s="4" t="inlineStr">
        <is>
          <t>Raio</t>
        </is>
      </c>
      <c r="R96" s="4" t="inlineStr">
        <is>
          <t>Imaginário</t>
        </is>
      </c>
      <c r="S96" s="4" t="inlineStr"/>
      <c r="T96" s="4" t="inlineStr"/>
      <c r="U96" s="4" t="inlineStr"/>
      <c r="V96" s="4" t="inlineStr">
        <is>
          <t>Não</t>
        </is>
      </c>
      <c r="W96" s="4" t="inlineStr">
        <is>
          <t>sem Firmeza</t>
        </is>
      </c>
      <c r="X96" s="4" t="inlineStr">
        <is>
          <t>Máquina sem consciência: não pode Executar ninguém (capítulo 23).</t>
        </is>
      </c>
      <c r="Y96" s="4" t="inlineStr">
        <is>
          <t>"O protocolo dela expirou há oitenta anos. Ninguém avisou."</t>
        </is>
      </c>
      <c r="Z96" s="4" t="n">
        <v>1</v>
      </c>
      <c r="AA96" s="4" t="n">
        <v>50</v>
      </c>
      <c r="AB96" s="4" t="n">
        <v>1</v>
      </c>
      <c r="AC96" s="4" t="n">
        <v>1</v>
      </c>
      <c r="AD96" s="4" t="inlineStr"/>
      <c r="AE96" s="4" t="inlineStr">
        <is>
          <t>Raio, Imaginário</t>
        </is>
      </c>
      <c r="AF96" s="4" t="inlineStr">
        <is>
          <t>Holofote de identificação</t>
        </is>
      </c>
      <c r="AG96" s="4" t="n">
        <v>2</v>
      </c>
      <c r="AH96" s="4" t="inlineStr"/>
      <c r="AI96" s="4" t="inlineStr"/>
      <c r="AJ96" s="4" t="inlineStr"/>
      <c r="AK96" s="4" t="inlineStr"/>
      <c r="AL96" s="4" t="inlineStr">
        <is>
          <t>Autômato</t>
        </is>
      </c>
    </row>
    <row r="97" ht="37" customHeight="1">
      <c r="A97" s="33" t="n">
        <v>6</v>
      </c>
      <c r="B97" s="9" t="inlineStr">
        <is>
          <t>Capataz Oco</t>
        </is>
      </c>
      <c r="C97" s="9" t="inlineStr">
        <is>
          <t>Elite</t>
        </is>
      </c>
      <c r="D97" s="9" t="inlineStr">
        <is>
          <t>1-4</t>
        </is>
      </c>
      <c r="E97" s="9" t="inlineStr">
        <is>
          <t>Fragmentum</t>
        </is>
      </c>
      <c r="F97" s="9" t="n">
        <v>1</v>
      </c>
      <c r="G97" s="9" t="n">
        <v>120</v>
      </c>
      <c r="H97" s="9" t="n">
        <v>15</v>
      </c>
      <c r="I97" s="9" t="n">
        <v>2</v>
      </c>
      <c r="J97" s="9" t="n">
        <v>5</v>
      </c>
      <c r="K97" s="9" t="n">
        <v>12</v>
      </c>
      <c r="L97" s="9" t="n">
        <v>7</v>
      </c>
      <c r="M97" s="9" t="inlineStr">
        <is>
          <t>2d6</t>
        </is>
      </c>
      <c r="N97" s="9" t="n">
        <v>7</v>
      </c>
      <c r="O97" s="9" t="n">
        <v>13</v>
      </c>
      <c r="P97" s="9" t="n">
        <v>2</v>
      </c>
      <c r="Q97" s="9" t="inlineStr">
        <is>
          <t>Físico</t>
        </is>
      </c>
      <c r="R97" s="9" t="inlineStr">
        <is>
          <t>Fogo</t>
        </is>
      </c>
      <c r="S97" s="9" t="inlineStr">
        <is>
          <t>Imaginário</t>
        </is>
      </c>
      <c r="T97" s="9" t="inlineStr"/>
      <c r="U97" s="9" t="inlineStr">
        <is>
          <t>Quântico</t>
        </is>
      </c>
      <c r="V97" s="9" t="inlineStr">
        <is>
          <t>Não declarado</t>
        </is>
      </c>
      <c r="W97" s="9" t="inlineStr">
        <is>
          <t>com Firmeza</t>
        </is>
      </c>
      <c r="X97" s="9" t="inlineStr">
        <is>
          <t>Prioriza quem causou mais dano a ele no Ciclo anterior.</t>
        </is>
      </c>
      <c r="Y97" s="9" t="inlineStr">
        <is>
          <t>"A voz dele ainda dá ordens. Só não são ordens de trabalho."</t>
        </is>
      </c>
      <c r="Z97" s="9" t="n">
        <v>1.5</v>
      </c>
      <c r="AA97" s="9" t="n">
        <v>120</v>
      </c>
      <c r="AB97" s="9" t="n">
        <v>1</v>
      </c>
      <c r="AC97" s="9" t="n">
        <v>2</v>
      </c>
      <c r="AD97" s="9" t="inlineStr"/>
      <c r="AE97" s="9" t="inlineStr">
        <is>
          <t>Físico, Fogo, Imaginário</t>
        </is>
      </c>
      <c r="AF97" s="9" t="inlineStr">
        <is>
          <t>Chamado de turno</t>
        </is>
      </c>
      <c r="AG97" s="9" t="n">
        <v>3</v>
      </c>
      <c r="AH97" s="9" t="inlineStr">
        <is>
          <t>Esmagar</t>
        </is>
      </c>
      <c r="AI97" s="9" t="n">
        <v>2</v>
      </c>
      <c r="AJ97" s="9" t="inlineStr"/>
      <c r="AK97" s="9" t="inlineStr"/>
      <c r="AL97" s="9" t="inlineStr">
        <is>
          <t>Fragmentum</t>
        </is>
      </c>
    </row>
    <row r="98" ht="48" customHeight="1">
      <c r="A98" s="32" t="n">
        <v>7</v>
      </c>
      <c r="B98" s="4" t="inlineStr">
        <is>
          <t>Sargento de Trincheira</t>
        </is>
      </c>
      <c r="C98" s="4" t="inlineStr">
        <is>
          <t>Elite</t>
        </is>
      </c>
      <c r="D98" s="4" t="inlineStr">
        <is>
          <t>1-4</t>
        </is>
      </c>
      <c r="E98" s="4" t="inlineStr">
        <is>
          <t>Legião da Antimatéria</t>
        </is>
      </c>
      <c r="F98" s="4" t="n">
        <v>1</v>
      </c>
      <c r="G98" s="4" t="n">
        <v>120</v>
      </c>
      <c r="H98" s="4" t="n">
        <v>15</v>
      </c>
      <c r="I98" s="4" t="n">
        <v>2</v>
      </c>
      <c r="J98" s="4" t="n">
        <v>5</v>
      </c>
      <c r="K98" s="4" t="n">
        <v>12</v>
      </c>
      <c r="L98" s="4" t="n">
        <v>7</v>
      </c>
      <c r="M98" s="4" t="inlineStr">
        <is>
          <t>2d6</t>
        </is>
      </c>
      <c r="N98" s="4" t="n">
        <v>7</v>
      </c>
      <c r="O98" s="4" t="n">
        <v>13</v>
      </c>
      <c r="P98" s="4" t="n">
        <v>2</v>
      </c>
      <c r="Q98" s="4" t="inlineStr">
        <is>
          <t>Raio</t>
        </is>
      </c>
      <c r="R98" s="4" t="inlineStr">
        <is>
          <t>Gelo</t>
        </is>
      </c>
      <c r="S98" s="4" t="inlineStr">
        <is>
          <t>Vento</t>
        </is>
      </c>
      <c r="T98" s="4" t="inlineStr"/>
      <c r="U98" s="4" t="inlineStr"/>
      <c r="V98" s="4" t="inlineStr">
        <is>
          <t>Não declarado</t>
        </is>
      </c>
      <c r="W98" s="4" t="inlineStr">
        <is>
          <t>com Firmeza</t>
        </is>
      </c>
      <c r="X98" s="4" t="inlineStr">
        <is>
          <t>Fica atrás dos Peões e usa a marca no personagem de menor PV.</t>
        </is>
      </c>
      <c r="Y98" s="4" t="inlineStr">
        <is>
          <t>"Formação! A antimatéria não espera!"</t>
        </is>
      </c>
      <c r="Z98" s="4" t="n">
        <v>1.5</v>
      </c>
      <c r="AA98" s="4" t="n">
        <v>120</v>
      </c>
      <c r="AB98" s="4" t="n">
        <v>1</v>
      </c>
      <c r="AC98" s="4" t="n">
        <v>2</v>
      </c>
      <c r="AD98" s="4" t="inlineStr"/>
      <c r="AE98" s="4" t="inlineStr">
        <is>
          <t>Raio, Gelo, Vento</t>
        </is>
      </c>
      <c r="AF98" s="4" t="inlineStr">
        <is>
          <t>Marcar alvo prioritário</t>
        </is>
      </c>
      <c r="AG98" s="4" t="n">
        <v>2</v>
      </c>
      <c r="AH98" s="4" t="inlineStr">
        <is>
          <t>Granada de fragmentação</t>
        </is>
      </c>
      <c r="AI98" s="4" t="n">
        <v>3</v>
      </c>
      <c r="AJ98" s="4" t="inlineStr"/>
      <c r="AK98" s="4" t="inlineStr"/>
      <c r="AL98" s="4" t="inlineStr">
        <is>
          <t>Legião da Antimatéria</t>
        </is>
      </c>
    </row>
    <row r="99" ht="48" customHeight="1">
      <c r="A99" s="33" t="n">
        <v>8</v>
      </c>
      <c r="B99" s="9" t="inlineStr">
        <is>
          <t>O Afogado do Poço Sete</t>
        </is>
      </c>
      <c r="C99" s="9" t="inlineStr">
        <is>
          <t>Boss</t>
        </is>
      </c>
      <c r="D99" s="9" t="inlineStr">
        <is>
          <t>1-4</t>
        </is>
      </c>
      <c r="E99" s="9" t="inlineStr">
        <is>
          <t>Fragmentum</t>
        </is>
      </c>
      <c r="F99" s="9" t="n">
        <v>2</v>
      </c>
      <c r="G99" s="9" t="n">
        <v>305</v>
      </c>
      <c r="H99" s="9" t="n">
        <v>16</v>
      </c>
      <c r="I99" s="9" t="n">
        <v>4</v>
      </c>
      <c r="J99" s="9" t="n">
        <v>10</v>
      </c>
      <c r="K99" s="9" t="n">
        <v>13</v>
      </c>
      <c r="L99" s="9" t="n">
        <v>7</v>
      </c>
      <c r="M99" s="9" t="inlineStr">
        <is>
          <t>3d6</t>
        </is>
      </c>
      <c r="N99" s="9" t="n">
        <v>10</v>
      </c>
      <c r="O99" s="9" t="n">
        <v>14</v>
      </c>
      <c r="P99" s="9" t="n">
        <v>3</v>
      </c>
      <c r="Q99" s="9" t="inlineStr">
        <is>
          <t>Fogo</t>
        </is>
      </c>
      <c r="R99" s="9" t="inlineStr">
        <is>
          <t>Raio</t>
        </is>
      </c>
      <c r="S99" s="9" t="inlineStr">
        <is>
          <t>Vento</t>
        </is>
      </c>
      <c r="T99" s="9" t="inlineStr">
        <is>
          <t>Imaginário</t>
        </is>
      </c>
      <c r="U99" s="9" t="inlineStr"/>
      <c r="V99" s="9" t="inlineStr">
        <is>
          <t>Não declarado</t>
        </is>
      </c>
      <c r="W99" s="9" t="inlineStr">
        <is>
          <t>com Firmeza</t>
        </is>
      </c>
      <c r="X99" s="9" t="inlineStr">
        <is>
          <t>Na fase 1 vai no alvo mais próximo; na fase 2 vai onde o Coro pegar mais gente.</t>
        </is>
      </c>
      <c r="Y99" s="9" t="inlineStr">
        <is>
          <t>"Sete turnos desceram. O poço devolveu um."</t>
        </is>
      </c>
      <c r="Z99" s="9" t="n">
        <v>2</v>
      </c>
      <c r="AA99" s="9" t="n">
        <v>305</v>
      </c>
      <c r="AB99" s="9" t="n">
        <v>1</v>
      </c>
      <c r="AC99" s="9" t="n">
        <v>3</v>
      </c>
      <c r="AD99" s="9" t="inlineStr"/>
      <c r="AE99" s="9" t="inlineStr">
        <is>
          <t>Fogo, Raio, Vento, Imaginário</t>
        </is>
      </c>
      <c r="AF99" s="9" t="inlineStr">
        <is>
          <t>Engolir</t>
        </is>
      </c>
      <c r="AG99" s="9" t="n">
        <v>3</v>
      </c>
      <c r="AH99" s="9" t="inlineStr"/>
      <c r="AI99" s="9" t="inlineStr"/>
      <c r="AJ99" s="9" t="inlineStr"/>
      <c r="AK99" s="9" t="inlineStr"/>
      <c r="AL99" s="9" t="inlineStr">
        <is>
          <t>Fragmentum</t>
        </is>
      </c>
    </row>
    <row r="100" ht="48" customHeight="1">
      <c r="A100" s="32" t="n">
        <v>9</v>
      </c>
      <c r="B100" s="4" t="inlineStr">
        <is>
          <t>Fuzileiro da Legião</t>
        </is>
      </c>
      <c r="C100" s="4" t="inlineStr">
        <is>
          <t>Comum</t>
        </is>
      </c>
      <c r="D100" s="4" t="inlineStr">
        <is>
          <t>5-8</t>
        </is>
      </c>
      <c r="E100" s="4" t="inlineStr">
        <is>
          <t>Legião da Antimatéria</t>
        </is>
      </c>
      <c r="F100" s="4" t="n">
        <v>1</v>
      </c>
      <c r="G100" s="4" t="n">
        <v>70</v>
      </c>
      <c r="H100" s="4" t="n">
        <v>16</v>
      </c>
      <c r="I100" s="4" t="n">
        <v>0</v>
      </c>
      <c r="J100" s="4" t="n">
        <v>3</v>
      </c>
      <c r="K100" s="4" t="n">
        <v>12</v>
      </c>
      <c r="L100" s="4" t="n">
        <v>9</v>
      </c>
      <c r="M100" s="4" t="inlineStr">
        <is>
          <t>2d6</t>
        </is>
      </c>
      <c r="N100" s="4" t="n">
        <v>7</v>
      </c>
      <c r="O100" s="4" t="n">
        <v>14</v>
      </c>
      <c r="P100" s="4" t="n">
        <v>3</v>
      </c>
      <c r="Q100" s="4" t="inlineStr">
        <is>
          <t>Físico</t>
        </is>
      </c>
      <c r="R100" s="4" t="inlineStr">
        <is>
          <t>Raio</t>
        </is>
      </c>
      <c r="S100" s="4" t="inlineStr"/>
      <c r="T100" s="4" t="inlineStr"/>
      <c r="U100" s="4" t="inlineStr"/>
      <c r="V100" s="4" t="inlineStr">
        <is>
          <t>Não declarado</t>
        </is>
      </c>
      <c r="W100" s="4" t="inlineStr">
        <is>
          <t>sem Firmeza</t>
        </is>
      </c>
      <c r="X100" s="4" t="inlineStr">
        <is>
          <t>Use em pares ou em quatro. Um Fuzileiro sozinho é uma cena de passagem.</t>
        </is>
      </c>
      <c r="Y100" s="4" t="inlineStr">
        <is>
          <t>"O Peão aponta. O Fuzileiro acerta."</t>
        </is>
      </c>
      <c r="Z100" s="4" t="n">
        <v>1</v>
      </c>
      <c r="AA100" s="4" t="n">
        <v>70</v>
      </c>
      <c r="AB100" s="4" t="n">
        <v>2</v>
      </c>
      <c r="AC100" s="4" t="n">
        <v>1</v>
      </c>
      <c r="AD100" s="4" t="inlineStr"/>
      <c r="AE100" s="4" t="inlineStr">
        <is>
          <t>Físico, Raio</t>
        </is>
      </c>
      <c r="AF100" s="4" t="inlineStr">
        <is>
          <t>Fogo cruzado</t>
        </is>
      </c>
      <c r="AG100" s="4" t="n">
        <v>2</v>
      </c>
      <c r="AH100" s="4" t="inlineStr"/>
      <c r="AI100" s="4" t="inlineStr"/>
      <c r="AJ100" s="4" t="inlineStr"/>
      <c r="AK100" s="4" t="inlineStr"/>
      <c r="AL100" s="4" t="inlineStr">
        <is>
          <t>Legião da Antimatéria</t>
        </is>
      </c>
    </row>
    <row r="101" ht="71" customHeight="1">
      <c r="A101" s="33" t="n">
        <v>10</v>
      </c>
      <c r="B101" s="9" t="inlineStr">
        <is>
          <t>Dron de Vigilância Pacificadora</t>
        </is>
      </c>
      <c r="C101" s="9" t="inlineStr">
        <is>
          <t>Comum</t>
        </is>
      </c>
      <c r="D101" s="9" t="inlineStr">
        <is>
          <t>5-8</t>
        </is>
      </c>
      <c r="E101" s="9" t="inlineStr">
        <is>
          <t>Corporação da Paz Interastral</t>
        </is>
      </c>
      <c r="F101" s="9" t="n">
        <v>1</v>
      </c>
      <c r="G101" s="9" t="n">
        <v>70</v>
      </c>
      <c r="H101" s="9" t="n">
        <v>16</v>
      </c>
      <c r="I101" s="9" t="n">
        <v>0</v>
      </c>
      <c r="J101" s="9" t="n">
        <v>3</v>
      </c>
      <c r="K101" s="9" t="n">
        <v>12</v>
      </c>
      <c r="L101" s="9" t="n">
        <v>9</v>
      </c>
      <c r="M101" s="9" t="inlineStr">
        <is>
          <t>2d6</t>
        </is>
      </c>
      <c r="N101" s="9" t="n">
        <v>7</v>
      </c>
      <c r="O101" s="9" t="n">
        <v>14</v>
      </c>
      <c r="P101" s="9" t="n">
        <v>3</v>
      </c>
      <c r="Q101" s="9" t="inlineStr">
        <is>
          <t>Raio</t>
        </is>
      </c>
      <c r="R101" s="9" t="inlineStr">
        <is>
          <t>Quântico</t>
        </is>
      </c>
      <c r="S101" s="9" t="inlineStr"/>
      <c r="T101" s="9" t="inlineStr"/>
      <c r="U101" s="9" t="inlineStr"/>
      <c r="V101" s="9" t="inlineStr">
        <is>
          <t>Não</t>
        </is>
      </c>
      <c r="W101" s="9" t="inlineStr">
        <is>
          <t>sem Firmeza</t>
        </is>
      </c>
      <c r="X101" s="9" t="inlineStr">
        <is>
          <t>Máquina sem consciência: não Executa. Foge quando fica sozinho, e isso não é covardia: é o seguro dele vencendo.</t>
        </is>
      </c>
      <c r="Y101" s="9" t="inlineStr">
        <is>
          <t>"Sorria. Isto é uma apólice."</t>
        </is>
      </c>
      <c r="Z101" s="9" t="n">
        <v>1</v>
      </c>
      <c r="AA101" s="9" t="n">
        <v>70</v>
      </c>
      <c r="AB101" s="9" t="n">
        <v>2</v>
      </c>
      <c r="AC101" s="9" t="n">
        <v>1</v>
      </c>
      <c r="AD101" s="9" t="inlineStr">
        <is>
          <t>Autômato</t>
        </is>
      </c>
      <c r="AE101" s="9" t="inlineStr">
        <is>
          <t>Raio, Quântico</t>
        </is>
      </c>
      <c r="AF101" s="9" t="inlineStr">
        <is>
          <t>Notificação de infração</t>
        </is>
      </c>
      <c r="AG101" s="9" t="n">
        <v>2</v>
      </c>
      <c r="AH101" s="9" t="inlineStr"/>
      <c r="AI101" s="9" t="inlineStr"/>
      <c r="AJ101" s="9" t="inlineStr"/>
      <c r="AK101" s="9" t="inlineStr"/>
      <c r="AL101" s="9" t="inlineStr">
        <is>
          <t>Corporação da Paz Interastral · Autômato</t>
        </is>
      </c>
    </row>
    <row r="102" ht="37" customHeight="1">
      <c r="A102" s="32" t="n">
        <v>11</v>
      </c>
      <c r="B102" s="4" t="inlineStr">
        <is>
          <t>Devoto do Silêncio</t>
        </is>
      </c>
      <c r="C102" s="4" t="inlineStr">
        <is>
          <t>Comum</t>
        </is>
      </c>
      <c r="D102" s="4" t="inlineStr">
        <is>
          <t>5-8</t>
        </is>
      </c>
      <c r="E102" s="4" t="inlineStr">
        <is>
          <t>Culto da Inexistência</t>
        </is>
      </c>
      <c r="F102" s="4" t="n">
        <v>1</v>
      </c>
      <c r="G102" s="4" t="n">
        <v>70</v>
      </c>
      <c r="H102" s="4" t="n">
        <v>16</v>
      </c>
      <c r="I102" s="4" t="n">
        <v>0</v>
      </c>
      <c r="J102" s="4" t="n">
        <v>3</v>
      </c>
      <c r="K102" s="4" t="n">
        <v>12</v>
      </c>
      <c r="L102" s="4" t="n">
        <v>9</v>
      </c>
      <c r="M102" s="4" t="inlineStr">
        <is>
          <t>2d6</t>
        </is>
      </c>
      <c r="N102" s="4" t="n">
        <v>7</v>
      </c>
      <c r="O102" s="4" t="n">
        <v>14</v>
      </c>
      <c r="P102" s="4" t="n">
        <v>3</v>
      </c>
      <c r="Q102" s="4" t="inlineStr">
        <is>
          <t>Fogo</t>
        </is>
      </c>
      <c r="R102" s="4" t="inlineStr">
        <is>
          <t>Imaginário</t>
        </is>
      </c>
      <c r="S102" s="4" t="inlineStr"/>
      <c r="T102" s="4" t="inlineStr"/>
      <c r="U102" s="4" t="inlineStr"/>
      <c r="V102" s="4" t="inlineStr">
        <is>
          <t>Não declarado</t>
        </is>
      </c>
      <c r="W102" s="4" t="inlineStr">
        <is>
          <t>sem Firmeza</t>
        </is>
      </c>
      <c r="X102" s="4" t="inlineStr">
        <is>
          <t>Ataca quem está mais ferido, sempre.</t>
        </is>
      </c>
      <c r="Y102" s="4" t="inlineStr">
        <is>
          <t>"Ele agradece cada ferida. Em voz muito baixa."</t>
        </is>
      </c>
      <c r="Z102" s="4" t="n">
        <v>1</v>
      </c>
      <c r="AA102" s="4" t="n">
        <v>70</v>
      </c>
      <c r="AB102" s="4" t="n">
        <v>2</v>
      </c>
      <c r="AC102" s="4" t="n">
        <v>1</v>
      </c>
      <c r="AD102" s="4" t="inlineStr"/>
      <c r="AE102" s="4" t="inlineStr">
        <is>
          <t>Fogo, Imaginário</t>
        </is>
      </c>
      <c r="AF102" s="4" t="inlineStr">
        <is>
          <t>Litania</t>
        </is>
      </c>
      <c r="AG102" s="4" t="n">
        <v>3</v>
      </c>
      <c r="AH102" s="4" t="inlineStr"/>
      <c r="AI102" s="4" t="inlineStr"/>
      <c r="AJ102" s="4" t="inlineStr"/>
      <c r="AK102" s="4" t="inlineStr"/>
      <c r="AL102" s="4" t="inlineStr">
        <is>
          <t>Culto da Inexistência</t>
        </is>
      </c>
    </row>
    <row r="103" ht="37" customHeight="1">
      <c r="A103" s="33" t="n">
        <v>12</v>
      </c>
      <c r="B103" s="9" t="inlineStr">
        <is>
          <t>Centurião Catafracto</t>
        </is>
      </c>
      <c r="C103" s="9" t="inlineStr">
        <is>
          <t>Elite</t>
        </is>
      </c>
      <c r="D103" s="9" t="inlineStr">
        <is>
          <t>5-8</t>
        </is>
      </c>
      <c r="E103" s="9" t="inlineStr">
        <is>
          <t>Legião da Antimatéria</t>
        </is>
      </c>
      <c r="F103" s="9" t="n">
        <v>1</v>
      </c>
      <c r="G103" s="9" t="n">
        <v>160</v>
      </c>
      <c r="H103" s="9" t="n">
        <v>18</v>
      </c>
      <c r="I103" s="9" t="n">
        <v>2</v>
      </c>
      <c r="J103" s="9" t="n">
        <v>6</v>
      </c>
      <c r="K103" s="9" t="n">
        <v>13</v>
      </c>
      <c r="L103" s="9" t="n">
        <v>9</v>
      </c>
      <c r="M103" s="9" t="inlineStr">
        <is>
          <t>3d8</t>
        </is>
      </c>
      <c r="N103" s="9" t="n">
        <v>13</v>
      </c>
      <c r="O103" s="9" t="n">
        <v>15</v>
      </c>
      <c r="P103" s="9" t="n">
        <v>4</v>
      </c>
      <c r="Q103" s="9" t="inlineStr">
        <is>
          <t>Raio</t>
        </is>
      </c>
      <c r="R103" s="9" t="inlineStr">
        <is>
          <t>Quântico</t>
        </is>
      </c>
      <c r="S103" s="9" t="inlineStr">
        <is>
          <t>Imaginário</t>
        </is>
      </c>
      <c r="T103" s="9" t="inlineStr"/>
      <c r="U103" s="9" t="inlineStr">
        <is>
          <t>Físico</t>
        </is>
      </c>
      <c r="V103" s="9" t="inlineStr">
        <is>
          <t>Não declarado</t>
        </is>
      </c>
      <c r="W103" s="9" t="inlineStr">
        <is>
          <t>com Firmeza</t>
        </is>
      </c>
      <c r="X103" s="9" t="inlineStr">
        <is>
          <t>Puxa o personagem de menor PV para perto e fica em cima dele.</t>
        </is>
      </c>
      <c r="Y103" s="9" t="inlineStr">
        <is>
          <t>"A armadura dele foi fechada por dentro. Ele não pretende sair."</t>
        </is>
      </c>
      <c r="Z103" s="9" t="n">
        <v>1.5</v>
      </c>
      <c r="AA103" s="9" t="n">
        <v>160</v>
      </c>
      <c r="AB103" s="9" t="n">
        <v>2</v>
      </c>
      <c r="AC103" s="9" t="n">
        <v>2</v>
      </c>
      <c r="AD103" s="9" t="inlineStr"/>
      <c r="AE103" s="9" t="inlineStr">
        <is>
          <t>Raio, Quântico, Imaginário</t>
        </is>
      </c>
      <c r="AF103" s="9" t="inlineStr">
        <is>
          <t>Avanço de aríete</t>
        </is>
      </c>
      <c r="AG103" s="9" t="n">
        <v>2</v>
      </c>
      <c r="AH103" s="9" t="inlineStr">
        <is>
          <t>Selar visor</t>
        </is>
      </c>
      <c r="AI103" s="9" t="n">
        <v>3</v>
      </c>
      <c r="AJ103" s="9" t="inlineStr"/>
      <c r="AK103" s="9" t="inlineStr"/>
      <c r="AL103" s="9" t="inlineStr">
        <is>
          <t>Legião da Antimatéria</t>
        </is>
      </c>
    </row>
    <row r="104" ht="48" customHeight="1">
      <c r="A104" s="32" t="n">
        <v>13</v>
      </c>
      <c r="B104" s="4" t="inlineStr">
        <is>
          <t>Auditora de Risco</t>
        </is>
      </c>
      <c r="C104" s="4" t="inlineStr">
        <is>
          <t>Elite</t>
        </is>
      </c>
      <c r="D104" s="4" t="inlineStr">
        <is>
          <t>5-8</t>
        </is>
      </c>
      <c r="E104" s="4" t="inlineStr">
        <is>
          <t>Corporação da Paz Interastral</t>
        </is>
      </c>
      <c r="F104" s="4" t="n">
        <v>1</v>
      </c>
      <c r="G104" s="4" t="n">
        <v>160</v>
      </c>
      <c r="H104" s="4" t="n">
        <v>18</v>
      </c>
      <c r="I104" s="4" t="n">
        <v>2</v>
      </c>
      <c r="J104" s="4" t="n">
        <v>6</v>
      </c>
      <c r="K104" s="4" t="n">
        <v>13</v>
      </c>
      <c r="L104" s="4" t="n">
        <v>9</v>
      </c>
      <c r="M104" s="4" t="inlineStr">
        <is>
          <t>3d8</t>
        </is>
      </c>
      <c r="N104" s="4" t="n">
        <v>13</v>
      </c>
      <c r="O104" s="4" t="n">
        <v>15</v>
      </c>
      <c r="P104" s="4" t="n">
        <v>4</v>
      </c>
      <c r="Q104" s="4" t="inlineStr">
        <is>
          <t>Físico</t>
        </is>
      </c>
      <c r="R104" s="4" t="inlineStr">
        <is>
          <t>Fogo</t>
        </is>
      </c>
      <c r="S104" s="4" t="inlineStr">
        <is>
          <t>Vento</t>
        </is>
      </c>
      <c r="T104" s="4" t="inlineStr"/>
      <c r="U104" s="4" t="inlineStr"/>
      <c r="V104" s="4" t="inlineStr">
        <is>
          <t>Não declarado</t>
        </is>
      </c>
      <c r="W104" s="4" t="inlineStr">
        <is>
          <t>com Firmeza</t>
        </is>
      </c>
      <c r="X104" s="4" t="inlineStr">
        <is>
          <t>Marca primeiro, cobra depois. Entra em cena com 2 a 4 Drons de Vigilância.</t>
        </is>
      </c>
      <c r="Y104" s="4" t="inlineStr">
        <is>
          <t>"Eu não vim prender vocês. Vim precificar vocês."</t>
        </is>
      </c>
      <c r="Z104" s="4" t="n">
        <v>1.5</v>
      </c>
      <c r="AA104" s="4" t="n">
        <v>160</v>
      </c>
      <c r="AB104" s="4" t="n">
        <v>2</v>
      </c>
      <c r="AC104" s="4" t="n">
        <v>2</v>
      </c>
      <c r="AD104" s="4" t="inlineStr"/>
      <c r="AE104" s="4" t="inlineStr">
        <is>
          <t>Físico, Fogo, Vento</t>
        </is>
      </c>
      <c r="AF104" s="4" t="inlineStr">
        <is>
          <t>Cláusula de perda</t>
        </is>
      </c>
      <c r="AG104" s="4" t="n">
        <v>2</v>
      </c>
      <c r="AH104" s="4" t="inlineStr">
        <is>
          <t>Liquidação antecipada</t>
        </is>
      </c>
      <c r="AI104" s="4" t="n">
        <v>3</v>
      </c>
      <c r="AJ104" s="4" t="inlineStr"/>
      <c r="AK104" s="4" t="inlineStr"/>
      <c r="AL104" s="4" t="inlineStr">
        <is>
          <t>Corporação da Paz Interastral</t>
        </is>
      </c>
    </row>
    <row r="105" ht="37" customHeight="1">
      <c r="A105" s="33" t="n">
        <v>14</v>
      </c>
      <c r="B105" s="9" t="inlineStr">
        <is>
          <t>Pretor Vazio-Nove</t>
        </is>
      </c>
      <c r="C105" s="9" t="inlineStr">
        <is>
          <t>Boss</t>
        </is>
      </c>
      <c r="D105" s="9" t="inlineStr">
        <is>
          <t>5-8</t>
        </is>
      </c>
      <c r="E105" s="9" t="inlineStr">
        <is>
          <t>Legião da Antimatéria</t>
        </is>
      </c>
      <c r="F105" s="9" t="n">
        <v>1</v>
      </c>
      <c r="G105" s="9" t="n">
        <v>410</v>
      </c>
      <c r="H105" s="9" t="n">
        <v>19</v>
      </c>
      <c r="I105" s="9" t="n">
        <v>4</v>
      </c>
      <c r="J105" s="9" t="n">
        <v>11</v>
      </c>
      <c r="K105" s="9" t="n">
        <v>15</v>
      </c>
      <c r="L105" s="9" t="n">
        <v>9</v>
      </c>
      <c r="M105" s="9" t="inlineStr">
        <is>
          <t>4d8 + 2</t>
        </is>
      </c>
      <c r="N105" s="9" t="n">
        <v>20</v>
      </c>
      <c r="O105" s="9" t="n">
        <v>16</v>
      </c>
      <c r="P105" s="9" t="n">
        <v>5</v>
      </c>
      <c r="Q105" s="9" t="inlineStr">
        <is>
          <t>Fogo</t>
        </is>
      </c>
      <c r="R105" s="9" t="inlineStr">
        <is>
          <t>Gelo</t>
        </is>
      </c>
      <c r="S105" s="9" t="inlineStr">
        <is>
          <t>Raio</t>
        </is>
      </c>
      <c r="T105" s="9" t="inlineStr">
        <is>
          <t>Imaginário</t>
        </is>
      </c>
      <c r="U105" s="9" t="inlineStr"/>
      <c r="V105" s="9" t="inlineStr">
        <is>
          <t>Não declarado</t>
        </is>
      </c>
      <c r="W105" s="9" t="inlineStr">
        <is>
          <t>com Firmeza</t>
        </is>
      </c>
      <c r="X105" s="9" t="inlineStr">
        <is>
          <t>Age antes de quase todo o grupo. Prioriza quem cura.</t>
        </is>
      </c>
      <c r="Y105" s="9" t="inlineStr">
        <is>
          <t>"Nove planetas. Nove notas de rodapé."</t>
        </is>
      </c>
      <c r="Z105" s="9" t="n">
        <v>2</v>
      </c>
      <c r="AA105" s="9" t="n">
        <v>410</v>
      </c>
      <c r="AB105" s="9" t="n">
        <v>2</v>
      </c>
      <c r="AC105" s="9" t="n">
        <v>3</v>
      </c>
      <c r="AD105" s="9" t="inlineStr"/>
      <c r="AE105" s="9" t="inlineStr">
        <is>
          <t>Fogo, Gelo, Raio, Imaginário</t>
        </is>
      </c>
      <c r="AF105" s="9" t="inlineStr">
        <is>
          <t>Salva de antimatéria</t>
        </is>
      </c>
      <c r="AG105" s="9" t="n">
        <v>2</v>
      </c>
      <c r="AH105" s="9" t="inlineStr">
        <is>
          <t>Ordem de cerco</t>
        </is>
      </c>
      <c r="AI105" s="9" t="n">
        <v>3</v>
      </c>
      <c r="AJ105" s="9" t="inlineStr"/>
      <c r="AK105" s="9" t="inlineStr"/>
      <c r="AL105" s="9" t="inlineStr">
        <is>
          <t>Legião da Antimatéria</t>
        </is>
      </c>
    </row>
    <row r="106" ht="105" customHeight="1">
      <c r="A106" s="32" t="n">
        <v>15</v>
      </c>
      <c r="B106" s="4" t="inlineStr">
        <is>
          <t>Lanceiro da Frota de Jade</t>
        </is>
      </c>
      <c r="C106" s="4" t="inlineStr">
        <is>
          <t>Comum</t>
        </is>
      </c>
      <c r="D106" s="4" t="inlineStr">
        <is>
          <t>9-12</t>
        </is>
      </c>
      <c r="E106" s="4" t="inlineStr">
        <is>
          <t>Aliança Xianzhou</t>
        </is>
      </c>
      <c r="F106" s="4" t="n">
        <v>1</v>
      </c>
      <c r="G106" s="4" t="n">
        <v>95</v>
      </c>
      <c r="H106" s="4" t="n">
        <v>19</v>
      </c>
      <c r="I106" s="4" t="n">
        <v>0</v>
      </c>
      <c r="J106" s="4" t="n">
        <v>4</v>
      </c>
      <c r="K106" s="4" t="n">
        <v>13</v>
      </c>
      <c r="L106" s="4" t="n">
        <v>11</v>
      </c>
      <c r="M106" s="4" t="inlineStr">
        <is>
          <t>2d8</t>
        </is>
      </c>
      <c r="N106" s="4" t="n">
        <v>9</v>
      </c>
      <c r="O106" s="4" t="n">
        <v>16</v>
      </c>
      <c r="P106" s="4" t="n">
        <v>4</v>
      </c>
      <c r="Q106" s="4" t="inlineStr">
        <is>
          <t>Gelo</t>
        </is>
      </c>
      <c r="R106" s="4" t="inlineStr">
        <is>
          <t>Quântico</t>
        </is>
      </c>
      <c r="S106" s="4" t="inlineStr"/>
      <c r="T106" s="4" t="inlineStr"/>
      <c r="U106" s="4" t="inlineStr"/>
      <c r="V106" s="4" t="inlineStr">
        <is>
          <t>Pode</t>
        </is>
      </c>
      <c r="W106" s="4" t="inlineStr">
        <is>
          <t>sem Firmeza</t>
        </is>
      </c>
      <c r="X106" s="4" t="inlineStr">
        <is>
          <t>Ser racional: pode Executar um personagem em Morrendo (capítulo 23) — e, pela doutrina da frota, ele faz isso sem hesitar se o alvo for o nome da ordem de caça.</t>
        </is>
      </c>
      <c r="Y106" s="4" t="inlineStr">
        <is>
          <t>"Não é pessoal. Está escrito."</t>
        </is>
      </c>
      <c r="Z106" s="4" t="n">
        <v>1</v>
      </c>
      <c r="AA106" s="4" t="n">
        <v>95</v>
      </c>
      <c r="AB106" s="4" t="n">
        <v>3</v>
      </c>
      <c r="AC106" s="4" t="n">
        <v>1</v>
      </c>
      <c r="AD106" s="4" t="inlineStr"/>
      <c r="AE106" s="4" t="inlineStr">
        <is>
          <t>Gelo, Quântico</t>
        </is>
      </c>
      <c r="AF106" s="4" t="inlineStr">
        <is>
          <t>Formação de muro</t>
        </is>
      </c>
      <c r="AG106" s="4" t="n">
        <v>2</v>
      </c>
      <c r="AH106" s="4" t="inlineStr"/>
      <c r="AI106" s="4" t="inlineStr"/>
      <c r="AJ106" s="4" t="inlineStr"/>
      <c r="AK106" s="4" t="inlineStr"/>
      <c r="AL106" s="4" t="inlineStr">
        <is>
          <t>Aliança Xianzhou</t>
        </is>
      </c>
    </row>
    <row r="107" ht="48" customHeight="1">
      <c r="A107" s="33" t="n">
        <v>16</v>
      </c>
      <c r="B107" s="9" t="inlineStr">
        <is>
          <t>Palhaço de Pólvora</t>
        </is>
      </c>
      <c r="C107" s="9" t="inlineStr">
        <is>
          <t>Comum</t>
        </is>
      </c>
      <c r="D107" s="9" t="inlineStr">
        <is>
          <t>9-12</t>
        </is>
      </c>
      <c r="E107" s="9" t="inlineStr">
        <is>
          <t>Tolos Mascarados</t>
        </is>
      </c>
      <c r="F107" s="9" t="n">
        <v>1</v>
      </c>
      <c r="G107" s="9" t="n">
        <v>95</v>
      </c>
      <c r="H107" s="9" t="n">
        <v>19</v>
      </c>
      <c r="I107" s="9" t="n">
        <v>0</v>
      </c>
      <c r="J107" s="9" t="n">
        <v>4</v>
      </c>
      <c r="K107" s="9" t="n">
        <v>13</v>
      </c>
      <c r="L107" s="9" t="n">
        <v>11</v>
      </c>
      <c r="M107" s="9" t="inlineStr">
        <is>
          <t>2d8</t>
        </is>
      </c>
      <c r="N107" s="9" t="n">
        <v>9</v>
      </c>
      <c r="O107" s="9" t="n">
        <v>16</v>
      </c>
      <c r="P107" s="9" t="n">
        <v>4</v>
      </c>
      <c r="Q107" s="9" t="inlineStr">
        <is>
          <t>Gelo</t>
        </is>
      </c>
      <c r="R107" s="9" t="inlineStr">
        <is>
          <t>Imaginário</t>
        </is>
      </c>
      <c r="S107" s="9" t="inlineStr"/>
      <c r="T107" s="9" t="inlineStr"/>
      <c r="U107" s="9" t="inlineStr"/>
      <c r="V107" s="9" t="inlineStr">
        <is>
          <t>Não declarado</t>
        </is>
      </c>
      <c r="W107" s="9" t="inlineStr">
        <is>
          <t>sem Firmeza</t>
        </is>
      </c>
      <c r="X107" s="9" t="inlineStr">
        <is>
          <t>Use três. A Troca de lugar só é piada quando a mesa perde a conta de quem é quem.</t>
        </is>
      </c>
      <c r="Y107" s="9" t="inlineStr">
        <is>
          <t>"Ele ri antes da explosão. Isso é o aviso."</t>
        </is>
      </c>
      <c r="Z107" s="9" t="n">
        <v>1</v>
      </c>
      <c r="AA107" s="9" t="n">
        <v>95</v>
      </c>
      <c r="AB107" s="9" t="n">
        <v>3</v>
      </c>
      <c r="AC107" s="9" t="n">
        <v>1</v>
      </c>
      <c r="AD107" s="9" t="inlineStr"/>
      <c r="AE107" s="9" t="inlineStr">
        <is>
          <t>Gelo, Imaginário</t>
        </is>
      </c>
      <c r="AF107" s="9" t="inlineStr">
        <is>
          <t>Troca de lugar</t>
        </is>
      </c>
      <c r="AG107" s="9" t="n">
        <v>2</v>
      </c>
      <c r="AH107" s="9" t="inlineStr"/>
      <c r="AI107" s="9" t="inlineStr"/>
      <c r="AJ107" s="9" t="inlineStr"/>
      <c r="AK107" s="9" t="inlineStr"/>
      <c r="AL107" s="9" t="inlineStr">
        <is>
          <t>Tolos Mascarados</t>
        </is>
      </c>
    </row>
    <row r="108" ht="60" customHeight="1">
      <c r="A108" s="32" t="n">
        <v>17</v>
      </c>
      <c r="B108" s="4" t="inlineStr">
        <is>
          <t>Centenário Enlouquecido</t>
        </is>
      </c>
      <c r="C108" s="4" t="inlineStr">
        <is>
          <t>Comum</t>
        </is>
      </c>
      <c r="D108" s="4" t="inlineStr">
        <is>
          <t>9-12</t>
        </is>
      </c>
      <c r="E108" s="4" t="inlineStr">
        <is>
          <t>Xianzhou</t>
        </is>
      </c>
      <c r="F108" s="4" t="n">
        <v>1</v>
      </c>
      <c r="G108" s="4" t="n">
        <v>95</v>
      </c>
      <c r="H108" s="4" t="n">
        <v>19</v>
      </c>
      <c r="I108" s="4" t="n">
        <v>0</v>
      </c>
      <c r="J108" s="4" t="n">
        <v>4</v>
      </c>
      <c r="K108" s="4" t="n">
        <v>13</v>
      </c>
      <c r="L108" s="4" t="n">
        <v>11</v>
      </c>
      <c r="M108" s="4" t="inlineStr">
        <is>
          <t>2d8</t>
        </is>
      </c>
      <c r="N108" s="4" t="n">
        <v>9</v>
      </c>
      <c r="O108" s="4" t="n">
        <v>16</v>
      </c>
      <c r="P108" s="4" t="n">
        <v>4</v>
      </c>
      <c r="Q108" s="4" t="inlineStr">
        <is>
          <t>Fogo</t>
        </is>
      </c>
      <c r="R108" s="4" t="inlineStr">
        <is>
          <t>Imaginário</t>
        </is>
      </c>
      <c r="S108" s="4" t="inlineStr"/>
      <c r="T108" s="4" t="inlineStr"/>
      <c r="U108" s="4" t="inlineStr"/>
      <c r="V108" s="4" t="inlineStr">
        <is>
          <t>Não</t>
        </is>
      </c>
      <c r="W108" s="4" t="inlineStr">
        <is>
          <t>sem Firmeza</t>
        </is>
      </c>
      <c r="X108" s="4" t="inlineStr">
        <is>
          <t>Ataca quem falou com ele por último. Ser racional, mas sem julgamento: não Executa.</t>
        </is>
      </c>
      <c r="Y108" s="4" t="inlineStr">
        <is>
          <t>"Seiscentos anos de memória num crânio feito para oitenta."</t>
        </is>
      </c>
      <c r="Z108" s="4" t="n">
        <v>1</v>
      </c>
      <c r="AA108" s="4" t="n">
        <v>95</v>
      </c>
      <c r="AB108" s="4" t="n">
        <v>3</v>
      </c>
      <c r="AC108" s="4" t="n">
        <v>1</v>
      </c>
      <c r="AD108" s="4" t="inlineStr"/>
      <c r="AE108" s="4" t="inlineStr">
        <is>
          <t>Fogo, Imaginário</t>
        </is>
      </c>
      <c r="AF108" s="4" t="inlineStr">
        <is>
          <t>Lembrança alheia</t>
        </is>
      </c>
      <c r="AG108" s="4" t="n">
        <v>2</v>
      </c>
      <c r="AH108" s="4" t="inlineStr"/>
      <c r="AI108" s="4" t="inlineStr"/>
      <c r="AJ108" s="4" t="inlineStr"/>
      <c r="AK108" s="4" t="inlineStr"/>
      <c r="AL108" s="4" t="inlineStr">
        <is>
          <t>Xianzhou</t>
        </is>
      </c>
    </row>
    <row r="109" ht="60" customHeight="1">
      <c r="A109" s="33" t="n">
        <v>18</v>
      </c>
      <c r="B109" s="9" t="inlineStr">
        <is>
          <t>Oficial-Lâmina da Frota de Jade</t>
        </is>
      </c>
      <c r="C109" s="9" t="inlineStr">
        <is>
          <t>Elite</t>
        </is>
      </c>
      <c r="D109" s="9" t="inlineStr">
        <is>
          <t>9-12</t>
        </is>
      </c>
      <c r="E109" s="9" t="inlineStr">
        <is>
          <t>Aliança Xianzhou</t>
        </is>
      </c>
      <c r="F109" s="9" t="n">
        <v>1</v>
      </c>
      <c r="G109" s="9" t="n">
        <v>225</v>
      </c>
      <c r="H109" s="9" t="n">
        <v>21</v>
      </c>
      <c r="I109" s="9" t="n">
        <v>3</v>
      </c>
      <c r="J109" s="9" t="n">
        <v>7</v>
      </c>
      <c r="K109" s="9" t="n">
        <v>15</v>
      </c>
      <c r="L109" s="9" t="n">
        <v>11</v>
      </c>
      <c r="M109" s="9" t="inlineStr">
        <is>
          <t>4d8 + 1</t>
        </is>
      </c>
      <c r="N109" s="9" t="n">
        <v>19</v>
      </c>
      <c r="O109" s="9" t="n">
        <v>17</v>
      </c>
      <c r="P109" s="9" t="n">
        <v>5</v>
      </c>
      <c r="Q109" s="9" t="inlineStr">
        <is>
          <t>Fogo</t>
        </is>
      </c>
      <c r="R109" s="9" t="inlineStr">
        <is>
          <t>Vento</t>
        </is>
      </c>
      <c r="S109" s="9" t="inlineStr">
        <is>
          <t>Quântico</t>
        </is>
      </c>
      <c r="T109" s="9" t="inlineStr"/>
      <c r="U109" s="9" t="inlineStr"/>
      <c r="V109" s="9" t="inlineStr">
        <is>
          <t>Pode</t>
        </is>
      </c>
      <c r="W109" s="9" t="inlineStr">
        <is>
          <t>com Firmeza</t>
        </is>
      </c>
      <c r="X109" s="9" t="inlineStr">
        <is>
          <t>Ser racional: pode Executar. Não vai executar o alvo da Sentença enquanto houver testemunhas.</t>
        </is>
      </c>
      <c r="Y109" s="9" t="inlineStr">
        <is>
          <t>"Eu assinei a sua sentença e eu vou cumpri-la. As duas coisas são meu trabalho."</t>
        </is>
      </c>
      <c r="Z109" s="9" t="n">
        <v>1.5</v>
      </c>
      <c r="AA109" s="9" t="n">
        <v>225</v>
      </c>
      <c r="AB109" s="9" t="n">
        <v>3</v>
      </c>
      <c r="AC109" s="9" t="n">
        <v>2</v>
      </c>
      <c r="AD109" s="9" t="inlineStr"/>
      <c r="AE109" s="9" t="inlineStr">
        <is>
          <t>Fogo, Vento, Quântico</t>
        </is>
      </c>
      <c r="AF109" s="9" t="inlineStr">
        <is>
          <t>Sentença</t>
        </is>
      </c>
      <c r="AG109" s="9" t="n">
        <v>2</v>
      </c>
      <c r="AH109" s="9" t="inlineStr">
        <is>
          <t>Lâmina de encerramento</t>
        </is>
      </c>
      <c r="AI109" s="9" t="n">
        <v>3</v>
      </c>
      <c r="AJ109" s="9" t="inlineStr"/>
      <c r="AK109" s="9" t="inlineStr"/>
      <c r="AL109" s="9" t="inlineStr">
        <is>
          <t>Aliança Xianzhou</t>
        </is>
      </c>
    </row>
    <row r="110" ht="48" customHeight="1">
      <c r="A110" s="32" t="n">
        <v>19</v>
      </c>
      <c r="B110" s="4" t="inlineStr">
        <is>
          <t>Mestre de Cerimônias Mascarado</t>
        </is>
      </c>
      <c r="C110" s="4" t="inlineStr">
        <is>
          <t>Elite</t>
        </is>
      </c>
      <c r="D110" s="4" t="inlineStr">
        <is>
          <t>9-12</t>
        </is>
      </c>
      <c r="E110" s="4" t="inlineStr">
        <is>
          <t>Tolos Mascarados</t>
        </is>
      </c>
      <c r="F110" s="4" t="n">
        <v>1</v>
      </c>
      <c r="G110" s="4" t="n">
        <v>225</v>
      </c>
      <c r="H110" s="4" t="n">
        <v>21</v>
      </c>
      <c r="I110" s="4" t="n">
        <v>3</v>
      </c>
      <c r="J110" s="4" t="n">
        <v>7</v>
      </c>
      <c r="K110" s="4" t="n">
        <v>15</v>
      </c>
      <c r="L110" s="4" t="n">
        <v>11</v>
      </c>
      <c r="M110" s="4" t="inlineStr">
        <is>
          <t>4d8 + 1</t>
        </is>
      </c>
      <c r="N110" s="4" t="n">
        <v>19</v>
      </c>
      <c r="O110" s="4" t="n">
        <v>17</v>
      </c>
      <c r="P110" s="4" t="n">
        <v>5</v>
      </c>
      <c r="Q110" s="4" t="inlineStr">
        <is>
          <t>Físico</t>
        </is>
      </c>
      <c r="R110" s="4" t="inlineStr">
        <is>
          <t>Gelo</t>
        </is>
      </c>
      <c r="S110" s="4" t="inlineStr">
        <is>
          <t>Imaginário</t>
        </is>
      </c>
      <c r="T110" s="4" t="inlineStr"/>
      <c r="U110" s="4" t="inlineStr">
        <is>
          <t>Quântico</t>
        </is>
      </c>
      <c r="V110" s="4" t="inlineStr">
        <is>
          <t>Pode</t>
        </is>
      </c>
      <c r="W110" s="4" t="inlineStr">
        <is>
          <t>com Firmeza</t>
        </is>
      </c>
      <c r="X110" s="4" t="inlineStr">
        <is>
          <t>Ser racional: pode Executar — e faz isso se, e só se, render uma fala melhor.</t>
        </is>
      </c>
      <c r="Y110" s="4" t="inlineStr">
        <is>
          <t>"Vocês chegaram no segundo ato. Não se preocupem, eu resumo."</t>
        </is>
      </c>
      <c r="Z110" s="4" t="n">
        <v>1.5</v>
      </c>
      <c r="AA110" s="4" t="n">
        <v>225</v>
      </c>
      <c r="AB110" s="4" t="n">
        <v>3</v>
      </c>
      <c r="AC110" s="4" t="n">
        <v>2</v>
      </c>
      <c r="AD110" s="4" t="inlineStr"/>
      <c r="AE110" s="4" t="inlineStr">
        <is>
          <t>Físico, Gelo, Imaginário</t>
        </is>
      </c>
      <c r="AF110" s="4" t="inlineStr">
        <is>
          <t>Deixa!</t>
        </is>
      </c>
      <c r="AG110" s="4" t="n">
        <v>2</v>
      </c>
      <c r="AH110" s="4" t="inlineStr">
        <is>
          <t>Chuva de improviso</t>
        </is>
      </c>
      <c r="AI110" s="4" t="n">
        <v>3</v>
      </c>
      <c r="AJ110" s="4" t="inlineStr"/>
      <c r="AK110" s="4" t="inlineStr"/>
      <c r="AL110" s="4" t="inlineStr">
        <is>
          <t>Tolos Mascarados</t>
        </is>
      </c>
    </row>
    <row r="111" ht="60" customHeight="1">
      <c r="A111" s="33" t="n">
        <v>20</v>
      </c>
      <c r="B111" s="9" t="inlineStr">
        <is>
          <t>O Dramaturgo de Mil Faces</t>
        </is>
      </c>
      <c r="C111" s="9" t="inlineStr">
        <is>
          <t>Boss</t>
        </is>
      </c>
      <c r="D111" s="9" t="inlineStr">
        <is>
          <t>9-12</t>
        </is>
      </c>
      <c r="E111" s="9" t="inlineStr">
        <is>
          <t>Tolos Mascarados</t>
        </is>
      </c>
      <c r="F111" s="9" t="n">
        <v>2</v>
      </c>
      <c r="G111" s="9" t="n">
        <v>580</v>
      </c>
      <c r="H111" s="9" t="n">
        <v>22</v>
      </c>
      <c r="I111" s="9" t="n">
        <v>6</v>
      </c>
      <c r="J111" s="9" t="n">
        <v>12</v>
      </c>
      <c r="K111" s="9" t="n">
        <v>16</v>
      </c>
      <c r="L111" s="9" t="n">
        <v>11</v>
      </c>
      <c r="M111" s="9" t="inlineStr">
        <is>
          <t>5d10 + 1</t>
        </is>
      </c>
      <c r="N111" s="9" t="n">
        <v>28</v>
      </c>
      <c r="O111" s="9" t="n">
        <v>18</v>
      </c>
      <c r="P111" s="9" t="n">
        <v>6</v>
      </c>
      <c r="Q111" s="9" t="inlineStr">
        <is>
          <t>Físico</t>
        </is>
      </c>
      <c r="R111" s="9" t="inlineStr">
        <is>
          <t>Gelo</t>
        </is>
      </c>
      <c r="S111" s="9" t="inlineStr">
        <is>
          <t>Vento</t>
        </is>
      </c>
      <c r="T111" s="9" t="inlineStr">
        <is>
          <t>Imaginário</t>
        </is>
      </c>
      <c r="U111" s="9" t="inlineStr"/>
      <c r="V111" s="9" t="inlineStr">
        <is>
          <t>Não declarado</t>
        </is>
      </c>
      <c r="W111" s="9" t="inlineStr">
        <is>
          <t>com Firmeza</t>
        </is>
      </c>
      <c r="X111" s="9" t="inlineStr">
        <is>
          <t>Na fase 1, ataca quem está menos ferido (ele quer que a cena dure). Na fase 2, ataca quem mais o feriu.</t>
        </is>
      </c>
      <c r="Y111" s="9" t="inlineStr">
        <is>
          <t>"Primeiro ato: vocês acham que estão lutando comigo."</t>
        </is>
      </c>
      <c r="Z111" s="9" t="n">
        <v>2</v>
      </c>
      <c r="AA111" s="9" t="n">
        <v>580</v>
      </c>
      <c r="AB111" s="9" t="n">
        <v>3</v>
      </c>
      <c r="AC111" s="9" t="n">
        <v>3</v>
      </c>
      <c r="AD111" s="9" t="inlineStr"/>
      <c r="AE111" s="9" t="inlineStr">
        <is>
          <t>Físico, Gelo, Vento, Imaginário</t>
        </is>
      </c>
      <c r="AF111" s="9" t="inlineStr">
        <is>
          <t>Entra o dublê</t>
        </is>
      </c>
      <c r="AG111" s="9" t="n">
        <v>3</v>
      </c>
      <c r="AH111" s="9" t="inlineStr">
        <is>
          <t>Reviravolta</t>
        </is>
      </c>
      <c r="AI111" s="9" t="n">
        <v>2</v>
      </c>
      <c r="AJ111" s="9" t="inlineStr"/>
      <c r="AK111" s="9" t="inlineStr"/>
      <c r="AL111" s="9" t="inlineStr">
        <is>
          <t>Tolos Mascarados</t>
        </is>
      </c>
    </row>
    <row r="112" ht="48" customHeight="1">
      <c r="A112" s="32" t="n">
        <v>21</v>
      </c>
      <c r="B112" s="4" t="inlineStr">
        <is>
          <t>Noviço da Beleza</t>
        </is>
      </c>
      <c r="C112" s="4" t="inlineStr">
        <is>
          <t>Comum</t>
        </is>
      </c>
      <c r="D112" s="4" t="inlineStr">
        <is>
          <t>13-16</t>
        </is>
      </c>
      <c r="E112" s="4" t="inlineStr">
        <is>
          <t>Cavaleiros da Beleza</t>
        </is>
      </c>
      <c r="F112" s="4" t="n">
        <v>1</v>
      </c>
      <c r="G112" s="4" t="n">
        <v>125</v>
      </c>
      <c r="H112" s="4" t="n">
        <v>20</v>
      </c>
      <c r="I112" s="4" t="n">
        <v>0</v>
      </c>
      <c r="J112" s="4" t="n">
        <v>4</v>
      </c>
      <c r="K112" s="4" t="n">
        <v>14</v>
      </c>
      <c r="L112" s="4" t="n">
        <v>12</v>
      </c>
      <c r="M112" s="4" t="inlineStr">
        <is>
          <t>3d6 + 2</t>
        </is>
      </c>
      <c r="N112" s="4" t="n">
        <v>12</v>
      </c>
      <c r="O112" s="4" t="n">
        <v>17</v>
      </c>
      <c r="P112" s="4" t="n">
        <v>5</v>
      </c>
      <c r="Q112" s="4" t="inlineStr">
        <is>
          <t>Físico</t>
        </is>
      </c>
      <c r="R112" s="4" t="inlineStr">
        <is>
          <t>Fogo</t>
        </is>
      </c>
      <c r="S112" s="4" t="inlineStr"/>
      <c r="T112" s="4" t="inlineStr"/>
      <c r="U112" s="4" t="inlineStr"/>
      <c r="V112" s="4" t="inlineStr">
        <is>
          <t>Pode</t>
        </is>
      </c>
      <c r="W112" s="4" t="inlineStr">
        <is>
          <t>sem Firmeza</t>
        </is>
      </c>
      <c r="X112" s="4" t="inlineStr">
        <is>
          <t>Ser racional: pode Executar — e para a ordem dele, isso não é matar, é terminar.</t>
        </is>
      </c>
      <c r="Y112" s="4" t="inlineStr">
        <is>
          <t>"Ele já cortou tudo que sobrava dele. Agora precisa de você."</t>
        </is>
      </c>
      <c r="Z112" s="4" t="n">
        <v>1</v>
      </c>
      <c r="AA112" s="4" t="n">
        <v>125</v>
      </c>
      <c r="AB112" s="4" t="n">
        <v>4</v>
      </c>
      <c r="AC112" s="4" t="n">
        <v>1</v>
      </c>
      <c r="AD112" s="4" t="inlineStr"/>
      <c r="AE112" s="4" t="inlineStr">
        <is>
          <t>Físico, Fogo</t>
        </is>
      </c>
      <c r="AF112" s="4" t="inlineStr">
        <is>
          <t>Correção</t>
        </is>
      </c>
      <c r="AG112" s="4" t="n">
        <v>2</v>
      </c>
      <c r="AH112" s="4" t="inlineStr"/>
      <c r="AI112" s="4" t="inlineStr"/>
      <c r="AJ112" s="4" t="inlineStr"/>
      <c r="AK112" s="4" t="inlineStr"/>
      <c r="AL112" s="4" t="inlineStr">
        <is>
          <t>Cavaleiros da Beleza</t>
        </is>
      </c>
    </row>
    <row r="113" ht="48" customHeight="1">
      <c r="A113" s="33" t="n">
        <v>22</v>
      </c>
      <c r="B113" s="9" t="inlineStr">
        <is>
          <t>Operativo de Campo dos Caçadores</t>
        </is>
      </c>
      <c r="C113" s="9" t="inlineStr">
        <is>
          <t>Comum</t>
        </is>
      </c>
      <c r="D113" s="9" t="inlineStr">
        <is>
          <t>13-16</t>
        </is>
      </c>
      <c r="E113" s="9" t="inlineStr">
        <is>
          <t>Caçadores de Stellaron</t>
        </is>
      </c>
      <c r="F113" s="9" t="n">
        <v>1</v>
      </c>
      <c r="G113" s="9" t="n">
        <v>125</v>
      </c>
      <c r="H113" s="9" t="n">
        <v>20</v>
      </c>
      <c r="I113" s="9" t="n">
        <v>0</v>
      </c>
      <c r="J113" s="9" t="n">
        <v>4</v>
      </c>
      <c r="K113" s="9" t="n">
        <v>14</v>
      </c>
      <c r="L113" s="9" t="n">
        <v>12</v>
      </c>
      <c r="M113" s="9" t="inlineStr">
        <is>
          <t>3d6 + 2</t>
        </is>
      </c>
      <c r="N113" s="9" t="n">
        <v>12</v>
      </c>
      <c r="O113" s="9" t="n">
        <v>17</v>
      </c>
      <c r="P113" s="9" t="n">
        <v>5</v>
      </c>
      <c r="Q113" s="9" t="inlineStr">
        <is>
          <t>Gelo</t>
        </is>
      </c>
      <c r="R113" s="9" t="inlineStr">
        <is>
          <t>Quântico</t>
        </is>
      </c>
      <c r="S113" s="9" t="inlineStr"/>
      <c r="T113" s="9" t="inlineStr"/>
      <c r="U113" s="9" t="inlineStr"/>
      <c r="V113" s="9" t="inlineStr">
        <is>
          <t>Pode</t>
        </is>
      </c>
      <c r="W113" s="9" t="inlineStr">
        <is>
          <t>sem Firmeza</t>
        </is>
      </c>
      <c r="X113" s="9" t="inlineStr">
        <is>
          <t>Vai sempre em quem cura, e sai de perto depois. Ser racional: pode Executar.</t>
        </is>
      </c>
      <c r="Y113" s="9" t="inlineStr">
        <is>
          <t>"Ele não estava aqui no Ciclo passado. Ninguém sabe desde quando está."</t>
        </is>
      </c>
      <c r="Z113" s="9" t="n">
        <v>1</v>
      </c>
      <c r="AA113" s="9" t="n">
        <v>125</v>
      </c>
      <c r="AB113" s="9" t="n">
        <v>4</v>
      </c>
      <c r="AC113" s="9" t="n">
        <v>1</v>
      </c>
      <c r="AD113" s="9" t="inlineStr"/>
      <c r="AE113" s="9" t="inlineStr">
        <is>
          <t>Gelo, Quântico</t>
        </is>
      </c>
      <c r="AF113" s="9" t="inlineStr">
        <is>
          <t>Reposicionar</t>
        </is>
      </c>
      <c r="AG113" s="9" t="n">
        <v>2</v>
      </c>
      <c r="AH113" s="9" t="inlineStr"/>
      <c r="AI113" s="9" t="inlineStr"/>
      <c r="AJ113" s="9" t="inlineStr"/>
      <c r="AK113" s="9" t="inlineStr"/>
      <c r="AL113" s="9" t="inlineStr">
        <is>
          <t>Caçadores de Stellaron</t>
        </is>
      </c>
    </row>
    <row r="114" ht="116" customHeight="1">
      <c r="A114" s="32" t="n">
        <v>23</v>
      </c>
      <c r="B114" s="4" t="inlineStr">
        <is>
          <t>Autômato Taciturno</t>
        </is>
      </c>
      <c r="C114" s="4" t="inlineStr">
        <is>
          <t>Comum</t>
        </is>
      </c>
      <c r="D114" s="4" t="inlineStr">
        <is>
          <t>13-16</t>
        </is>
      </c>
      <c r="E114" s="4" t="inlineStr">
        <is>
          <t>Autômato de guerra</t>
        </is>
      </c>
      <c r="F114" s="4" t="n">
        <v>1</v>
      </c>
      <c r="G114" s="4" t="n">
        <v>125</v>
      </c>
      <c r="H114" s="4" t="n">
        <v>20</v>
      </c>
      <c r="I114" s="4" t="n">
        <v>0</v>
      </c>
      <c r="J114" s="4" t="n">
        <v>4</v>
      </c>
      <c r="K114" s="4" t="n">
        <v>14</v>
      </c>
      <c r="L114" s="4" t="n">
        <v>12</v>
      </c>
      <c r="M114" s="4" t="inlineStr">
        <is>
          <t>3d6 + 2</t>
        </is>
      </c>
      <c r="N114" s="4" t="n">
        <v>12</v>
      </c>
      <c r="O114" s="4" t="n">
        <v>17</v>
      </c>
      <c r="P114" s="4" t="n">
        <v>5</v>
      </c>
      <c r="Q114" s="4" t="inlineStr">
        <is>
          <t>Raio</t>
        </is>
      </c>
      <c r="R114" s="4" t="inlineStr">
        <is>
          <t>Vento</t>
        </is>
      </c>
      <c r="S114" s="4" t="inlineStr"/>
      <c r="T114" s="4" t="inlineStr"/>
      <c r="U114" s="4" t="inlineStr"/>
      <c r="V114" s="4" t="inlineStr">
        <is>
          <t>Não</t>
        </is>
      </c>
      <c r="W114" s="4" t="inlineStr">
        <is>
          <t>sem Firmeza</t>
        </is>
      </c>
      <c r="X114" s="4" t="inlineStr">
        <is>
          <t>Máquina sem consciência: não Executa. É a melhor demonstração do teto de 3 acúmulos de Marcado em toda a mesa: no terceiro Ciclo ele está em +3 e ninguém fora do alvo correu risco nenhum.</t>
        </is>
      </c>
      <c r="Y114" s="4" t="inlineStr">
        <is>
          <t>"Modelo descontinuado. Munição, não."</t>
        </is>
      </c>
      <c r="Z114" s="4" t="n">
        <v>1</v>
      </c>
      <c r="AA114" s="4" t="n">
        <v>125</v>
      </c>
      <c r="AB114" s="4" t="n">
        <v>4</v>
      </c>
      <c r="AC114" s="4" t="n">
        <v>1</v>
      </c>
      <c r="AD114" s="4" t="inlineStr"/>
      <c r="AE114" s="4" t="inlineStr">
        <is>
          <t>Raio, Vento</t>
        </is>
      </c>
      <c r="AF114" s="4" t="inlineStr">
        <is>
          <t>Travar alvo</t>
        </is>
      </c>
      <c r="AG114" s="4" t="n">
        <v>2</v>
      </c>
      <c r="AH114" s="4" t="inlineStr"/>
      <c r="AI114" s="4" t="inlineStr"/>
      <c r="AJ114" s="4" t="inlineStr"/>
      <c r="AK114" s="4" t="inlineStr"/>
      <c r="AL114" s="4" t="inlineStr">
        <is>
          <t>Autômato de guerra</t>
        </is>
      </c>
    </row>
    <row r="115" ht="48" customHeight="1">
      <c r="A115" s="33" t="n">
        <v>24</v>
      </c>
      <c r="B115" s="9" t="inlineStr">
        <is>
          <t>Escultor de Carne</t>
        </is>
      </c>
      <c r="C115" s="9" t="inlineStr">
        <is>
          <t>Elite</t>
        </is>
      </c>
      <c r="D115" s="9" t="inlineStr">
        <is>
          <t>13-16</t>
        </is>
      </c>
      <c r="E115" s="9" t="inlineStr">
        <is>
          <t>Cavaleiros da Beleza</t>
        </is>
      </c>
      <c r="F115" s="9" t="n">
        <v>1</v>
      </c>
      <c r="G115" s="9" t="n">
        <v>295</v>
      </c>
      <c r="H115" s="9" t="n">
        <v>22</v>
      </c>
      <c r="I115" s="9" t="n">
        <v>3</v>
      </c>
      <c r="J115" s="9" t="n">
        <v>6</v>
      </c>
      <c r="K115" s="9" t="n">
        <v>16</v>
      </c>
      <c r="L115" s="9" t="n">
        <v>12</v>
      </c>
      <c r="M115" s="9" t="inlineStr">
        <is>
          <t>4d10 + 2</t>
        </is>
      </c>
      <c r="N115" s="9" t="n">
        <v>24</v>
      </c>
      <c r="O115" s="9" t="n">
        <v>18</v>
      </c>
      <c r="P115" s="9" t="n">
        <v>6</v>
      </c>
      <c r="Q115" s="9" t="inlineStr">
        <is>
          <t>Fogo</t>
        </is>
      </c>
      <c r="R115" s="9" t="inlineStr">
        <is>
          <t>Gelo</t>
        </is>
      </c>
      <c r="S115" s="9" t="inlineStr">
        <is>
          <t>Raio</t>
        </is>
      </c>
      <c r="T115" s="9" t="inlineStr"/>
      <c r="U115" s="9" t="inlineStr"/>
      <c r="V115" s="9" t="inlineStr">
        <is>
          <t>Pode</t>
        </is>
      </c>
      <c r="W115" s="9" t="inlineStr">
        <is>
          <t>com Firmeza</t>
        </is>
      </c>
      <c r="X115" s="9" t="inlineStr">
        <is>
          <t>Escolhe o alvo pela estética e não muda de ideia. Ser racional: pode Executar.</t>
        </is>
      </c>
      <c r="Y115" s="9" t="inlineStr">
        <is>
          <t>"Fique parado. Vai doer mais se você se mexer, e vai ficar torto."</t>
        </is>
      </c>
      <c r="Z115" s="9" t="n">
        <v>1.5</v>
      </c>
      <c r="AA115" s="9" t="n">
        <v>295</v>
      </c>
      <c r="AB115" s="9" t="n">
        <v>4</v>
      </c>
      <c r="AC115" s="9" t="n">
        <v>2</v>
      </c>
      <c r="AD115" s="9" t="inlineStr"/>
      <c r="AE115" s="9" t="inlineStr">
        <is>
          <t>Fogo, Gelo, Raio</t>
        </is>
      </c>
      <c r="AF115" s="9" t="inlineStr">
        <is>
          <t>Anestesia</t>
        </is>
      </c>
      <c r="AG115" s="9" t="n">
        <v>2</v>
      </c>
      <c r="AH115" s="9" t="inlineStr">
        <is>
          <t>Obra em progresso</t>
        </is>
      </c>
      <c r="AI115" s="9" t="n">
        <v>3</v>
      </c>
      <c r="AJ115" s="9" t="inlineStr"/>
      <c r="AK115" s="9" t="inlineStr"/>
      <c r="AL115" s="9" t="inlineStr">
        <is>
          <t>Cavaleiros da Beleza</t>
        </is>
      </c>
    </row>
    <row r="116" ht="82" customHeight="1">
      <c r="A116" s="32" t="n">
        <v>25</v>
      </c>
      <c r="B116" s="4" t="inlineStr">
        <is>
          <t>Executora de Contrato</t>
        </is>
      </c>
      <c r="C116" s="4" t="inlineStr">
        <is>
          <t>Elite</t>
        </is>
      </c>
      <c r="D116" s="4" t="inlineStr">
        <is>
          <t>13-16</t>
        </is>
      </c>
      <c r="E116" s="4" t="inlineStr">
        <is>
          <t>Caçadores de Stellaron</t>
        </is>
      </c>
      <c r="F116" s="4" t="n">
        <v>1</v>
      </c>
      <c r="G116" s="4" t="n">
        <v>295</v>
      </c>
      <c r="H116" s="4" t="n">
        <v>22</v>
      </c>
      <c r="I116" s="4" t="n">
        <v>3</v>
      </c>
      <c r="J116" s="4" t="n">
        <v>6</v>
      </c>
      <c r="K116" s="4" t="n">
        <v>16</v>
      </c>
      <c r="L116" s="4" t="n">
        <v>12</v>
      </c>
      <c r="M116" s="4" t="inlineStr">
        <is>
          <t>4d10 + 2</t>
        </is>
      </c>
      <c r="N116" s="4" t="n">
        <v>24</v>
      </c>
      <c r="O116" s="4" t="n">
        <v>18</v>
      </c>
      <c r="P116" s="4" t="n">
        <v>6</v>
      </c>
      <c r="Q116" s="4" t="inlineStr">
        <is>
          <t>Físico</t>
        </is>
      </c>
      <c r="R116" s="4" t="inlineStr">
        <is>
          <t>Vento</t>
        </is>
      </c>
      <c r="S116" s="4" t="inlineStr">
        <is>
          <t>Imaginário</t>
        </is>
      </c>
      <c r="T116" s="4" t="inlineStr"/>
      <c r="U116" s="4" t="inlineStr">
        <is>
          <t>Gelo</t>
        </is>
      </c>
      <c r="V116" s="4" t="inlineStr">
        <is>
          <t>Pode</t>
        </is>
      </c>
      <c r="W116" s="4" t="inlineStr">
        <is>
          <t>com Firmeza</t>
        </is>
      </c>
      <c r="X116" s="4" t="inlineStr">
        <is>
          <t>Abre no personagem que mais depende de uma única Habilidade. Ser racional: pode Executar, e é a única coisa do contrato dela que não é negociável.</t>
        </is>
      </c>
      <c r="Y116" s="4" t="inlineStr">
        <is>
          <t>"Eu li o seu contrato. Você não leu."</t>
        </is>
      </c>
      <c r="Z116" s="4" t="n">
        <v>1.5</v>
      </c>
      <c r="AA116" s="4" t="n">
        <v>295</v>
      </c>
      <c r="AB116" s="4" t="n">
        <v>4</v>
      </c>
      <c r="AC116" s="4" t="n">
        <v>2</v>
      </c>
      <c r="AD116" s="4" t="inlineStr"/>
      <c r="AE116" s="4" t="inlineStr">
        <is>
          <t>Físico, Vento, Imaginário</t>
        </is>
      </c>
      <c r="AF116" s="4" t="inlineStr">
        <is>
          <t>Dossiê</t>
        </is>
      </c>
      <c r="AG116" s="4" t="n">
        <v>2</v>
      </c>
      <c r="AH116" s="4" t="inlineStr">
        <is>
          <t>Encerramento</t>
        </is>
      </c>
      <c r="AI116" s="4" t="n">
        <v>3</v>
      </c>
      <c r="AJ116" s="4" t="inlineStr"/>
      <c r="AK116" s="4" t="inlineStr"/>
      <c r="AL116" s="4" t="inlineStr">
        <is>
          <t>Caçadores de Stellaron</t>
        </is>
      </c>
    </row>
    <row r="117" ht="105" customHeight="1">
      <c r="A117" s="33" t="n">
        <v>26</v>
      </c>
      <c r="B117" s="9" t="inlineStr">
        <is>
          <t>Vênia, a Primeira Obra</t>
        </is>
      </c>
      <c r="C117" s="9" t="inlineStr">
        <is>
          <t>Boss</t>
        </is>
      </c>
      <c r="D117" s="9" t="inlineStr">
        <is>
          <t>13-16</t>
        </is>
      </c>
      <c r="E117" s="9" t="inlineStr">
        <is>
          <t>Cavaleiros da Beleza</t>
        </is>
      </c>
      <c r="F117" s="9" t="n">
        <v>2</v>
      </c>
      <c r="G117" s="9" t="n">
        <v>750</v>
      </c>
      <c r="H117" s="9" t="n">
        <v>23</v>
      </c>
      <c r="I117" s="9" t="n">
        <v>6</v>
      </c>
      <c r="J117" s="9" t="n">
        <v>12</v>
      </c>
      <c r="K117" s="9" t="n">
        <v>18</v>
      </c>
      <c r="L117" s="9" t="n">
        <v>12</v>
      </c>
      <c r="M117" s="9" t="inlineStr">
        <is>
          <t>6d10 + 3</t>
        </is>
      </c>
      <c r="N117" s="9" t="n">
        <v>36</v>
      </c>
      <c r="O117" s="9" t="n">
        <v>19</v>
      </c>
      <c r="P117" s="9" t="n">
        <v>7</v>
      </c>
      <c r="Q117" s="9" t="inlineStr">
        <is>
          <t>Físico</t>
        </is>
      </c>
      <c r="R117" s="9" t="inlineStr">
        <is>
          <t>Fogo</t>
        </is>
      </c>
      <c r="S117" s="9" t="inlineStr">
        <is>
          <t>Raio</t>
        </is>
      </c>
      <c r="T117" s="9" t="inlineStr">
        <is>
          <t>Quântico</t>
        </is>
      </c>
      <c r="U117" s="9" t="inlineStr"/>
      <c r="V117" s="9" t="inlineStr">
        <is>
          <t>Não declarado</t>
        </is>
      </c>
      <c r="W117" s="9" t="inlineStr">
        <is>
          <t>com Firmeza</t>
        </is>
      </c>
      <c r="X117" s="9" t="inlineStr">
        <is>
          <t>Ela tem a maior VEL de inimigo da faixa e age antes de quase todo grupo — a Caça equipada ainda chega na frente dela, e isso é promessa de Caminho, não coincidência (capítulo 19).</t>
        </is>
      </c>
      <c r="Y117" s="9" t="inlineStr">
        <is>
          <t>"Ela foi a primeira coisa que a ordem considerou terminada. Depois disso, a ordem não terminou mais nada."</t>
        </is>
      </c>
      <c r="Z117" s="9" t="n">
        <v>2</v>
      </c>
      <c r="AA117" s="9" t="n">
        <v>750</v>
      </c>
      <c r="AB117" s="9" t="n">
        <v>4</v>
      </c>
      <c r="AC117" s="9" t="n">
        <v>3</v>
      </c>
      <c r="AD117" s="9" t="inlineStr"/>
      <c r="AE117" s="9" t="inlineStr">
        <is>
          <t>Físico, Fogo, Raio, Quântico</t>
        </is>
      </c>
      <c r="AF117" s="9" t="inlineStr">
        <is>
          <t>Simetria</t>
        </is>
      </c>
      <c r="AG117" s="9" t="n">
        <v>2</v>
      </c>
      <c r="AH117" s="9" t="inlineStr">
        <is>
          <t>Retoque</t>
        </is>
      </c>
      <c r="AI117" s="9" t="n">
        <v>3</v>
      </c>
      <c r="AJ117" s="9" t="inlineStr"/>
      <c r="AK117" s="9" t="inlineStr"/>
      <c r="AL117" s="9" t="inlineStr">
        <is>
          <t>Cavaleiros da Beleza</t>
        </is>
      </c>
    </row>
    <row r="118" ht="93" customHeight="1">
      <c r="A118" s="32" t="n">
        <v>27</v>
      </c>
      <c r="B118" s="4" t="inlineStr">
        <is>
          <t>Guarda Pretoriano da Antimatéria</t>
        </is>
      </c>
      <c r="C118" s="4" t="inlineStr">
        <is>
          <t>Comum</t>
        </is>
      </c>
      <c r="D118" s="4" t="inlineStr">
        <is>
          <t>17-20</t>
        </is>
      </c>
      <c r="E118" s="4" t="inlineStr">
        <is>
          <t>Legião da Antimatéria</t>
        </is>
      </c>
      <c r="F118" s="4" t="n">
        <v>1</v>
      </c>
      <c r="G118" s="4" t="n">
        <v>155</v>
      </c>
      <c r="H118" s="4" t="n">
        <v>24</v>
      </c>
      <c r="I118" s="4" t="n">
        <v>0</v>
      </c>
      <c r="J118" s="4" t="n">
        <v>4</v>
      </c>
      <c r="K118" s="4" t="n">
        <v>15</v>
      </c>
      <c r="L118" s="4" t="n">
        <v>13</v>
      </c>
      <c r="M118" s="4" t="inlineStr">
        <is>
          <t>3d8 + 3</t>
        </is>
      </c>
      <c r="N118" s="4" t="n">
        <v>16</v>
      </c>
      <c r="O118" s="4" t="n">
        <v>19</v>
      </c>
      <c r="P118" s="4" t="n">
        <v>7</v>
      </c>
      <c r="Q118" s="4" t="inlineStr">
        <is>
          <t>Raio</t>
        </is>
      </c>
      <c r="R118" s="4" t="inlineStr">
        <is>
          <t>Imaginário</t>
        </is>
      </c>
      <c r="S118" s="4" t="inlineStr"/>
      <c r="T118" s="4" t="inlineStr"/>
      <c r="U118" s="4" t="inlineStr"/>
      <c r="V118" s="4" t="inlineStr">
        <is>
          <t>Não</t>
        </is>
      </c>
      <c r="W118" s="4" t="inlineStr">
        <is>
          <t>sem Firmeza</t>
        </is>
      </c>
      <c r="X118" s="4" t="inlineStr">
        <is>
          <t>Nunca aparece sozinho, nunca em número ímpar, e a Falange é o motivo. Ser racional, mas reescrito: não Executa — não sobrou nada nele que decida isso.</t>
        </is>
      </c>
      <c r="Y118" s="4" t="inlineStr">
        <is>
          <t>"A Legião tem exatamente duzentos deles. Nunca precisou de mais."</t>
        </is>
      </c>
      <c r="Z118" s="4" t="n">
        <v>1</v>
      </c>
      <c r="AA118" s="4" t="n">
        <v>155</v>
      </c>
      <c r="AB118" s="4" t="n">
        <v>5</v>
      </c>
      <c r="AC118" s="4" t="n">
        <v>1</v>
      </c>
      <c r="AD118" s="4" t="inlineStr"/>
      <c r="AE118" s="4" t="inlineStr">
        <is>
          <t>Raio, Imaginário</t>
        </is>
      </c>
      <c r="AF118" s="4" t="inlineStr">
        <is>
          <t>Falange</t>
        </is>
      </c>
      <c r="AG118" s="4" t="n">
        <v>2</v>
      </c>
      <c r="AH118" s="4" t="inlineStr"/>
      <c r="AI118" s="4" t="inlineStr"/>
      <c r="AJ118" s="4" t="inlineStr"/>
      <c r="AK118" s="4" t="inlineStr"/>
      <c r="AL118" s="4" t="inlineStr">
        <is>
          <t>Legião da Antimatéria</t>
        </is>
      </c>
    </row>
    <row r="119" ht="37" customHeight="1">
      <c r="A119" s="33" t="n">
        <v>28</v>
      </c>
      <c r="B119" s="9" t="inlineStr">
        <is>
          <t>Escória de Stellaron</t>
        </is>
      </c>
      <c r="C119" s="9" t="inlineStr">
        <is>
          <t>Comum</t>
        </is>
      </c>
      <c r="D119" s="9" t="inlineStr">
        <is>
          <t>17-20</t>
        </is>
      </c>
      <c r="E119" s="9" t="inlineStr">
        <is>
          <t>Stellaron</t>
        </is>
      </c>
      <c r="F119" s="9" t="n">
        <v>1</v>
      </c>
      <c r="G119" s="9" t="n">
        <v>155</v>
      </c>
      <c r="H119" s="9" t="n">
        <v>24</v>
      </c>
      <c r="I119" s="9" t="n">
        <v>0</v>
      </c>
      <c r="J119" s="9" t="n">
        <v>4</v>
      </c>
      <c r="K119" s="9" t="n">
        <v>15</v>
      </c>
      <c r="L119" s="9" t="n">
        <v>13</v>
      </c>
      <c r="M119" s="9" t="inlineStr">
        <is>
          <t>3d8 + 3</t>
        </is>
      </c>
      <c r="N119" s="9" t="n">
        <v>16</v>
      </c>
      <c r="O119" s="9" t="n">
        <v>19</v>
      </c>
      <c r="P119" s="9" t="n">
        <v>7</v>
      </c>
      <c r="Q119" s="9" t="inlineStr">
        <is>
          <t>Gelo</t>
        </is>
      </c>
      <c r="R119" s="9" t="inlineStr">
        <is>
          <t>Quântico</t>
        </is>
      </c>
      <c r="S119" s="9" t="inlineStr"/>
      <c r="T119" s="9" t="inlineStr"/>
      <c r="U119" s="9" t="inlineStr"/>
      <c r="V119" s="9" t="inlineStr">
        <is>
          <t>Não</t>
        </is>
      </c>
      <c r="W119" s="9" t="inlineStr">
        <is>
          <t>sem Firmeza</t>
        </is>
      </c>
      <c r="X119" s="9" t="inlineStr">
        <is>
          <t>Besta sem consciência: não Executa.</t>
        </is>
      </c>
      <c r="Y119" s="9" t="inlineStr">
        <is>
          <t>"É o chão. O chão se levantou."</t>
        </is>
      </c>
      <c r="Z119" s="9" t="n">
        <v>1</v>
      </c>
      <c r="AA119" s="9" t="n">
        <v>232.5</v>
      </c>
      <c r="AB119" s="9" t="n">
        <v>5</v>
      </c>
      <c r="AC119" s="9" t="n">
        <v>1</v>
      </c>
      <c r="AD119" s="9" t="inlineStr"/>
      <c r="AE119" s="9" t="inlineStr">
        <is>
          <t>Gelo, Quântico</t>
        </is>
      </c>
      <c r="AF119" s="9" t="inlineStr"/>
      <c r="AG119" s="9" t="inlineStr"/>
      <c r="AH119" s="9" t="inlineStr"/>
      <c r="AI119" s="9" t="inlineStr"/>
      <c r="AJ119" s="9" t="inlineStr"/>
      <c r="AK119" s="9" t="inlineStr"/>
      <c r="AL119" s="9" t="inlineStr">
        <is>
          <t>Stellaron</t>
        </is>
      </c>
    </row>
    <row r="120" ht="60" customHeight="1">
      <c r="A120" s="32" t="n">
        <v>29</v>
      </c>
      <c r="B120" s="4" t="inlineStr">
        <is>
          <t>Arcanjo de Ferro-Vazio</t>
        </is>
      </c>
      <c r="C120" s="4" t="inlineStr">
        <is>
          <t>Elite</t>
        </is>
      </c>
      <c r="D120" s="4" t="inlineStr">
        <is>
          <t>17-20</t>
        </is>
      </c>
      <c r="E120" s="4" t="inlineStr">
        <is>
          <t>Legião da Antimatéria</t>
        </is>
      </c>
      <c r="F120" s="4" t="n">
        <v>1</v>
      </c>
      <c r="G120" s="4" t="n">
        <v>365</v>
      </c>
      <c r="H120" s="4" t="n">
        <v>26</v>
      </c>
      <c r="I120" s="4" t="n">
        <v>4</v>
      </c>
      <c r="J120" s="4" t="n">
        <v>7</v>
      </c>
      <c r="K120" s="4" t="n">
        <v>17</v>
      </c>
      <c r="L120" s="4" t="n">
        <v>13</v>
      </c>
      <c r="M120" s="4" t="inlineStr">
        <is>
          <t>5d12</t>
        </is>
      </c>
      <c r="N120" s="4" t="n">
        <v>32</v>
      </c>
      <c r="O120" s="4" t="n">
        <v>20</v>
      </c>
      <c r="P120" s="4" t="n">
        <v>8</v>
      </c>
      <c r="Q120" s="4" t="inlineStr">
        <is>
          <t>Raio</t>
        </is>
      </c>
      <c r="R120" s="4" t="inlineStr">
        <is>
          <t>Quântico</t>
        </is>
      </c>
      <c r="S120" s="4" t="inlineStr">
        <is>
          <t>Imaginário</t>
        </is>
      </c>
      <c r="T120" s="4" t="inlineStr"/>
      <c r="U120" s="4" t="inlineStr">
        <is>
          <t>Físico</t>
        </is>
      </c>
      <c r="V120" s="4" t="inlineStr">
        <is>
          <t>Não</t>
        </is>
      </c>
      <c r="W120" s="4" t="inlineStr">
        <is>
          <t>com Firmeza</t>
        </is>
      </c>
      <c r="X120" s="4" t="inlineStr">
        <is>
          <t>Abre em quem está com mais Barreira. Máquina sem consciência: não Executa.</t>
        </is>
      </c>
      <c r="Y120" s="4" t="inlineStr">
        <is>
          <t>"Seis asas. Nenhuma delas serve para voar."</t>
        </is>
      </c>
      <c r="Z120" s="4" t="n">
        <v>1.5</v>
      </c>
      <c r="AA120" s="4" t="n">
        <v>365</v>
      </c>
      <c r="AB120" s="4" t="n">
        <v>5</v>
      </c>
      <c r="AC120" s="4" t="n">
        <v>2</v>
      </c>
      <c r="AD120" s="4" t="inlineStr"/>
      <c r="AE120" s="4" t="inlineStr">
        <is>
          <t>Raio, Quântico, Imaginário</t>
        </is>
      </c>
      <c r="AF120" s="4" t="inlineStr">
        <is>
          <t>Negar</t>
        </is>
      </c>
      <c r="AG120" s="4" t="n">
        <v>2</v>
      </c>
      <c r="AH120" s="4" t="inlineStr">
        <is>
          <t>Coluna de ferro-vazio</t>
        </is>
      </c>
      <c r="AI120" s="4" t="n">
        <v>3</v>
      </c>
      <c r="AJ120" s="4" t="inlineStr"/>
      <c r="AK120" s="4" t="inlineStr"/>
      <c r="AL120" s="4" t="inlineStr">
        <is>
          <t>Legião da Antimatéria</t>
        </is>
      </c>
    </row>
    <row r="121" ht="48" customHeight="1">
      <c r="A121" s="33" t="n">
        <v>30</v>
      </c>
      <c r="B121" s="9" t="inlineStr">
        <is>
          <t>Arauto da Tempestade Vazia</t>
        </is>
      </c>
      <c r="C121" s="9" t="inlineStr">
        <is>
          <t>Elite</t>
        </is>
      </c>
      <c r="D121" s="9" t="inlineStr">
        <is>
          <t>17-20</t>
        </is>
      </c>
      <c r="E121" s="9" t="inlineStr">
        <is>
          <t>Culto da Inexistência</t>
        </is>
      </c>
      <c r="F121" s="9" t="n">
        <v>1</v>
      </c>
      <c r="G121" s="9" t="n">
        <v>365</v>
      </c>
      <c r="H121" s="9" t="n">
        <v>26</v>
      </c>
      <c r="I121" s="9" t="n">
        <v>4</v>
      </c>
      <c r="J121" s="9" t="n">
        <v>7</v>
      </c>
      <c r="K121" s="9" t="n">
        <v>17</v>
      </c>
      <c r="L121" s="9" t="n">
        <v>13</v>
      </c>
      <c r="M121" s="9" t="inlineStr">
        <is>
          <t>5d12</t>
        </is>
      </c>
      <c r="N121" s="9" t="n">
        <v>32</v>
      </c>
      <c r="O121" s="9" t="n">
        <v>20</v>
      </c>
      <c r="P121" s="9" t="n">
        <v>8</v>
      </c>
      <c r="Q121" s="9" t="inlineStr">
        <is>
          <t>Físico</t>
        </is>
      </c>
      <c r="R121" s="9" t="inlineStr">
        <is>
          <t>Fogo</t>
        </is>
      </c>
      <c r="S121" s="9" t="inlineStr">
        <is>
          <t>Gelo</t>
        </is>
      </c>
      <c r="T121" s="9" t="inlineStr"/>
      <c r="U121" s="9" t="inlineStr"/>
      <c r="V121" s="9" t="inlineStr">
        <is>
          <t>Pode</t>
        </is>
      </c>
      <c r="W121" s="9" t="inlineStr">
        <is>
          <t>com Firmeza</t>
        </is>
      </c>
      <c r="X121" s="9" t="inlineStr">
        <is>
          <t>Ser racional: pode Executar, e ele considera isso um ato de gentileza.</t>
        </is>
      </c>
      <c r="Y121" s="9" t="inlineStr">
        <is>
          <t>"Ele não está atacando vocês. Ele está terminando a frase."</t>
        </is>
      </c>
      <c r="Z121" s="9" t="n">
        <v>1.5</v>
      </c>
      <c r="AA121" s="9" t="n">
        <v>365</v>
      </c>
      <c r="AB121" s="9" t="n">
        <v>5</v>
      </c>
      <c r="AC121" s="9" t="n">
        <v>2</v>
      </c>
      <c r="AD121" s="9" t="inlineStr"/>
      <c r="AE121" s="9" t="inlineStr">
        <is>
          <t>Físico, Fogo, Gelo</t>
        </is>
      </c>
      <c r="AF121" s="9" t="inlineStr">
        <is>
          <t>Rasgar a frase</t>
        </is>
      </c>
      <c r="AG121" s="9" t="n">
        <v>2</v>
      </c>
      <c r="AH121" s="9" t="inlineStr">
        <is>
          <t>Tempestade</t>
        </is>
      </c>
      <c r="AI121" s="9" t="n">
        <v>3</v>
      </c>
      <c r="AJ121" s="9" t="inlineStr"/>
      <c r="AK121" s="9" t="inlineStr"/>
      <c r="AL121" s="9" t="inlineStr">
        <is>
          <t>Culto da Inexistência</t>
        </is>
      </c>
    </row>
    <row r="122" ht="116" customHeight="1">
      <c r="A122" s="32" t="n">
        <v>31</v>
      </c>
      <c r="B122" s="4" t="inlineStr">
        <is>
          <t>O Germe de Pavor</t>
        </is>
      </c>
      <c r="C122" s="4" t="inlineStr">
        <is>
          <t>Boss</t>
        </is>
      </c>
      <c r="D122" s="4" t="inlineStr">
        <is>
          <t>17-20</t>
        </is>
      </c>
      <c r="E122" s="4" t="inlineStr">
        <is>
          <t>Stellaron</t>
        </is>
      </c>
      <c r="F122" s="4" t="n">
        <v>3</v>
      </c>
      <c r="G122" s="4" t="n">
        <v>935</v>
      </c>
      <c r="H122" s="4" t="n">
        <v>27</v>
      </c>
      <c r="I122" s="4" t="n">
        <v>8</v>
      </c>
      <c r="J122" s="4" t="n">
        <v>13</v>
      </c>
      <c r="K122" s="4" t="n">
        <v>19</v>
      </c>
      <c r="L122" s="4" t="n">
        <v>13</v>
      </c>
      <c r="M122" s="4" t="inlineStr">
        <is>
          <t>7d12 + 3</t>
        </is>
      </c>
      <c r="N122" s="4" t="n">
        <v>48</v>
      </c>
      <c r="O122" s="4" t="n">
        <v>21</v>
      </c>
      <c r="P122" s="4" t="n">
        <v>9</v>
      </c>
      <c r="Q122" s="4" t="inlineStr">
        <is>
          <t>Físico</t>
        </is>
      </c>
      <c r="R122" s="4" t="inlineStr">
        <is>
          <t>Fogo</t>
        </is>
      </c>
      <c r="S122" s="4" t="inlineStr">
        <is>
          <t>Gelo</t>
        </is>
      </c>
      <c r="T122" s="4" t="inlineStr">
        <is>
          <t>Raio</t>
        </is>
      </c>
      <c r="U122" s="4" t="inlineStr"/>
      <c r="V122" s="4" t="inlineStr">
        <is>
          <t>Não declarado</t>
        </is>
      </c>
      <c r="W122" s="4" t="inlineStr">
        <is>
          <t>com Firmeza</t>
        </is>
      </c>
      <c r="X122" s="4" t="inlineStr">
        <is>
          <t>VEL 19 é o teto de inimigo do livro: só uma Caça equipada chega na frente dele (capítulo 19). Ele não escolhe alvo — a fase 1 vai no mais próximo, a fase 2 em quem tem mais Presença, a fase 3 pega todo mundo.</t>
        </is>
      </c>
      <c r="Y122" s="4" t="inlineStr">
        <is>
          <t>"O Stellaron não é o inimigo. O Stellaron é a gravidez."</t>
        </is>
      </c>
      <c r="Z122" s="4" t="n">
        <v>2</v>
      </c>
      <c r="AA122" s="4" t="n">
        <v>935</v>
      </c>
      <c r="AB122" s="4" t="n">
        <v>5</v>
      </c>
      <c r="AC122" s="4" t="n">
        <v>3</v>
      </c>
      <c r="AD122" s="4" t="inlineStr"/>
      <c r="AE122" s="4" t="inlineStr">
        <is>
          <t>Físico, Fogo, Gelo, Raio</t>
        </is>
      </c>
      <c r="AF122" s="4" t="inlineStr">
        <is>
          <t>Parto falso</t>
        </is>
      </c>
      <c r="AG122" s="4" t="n">
        <v>3</v>
      </c>
      <c r="AH122" s="4" t="inlineStr"/>
      <c r="AI122" s="4" t="inlineStr"/>
      <c r="AJ122" s="4" t="inlineStr"/>
      <c r="AK122" s="4" t="inlineStr"/>
      <c r="AL122" s="4" t="inlineStr">
        <is>
          <t>Stellaron</t>
        </is>
      </c>
    </row>
    <row r="123" ht="60" customHeight="1">
      <c r="A123" s="33" t="n">
        <v>32</v>
      </c>
      <c r="B123" s="9" t="inlineStr">
        <is>
          <t>Vazia Coroada</t>
        </is>
      </c>
      <c r="C123" s="9" t="inlineStr">
        <is>
          <t>Boss</t>
        </is>
      </c>
      <c r="D123" s="9" t="inlineStr">
        <is>
          <t>17-20</t>
        </is>
      </c>
      <c r="E123" s="9" t="inlineStr">
        <is>
          <t>Emanadora da Inexistência</t>
        </is>
      </c>
      <c r="F123" s="9" t="n">
        <v>3</v>
      </c>
      <c r="G123" s="9" t="n">
        <v>935</v>
      </c>
      <c r="H123" s="9" t="n">
        <v>27</v>
      </c>
      <c r="I123" s="9" t="n">
        <v>8</v>
      </c>
      <c r="J123" s="9" t="n">
        <v>13</v>
      </c>
      <c r="K123" s="9" t="n">
        <v>19</v>
      </c>
      <c r="L123" s="9" t="n">
        <v>13</v>
      </c>
      <c r="M123" s="9" t="inlineStr">
        <is>
          <t>7d12 + 3</t>
        </is>
      </c>
      <c r="N123" s="9" t="n">
        <v>48</v>
      </c>
      <c r="O123" s="9" t="n">
        <v>21</v>
      </c>
      <c r="P123" s="9" t="n">
        <v>9</v>
      </c>
      <c r="Q123" s="9" t="inlineStr">
        <is>
          <t>Fogo</t>
        </is>
      </c>
      <c r="R123" s="9" t="inlineStr">
        <is>
          <t>Vento</t>
        </is>
      </c>
      <c r="S123" s="9" t="inlineStr">
        <is>
          <t>Quântico</t>
        </is>
      </c>
      <c r="T123" s="9" t="inlineStr">
        <is>
          <t>Imaginário</t>
        </is>
      </c>
      <c r="U123" s="9" t="inlineStr"/>
      <c r="V123" s="9" t="inlineStr">
        <is>
          <t>Pode</t>
        </is>
      </c>
      <c r="W123" s="9" t="inlineStr">
        <is>
          <t>com Firmeza</t>
        </is>
      </c>
      <c r="X123" s="9" t="inlineStr">
        <is>
          <t>Ser racional: pode Executar — e ela faz isso, sem pressa, em quem já estiver no chão com Corrupção.</t>
        </is>
      </c>
      <c r="Y123" s="9" t="inlineStr">
        <is>
          <t>"Ela não quer que você morra. Ela quer que você concorde."</t>
        </is>
      </c>
      <c r="Z123" s="9" t="n">
        <v>2</v>
      </c>
      <c r="AA123" s="9" t="n">
        <v>935</v>
      </c>
      <c r="AB123" s="9" t="n">
        <v>5</v>
      </c>
      <c r="AC123" s="9" t="n">
        <v>3</v>
      </c>
      <c r="AD123" s="9" t="inlineStr"/>
      <c r="AE123" s="9" t="inlineStr">
        <is>
          <t>Fogo, Vento, Quântico, Imaginário</t>
        </is>
      </c>
      <c r="AF123" s="9" t="inlineStr">
        <is>
          <t>Concordância</t>
        </is>
      </c>
      <c r="AG123" s="9" t="n">
        <v>2</v>
      </c>
      <c r="AH123" s="9" t="inlineStr">
        <is>
          <t>Nada disso importou</t>
        </is>
      </c>
      <c r="AI123" s="9" t="n">
        <v>3</v>
      </c>
      <c r="AJ123" s="9" t="inlineStr">
        <is>
          <t>Concordância</t>
        </is>
      </c>
      <c r="AK123" s="9" t="n">
        <v>2</v>
      </c>
      <c r="AL123" s="9" t="inlineStr">
        <is>
          <t>Emanadora</t>
        </is>
      </c>
    </row>
    <row r="124"/>
    <row r="125" ht="32" customHeight="1">
      <c r="A125" s="47" t="inlineStr">
        <is>
          <t>Bosses com fases — 28.5 a 28.10 (12 linhas)</t>
        </is>
      </c>
      <c r="B125" s="48" t="n"/>
      <c r="C125" s="48" t="n"/>
      <c r="D125" s="48" t="n"/>
      <c r="E125" s="48" t="n"/>
      <c r="F125" s="48" t="n"/>
      <c r="G125" s="48" t="n"/>
      <c r="H125" s="48" t="n"/>
      <c r="I125" s="48" t="n"/>
      <c r="J125" s="48" t="n"/>
      <c r="K125" s="48" t="n"/>
      <c r="L125" s="48" t="n"/>
    </row>
    <row r="126">
      <c r="A126" s="7" t="inlineStr">
        <is>
          <t>Chave</t>
        </is>
      </c>
      <c r="B126" s="7" t="inlineStr">
        <is>
          <t>Criatura</t>
        </is>
      </c>
      <c r="C126" s="7" t="inlineStr">
        <is>
          <t>Fase</t>
        </is>
      </c>
      <c r="D126" s="7" t="inlineStr">
        <is>
          <t>Nome da fase</t>
        </is>
      </c>
      <c r="E126" s="7" t="inlineStr">
        <is>
          <t>PV do topo</t>
        </is>
      </c>
      <c r="F126" s="7" t="inlineStr">
        <is>
          <t>PV do piso</t>
        </is>
      </c>
      <c r="G126" s="7" t="inlineStr">
        <is>
          <t>Fraqueza 1</t>
        </is>
      </c>
      <c r="H126" s="7" t="inlineStr">
        <is>
          <t>Fraqueza 2</t>
        </is>
      </c>
      <c r="I126" s="7" t="inlineStr">
        <is>
          <t>Fraqueza 3</t>
        </is>
      </c>
      <c r="J126" s="7" t="inlineStr">
        <is>
          <t>Fraqueza 4</t>
        </is>
      </c>
      <c r="K126" s="7" t="inlineStr">
        <is>
          <t>Tenacidade</t>
        </is>
      </c>
      <c r="L126" s="7" t="inlineStr">
        <is>
          <t>Ritmo</t>
        </is>
      </c>
    </row>
    <row r="127" ht="26" customHeight="1">
      <c r="A127" s="32" t="inlineStr">
        <is>
          <t>O Afogado do Poço Sete|1</t>
        </is>
      </c>
      <c r="B127" s="4" t="inlineStr">
        <is>
          <t>O Afogado do Poço Sete</t>
        </is>
      </c>
      <c r="C127" s="4" t="n">
        <v>1</v>
      </c>
      <c r="D127" s="4" t="inlineStr">
        <is>
          <t>A massa</t>
        </is>
      </c>
      <c r="E127" s="4" t="n">
        <v>305</v>
      </c>
      <c r="F127" s="4" t="n">
        <v>153</v>
      </c>
      <c r="G127" s="4" t="inlineStr">
        <is>
          <t>Fogo</t>
        </is>
      </c>
      <c r="H127" s="4" t="inlineStr">
        <is>
          <t>Raio</t>
        </is>
      </c>
      <c r="I127" s="4" t="inlineStr">
        <is>
          <t>Vento</t>
        </is>
      </c>
      <c r="J127" s="4" t="inlineStr">
        <is>
          <t>Imaginário</t>
        </is>
      </c>
      <c r="K127" s="4" t="n">
        <v>10</v>
      </c>
      <c r="L127" s="4" t="inlineStr">
        <is>
          <t>2 por turno, qualquer combinação</t>
        </is>
      </c>
    </row>
    <row r="128" ht="26" customHeight="1">
      <c r="A128" s="33" t="inlineStr">
        <is>
          <t>O Afogado do Poço Sete|2</t>
        </is>
      </c>
      <c r="B128" s="9" t="inlineStr">
        <is>
          <t>O Afogado do Poço Sete</t>
        </is>
      </c>
      <c r="C128" s="9" t="n">
        <v>2</v>
      </c>
      <c r="D128" s="9" t="inlineStr">
        <is>
          <t>Os rostos</t>
        </is>
      </c>
      <c r="E128" s="9" t="n">
        <v>152</v>
      </c>
      <c r="F128" s="9" t="n">
        <v>0</v>
      </c>
      <c r="G128" s="9" t="inlineStr">
        <is>
          <t>Gelo</t>
        </is>
      </c>
      <c r="H128" s="9" t="inlineStr">
        <is>
          <t>Quântico</t>
        </is>
      </c>
      <c r="I128" s="9" t="inlineStr">
        <is>
          <t>Imaginário</t>
        </is>
      </c>
      <c r="J128" s="9" t="inlineStr">
        <is>
          <t>Físico</t>
        </is>
      </c>
      <c r="K128" s="9" t="n">
        <v>10</v>
      </c>
      <c r="L128" s="9" t="inlineStr">
        <is>
          <t>1 ataque + 1 ação especial por turno</t>
        </is>
      </c>
    </row>
    <row r="129" ht="26" customHeight="1">
      <c r="A129" s="32" t="inlineStr">
        <is>
          <t>O Dramaturgo de Mil Faces|1</t>
        </is>
      </c>
      <c r="B129" s="4" t="inlineStr">
        <is>
          <t>O Dramaturgo de Mil Faces</t>
        </is>
      </c>
      <c r="C129" s="4" t="n">
        <v>1</v>
      </c>
      <c r="D129" s="4" t="inlineStr">
        <is>
          <t>O elenco</t>
        </is>
      </c>
      <c r="E129" s="4" t="n">
        <v>580</v>
      </c>
      <c r="F129" s="4" t="n">
        <v>291</v>
      </c>
      <c r="G129" s="4" t="inlineStr">
        <is>
          <t>Físico</t>
        </is>
      </c>
      <c r="H129" s="4" t="inlineStr">
        <is>
          <t>Gelo</t>
        </is>
      </c>
      <c r="I129" s="4" t="inlineStr">
        <is>
          <t>Vento</t>
        </is>
      </c>
      <c r="J129" s="4" t="inlineStr">
        <is>
          <t>Imaginário</t>
        </is>
      </c>
      <c r="K129" s="4" t="n">
        <v>12</v>
      </c>
      <c r="L129" s="4" t="inlineStr">
        <is>
          <t>2 por turno, qualquer combinação</t>
        </is>
      </c>
    </row>
    <row r="130" ht="26" customHeight="1">
      <c r="A130" s="33" t="inlineStr">
        <is>
          <t>O Dramaturgo de Mil Faces|2</t>
        </is>
      </c>
      <c r="B130" s="9" t="inlineStr">
        <is>
          <t>O Dramaturgo de Mil Faces</t>
        </is>
      </c>
      <c r="C130" s="9" t="n">
        <v>2</v>
      </c>
      <c r="D130" s="9" t="inlineStr">
        <is>
          <t>Nenhuma face</t>
        </is>
      </c>
      <c r="E130" s="9" t="n">
        <v>290</v>
      </c>
      <c r="F130" s="9" t="n">
        <v>0</v>
      </c>
      <c r="G130" s="9" t="inlineStr">
        <is>
          <t>Fogo</t>
        </is>
      </c>
      <c r="H130" s="9" t="inlineStr">
        <is>
          <t>Raio</t>
        </is>
      </c>
      <c r="I130" s="9" t="inlineStr">
        <is>
          <t>Quântico</t>
        </is>
      </c>
      <c r="J130" s="9" t="inlineStr">
        <is>
          <t>Físico</t>
        </is>
      </c>
      <c r="K130" s="9" t="n">
        <v>9</v>
      </c>
      <c r="L130" s="9" t="inlineStr">
        <is>
          <t>1 ataque + 1 ação especial por turno</t>
        </is>
      </c>
    </row>
    <row r="131" ht="26" customHeight="1">
      <c r="A131" s="32" t="inlineStr">
        <is>
          <t>Vênia, a Primeira Obra|1</t>
        </is>
      </c>
      <c r="B131" s="4" t="inlineStr">
        <is>
          <t>Vênia, a Primeira Obra</t>
        </is>
      </c>
      <c r="C131" s="4" t="n">
        <v>1</v>
      </c>
      <c r="D131" s="4" t="inlineStr">
        <is>
          <t>A obra acabada</t>
        </is>
      </c>
      <c r="E131" s="4" t="n">
        <v>750</v>
      </c>
      <c r="F131" s="4" t="n">
        <v>376</v>
      </c>
      <c r="G131" s="4" t="inlineStr">
        <is>
          <t>Físico</t>
        </is>
      </c>
      <c r="H131" s="4" t="inlineStr">
        <is>
          <t>Fogo</t>
        </is>
      </c>
      <c r="I131" s="4" t="inlineStr">
        <is>
          <t>Raio</t>
        </is>
      </c>
      <c r="J131" s="4" t="inlineStr">
        <is>
          <t>Quântico</t>
        </is>
      </c>
      <c r="K131" s="4" t="n">
        <v>12</v>
      </c>
      <c r="L131" s="4" t="inlineStr">
        <is>
          <t>2 por turno, qualquer combinação</t>
        </is>
      </c>
    </row>
    <row r="132" ht="26" customHeight="1">
      <c r="A132" s="33" t="inlineStr">
        <is>
          <t>Vênia, a Primeira Obra|2</t>
        </is>
      </c>
      <c r="B132" s="9" t="inlineStr">
        <is>
          <t>Vênia, a Primeira Obra</t>
        </is>
      </c>
      <c r="C132" s="9" t="n">
        <v>2</v>
      </c>
      <c r="D132" s="9" t="inlineStr">
        <is>
          <t>A rachadura</t>
        </is>
      </c>
      <c r="E132" s="9" t="n">
        <v>375</v>
      </c>
      <c r="F132" s="9" t="n">
        <v>0</v>
      </c>
      <c r="G132" s="9" t="inlineStr">
        <is>
          <t>Gelo</t>
        </is>
      </c>
      <c r="H132" s="9" t="inlineStr">
        <is>
          <t>Vento</t>
        </is>
      </c>
      <c r="I132" s="9" t="inlineStr">
        <is>
          <t>Imaginário</t>
        </is>
      </c>
      <c r="J132" s="9" t="inlineStr">
        <is>
          <t>Quântico</t>
        </is>
      </c>
      <c r="K132" s="9" t="n">
        <v>12</v>
      </c>
      <c r="L132" s="9" t="inlineStr">
        <is>
          <t>1 ataque + 1 ação especial por turno</t>
        </is>
      </c>
    </row>
    <row r="133" ht="26" customHeight="1">
      <c r="A133" s="32" t="inlineStr">
        <is>
          <t>O Germe de Pavor|1</t>
        </is>
      </c>
      <c r="B133" s="4" t="inlineStr">
        <is>
          <t>O Germe de Pavor</t>
        </is>
      </c>
      <c r="C133" s="4" t="n">
        <v>1</v>
      </c>
      <c r="D133" s="4" t="inlineStr">
        <is>
          <t>A casca</t>
        </is>
      </c>
      <c r="E133" s="4" t="n">
        <v>935</v>
      </c>
      <c r="F133" s="4" t="n">
        <v>624</v>
      </c>
      <c r="G133" s="4" t="inlineStr">
        <is>
          <t>Físico</t>
        </is>
      </c>
      <c r="H133" s="4" t="inlineStr">
        <is>
          <t>Fogo</t>
        </is>
      </c>
      <c r="I133" s="4" t="inlineStr">
        <is>
          <t>Gelo</t>
        </is>
      </c>
      <c r="J133" s="4" t="inlineStr">
        <is>
          <t>Raio</t>
        </is>
      </c>
      <c r="K133" s="4" t="n">
        <v>13</v>
      </c>
      <c r="L133" s="4" t="inlineStr">
        <is>
          <t>2 por turno, qualquer combinação</t>
        </is>
      </c>
    </row>
    <row r="134" ht="26" customHeight="1">
      <c r="A134" s="33" t="inlineStr">
        <is>
          <t>O Germe de Pavor|2</t>
        </is>
      </c>
      <c r="B134" s="9" t="inlineStr">
        <is>
          <t>O Germe de Pavor</t>
        </is>
      </c>
      <c r="C134" s="9" t="n">
        <v>2</v>
      </c>
      <c r="D134" s="9" t="inlineStr">
        <is>
          <t>O interior</t>
        </is>
      </c>
      <c r="E134" s="9" t="n">
        <v>623</v>
      </c>
      <c r="F134" s="9" t="n">
        <v>312</v>
      </c>
      <c r="G134" s="9" t="inlineStr">
        <is>
          <t>Fogo</t>
        </is>
      </c>
      <c r="H134" s="9" t="inlineStr">
        <is>
          <t>Vento</t>
        </is>
      </c>
      <c r="I134" s="9" t="inlineStr">
        <is>
          <t>Quântico</t>
        </is>
      </c>
      <c r="J134" s="9" t="inlineStr">
        <is>
          <t>Imaginário</t>
        </is>
      </c>
      <c r="K134" s="9" t="n">
        <v>13</v>
      </c>
      <c r="L134" s="9" t="inlineStr">
        <is>
          <t>1 ataque + 1 ação especial por turno</t>
        </is>
      </c>
    </row>
    <row r="135" ht="26" customHeight="1">
      <c r="A135" s="32" t="inlineStr">
        <is>
          <t>O Germe de Pavor|3</t>
        </is>
      </c>
      <c r="B135" s="4" t="inlineStr">
        <is>
          <t>O Germe de Pavor</t>
        </is>
      </c>
      <c r="C135" s="4" t="n">
        <v>3</v>
      </c>
      <c r="D135" s="4" t="inlineStr">
        <is>
          <t>Nascido</t>
        </is>
      </c>
      <c r="E135" s="4" t="n">
        <v>311</v>
      </c>
      <c r="F135" s="4" t="n">
        <v>0</v>
      </c>
      <c r="G135" s="4" t="inlineStr">
        <is>
          <t>Físico</t>
        </is>
      </c>
      <c r="H135" s="4" t="inlineStr">
        <is>
          <t>Gelo</t>
        </is>
      </c>
      <c r="I135" s="4" t="inlineStr">
        <is>
          <t>Raio</t>
        </is>
      </c>
      <c r="J135" s="4" t="inlineStr">
        <is>
          <t>Quântico</t>
        </is>
      </c>
      <c r="K135" s="4" t="n">
        <v>10</v>
      </c>
      <c r="L135" s="4" t="inlineStr">
        <is>
          <t>1 por turno, sem recarga</t>
        </is>
      </c>
    </row>
    <row r="136" ht="26" customHeight="1">
      <c r="A136" s="33" t="inlineStr">
        <is>
          <t>Vazia Coroada|1</t>
        </is>
      </c>
      <c r="B136" s="9" t="inlineStr">
        <is>
          <t>Vazia Coroada</t>
        </is>
      </c>
      <c r="C136" s="9" t="n">
        <v>1</v>
      </c>
      <c r="D136" s="9" t="inlineStr">
        <is>
          <t>A audiência</t>
        </is>
      </c>
      <c r="E136" s="9" t="n">
        <v>935</v>
      </c>
      <c r="F136" s="9" t="n">
        <v>624</v>
      </c>
      <c r="G136" s="9" t="inlineStr">
        <is>
          <t>Fogo</t>
        </is>
      </c>
      <c r="H136" s="9" t="inlineStr">
        <is>
          <t>Vento</t>
        </is>
      </c>
      <c r="I136" s="9" t="inlineStr">
        <is>
          <t>Quântico</t>
        </is>
      </c>
      <c r="J136" s="9" t="inlineStr">
        <is>
          <t>Imaginário</t>
        </is>
      </c>
      <c r="K136" s="9" t="n">
        <v>13</v>
      </c>
      <c r="L136" s="9" t="inlineStr">
        <is>
          <t>2 por turno, qualquer combinação</t>
        </is>
      </c>
    </row>
    <row r="137" ht="26" customHeight="1">
      <c r="A137" s="32" t="inlineStr">
        <is>
          <t>Vazia Coroada|2</t>
        </is>
      </c>
      <c r="B137" s="4" t="inlineStr">
        <is>
          <t>Vazia Coroada</t>
        </is>
      </c>
      <c r="C137" s="4" t="n">
        <v>2</v>
      </c>
      <c r="D137" s="4" t="inlineStr">
        <is>
          <t>A coroa</t>
        </is>
      </c>
      <c r="E137" s="4" t="n">
        <v>623</v>
      </c>
      <c r="F137" s="4" t="n">
        <v>312</v>
      </c>
      <c r="G137" s="4" t="inlineStr">
        <is>
          <t>Físico</t>
        </is>
      </c>
      <c r="H137" s="4" t="inlineStr">
        <is>
          <t>Gelo</t>
        </is>
      </c>
      <c r="I137" s="4" t="inlineStr">
        <is>
          <t>Raio</t>
        </is>
      </c>
      <c r="J137" s="4" t="inlineStr">
        <is>
          <t>Quântico</t>
        </is>
      </c>
      <c r="K137" s="4" t="n">
        <v>12</v>
      </c>
      <c r="L137" s="4" t="inlineStr">
        <is>
          <t>1 ataque + 1 ação especial por turno</t>
        </is>
      </c>
    </row>
    <row r="138">
      <c r="A138" s="33" t="inlineStr">
        <is>
          <t>Vazia Coroada|3</t>
        </is>
      </c>
      <c r="B138" s="9" t="inlineStr">
        <is>
          <t>Vazia Coroada</t>
        </is>
      </c>
      <c r="C138" s="9" t="n">
        <v>3</v>
      </c>
      <c r="D138" s="9" t="inlineStr">
        <is>
          <t>Sem coroa</t>
        </is>
      </c>
      <c r="E138" s="9" t="n">
        <v>311</v>
      </c>
      <c r="F138" s="9" t="n">
        <v>0</v>
      </c>
      <c r="G138" s="9" t="inlineStr">
        <is>
          <t>Fogo</t>
        </is>
      </c>
      <c r="H138" s="9" t="inlineStr">
        <is>
          <t>Gelo</t>
        </is>
      </c>
      <c r="I138" s="9" t="inlineStr">
        <is>
          <t>Vento</t>
        </is>
      </c>
      <c r="J138" s="9" t="inlineStr">
        <is>
          <t>Imaginário</t>
        </is>
      </c>
      <c r="K138" s="9" t="n">
        <v>10</v>
      </c>
      <c r="L138" s="9" t="inlineStr">
        <is>
          <t>2 ataques por turno</t>
        </is>
      </c>
    </row>
    <row r="139"/>
    <row r="140" ht="60" customHeight="1">
      <c r="A140" s="47" t="inlineStr">
        <is>
          <t>Ataques e ações das 32 fichas — 28.6 a 28.10 (texto-modelo com marcadores, 6.7.3)</t>
        </is>
      </c>
      <c r="B140" s="48" t="n"/>
      <c r="C140" s="48" t="n"/>
      <c r="D140" s="48" t="n"/>
      <c r="E140" s="48" t="n"/>
      <c r="F140" s="48" t="n"/>
      <c r="G140" s="48" t="n"/>
      <c r="H140" s="48" t="n"/>
      <c r="I140" s="48" t="n"/>
      <c r="J140" s="48" t="n"/>
      <c r="K140" s="48" t="n"/>
      <c r="L140" s="48" t="n"/>
      <c r="M140" s="48" t="n"/>
      <c r="N140" s="48" t="n"/>
      <c r="O140" s="48" t="n"/>
      <c r="P140" s="48" t="n"/>
      <c r="Q140" s="48" t="n"/>
      <c r="R140" s="48" t="n"/>
      <c r="S140" s="48" t="n"/>
      <c r="T140" s="48" t="n"/>
      <c r="U140" s="48" t="n"/>
    </row>
    <row r="141">
      <c r="A141" s="7" t="inlineStr">
        <is>
          <t>Chave</t>
        </is>
      </c>
      <c r="B141" s="7" t="inlineStr">
        <is>
          <t>Criatura</t>
        </is>
      </c>
      <c r="C141" s="7" t="inlineStr">
        <is>
          <t>Fase</t>
        </is>
      </c>
      <c r="D141" s="7" t="inlineStr">
        <is>
          <t>Ordem</t>
        </is>
      </c>
      <c r="E141" s="7" t="inlineStr">
        <is>
          <t>Tipo</t>
        </is>
      </c>
      <c r="F141" s="7" t="inlineStr">
        <is>
          <t>Nome</t>
        </is>
      </c>
      <c r="G141" s="7" t="inlineStr">
        <is>
          <t>Recarga</t>
        </is>
      </c>
      <c r="H141" s="7" t="inlineStr">
        <is>
          <t>Texto do livro</t>
        </is>
      </c>
      <c r="I141" s="7" t="inlineStr">
        <is>
          <t>p0</t>
        </is>
      </c>
      <c r="J141" s="7" t="inlineStr">
        <is>
          <t>m1</t>
        </is>
      </c>
      <c r="K141" s="7" t="inlineStr">
        <is>
          <t>n1</t>
        </is>
      </c>
      <c r="L141" s="7" t="inlineStr">
        <is>
          <t>p1</t>
        </is>
      </c>
      <c r="M141" s="7" t="inlineStr">
        <is>
          <t>m2</t>
        </is>
      </c>
      <c r="N141" s="7" t="inlineStr">
        <is>
          <t>n2</t>
        </is>
      </c>
      <c r="O141" s="7" t="inlineStr">
        <is>
          <t>p2</t>
        </is>
      </c>
      <c r="P141" s="7" t="inlineStr">
        <is>
          <t>m3</t>
        </is>
      </c>
      <c r="Q141" s="7" t="inlineStr">
        <is>
          <t>n3</t>
        </is>
      </c>
      <c r="R141" s="7" t="inlineStr">
        <is>
          <t>p3</t>
        </is>
      </c>
      <c r="S141" s="7" t="inlineStr">
        <is>
          <t>m4</t>
        </is>
      </c>
      <c r="T141" s="7" t="inlineStr">
        <is>
          <t>n4</t>
        </is>
      </c>
      <c r="U141" s="7" t="inlineStr">
        <is>
          <t>p4</t>
        </is>
      </c>
    </row>
    <row r="142" ht="37" customHeight="1">
      <c r="A142" s="32" t="inlineStr">
        <is>
          <t>Casco Oco|1</t>
        </is>
      </c>
      <c r="B142" s="4" t="inlineStr">
        <is>
          <t>Casco Oco</t>
        </is>
      </c>
      <c r="C142" s="4" t="n">
        <v>0</v>
      </c>
      <c r="D142" s="4" t="n">
        <v>1</v>
      </c>
      <c r="E142" s="4" t="inlineStr">
        <is>
          <t>Ataque</t>
        </is>
      </c>
      <c r="F142" s="4" t="inlineStr">
        <is>
          <t>Braço fundido</t>
        </is>
      </c>
      <c r="G142" s="4" t="inlineStr"/>
      <c r="H142" s="4" t="inlineStr">
        <is>
          <t>Braço fundido (Pessoal, Físico): 1d6 · média 3</t>
        </is>
      </c>
      <c r="I142" s="4" t="inlineStr">
        <is>
          <t xml:space="preserve">Braço fundido (Pessoal, Físico): </t>
        </is>
      </c>
      <c r="J142" s="4" t="inlineStr">
        <is>
          <t>DANO.e</t>
        </is>
      </c>
      <c r="K142" s="4" t="inlineStr"/>
      <c r="L142" s="4" t="inlineStr">
        <is>
          <t xml:space="preserve"> · média </t>
        </is>
      </c>
      <c r="M142" s="4" t="inlineStr">
        <is>
          <t>DANO.m</t>
        </is>
      </c>
      <c r="N142" s="4" t="inlineStr"/>
      <c r="O142" s="4" t="inlineStr"/>
      <c r="P142" s="4" t="inlineStr"/>
      <c r="Q142" s="4" t="inlineStr"/>
      <c r="R142" s="4" t="inlineStr"/>
      <c r="S142" s="4" t="inlineStr"/>
      <c r="T142" s="4" t="inlineStr"/>
      <c r="U142" s="4" t="inlineStr"/>
    </row>
    <row r="143" ht="37" customHeight="1">
      <c r="A143" s="33" t="inlineStr">
        <is>
          <t>Larva Fuliginosa|1</t>
        </is>
      </c>
      <c r="B143" s="9" t="inlineStr">
        <is>
          <t>Larva Fuliginosa</t>
        </is>
      </c>
      <c r="C143" s="9" t="n">
        <v>0</v>
      </c>
      <c r="D143" s="9" t="n">
        <v>1</v>
      </c>
      <c r="E143" s="9" t="inlineStr">
        <is>
          <t>Ataque</t>
        </is>
      </c>
      <c r="F143" s="9" t="inlineStr">
        <is>
          <t>Mordida de cinza</t>
        </is>
      </c>
      <c r="G143" s="9" t="inlineStr"/>
      <c r="H143" s="9" t="inlineStr">
        <is>
          <t>Mordida de cinza (Pessoal, Fogo): 1d6 · média 3</t>
        </is>
      </c>
      <c r="I143" s="9" t="inlineStr">
        <is>
          <t xml:space="preserve">Mordida de cinza (Pessoal, Fogo): </t>
        </is>
      </c>
      <c r="J143" s="9" t="inlineStr">
        <is>
          <t>DANO.e</t>
        </is>
      </c>
      <c r="K143" s="9" t="inlineStr"/>
      <c r="L143" s="9" t="inlineStr">
        <is>
          <t xml:space="preserve"> · média </t>
        </is>
      </c>
      <c r="M143" s="9" t="inlineStr">
        <is>
          <t>DANO.m</t>
        </is>
      </c>
      <c r="N143" s="9" t="inlineStr"/>
      <c r="O143" s="9" t="inlineStr"/>
      <c r="P143" s="9" t="inlineStr"/>
      <c r="Q143" s="9" t="inlineStr"/>
      <c r="R143" s="9" t="inlineStr"/>
      <c r="S143" s="9" t="inlineStr"/>
      <c r="T143" s="9" t="inlineStr"/>
      <c r="U143" s="9" t="inlineStr"/>
    </row>
    <row r="144" ht="105" customHeight="1">
      <c r="A144" s="32" t="inlineStr">
        <is>
          <t>Larva Fuliginosa|2</t>
        </is>
      </c>
      <c r="B144" s="4" t="inlineStr">
        <is>
          <t>Larva Fuliginosa</t>
        </is>
      </c>
      <c r="C144" s="4" t="n">
        <v>0</v>
      </c>
      <c r="D144" s="4" t="n">
        <v>2</v>
      </c>
      <c r="E144" s="4" t="inlineStr">
        <is>
          <t>Gatilho</t>
        </is>
      </c>
      <c r="F144" s="4" t="inlineStr">
        <is>
          <t>Estouro</t>
        </is>
      </c>
      <c r="G144" s="4" t="inlineStr"/>
      <c r="H144" s="4" t="inlineStr">
        <is>
          <t>Estouro (quando ela cai a 0 PV, uma vez): cada criatura a Distância Pessoal dela faz um Teste de Reflexos contra DT 12. Quem falha recebe Queimadura por 2 turnos.</t>
        </is>
      </c>
      <c r="I144" s="4" t="inlineStr">
        <is>
          <t xml:space="preserve">Estouro (quando ela cai a 0 PV, uma vez): cada criatura a Distância Pessoal dela faz um Teste de Reflexos contra DT </t>
        </is>
      </c>
      <c r="J144" s="4" t="inlineStr">
        <is>
          <t>DT</t>
        </is>
      </c>
      <c r="K144" s="4" t="inlineStr"/>
      <c r="L144" s="4" t="inlineStr">
        <is>
          <t>. Quem falha recebe Queimadura por 2 turnos.</t>
        </is>
      </c>
      <c r="M144" s="4" t="inlineStr"/>
      <c r="N144" s="4" t="inlineStr"/>
      <c r="O144" s="4" t="inlineStr"/>
      <c r="P144" s="4" t="inlineStr"/>
      <c r="Q144" s="4" t="inlineStr"/>
      <c r="R144" s="4" t="inlineStr"/>
      <c r="S144" s="4" t="inlineStr"/>
      <c r="T144" s="4" t="inlineStr"/>
      <c r="U144" s="4" t="inlineStr"/>
    </row>
    <row r="145" ht="26" customHeight="1">
      <c r="A145" s="33" t="inlineStr">
        <is>
          <t>Esporo Rancoroso|1</t>
        </is>
      </c>
      <c r="B145" s="9" t="inlineStr">
        <is>
          <t>Esporo Rancoroso</t>
        </is>
      </c>
      <c r="C145" s="9" t="n">
        <v>0</v>
      </c>
      <c r="D145" s="9" t="n">
        <v>1</v>
      </c>
      <c r="E145" s="9" t="inlineStr">
        <is>
          <t>Ataque</t>
        </is>
      </c>
      <c r="F145" s="9" t="inlineStr">
        <is>
          <t>Chicote de raiz</t>
        </is>
      </c>
      <c r="G145" s="9" t="inlineStr"/>
      <c r="H145" s="9" t="inlineStr">
        <is>
          <t>Chicote de raiz (Curta, Físico): 1d6 · média 3</t>
        </is>
      </c>
      <c r="I145" s="9" t="inlineStr">
        <is>
          <t xml:space="preserve">Chicote de raiz (Curta, Físico): </t>
        </is>
      </c>
      <c r="J145" s="9" t="inlineStr">
        <is>
          <t>DANO.e</t>
        </is>
      </c>
      <c r="K145" s="9" t="inlineStr"/>
      <c r="L145" s="9" t="inlineStr">
        <is>
          <t xml:space="preserve"> · média </t>
        </is>
      </c>
      <c r="M145" s="9" t="inlineStr">
        <is>
          <t>DANO.m</t>
        </is>
      </c>
      <c r="N145" s="9" t="inlineStr"/>
      <c r="O145" s="9" t="inlineStr"/>
      <c r="P145" s="9" t="inlineStr"/>
      <c r="Q145" s="9" t="inlineStr"/>
      <c r="R145" s="9" t="inlineStr"/>
      <c r="S145" s="9" t="inlineStr"/>
      <c r="T145" s="9" t="inlineStr"/>
      <c r="U145" s="9" t="inlineStr"/>
    </row>
    <row r="146" ht="82" customHeight="1">
      <c r="A146" s="32" t="inlineStr">
        <is>
          <t>Esporo Rancoroso|2</t>
        </is>
      </c>
      <c r="B146" s="4" t="inlineStr">
        <is>
          <t>Esporo Rancoroso</t>
        </is>
      </c>
      <c r="C146" s="4" t="n">
        <v>0</v>
      </c>
      <c r="D146" s="4" t="n">
        <v>2</v>
      </c>
      <c r="E146" s="4" t="inlineStr">
        <is>
          <t>Especial</t>
        </is>
      </c>
      <c r="F146" s="4" t="inlineStr">
        <is>
          <t>Agarrar</t>
        </is>
      </c>
      <c r="G146" s="4" t="n">
        <v>2</v>
      </c>
      <c r="H146" s="4" t="inlineStr">
        <is>
          <t>Agarrar (recarga 2 Ciclos): um alvo a até Distância Curta faz Teste de Potência Física contra DT 12. Se falhar, recebe Lentidão por 2 turnos.</t>
        </is>
      </c>
      <c r="I146" s="4" t="inlineStr">
        <is>
          <t xml:space="preserve">Agarrar (recarga 2 Ciclos): um alvo a até Distância Curta faz Teste de Potência Física contra DT </t>
        </is>
      </c>
      <c r="J146" s="4" t="inlineStr">
        <is>
          <t>DT</t>
        </is>
      </c>
      <c r="K146" s="4" t="inlineStr"/>
      <c r="L146" s="4" t="inlineStr">
        <is>
          <t>. Se falhar, recebe Lentidão por 2 turnos.</t>
        </is>
      </c>
      <c r="M146" s="4" t="inlineStr"/>
      <c r="N146" s="4" t="inlineStr"/>
      <c r="O146" s="4" t="inlineStr"/>
      <c r="P146" s="4" t="inlineStr"/>
      <c r="Q146" s="4" t="inlineStr"/>
      <c r="R146" s="4" t="inlineStr"/>
      <c r="S146" s="4" t="inlineStr"/>
      <c r="T146" s="4" t="inlineStr"/>
      <c r="U146" s="4" t="inlineStr"/>
    </row>
    <row r="147" ht="37" customHeight="1">
      <c r="A147" s="33" t="inlineStr">
        <is>
          <t>Peão da Antimatéria|1</t>
        </is>
      </c>
      <c r="B147" s="9" t="inlineStr">
        <is>
          <t>Peão da Antimatéria</t>
        </is>
      </c>
      <c r="C147" s="9" t="n">
        <v>0</v>
      </c>
      <c r="D147" s="9" t="n">
        <v>1</v>
      </c>
      <c r="E147" s="9" t="inlineStr">
        <is>
          <t>Ataque</t>
        </is>
      </c>
      <c r="F147" s="9" t="inlineStr">
        <is>
          <t>Rifle de ferrolho</t>
        </is>
      </c>
      <c r="G147" s="9" t="inlineStr"/>
      <c r="H147" s="9" t="inlineStr">
        <is>
          <t>Rifle de ferrolho (Longa, Físico): 1d6 · média 3</t>
        </is>
      </c>
      <c r="I147" s="9" t="inlineStr">
        <is>
          <t xml:space="preserve">Rifle de ferrolho (Longa, Físico): </t>
        </is>
      </c>
      <c r="J147" s="9" t="inlineStr">
        <is>
          <t>DANO.e</t>
        </is>
      </c>
      <c r="K147" s="9" t="inlineStr"/>
      <c r="L147" s="9" t="inlineStr">
        <is>
          <t xml:space="preserve"> · média </t>
        </is>
      </c>
      <c r="M147" s="9" t="inlineStr">
        <is>
          <t>DANO.m</t>
        </is>
      </c>
      <c r="N147" s="9" t="inlineStr"/>
      <c r="O147" s="9" t="inlineStr"/>
      <c r="P147" s="9" t="inlineStr"/>
      <c r="Q147" s="9" t="inlineStr"/>
      <c r="R147" s="9" t="inlineStr"/>
      <c r="S147" s="9" t="inlineStr"/>
      <c r="T147" s="9" t="inlineStr"/>
      <c r="U147" s="9" t="inlineStr"/>
    </row>
    <row r="148" ht="26" customHeight="1">
      <c r="A148" s="32" t="inlineStr">
        <is>
          <t>Peão da Antimatéria|2</t>
        </is>
      </c>
      <c r="B148" s="4" t="inlineStr">
        <is>
          <t>Peão da Antimatéria</t>
        </is>
      </c>
      <c r="C148" s="4" t="n">
        <v>0</v>
      </c>
      <c r="D148" s="4" t="n">
        <v>2</v>
      </c>
      <c r="E148" s="4" t="inlineStr">
        <is>
          <t>Ataque</t>
        </is>
      </c>
      <c r="F148" s="4" t="inlineStr">
        <is>
          <t>Coronhada</t>
        </is>
      </c>
      <c r="G148" s="4" t="inlineStr"/>
      <c r="H148" s="4" t="inlineStr">
        <is>
          <t>Coronhada (Pessoal, Físico): 1d6 · média 3</t>
        </is>
      </c>
      <c r="I148" s="4" t="inlineStr">
        <is>
          <t xml:space="preserve">Coronhada (Pessoal, Físico): </t>
        </is>
      </c>
      <c r="J148" s="4" t="inlineStr">
        <is>
          <t>DANO.e</t>
        </is>
      </c>
      <c r="K148" s="4" t="inlineStr"/>
      <c r="L148" s="4" t="inlineStr">
        <is>
          <t xml:space="preserve"> · média </t>
        </is>
      </c>
      <c r="M148" s="4" t="inlineStr">
        <is>
          <t>DANO.m</t>
        </is>
      </c>
      <c r="N148" s="4" t="inlineStr"/>
      <c r="O148" s="4" t="inlineStr"/>
      <c r="P148" s="4" t="inlineStr"/>
      <c r="Q148" s="4" t="inlineStr"/>
      <c r="R148" s="4" t="inlineStr"/>
      <c r="S148" s="4" t="inlineStr"/>
      <c r="T148" s="4" t="inlineStr"/>
      <c r="U148" s="4" t="inlineStr"/>
    </row>
    <row r="149" ht="116" customHeight="1">
      <c r="A149" s="33" t="inlineStr">
        <is>
          <t>Peão da Antimatéria|3</t>
        </is>
      </c>
      <c r="B149" s="9" t="inlineStr">
        <is>
          <t>Peão da Antimatéria</t>
        </is>
      </c>
      <c r="C149" s="9" t="n">
        <v>0</v>
      </c>
      <c r="D149" s="9" t="n">
        <v>3</v>
      </c>
      <c r="E149" s="9" t="inlineStr">
        <is>
          <t>Especial</t>
        </is>
      </c>
      <c r="F149" s="9" t="inlineStr">
        <is>
          <t>Fogo de supressão</t>
        </is>
      </c>
      <c r="G149" s="9" t="n">
        <v>2</v>
      </c>
      <c r="H149" s="9" t="inlineStr">
        <is>
          <t>Fogo de supressão (recarga 2 Ciclos): escolha 2 alvos a até uma Distância um do outro. Cada um faz Teste de Reflexos contra DT 12; quem falha recebe 1d6 · 3 de dano Físico e fica Marcado por 1 turno.</t>
        </is>
      </c>
      <c r="I149" s="9" t="inlineStr">
        <is>
          <t xml:space="preserve">Fogo de supressão (recarga 2 Ciclos): escolha 2 alvos a até uma Distância um do outro. Cada um faz Teste de Reflexos contra DT </t>
        </is>
      </c>
      <c r="J149" s="9" t="inlineStr">
        <is>
          <t>DT</t>
        </is>
      </c>
      <c r="K149" s="9" t="inlineStr"/>
      <c r="L149" s="9" t="inlineStr">
        <is>
          <t xml:space="preserve">; quem falha recebe </t>
        </is>
      </c>
      <c r="M149" s="9" t="inlineStr">
        <is>
          <t>DANO.e</t>
        </is>
      </c>
      <c r="N149" s="9" t="inlineStr"/>
      <c r="O149" s="9" t="inlineStr">
        <is>
          <t xml:space="preserve"> · </t>
        </is>
      </c>
      <c r="P149" s="9" t="inlineStr">
        <is>
          <t>DANO.m</t>
        </is>
      </c>
      <c r="Q149" s="9" t="inlineStr"/>
      <c r="R149" s="9" t="inlineStr">
        <is>
          <t xml:space="preserve"> de dano Físico e fica Marcado por 1 turno.</t>
        </is>
      </c>
      <c r="S149" s="9" t="inlineStr"/>
      <c r="T149" s="9" t="inlineStr"/>
      <c r="U149" s="9" t="inlineStr"/>
    </row>
    <row r="150" ht="37" customHeight="1">
      <c r="A150" s="32" t="inlineStr">
        <is>
          <t>Sentinela Enferrujada|1</t>
        </is>
      </c>
      <c r="B150" s="4" t="inlineStr">
        <is>
          <t>Sentinela Enferrujada</t>
        </is>
      </c>
      <c r="C150" s="4" t="n">
        <v>0</v>
      </c>
      <c r="D150" s="4" t="n">
        <v>1</v>
      </c>
      <c r="E150" s="4" t="inlineStr">
        <is>
          <t>Ataque</t>
        </is>
      </c>
      <c r="F150" s="4" t="inlineStr">
        <is>
          <t>Bastão de contenção</t>
        </is>
      </c>
      <c r="G150" s="4" t="inlineStr"/>
      <c r="H150" s="4" t="inlineStr">
        <is>
          <t>Bastão de contenção (Pessoal, Raio): 1d6 · média 3</t>
        </is>
      </c>
      <c r="I150" s="4" t="inlineStr">
        <is>
          <t xml:space="preserve">Bastão de contenção (Pessoal, Raio): </t>
        </is>
      </c>
      <c r="J150" s="4" t="inlineStr">
        <is>
          <t>DANO.e</t>
        </is>
      </c>
      <c r="K150" s="4" t="inlineStr"/>
      <c r="L150" s="4" t="inlineStr">
        <is>
          <t xml:space="preserve"> · média </t>
        </is>
      </c>
      <c r="M150" s="4" t="inlineStr">
        <is>
          <t>DANO.m</t>
        </is>
      </c>
      <c r="N150" s="4" t="inlineStr"/>
      <c r="O150" s="4" t="inlineStr"/>
      <c r="P150" s="4" t="inlineStr"/>
      <c r="Q150" s="4" t="inlineStr"/>
      <c r="R150" s="4" t="inlineStr"/>
      <c r="S150" s="4" t="inlineStr"/>
      <c r="T150" s="4" t="inlineStr"/>
      <c r="U150" s="4" t="inlineStr"/>
    </row>
    <row r="151" ht="172" customHeight="1">
      <c r="A151" s="33" t="inlineStr">
        <is>
          <t>Sentinela Enferrujada|2</t>
        </is>
      </c>
      <c r="B151" s="9" t="inlineStr">
        <is>
          <t>Sentinela Enferrujada</t>
        </is>
      </c>
      <c r="C151" s="9" t="n">
        <v>0</v>
      </c>
      <c r="D151" s="9" t="n">
        <v>2</v>
      </c>
      <c r="E151" s="9" t="inlineStr">
        <is>
          <t>Especial</t>
        </is>
      </c>
      <c r="F151" s="9" t="inlineStr">
        <is>
          <t>Holofote de identificação</t>
        </is>
      </c>
      <c r="G151" s="9" t="n">
        <v>2</v>
      </c>
      <c r="H151" s="9" t="inlineStr">
        <is>
          <t>Holofote de identificação (recarga 2 Ciclos): um alvo fica Marcado por 2 turnos. Enquanto a marca durar, todo inimigo da cena some o +1 dela contra esse alvo — é a única marca do bestiário que não é exclusiva de quem aplicou, e é por isso que ela é uma máquina de vigilância e não um soldado.</t>
        </is>
      </c>
      <c r="I151" s="9" t="inlineStr">
        <is>
          <t>Holofote de identificação (recarga 2 Ciclos): um alvo fica Marcado por 2 turnos. Enquanto a marca durar, todo inimigo da cena some o +1 dela contra esse alvo — é a única marca do bestiário que não é exclusiva de quem aplicou, e é por isso que ela é uma máquina de vigilância e não um soldado.</t>
        </is>
      </c>
      <c r="J151" s="9" t="inlineStr"/>
      <c r="K151" s="9" t="inlineStr"/>
      <c r="L151" s="9" t="inlineStr"/>
      <c r="M151" s="9" t="inlineStr"/>
      <c r="N151" s="9" t="inlineStr"/>
      <c r="O151" s="9" t="inlineStr"/>
      <c r="P151" s="9" t="inlineStr"/>
      <c r="Q151" s="9" t="inlineStr"/>
      <c r="R151" s="9" t="inlineStr"/>
      <c r="S151" s="9" t="inlineStr"/>
      <c r="T151" s="9" t="inlineStr"/>
      <c r="U151" s="9" t="inlineStr"/>
    </row>
    <row r="152" ht="37" customHeight="1">
      <c r="A152" s="32" t="inlineStr">
        <is>
          <t>Capataz Oco|1</t>
        </is>
      </c>
      <c r="B152" s="4" t="inlineStr">
        <is>
          <t>Capataz Oco</t>
        </is>
      </c>
      <c r="C152" s="4" t="n">
        <v>0</v>
      </c>
      <c r="D152" s="4" t="n">
        <v>1</v>
      </c>
      <c r="E152" s="4" t="inlineStr">
        <is>
          <t>Ataque</t>
        </is>
      </c>
      <c r="F152" s="4" t="inlineStr">
        <is>
          <t>Marreta soldada</t>
        </is>
      </c>
      <c r="G152" s="4" t="inlineStr"/>
      <c r="H152" s="4" t="inlineStr">
        <is>
          <t>Marreta soldada (Pessoal, Físico): 2d6 · média 7</t>
        </is>
      </c>
      <c r="I152" s="4" t="inlineStr">
        <is>
          <t xml:space="preserve">Marreta soldada (Pessoal, Físico): </t>
        </is>
      </c>
      <c r="J152" s="4" t="inlineStr">
        <is>
          <t>DANO.e</t>
        </is>
      </c>
      <c r="K152" s="4" t="inlineStr"/>
      <c r="L152" s="4" t="inlineStr">
        <is>
          <t xml:space="preserve"> · média </t>
        </is>
      </c>
      <c r="M152" s="4" t="inlineStr">
        <is>
          <t>DANO.m</t>
        </is>
      </c>
      <c r="N152" s="4" t="inlineStr"/>
      <c r="O152" s="4" t="inlineStr"/>
      <c r="P152" s="4" t="inlineStr"/>
      <c r="Q152" s="4" t="inlineStr"/>
      <c r="R152" s="4" t="inlineStr"/>
      <c r="S152" s="4" t="inlineStr"/>
      <c r="T152" s="4" t="inlineStr"/>
      <c r="U152" s="4" t="inlineStr"/>
    </row>
    <row r="153" ht="82" customHeight="1">
      <c r="A153" s="33" t="inlineStr">
        <is>
          <t>Capataz Oco|2</t>
        </is>
      </c>
      <c r="B153" s="9" t="inlineStr">
        <is>
          <t>Capataz Oco</t>
        </is>
      </c>
      <c r="C153" s="9" t="n">
        <v>0</v>
      </c>
      <c r="D153" s="9" t="n">
        <v>2</v>
      </c>
      <c r="E153" s="9" t="inlineStr">
        <is>
          <t>Especial</t>
        </is>
      </c>
      <c r="F153" s="9" t="inlineStr">
        <is>
          <t>Chamado de turno</t>
        </is>
      </c>
      <c r="G153" s="9" t="n">
        <v>3</v>
      </c>
      <c r="H153" s="9" t="inlineStr">
        <is>
          <t>Chamado de turno (recarga 3 Ciclos): 2 Cascos Ocos entram na cena. Eles entram pela VEL nas casas restantes do Ciclo (capítulo 19).</t>
        </is>
      </c>
      <c r="I153" s="9" t="inlineStr">
        <is>
          <t>Chamado de turno (recarga 3 Ciclos): 2 Cascos Ocos entram na cena. Eles entram pela VEL nas casas restantes do Ciclo (capítulo 19).</t>
        </is>
      </c>
      <c r="J153" s="9" t="inlineStr"/>
      <c r="K153" s="9" t="inlineStr"/>
      <c r="L153" s="9" t="inlineStr"/>
      <c r="M153" s="9" t="inlineStr"/>
      <c r="N153" s="9" t="inlineStr"/>
      <c r="O153" s="9" t="inlineStr"/>
      <c r="P153" s="9" t="inlineStr"/>
      <c r="Q153" s="9" t="inlineStr"/>
      <c r="R153" s="9" t="inlineStr"/>
      <c r="S153" s="9" t="inlineStr"/>
      <c r="T153" s="9" t="inlineStr"/>
      <c r="U153" s="9" t="inlineStr"/>
    </row>
    <row r="154" ht="105" customHeight="1">
      <c r="A154" s="32" t="inlineStr">
        <is>
          <t>Capataz Oco|3</t>
        </is>
      </c>
      <c r="B154" s="4" t="inlineStr">
        <is>
          <t>Capataz Oco</t>
        </is>
      </c>
      <c r="C154" s="4" t="n">
        <v>0</v>
      </c>
      <c r="D154" s="4" t="n">
        <v>3</v>
      </c>
      <c r="E154" s="4" t="inlineStr">
        <is>
          <t>Especial</t>
        </is>
      </c>
      <c r="F154" s="4" t="inlineStr">
        <is>
          <t>Esmagar</t>
        </is>
      </c>
      <c r="G154" s="4" t="n">
        <v>2</v>
      </c>
      <c r="H154" s="4" t="inlineStr">
        <is>
          <t>Esmagar (recarga 2 Ciclos): um alvo a Distância Pessoal recebe 3d6 · 10 de dano Físico e faz Teste de Potência Física contra DT 13; se falhar, recebe Lentidão por 1 turno.</t>
        </is>
      </c>
      <c r="I154" s="4" t="inlineStr">
        <is>
          <t xml:space="preserve">Esmagar (recarga 2 Ciclos): um alvo a Distância Pessoal recebe </t>
        </is>
      </c>
      <c r="J154" s="4" t="inlineStr">
        <is>
          <t>DANO15.e</t>
        </is>
      </c>
      <c r="K154" s="4" t="inlineStr"/>
      <c r="L154" s="4" t="inlineStr">
        <is>
          <t xml:space="preserve"> · </t>
        </is>
      </c>
      <c r="M154" s="4" t="inlineStr">
        <is>
          <t>DANO15.m</t>
        </is>
      </c>
      <c r="N154" s="4" t="inlineStr"/>
      <c r="O154" s="4" t="inlineStr">
        <is>
          <t xml:space="preserve"> de dano Físico e faz Teste de Potência Física contra DT </t>
        </is>
      </c>
      <c r="P154" s="4" t="inlineStr">
        <is>
          <t>DT</t>
        </is>
      </c>
      <c r="Q154" s="4" t="inlineStr"/>
      <c r="R154" s="4" t="inlineStr">
        <is>
          <t>; se falhar, recebe Lentidão por 1 turno.</t>
        </is>
      </c>
      <c r="S154" s="4" t="inlineStr"/>
      <c r="T154" s="4" t="inlineStr"/>
      <c r="U154" s="4" t="inlineStr"/>
    </row>
    <row r="155" ht="37" customHeight="1">
      <c r="A155" s="33" t="inlineStr">
        <is>
          <t>Sargento de Trincheira|1</t>
        </is>
      </c>
      <c r="B155" s="9" t="inlineStr">
        <is>
          <t>Sargento de Trincheira</t>
        </is>
      </c>
      <c r="C155" s="9" t="n">
        <v>0</v>
      </c>
      <c r="D155" s="9" t="n">
        <v>1</v>
      </c>
      <c r="E155" s="9" t="inlineStr">
        <is>
          <t>Ataque</t>
        </is>
      </c>
      <c r="F155" s="9" t="inlineStr">
        <is>
          <t>Fuzil de assalto</t>
        </is>
      </c>
      <c r="G155" s="9" t="inlineStr"/>
      <c r="H155" s="9" t="inlineStr">
        <is>
          <t>Fuzil de assalto (Longa, Físico): 2d6 · média 7</t>
        </is>
      </c>
      <c r="I155" s="9" t="inlineStr">
        <is>
          <t xml:space="preserve">Fuzil de assalto (Longa, Físico): </t>
        </is>
      </c>
      <c r="J155" s="9" t="inlineStr">
        <is>
          <t>DANO.e</t>
        </is>
      </c>
      <c r="K155" s="9" t="inlineStr"/>
      <c r="L155" s="9" t="inlineStr">
        <is>
          <t xml:space="preserve"> · média </t>
        </is>
      </c>
      <c r="M155" s="9" t="inlineStr">
        <is>
          <t>DANO.m</t>
        </is>
      </c>
      <c r="N155" s="9" t="inlineStr"/>
      <c r="O155" s="9" t="inlineStr"/>
      <c r="P155" s="9" t="inlineStr"/>
      <c r="Q155" s="9" t="inlineStr"/>
      <c r="R155" s="9" t="inlineStr"/>
      <c r="S155" s="9" t="inlineStr"/>
      <c r="T155" s="9" t="inlineStr"/>
      <c r="U155" s="9" t="inlineStr"/>
    </row>
    <row r="156" ht="26" customHeight="1">
      <c r="A156" s="32" t="inlineStr">
        <is>
          <t>Sargento de Trincheira|2</t>
        </is>
      </c>
      <c r="B156" s="4" t="inlineStr">
        <is>
          <t>Sargento de Trincheira</t>
        </is>
      </c>
      <c r="C156" s="4" t="n">
        <v>0</v>
      </c>
      <c r="D156" s="4" t="n">
        <v>2</v>
      </c>
      <c r="E156" s="4" t="inlineStr">
        <is>
          <t>Ataque</t>
        </is>
      </c>
      <c r="F156" s="4" t="inlineStr">
        <is>
          <t>Baioneta</t>
        </is>
      </c>
      <c r="G156" s="4" t="inlineStr"/>
      <c r="H156" s="4" t="inlineStr">
        <is>
          <t>Baioneta (Pessoal, Físico): 2d6 · média 7</t>
        </is>
      </c>
      <c r="I156" s="4" t="inlineStr">
        <is>
          <t xml:space="preserve">Baioneta (Pessoal, Físico): </t>
        </is>
      </c>
      <c r="J156" s="4" t="inlineStr">
        <is>
          <t>DANO.e</t>
        </is>
      </c>
      <c r="K156" s="4" t="inlineStr"/>
      <c r="L156" s="4" t="inlineStr">
        <is>
          <t xml:space="preserve"> · média </t>
        </is>
      </c>
      <c r="M156" s="4" t="inlineStr">
        <is>
          <t>DANO.m</t>
        </is>
      </c>
      <c r="N156" s="4" t="inlineStr"/>
      <c r="O156" s="4" t="inlineStr"/>
      <c r="P156" s="4" t="inlineStr"/>
      <c r="Q156" s="4" t="inlineStr"/>
      <c r="R156" s="4" t="inlineStr"/>
      <c r="S156" s="4" t="inlineStr"/>
      <c r="T156" s="4" t="inlineStr"/>
      <c r="U156" s="4" t="inlineStr"/>
    </row>
    <row r="157" ht="127" customHeight="1">
      <c r="A157" s="33" t="inlineStr">
        <is>
          <t>Sargento de Trincheira|3</t>
        </is>
      </c>
      <c r="B157" s="9" t="inlineStr">
        <is>
          <t>Sargento de Trincheira</t>
        </is>
      </c>
      <c r="C157" s="9" t="n">
        <v>0</v>
      </c>
      <c r="D157" s="9" t="n">
        <v>3</v>
      </c>
      <c r="E157" s="9" t="inlineStr">
        <is>
          <t>Especial</t>
        </is>
      </c>
      <c r="F157" s="9" t="inlineStr">
        <is>
          <t>Marcar alvo prioritário</t>
        </is>
      </c>
      <c r="G157" s="9" t="n">
        <v>2</v>
      </c>
      <c r="H157" s="9" t="inlineStr">
        <is>
          <t>Marcar alvo prioritário (recarga 2 Ciclos): um alvo fica Marcado por 2 turnos para todos os Peões da Antimatéria da cena, e cada Peão que atacar o alvo marcado causa 1d6 · 3 normalmente, com o +1 da marca no Teste de Ataque.</t>
        </is>
      </c>
      <c r="I157" s="9" t="inlineStr">
        <is>
          <t xml:space="preserve">Marcar alvo prioritário (recarga 2 Ciclos): um alvo fica Marcado por 2 turnos para todos os Peões da Antimatéria da cena, e cada Peão que atacar o alvo marcado causa </t>
        </is>
      </c>
      <c r="J157" s="9" t="inlineStr">
        <is>
          <t>COMUM.e</t>
        </is>
      </c>
      <c r="K157" s="9" t="inlineStr"/>
      <c r="L157" s="9" t="inlineStr">
        <is>
          <t xml:space="preserve"> · </t>
        </is>
      </c>
      <c r="M157" s="9" t="inlineStr">
        <is>
          <t>COMUM.m</t>
        </is>
      </c>
      <c r="N157" s="9" t="inlineStr"/>
      <c r="O157" s="9" t="inlineStr">
        <is>
          <t xml:space="preserve"> normalmente, com o +1 da marca no Teste de Ataque.</t>
        </is>
      </c>
      <c r="P157" s="9" t="inlineStr"/>
      <c r="Q157" s="9" t="inlineStr"/>
      <c r="R157" s="9" t="inlineStr"/>
      <c r="S157" s="9" t="inlineStr"/>
      <c r="T157" s="9" t="inlineStr"/>
      <c r="U157" s="9" t="inlineStr"/>
    </row>
    <row r="158" ht="150" customHeight="1">
      <c r="A158" s="32" t="inlineStr">
        <is>
          <t>Sargento de Trincheira|4</t>
        </is>
      </c>
      <c r="B158" s="4" t="inlineStr">
        <is>
          <t>Sargento de Trincheira</t>
        </is>
      </c>
      <c r="C158" s="4" t="n">
        <v>0</v>
      </c>
      <c r="D158" s="4" t="n">
        <v>4</v>
      </c>
      <c r="E158" s="4" t="inlineStr">
        <is>
          <t>Especial</t>
        </is>
      </c>
      <c r="F158" s="4" t="inlineStr">
        <is>
          <t>Granada de fragmentação</t>
        </is>
      </c>
      <c r="G158" s="4" t="n">
        <v>3</v>
      </c>
      <c r="H158" s="4" t="inlineStr">
        <is>
          <t>Granada de fragmentação (recarga 3 Ciclos): até 3 alvos a até uma Distância um do outro fazem Teste de Reflexos contra DT 13. Quem falha recebe 2d6 · 7 de dano Físico e Sangramento por 2 turnos; quem passa recebe metade do dano e nenhum Sangramento.</t>
        </is>
      </c>
      <c r="I158" s="4" t="inlineStr">
        <is>
          <t xml:space="preserve">Granada de fragmentação (recarga 3 Ciclos): até 3 alvos a até uma Distância um do outro fazem Teste de Reflexos contra DT </t>
        </is>
      </c>
      <c r="J158" s="4" t="inlineStr">
        <is>
          <t>DT</t>
        </is>
      </c>
      <c r="K158" s="4" t="inlineStr"/>
      <c r="L158" s="4" t="inlineStr">
        <is>
          <t xml:space="preserve">. Quem falha recebe </t>
        </is>
      </c>
      <c r="M158" s="4" t="inlineStr">
        <is>
          <t>DANO.e</t>
        </is>
      </c>
      <c r="N158" s="4" t="inlineStr"/>
      <c r="O158" s="4" t="inlineStr">
        <is>
          <t xml:space="preserve"> · </t>
        </is>
      </c>
      <c r="P158" s="4" t="inlineStr">
        <is>
          <t>DANO.m</t>
        </is>
      </c>
      <c r="Q158" s="4" t="inlineStr"/>
      <c r="R158" s="4" t="inlineStr">
        <is>
          <t xml:space="preserve"> de dano Físico e Sangramento por 2 turnos; quem passa recebe metade do dano e nenhum Sangramento.</t>
        </is>
      </c>
      <c r="S158" s="4" t="inlineStr"/>
      <c r="T158" s="4" t="inlineStr"/>
      <c r="U158" s="4" t="inlineStr"/>
    </row>
    <row r="159" ht="26" customHeight="1">
      <c r="A159" s="33" t="inlineStr">
        <is>
          <t>O Afogado do Poço Sete|1</t>
        </is>
      </c>
      <c r="B159" s="9" t="inlineStr">
        <is>
          <t>O Afogado do Poço Sete</t>
        </is>
      </c>
      <c r="C159" s="9" t="n">
        <v>1</v>
      </c>
      <c r="D159" s="9" t="n">
        <v>1</v>
      </c>
      <c r="E159" s="9" t="inlineStr">
        <is>
          <t>Ataque</t>
        </is>
      </c>
      <c r="F159" s="9" t="inlineStr">
        <is>
          <t>Pá de dragline</t>
        </is>
      </c>
      <c r="G159" s="9" t="inlineStr"/>
      <c r="H159" s="9" t="inlineStr">
        <is>
          <t>Pá de dragline (Curta, Físico): 3d6 · média 10</t>
        </is>
      </c>
      <c r="I159" s="9" t="inlineStr">
        <is>
          <t xml:space="preserve">Pá de dragline (Curta, Físico): </t>
        </is>
      </c>
      <c r="J159" s="9" t="inlineStr">
        <is>
          <t>DANO.e</t>
        </is>
      </c>
      <c r="K159" s="9" t="inlineStr"/>
      <c r="L159" s="9" t="inlineStr">
        <is>
          <t xml:space="preserve"> · média </t>
        </is>
      </c>
      <c r="M159" s="9" t="inlineStr">
        <is>
          <t>DANO.m</t>
        </is>
      </c>
      <c r="N159" s="9" t="inlineStr"/>
      <c r="O159" s="9" t="inlineStr"/>
      <c r="P159" s="9" t="inlineStr"/>
      <c r="Q159" s="9" t="inlineStr"/>
      <c r="R159" s="9" t="inlineStr"/>
      <c r="S159" s="9" t="inlineStr"/>
      <c r="T159" s="9" t="inlineStr"/>
      <c r="U159" s="9" t="inlineStr"/>
    </row>
    <row r="160" ht="37" customHeight="1">
      <c r="A160" s="32" t="inlineStr">
        <is>
          <t>O Afogado do Poço Sete|2</t>
        </is>
      </c>
      <c r="B160" s="4" t="inlineStr">
        <is>
          <t>O Afogado do Poço Sete</t>
        </is>
      </c>
      <c r="C160" s="4" t="n">
        <v>1</v>
      </c>
      <c r="D160" s="4" t="n">
        <v>2</v>
      </c>
      <c r="E160" s="4" t="inlineStr">
        <is>
          <t>Ataque</t>
        </is>
      </c>
      <c r="F160" s="4" t="inlineStr">
        <is>
          <t>Jato de lama quente</t>
        </is>
      </c>
      <c r="G160" s="4" t="inlineStr"/>
      <c r="H160" s="4" t="inlineStr">
        <is>
          <t>Jato de lama quente (Média, Fogo): 3d6 · média 10</t>
        </is>
      </c>
      <c r="I160" s="4" t="inlineStr">
        <is>
          <t xml:space="preserve">Jato de lama quente (Média, Fogo): </t>
        </is>
      </c>
      <c r="J160" s="4" t="inlineStr">
        <is>
          <t>DANO.e</t>
        </is>
      </c>
      <c r="K160" s="4" t="inlineStr"/>
      <c r="L160" s="4" t="inlineStr">
        <is>
          <t xml:space="preserve"> · média </t>
        </is>
      </c>
      <c r="M160" s="4" t="inlineStr">
        <is>
          <t>DANO.m</t>
        </is>
      </c>
      <c r="N160" s="4" t="inlineStr"/>
      <c r="O160" s="4" t="inlineStr"/>
      <c r="P160" s="4" t="inlineStr"/>
      <c r="Q160" s="4" t="inlineStr"/>
      <c r="R160" s="4" t="inlineStr"/>
      <c r="S160" s="4" t="inlineStr"/>
      <c r="T160" s="4" t="inlineStr"/>
      <c r="U160" s="4" t="inlineStr"/>
    </row>
    <row r="161" ht="150" customHeight="1">
      <c r="A161" s="33" t="inlineStr">
        <is>
          <t>O Afogado do Poço Sete|3</t>
        </is>
      </c>
      <c r="B161" s="9" t="inlineStr">
        <is>
          <t>O Afogado do Poço Sete</t>
        </is>
      </c>
      <c r="C161" s="9" t="n">
        <v>1</v>
      </c>
      <c r="D161" s="9" t="n">
        <v>3</v>
      </c>
      <c r="E161" s="9" t="inlineStr">
        <is>
          <t>Especial</t>
        </is>
      </c>
      <c r="F161" s="9" t="inlineStr">
        <is>
          <t>Engolir</t>
        </is>
      </c>
      <c r="G161" s="9" t="n">
        <v>3</v>
      </c>
      <c r="H161" s="9" t="inlineStr">
        <is>
          <t>Engolir (recarga 3 Ciclos; ocupa uma das 2 ações do turno): um alvo a Distância Pessoal faz Teste de Potência Física contra DT 14. Se falhar, recebe 3d8 + 2 · 15 de dano Físico e Lentidão por 2 turnos. Se passar, recebe metade do dano e nenhuma Lentidão.</t>
        </is>
      </c>
      <c r="I161" s="9" t="inlineStr">
        <is>
          <t xml:space="preserve">Engolir (recarga 3 Ciclos; ocupa uma das 2 ações do turno): um alvo a Distância Pessoal faz Teste de Potência Física contra DT </t>
        </is>
      </c>
      <c r="J161" s="9" t="inlineStr">
        <is>
          <t>DT</t>
        </is>
      </c>
      <c r="K161" s="9" t="inlineStr"/>
      <c r="L161" s="9" t="inlineStr">
        <is>
          <t xml:space="preserve">. Se falhar, recebe </t>
        </is>
      </c>
      <c r="M161" s="9" t="inlineStr">
        <is>
          <t>DANO15.e</t>
        </is>
      </c>
      <c r="N161" s="9" t="inlineStr"/>
      <c r="O161" s="9" t="inlineStr">
        <is>
          <t xml:space="preserve"> · </t>
        </is>
      </c>
      <c r="P161" s="9" t="inlineStr">
        <is>
          <t>DANO15.m</t>
        </is>
      </c>
      <c r="Q161" s="9" t="inlineStr"/>
      <c r="R161" s="9" t="inlineStr">
        <is>
          <t xml:space="preserve"> de dano Físico e Lentidão por 2 turnos. Se passar, recebe metade do dano e nenhuma Lentidão.</t>
        </is>
      </c>
      <c r="S161" s="9" t="inlineStr"/>
      <c r="T161" s="9" t="inlineStr"/>
      <c r="U161" s="9" t="inlineStr"/>
    </row>
    <row r="162" ht="26" customHeight="1">
      <c r="A162" s="32" t="inlineStr">
        <is>
          <t>O Afogado do Poço Sete|4</t>
        </is>
      </c>
      <c r="B162" s="4" t="inlineStr">
        <is>
          <t>O Afogado do Poço Sete</t>
        </is>
      </c>
      <c r="C162" s="4" t="n">
        <v>2</v>
      </c>
      <c r="D162" s="4" t="n">
        <v>4</v>
      </c>
      <c r="E162" s="4" t="inlineStr">
        <is>
          <t>Ataque</t>
        </is>
      </c>
      <c r="F162" s="4" t="inlineStr">
        <is>
          <t>Pá de dragline</t>
        </is>
      </c>
      <c r="G162" s="4" t="inlineStr"/>
      <c r="H162" s="4" t="inlineStr">
        <is>
          <t>Pá de dragline (Curta, Físico): 3d6 · média 10</t>
        </is>
      </c>
      <c r="I162" s="4" t="inlineStr">
        <is>
          <t xml:space="preserve">Pá de dragline (Curta, Físico): </t>
        </is>
      </c>
      <c r="J162" s="4" t="inlineStr">
        <is>
          <t>DANO.e</t>
        </is>
      </c>
      <c r="K162" s="4" t="inlineStr"/>
      <c r="L162" s="4" t="inlineStr">
        <is>
          <t xml:space="preserve"> · média </t>
        </is>
      </c>
      <c r="M162" s="4" t="inlineStr">
        <is>
          <t>DANO.m</t>
        </is>
      </c>
      <c r="N162" s="4" t="inlineStr"/>
      <c r="O162" s="4" t="inlineStr"/>
      <c r="P162" s="4" t="inlineStr"/>
      <c r="Q162" s="4" t="inlineStr"/>
      <c r="R162" s="4" t="inlineStr"/>
      <c r="S162" s="4" t="inlineStr"/>
      <c r="T162" s="4" t="inlineStr"/>
      <c r="U162" s="4" t="inlineStr"/>
    </row>
    <row r="163" ht="138" customHeight="1">
      <c r="A163" s="33" t="inlineStr">
        <is>
          <t>O Afogado do Poço Sete|5</t>
        </is>
      </c>
      <c r="B163" s="9" t="inlineStr">
        <is>
          <t>O Afogado do Poço Sete</t>
        </is>
      </c>
      <c r="C163" s="9" t="n">
        <v>2</v>
      </c>
      <c r="D163" s="9" t="n">
        <v>5</v>
      </c>
      <c r="E163" s="9" t="inlineStr">
        <is>
          <t>Especial</t>
        </is>
      </c>
      <c r="F163" s="9" t="inlineStr">
        <is>
          <t>Coro</t>
        </is>
      </c>
      <c r="G163" s="9" t="n">
        <v>0</v>
      </c>
      <c r="H163" s="9" t="inlineStr">
        <is>
          <t>Coro (Longa, Imaginário, ação especial, sem recarga): até 3 alvos a até uma Distância um do outro fazem Teste de Resistência Mental contra DT 14. Quem falha recebe 3d6 · 10 de dano Imaginário; quem passa recebe metade e nada mais.</t>
        </is>
      </c>
      <c r="I163" s="9" t="inlineStr">
        <is>
          <t xml:space="preserve">Coro (Longa, Imaginário, ação especial, sem recarga): até 3 alvos a até uma Distância um do outro fazem Teste de Resistência Mental contra DT </t>
        </is>
      </c>
      <c r="J163" s="9" t="inlineStr">
        <is>
          <t>DT</t>
        </is>
      </c>
      <c r="K163" s="9" t="inlineStr"/>
      <c r="L163" s="9" t="inlineStr">
        <is>
          <t xml:space="preserve">. Quem falha recebe </t>
        </is>
      </c>
      <c r="M163" s="9" t="inlineStr">
        <is>
          <t>DANO.e</t>
        </is>
      </c>
      <c r="N163" s="9" t="inlineStr"/>
      <c r="O163" s="9" t="inlineStr">
        <is>
          <t xml:space="preserve"> · </t>
        </is>
      </c>
      <c r="P163" s="9" t="inlineStr">
        <is>
          <t>DANO.m</t>
        </is>
      </c>
      <c r="Q163" s="9" t="inlineStr"/>
      <c r="R163" s="9" t="inlineStr">
        <is>
          <t xml:space="preserve"> de dano Imaginário; quem passa recebe metade e nada mais.</t>
        </is>
      </c>
      <c r="S163" s="9" t="inlineStr"/>
      <c r="T163" s="9" t="inlineStr"/>
      <c r="U163" s="9" t="inlineStr"/>
    </row>
    <row r="164" ht="37" customHeight="1">
      <c r="A164" s="32" t="inlineStr">
        <is>
          <t>Fuzileiro da Legião|1</t>
        </is>
      </c>
      <c r="B164" s="4" t="inlineStr">
        <is>
          <t>Fuzileiro da Legião</t>
        </is>
      </c>
      <c r="C164" s="4" t="n">
        <v>0</v>
      </c>
      <c r="D164" s="4" t="n">
        <v>1</v>
      </c>
      <c r="E164" s="4" t="inlineStr">
        <is>
          <t>Ataque</t>
        </is>
      </c>
      <c r="F164" s="4" t="inlineStr">
        <is>
          <t>Carabina de pulso</t>
        </is>
      </c>
      <c r="G164" s="4" t="inlineStr"/>
      <c r="H164" s="4" t="inlineStr">
        <is>
          <t>Carabina de pulso (Longa, Físico): 2d6 · média 7</t>
        </is>
      </c>
      <c r="I164" s="4" t="inlineStr">
        <is>
          <t xml:space="preserve">Carabina de pulso (Longa, Físico): </t>
        </is>
      </c>
      <c r="J164" s="4" t="inlineStr">
        <is>
          <t>DANO.e</t>
        </is>
      </c>
      <c r="K164" s="4" t="inlineStr"/>
      <c r="L164" s="4" t="inlineStr">
        <is>
          <t xml:space="preserve"> · média </t>
        </is>
      </c>
      <c r="M164" s="4" t="inlineStr">
        <is>
          <t>DANO.m</t>
        </is>
      </c>
      <c r="N164" s="4" t="inlineStr"/>
      <c r="O164" s="4" t="inlineStr"/>
      <c r="P164" s="4" t="inlineStr"/>
      <c r="Q164" s="4" t="inlineStr"/>
      <c r="R164" s="4" t="inlineStr"/>
      <c r="S164" s="4" t="inlineStr"/>
      <c r="T164" s="4" t="inlineStr"/>
      <c r="U164" s="4" t="inlineStr"/>
    </row>
    <row r="165" ht="37" customHeight="1">
      <c r="A165" s="33" t="inlineStr">
        <is>
          <t>Fuzileiro da Legião|2</t>
        </is>
      </c>
      <c r="B165" s="9" t="inlineStr">
        <is>
          <t>Fuzileiro da Legião</t>
        </is>
      </c>
      <c r="C165" s="9" t="n">
        <v>0</v>
      </c>
      <c r="D165" s="9" t="n">
        <v>2</v>
      </c>
      <c r="E165" s="9" t="inlineStr">
        <is>
          <t>Ataque</t>
        </is>
      </c>
      <c r="F165" s="9" t="inlineStr">
        <is>
          <t>Faca de trincheira</t>
        </is>
      </c>
      <c r="G165" s="9" t="inlineStr"/>
      <c r="H165" s="9" t="inlineStr">
        <is>
          <t>Faca de trincheira (Pessoal, Físico): 2d6 · média 7</t>
        </is>
      </c>
      <c r="I165" s="9" t="inlineStr">
        <is>
          <t xml:space="preserve">Faca de trincheira (Pessoal, Físico): </t>
        </is>
      </c>
      <c r="J165" s="9" t="inlineStr">
        <is>
          <t>DANO.e</t>
        </is>
      </c>
      <c r="K165" s="9" t="inlineStr"/>
      <c r="L165" s="9" t="inlineStr">
        <is>
          <t xml:space="preserve"> · média </t>
        </is>
      </c>
      <c r="M165" s="9" t="inlineStr">
        <is>
          <t>DANO.m</t>
        </is>
      </c>
      <c r="N165" s="9" t="inlineStr"/>
      <c r="O165" s="9" t="inlineStr"/>
      <c r="P165" s="9" t="inlineStr"/>
      <c r="Q165" s="9" t="inlineStr"/>
      <c r="R165" s="9" t="inlineStr"/>
      <c r="S165" s="9" t="inlineStr"/>
      <c r="T165" s="9" t="inlineStr"/>
      <c r="U165" s="9" t="inlineStr"/>
    </row>
    <row r="166" ht="93" customHeight="1">
      <c r="A166" s="32" t="inlineStr">
        <is>
          <t>Fuzileiro da Legião|3</t>
        </is>
      </c>
      <c r="B166" s="4" t="inlineStr">
        <is>
          <t>Fuzileiro da Legião</t>
        </is>
      </c>
      <c r="C166" s="4" t="n">
        <v>0</v>
      </c>
      <c r="D166" s="4" t="n">
        <v>3</v>
      </c>
      <c r="E166" s="4" t="inlineStr">
        <is>
          <t>Especial</t>
        </is>
      </c>
      <c r="F166" s="4" t="inlineStr">
        <is>
          <t>Fogo cruzado</t>
        </is>
      </c>
      <c r="G166" s="4" t="n">
        <v>2</v>
      </c>
      <c r="H166" s="4" t="inlineStr">
        <is>
          <t>Fogo cruzado (recarga 2 Ciclos): escolha um alvo que esteja ao alcance de outro Fuzileiro da cena. Ele recebe 2d6 · 7 de dano Físico e fica Marcado por 1 turno.</t>
        </is>
      </c>
      <c r="I166" s="4" t="inlineStr">
        <is>
          <t xml:space="preserve">Fogo cruzado (recarga 2 Ciclos): escolha um alvo que esteja ao alcance de outro Fuzileiro da cena. Ele recebe </t>
        </is>
      </c>
      <c r="J166" s="4" t="inlineStr">
        <is>
          <t>DANO.e</t>
        </is>
      </c>
      <c r="K166" s="4" t="inlineStr"/>
      <c r="L166" s="4" t="inlineStr">
        <is>
          <t xml:space="preserve"> · </t>
        </is>
      </c>
      <c r="M166" s="4" t="inlineStr">
        <is>
          <t>DANO.m</t>
        </is>
      </c>
      <c r="N166" s="4" t="inlineStr"/>
      <c r="O166" s="4" t="inlineStr">
        <is>
          <t xml:space="preserve"> de dano Físico e fica Marcado por 1 turno.</t>
        </is>
      </c>
      <c r="P166" s="4" t="inlineStr"/>
      <c r="Q166" s="4" t="inlineStr"/>
      <c r="R166" s="4" t="inlineStr"/>
      <c r="S166" s="4" t="inlineStr"/>
      <c r="T166" s="4" t="inlineStr"/>
      <c r="U166" s="4" t="inlineStr"/>
    </row>
    <row r="167" ht="37" customHeight="1">
      <c r="A167" s="33" t="inlineStr">
        <is>
          <t>Dron de Vigilância Pacificadora|1</t>
        </is>
      </c>
      <c r="B167" s="9" t="inlineStr">
        <is>
          <t>Dron de Vigilância Pacificadora</t>
        </is>
      </c>
      <c r="C167" s="9" t="n">
        <v>0</v>
      </c>
      <c r="D167" s="9" t="n">
        <v>1</v>
      </c>
      <c r="E167" s="9" t="inlineStr">
        <is>
          <t>Ataque</t>
        </is>
      </c>
      <c r="F167" s="9" t="inlineStr">
        <is>
          <t>Agulha sedativa</t>
        </is>
      </c>
      <c r="G167" s="9" t="inlineStr"/>
      <c r="H167" s="9" t="inlineStr">
        <is>
          <t>Agulha sedativa (Média, Físico): 2d6 · média 7</t>
        </is>
      </c>
      <c r="I167" s="9" t="inlineStr">
        <is>
          <t xml:space="preserve">Agulha sedativa (Média, Físico): </t>
        </is>
      </c>
      <c r="J167" s="9" t="inlineStr">
        <is>
          <t>DANO.e</t>
        </is>
      </c>
      <c r="K167" s="9" t="inlineStr"/>
      <c r="L167" s="9" t="inlineStr">
        <is>
          <t xml:space="preserve"> · média </t>
        </is>
      </c>
      <c r="M167" s="9" t="inlineStr">
        <is>
          <t>DANO.m</t>
        </is>
      </c>
      <c r="N167" s="9" t="inlineStr"/>
      <c r="O167" s="9" t="inlineStr"/>
      <c r="P167" s="9" t="inlineStr"/>
      <c r="Q167" s="9" t="inlineStr"/>
      <c r="R167" s="9" t="inlineStr"/>
      <c r="S167" s="9" t="inlineStr"/>
      <c r="T167" s="9" t="inlineStr"/>
      <c r="U167" s="9" t="inlineStr"/>
    </row>
    <row r="168" ht="116" customHeight="1">
      <c r="A168" s="32" t="inlineStr">
        <is>
          <t>Dron de Vigilância Pacificadora|2</t>
        </is>
      </c>
      <c r="B168" s="4" t="inlineStr">
        <is>
          <t>Dron de Vigilância Pacificadora</t>
        </is>
      </c>
      <c r="C168" s="4" t="n">
        <v>0</v>
      </c>
      <c r="D168" s="4" t="n">
        <v>2</v>
      </c>
      <c r="E168" s="4" t="inlineStr">
        <is>
          <t>Especial</t>
        </is>
      </c>
      <c r="F168" s="4" t="inlineStr">
        <is>
          <t>Notificação de infração</t>
        </is>
      </c>
      <c r="G168" s="4" t="n">
        <v>2</v>
      </c>
      <c r="H168" s="4" t="inlineStr">
        <is>
          <t>Notificação de infração (recarga 2 Ciclos): um alvo faz Teste de Resistência Mental contra DT 14. Se falhar, fica Silenciado por 1 turno — a papelada chega na cabeça dele junto com o anúncio.</t>
        </is>
      </c>
      <c r="I168" s="4" t="inlineStr">
        <is>
          <t xml:space="preserve">Notificação de infração (recarga 2 Ciclos): um alvo faz Teste de Resistência Mental contra DT </t>
        </is>
      </c>
      <c r="J168" s="4" t="inlineStr">
        <is>
          <t>DT</t>
        </is>
      </c>
      <c r="K168" s="4" t="inlineStr"/>
      <c r="L168" s="4" t="inlineStr">
        <is>
          <t>. Se falhar, fica Silenciado por 1 turno — a papelada chega na cabeça dele junto com o anúncio.</t>
        </is>
      </c>
      <c r="M168" s="4" t="inlineStr"/>
      <c r="N168" s="4" t="inlineStr"/>
      <c r="O168" s="4" t="inlineStr"/>
      <c r="P168" s="4" t="inlineStr"/>
      <c r="Q168" s="4" t="inlineStr"/>
      <c r="R168" s="4" t="inlineStr"/>
      <c r="S168" s="4" t="inlineStr"/>
      <c r="T168" s="4" t="inlineStr"/>
      <c r="U168" s="4" t="inlineStr"/>
    </row>
    <row r="169" ht="60" customHeight="1">
      <c r="A169" s="33" t="inlineStr">
        <is>
          <t>Devoto do Silêncio|1</t>
        </is>
      </c>
      <c r="B169" s="9" t="inlineStr">
        <is>
          <t>Devoto do Silêncio</t>
        </is>
      </c>
      <c r="C169" s="9" t="n">
        <v>0</v>
      </c>
      <c r="D169" s="9" t="n">
        <v>1</v>
      </c>
      <c r="E169" s="9" t="inlineStr">
        <is>
          <t>Ataque</t>
        </is>
      </c>
      <c r="F169" s="9" t="inlineStr">
        <is>
          <t>Punhal de oração</t>
        </is>
      </c>
      <c r="G169" s="9" t="inlineStr"/>
      <c r="H169" s="9" t="inlineStr">
        <is>
          <t>Punhal de oração (Pessoal, Físico): 2d6 · média 7, e o alvo recebe Sangramento por 2 turnos</t>
        </is>
      </c>
      <c r="I169" s="9" t="inlineStr">
        <is>
          <t xml:space="preserve">Punhal de oração (Pessoal, Físico): </t>
        </is>
      </c>
      <c r="J169" s="9" t="inlineStr">
        <is>
          <t>DANO.e</t>
        </is>
      </c>
      <c r="K169" s="9" t="inlineStr"/>
      <c r="L169" s="9" t="inlineStr">
        <is>
          <t xml:space="preserve"> · média </t>
        </is>
      </c>
      <c r="M169" s="9" t="inlineStr">
        <is>
          <t>DANO.m</t>
        </is>
      </c>
      <c r="N169" s="9" t="inlineStr"/>
      <c r="O169" s="9" t="inlineStr">
        <is>
          <t>, e o alvo recebe Sangramento por 2 turnos</t>
        </is>
      </c>
      <c r="P169" s="9" t="inlineStr"/>
      <c r="Q169" s="9" t="inlineStr"/>
      <c r="R169" s="9" t="inlineStr"/>
      <c r="S169" s="9" t="inlineStr"/>
      <c r="T169" s="9" t="inlineStr"/>
      <c r="U169" s="9" t="inlineStr"/>
    </row>
    <row r="170" ht="116" customHeight="1">
      <c r="A170" s="32" t="inlineStr">
        <is>
          <t>Devoto do Silêncio|2</t>
        </is>
      </c>
      <c r="B170" s="4" t="inlineStr">
        <is>
          <t>Devoto do Silêncio</t>
        </is>
      </c>
      <c r="C170" s="4" t="n">
        <v>0</v>
      </c>
      <c r="D170" s="4" t="n">
        <v>2</v>
      </c>
      <c r="E170" s="4" t="inlineStr">
        <is>
          <t>Especial</t>
        </is>
      </c>
      <c r="F170" s="4" t="inlineStr">
        <is>
          <t>Litania</t>
        </is>
      </c>
      <c r="G170" s="4" t="n">
        <v>3</v>
      </c>
      <c r="H170" s="4" t="inlineStr">
        <is>
          <t>Litania (recarga 3 Ciclos): um alvo a até Distância Média faz Teste de Força de Vontade contra DT 14. Se falhar, recebe Vulnerável por 2 turnos — +1 dado de dano de qualquer fonte da Inexistência na cena.</t>
        </is>
      </c>
      <c r="I170" s="4" t="inlineStr">
        <is>
          <t xml:space="preserve">Litania (recarga 3 Ciclos): um alvo a até Distância Média faz Teste de Força de Vontade contra DT </t>
        </is>
      </c>
      <c r="J170" s="4" t="inlineStr">
        <is>
          <t>DT</t>
        </is>
      </c>
      <c r="K170" s="4" t="inlineStr"/>
      <c r="L170" s="4" t="inlineStr">
        <is>
          <t>. Se falhar, recebe Vulnerável por 2 turnos — +1 dado de dano de qualquer fonte da Inexistência na cena.</t>
        </is>
      </c>
      <c r="M170" s="4" t="inlineStr"/>
      <c r="N170" s="4" t="inlineStr"/>
      <c r="O170" s="4" t="inlineStr"/>
      <c r="P170" s="4" t="inlineStr"/>
      <c r="Q170" s="4" t="inlineStr"/>
      <c r="R170" s="4" t="inlineStr"/>
      <c r="S170" s="4" t="inlineStr"/>
      <c r="T170" s="4" t="inlineStr"/>
      <c r="U170" s="4" t="inlineStr"/>
    </row>
    <row r="171" ht="37" customHeight="1">
      <c r="A171" s="33" t="inlineStr">
        <is>
          <t>Centurião Catafracto|1</t>
        </is>
      </c>
      <c r="B171" s="9" t="inlineStr">
        <is>
          <t>Centurião Catafracto</t>
        </is>
      </c>
      <c r="C171" s="9" t="n">
        <v>0</v>
      </c>
      <c r="D171" s="9" t="n">
        <v>1</v>
      </c>
      <c r="E171" s="9" t="inlineStr">
        <is>
          <t>Ataque</t>
        </is>
      </c>
      <c r="F171" s="9" t="inlineStr">
        <is>
          <t>Maça de impacto</t>
        </is>
      </c>
      <c r="G171" s="9" t="inlineStr"/>
      <c r="H171" s="9" t="inlineStr">
        <is>
          <t>Maça de impacto (Pessoal, Físico): 3d8 · média 13</t>
        </is>
      </c>
      <c r="I171" s="9" t="inlineStr">
        <is>
          <t xml:space="preserve">Maça de impacto (Pessoal, Físico): </t>
        </is>
      </c>
      <c r="J171" s="9" t="inlineStr">
        <is>
          <t>DANO.e</t>
        </is>
      </c>
      <c r="K171" s="9" t="inlineStr"/>
      <c r="L171" s="9" t="inlineStr">
        <is>
          <t xml:space="preserve"> · média </t>
        </is>
      </c>
      <c r="M171" s="9" t="inlineStr">
        <is>
          <t>DANO.m</t>
        </is>
      </c>
      <c r="N171" s="9" t="inlineStr"/>
      <c r="O171" s="9" t="inlineStr"/>
      <c r="P171" s="9" t="inlineStr"/>
      <c r="Q171" s="9" t="inlineStr"/>
      <c r="R171" s="9" t="inlineStr"/>
      <c r="S171" s="9" t="inlineStr"/>
      <c r="T171" s="9" t="inlineStr"/>
      <c r="U171" s="9" t="inlineStr"/>
    </row>
    <row r="172" ht="60" customHeight="1">
      <c r="A172" s="32" t="inlineStr">
        <is>
          <t>Centurião Catafracto|2</t>
        </is>
      </c>
      <c r="B172" s="4" t="inlineStr">
        <is>
          <t>Centurião Catafracto</t>
        </is>
      </c>
      <c r="C172" s="4" t="n">
        <v>0</v>
      </c>
      <c r="D172" s="4" t="n">
        <v>2</v>
      </c>
      <c r="E172" s="4" t="inlineStr">
        <is>
          <t>Ataque</t>
        </is>
      </c>
      <c r="F172" s="4" t="inlineStr">
        <is>
          <t>Lança-arpéu</t>
        </is>
      </c>
      <c r="G172" s="4" t="inlineStr"/>
      <c r="H172" s="4" t="inlineStr">
        <is>
          <t>Lança-arpéu (Média, Físico): 3d8 · média 13, e o alvo é puxado 1 Distância na direção do Centurião</t>
        </is>
      </c>
      <c r="I172" s="4" t="inlineStr">
        <is>
          <t xml:space="preserve">Lança-arpéu (Média, Físico): </t>
        </is>
      </c>
      <c r="J172" s="4" t="inlineStr">
        <is>
          <t>DANO.e</t>
        </is>
      </c>
      <c r="K172" s="4" t="inlineStr"/>
      <c r="L172" s="4" t="inlineStr">
        <is>
          <t xml:space="preserve"> · média </t>
        </is>
      </c>
      <c r="M172" s="4" t="inlineStr">
        <is>
          <t>DANO.m</t>
        </is>
      </c>
      <c r="N172" s="4" t="inlineStr"/>
      <c r="O172" s="4" t="inlineStr">
        <is>
          <t>, e o alvo é puxado 1 Distância na direção do Centurião</t>
        </is>
      </c>
      <c r="P172" s="4" t="inlineStr"/>
      <c r="Q172" s="4" t="inlineStr"/>
      <c r="R172" s="4" t="inlineStr"/>
      <c r="S172" s="4" t="inlineStr"/>
      <c r="T172" s="4" t="inlineStr"/>
      <c r="U172" s="4" t="inlineStr"/>
    </row>
    <row r="173" ht="116" customHeight="1">
      <c r="A173" s="33" t="inlineStr">
        <is>
          <t>Centurião Catafracto|3</t>
        </is>
      </c>
      <c r="B173" s="9" t="inlineStr">
        <is>
          <t>Centurião Catafracto</t>
        </is>
      </c>
      <c r="C173" s="9" t="n">
        <v>0</v>
      </c>
      <c r="D173" s="9" t="n">
        <v>3</v>
      </c>
      <c r="E173" s="9" t="inlineStr">
        <is>
          <t>Especial</t>
        </is>
      </c>
      <c r="F173" s="9" t="inlineStr">
        <is>
          <t>Avanço de aríete</t>
        </is>
      </c>
      <c r="G173" s="9" t="n">
        <v>2</v>
      </c>
      <c r="H173" s="9" t="inlineStr">
        <is>
          <t>Avanço de aríete (recarga 2 Ciclos): ele se move 2 Distâncias e ataca ao chegar: 4d8 + 1 · média 19 de dano Físico, e o alvo faz Teste de Potência Física contra DT 15 ou recebe Lentidão por 1 turno.</t>
        </is>
      </c>
      <c r="I173" s="9" t="inlineStr">
        <is>
          <t xml:space="preserve">Avanço de aríete (recarga 2 Ciclos): ele se move 2 Distâncias e ataca ao chegar: </t>
        </is>
      </c>
      <c r="J173" s="9" t="inlineStr">
        <is>
          <t>DANO15.e</t>
        </is>
      </c>
      <c r="K173" s="9" t="inlineStr"/>
      <c r="L173" s="9" t="inlineStr">
        <is>
          <t xml:space="preserve"> · média </t>
        </is>
      </c>
      <c r="M173" s="9" t="inlineStr">
        <is>
          <t>DANO15.m</t>
        </is>
      </c>
      <c r="N173" s="9" t="inlineStr"/>
      <c r="O173" s="9" t="inlineStr">
        <is>
          <t xml:space="preserve"> de dano Físico, e o alvo faz Teste de Potência Física contra DT </t>
        </is>
      </c>
      <c r="P173" s="9" t="inlineStr">
        <is>
          <t>DT</t>
        </is>
      </c>
      <c r="Q173" s="9" t="inlineStr"/>
      <c r="R173" s="9" t="inlineStr">
        <is>
          <t xml:space="preserve"> ou recebe Lentidão por 1 turno.</t>
        </is>
      </c>
      <c r="S173" s="9" t="inlineStr"/>
      <c r="T173" s="9" t="inlineStr"/>
      <c r="U173" s="9" t="inlineStr"/>
    </row>
    <row r="174" ht="93" customHeight="1">
      <c r="A174" s="32" t="inlineStr">
        <is>
          <t>Centurião Catafracto|4</t>
        </is>
      </c>
      <c r="B174" s="4" t="inlineStr">
        <is>
          <t>Centurião Catafracto</t>
        </is>
      </c>
      <c r="C174" s="4" t="n">
        <v>0</v>
      </c>
      <c r="D174" s="4" t="n">
        <v>4</v>
      </c>
      <c r="E174" s="4" t="inlineStr">
        <is>
          <t>Reação</t>
        </is>
      </c>
      <c r="F174" s="4" t="inlineStr">
        <is>
          <t>Selar visor</t>
        </is>
      </c>
      <c r="G174" s="4" t="n">
        <v>3</v>
      </c>
      <c r="H174" s="4" t="inlineStr">
        <is>
          <t>Selar visor (recarga 3 Ciclos, Reação): declare depois de o grupo declarar uma Habilidade contra ele. Até o fim do próximo turno dele, a RD dele sobe para 4. Fim.</t>
        </is>
      </c>
      <c r="I174" s="4" t="inlineStr">
        <is>
          <t>Selar visor (recarga 3 Ciclos, Reação): declare depois de o grupo declarar uma Habilidade contra ele. Até o fim do próximo turno dele, a RD dele sobe para 4. Fim.</t>
        </is>
      </c>
      <c r="J174" s="4" t="inlineStr"/>
      <c r="K174" s="4" t="inlineStr"/>
      <c r="L174" s="4" t="inlineStr"/>
      <c r="M174" s="4" t="inlineStr"/>
      <c r="N174" s="4" t="inlineStr"/>
      <c r="O174" s="4" t="inlineStr"/>
      <c r="P174" s="4" t="inlineStr"/>
      <c r="Q174" s="4" t="inlineStr"/>
      <c r="R174" s="4" t="inlineStr"/>
      <c r="S174" s="4" t="inlineStr"/>
      <c r="T174" s="4" t="inlineStr"/>
      <c r="U174" s="4" t="inlineStr"/>
    </row>
    <row r="175" ht="37" customHeight="1">
      <c r="A175" s="33" t="inlineStr">
        <is>
          <t>Auditora de Risco|1</t>
        </is>
      </c>
      <c r="B175" s="9" t="inlineStr">
        <is>
          <t>Auditora de Risco</t>
        </is>
      </c>
      <c r="C175" s="9" t="n">
        <v>0</v>
      </c>
      <c r="D175" s="9" t="n">
        <v>1</v>
      </c>
      <c r="E175" s="9" t="inlineStr">
        <is>
          <t>Ataque</t>
        </is>
      </c>
      <c r="F175" s="9" t="inlineStr">
        <is>
          <t>Pistola de execução contratual</t>
        </is>
      </c>
      <c r="G175" s="9" t="inlineStr"/>
      <c r="H175" s="9" t="inlineStr">
        <is>
          <t>Pistola de execução contratual (Longa, Físico): 3d8 · média 13</t>
        </is>
      </c>
      <c r="I175" s="9" t="inlineStr">
        <is>
          <t xml:space="preserve">Pistola de execução contratual (Longa, Físico): </t>
        </is>
      </c>
      <c r="J175" s="9" t="inlineStr">
        <is>
          <t>DANO.e</t>
        </is>
      </c>
      <c r="K175" s="9" t="inlineStr"/>
      <c r="L175" s="9" t="inlineStr">
        <is>
          <t xml:space="preserve"> · média </t>
        </is>
      </c>
      <c r="M175" s="9" t="inlineStr">
        <is>
          <t>DANO.m</t>
        </is>
      </c>
      <c r="N175" s="9" t="inlineStr"/>
      <c r="O175" s="9" t="inlineStr"/>
      <c r="P175" s="9" t="inlineStr"/>
      <c r="Q175" s="9" t="inlineStr"/>
      <c r="R175" s="9" t="inlineStr"/>
      <c r="S175" s="9" t="inlineStr"/>
      <c r="T175" s="9" t="inlineStr"/>
      <c r="U175" s="9" t="inlineStr"/>
    </row>
    <row r="176" ht="37" customHeight="1">
      <c r="A176" s="32" t="inlineStr">
        <is>
          <t>Auditora de Risco|2</t>
        </is>
      </c>
      <c r="B176" s="4" t="inlineStr">
        <is>
          <t>Auditora de Risco</t>
        </is>
      </c>
      <c r="C176" s="4" t="n">
        <v>0</v>
      </c>
      <c r="D176" s="4" t="n">
        <v>2</v>
      </c>
      <c r="E176" s="4" t="inlineStr">
        <is>
          <t>Ataque</t>
        </is>
      </c>
      <c r="F176" s="4" t="inlineStr">
        <is>
          <t>Estilete de lacre</t>
        </is>
      </c>
      <c r="G176" s="4" t="inlineStr"/>
      <c r="H176" s="4" t="inlineStr">
        <is>
          <t>Estilete de lacre (Pessoal, Quântico): 3d8 · média 13</t>
        </is>
      </c>
      <c r="I176" s="4" t="inlineStr">
        <is>
          <t xml:space="preserve">Estilete de lacre (Pessoal, Quântico): </t>
        </is>
      </c>
      <c r="J176" s="4" t="inlineStr">
        <is>
          <t>DANO.e</t>
        </is>
      </c>
      <c r="K176" s="4" t="inlineStr"/>
      <c r="L176" s="4" t="inlineStr">
        <is>
          <t xml:space="preserve"> · média </t>
        </is>
      </c>
      <c r="M176" s="4" t="inlineStr">
        <is>
          <t>DANO.m</t>
        </is>
      </c>
      <c r="N176" s="4" t="inlineStr"/>
      <c r="O176" s="4" t="inlineStr"/>
      <c r="P176" s="4" t="inlineStr"/>
      <c r="Q176" s="4" t="inlineStr"/>
      <c r="R176" s="4" t="inlineStr"/>
      <c r="S176" s="4" t="inlineStr"/>
      <c r="T176" s="4" t="inlineStr"/>
      <c r="U176" s="4" t="inlineStr"/>
    </row>
    <row r="177" ht="127" customHeight="1">
      <c r="A177" s="33" t="inlineStr">
        <is>
          <t>Auditora de Risco|3</t>
        </is>
      </c>
      <c r="B177" s="9" t="inlineStr">
        <is>
          <t>Auditora de Risco</t>
        </is>
      </c>
      <c r="C177" s="9" t="n">
        <v>0</v>
      </c>
      <c r="D177" s="9" t="n">
        <v>3</v>
      </c>
      <c r="E177" s="9" t="inlineStr">
        <is>
          <t>Especial</t>
        </is>
      </c>
      <c r="F177" s="9" t="inlineStr">
        <is>
          <t>Cláusula de perda</t>
        </is>
      </c>
      <c r="G177" s="9" t="n">
        <v>2</v>
      </c>
      <c r="H177" s="9" t="inlineStr">
        <is>
          <t>Cláusula de perda (recarga 2 Ciclos): um alvo faz Teste de Força de Vontade contra DT 15. Se falhar, fica Marcado por 3 turnos e Vulnerável por 2 — e todo Dron de Vigilância da cena passa a atacá-lo preferencialmente.</t>
        </is>
      </c>
      <c r="I177" s="9" t="inlineStr">
        <is>
          <t xml:space="preserve">Cláusula de perda (recarga 2 Ciclos): um alvo faz Teste de Força de Vontade contra DT </t>
        </is>
      </c>
      <c r="J177" s="9" t="inlineStr">
        <is>
          <t>DT</t>
        </is>
      </c>
      <c r="K177" s="9" t="inlineStr"/>
      <c r="L177" s="9" t="inlineStr">
        <is>
          <t>. Se falhar, fica Marcado por 3 turnos e Vulnerável por 2 — e todo Dron de Vigilância da cena passa a atacá-lo preferencialmente.</t>
        </is>
      </c>
      <c r="M177" s="9" t="inlineStr"/>
      <c r="N177" s="9" t="inlineStr"/>
      <c r="O177" s="9" t="inlineStr"/>
      <c r="P177" s="9" t="inlineStr"/>
      <c r="Q177" s="9" t="inlineStr"/>
      <c r="R177" s="9" t="inlineStr"/>
      <c r="S177" s="9" t="inlineStr"/>
      <c r="T177" s="9" t="inlineStr"/>
      <c r="U177" s="9" t="inlineStr"/>
    </row>
    <row r="178" ht="82" customHeight="1">
      <c r="A178" s="32" t="inlineStr">
        <is>
          <t>Auditora de Risco|4</t>
        </is>
      </c>
      <c r="B178" s="4" t="inlineStr">
        <is>
          <t>Auditora de Risco</t>
        </is>
      </c>
      <c r="C178" s="4" t="n">
        <v>0</v>
      </c>
      <c r="D178" s="4" t="n">
        <v>4</v>
      </c>
      <c r="E178" s="4" t="inlineStr">
        <is>
          <t>Especial</t>
        </is>
      </c>
      <c r="F178" s="4" t="inlineStr">
        <is>
          <t>Liquidação antecipada</t>
        </is>
      </c>
      <c r="G178" s="4" t="n">
        <v>3</v>
      </c>
      <c r="H178" s="4" t="inlineStr">
        <is>
          <t>Liquidação antecipada (recarga 3 Ciclos): contra um alvo que esteja Marcado por ela, um ataque de 4d8 + 1 · média 19 de dano Físico.</t>
        </is>
      </c>
      <c r="I178" s="4" t="inlineStr">
        <is>
          <t xml:space="preserve">Liquidação antecipada (recarga 3 Ciclos): contra um alvo que esteja Marcado por ela, um ataque de </t>
        </is>
      </c>
      <c r="J178" s="4" t="inlineStr">
        <is>
          <t>DANO15.e</t>
        </is>
      </c>
      <c r="K178" s="4" t="inlineStr"/>
      <c r="L178" s="4" t="inlineStr">
        <is>
          <t xml:space="preserve"> · média </t>
        </is>
      </c>
      <c r="M178" s="4" t="inlineStr">
        <is>
          <t>DANO15.m</t>
        </is>
      </c>
      <c r="N178" s="4" t="inlineStr"/>
      <c r="O178" s="4" t="inlineStr">
        <is>
          <t xml:space="preserve"> de dano Físico.</t>
        </is>
      </c>
      <c r="P178" s="4" t="inlineStr"/>
      <c r="Q178" s="4" t="inlineStr"/>
      <c r="R178" s="4" t="inlineStr"/>
      <c r="S178" s="4" t="inlineStr"/>
      <c r="T178" s="4" t="inlineStr"/>
      <c r="U178" s="4" t="inlineStr"/>
    </row>
    <row r="179" ht="37" customHeight="1">
      <c r="A179" s="33" t="inlineStr">
        <is>
          <t>Pretor Vazio-Nove|1</t>
        </is>
      </c>
      <c r="B179" s="9" t="inlineStr">
        <is>
          <t>Pretor Vazio-Nove</t>
        </is>
      </c>
      <c r="C179" s="9" t="n">
        <v>0</v>
      </c>
      <c r="D179" s="9" t="n">
        <v>1</v>
      </c>
      <c r="E179" s="9" t="inlineStr">
        <is>
          <t>Ataque</t>
        </is>
      </c>
      <c r="F179" s="9" t="inlineStr">
        <is>
          <t>Canhão de ombro</t>
        </is>
      </c>
      <c r="G179" s="9" t="inlineStr"/>
      <c r="H179" s="9" t="inlineStr">
        <is>
          <t>Canhão de ombro (Longa, Físico): 4d8 + 2 · média 20</t>
        </is>
      </c>
      <c r="I179" s="9" t="inlineStr">
        <is>
          <t xml:space="preserve">Canhão de ombro (Longa, Físico): </t>
        </is>
      </c>
      <c r="J179" s="9" t="inlineStr">
        <is>
          <t>DANO.e</t>
        </is>
      </c>
      <c r="K179" s="9" t="inlineStr"/>
      <c r="L179" s="9" t="inlineStr">
        <is>
          <t xml:space="preserve"> · média </t>
        </is>
      </c>
      <c r="M179" s="9" t="inlineStr">
        <is>
          <t>DANO.m</t>
        </is>
      </c>
      <c r="N179" s="9" t="inlineStr"/>
      <c r="O179" s="9" t="inlineStr"/>
      <c r="P179" s="9" t="inlineStr"/>
      <c r="Q179" s="9" t="inlineStr"/>
      <c r="R179" s="9" t="inlineStr"/>
      <c r="S179" s="9" t="inlineStr"/>
      <c r="T179" s="9" t="inlineStr"/>
      <c r="U179" s="9" t="inlineStr"/>
    </row>
    <row r="180" ht="37" customHeight="1">
      <c r="A180" s="32" t="inlineStr">
        <is>
          <t>Pretor Vazio-Nove|2</t>
        </is>
      </c>
      <c r="B180" s="4" t="inlineStr">
        <is>
          <t>Pretor Vazio-Nove</t>
        </is>
      </c>
      <c r="C180" s="4" t="n">
        <v>0</v>
      </c>
      <c r="D180" s="4" t="n">
        <v>2</v>
      </c>
      <c r="E180" s="4" t="inlineStr">
        <is>
          <t>Ataque</t>
        </is>
      </c>
      <c r="F180" s="4" t="inlineStr">
        <is>
          <t>Lâmina de comando</t>
        </is>
      </c>
      <c r="G180" s="4" t="inlineStr"/>
      <c r="H180" s="4" t="inlineStr">
        <is>
          <t>Lâmina de comando (Pessoal, Físico): 4d8 + 2 · média 20</t>
        </is>
      </c>
      <c r="I180" s="4" t="inlineStr">
        <is>
          <t xml:space="preserve">Lâmina de comando (Pessoal, Físico): </t>
        </is>
      </c>
      <c r="J180" s="4" t="inlineStr">
        <is>
          <t>DANO.e</t>
        </is>
      </c>
      <c r="K180" s="4" t="inlineStr"/>
      <c r="L180" s="4" t="inlineStr">
        <is>
          <t xml:space="preserve"> · média </t>
        </is>
      </c>
      <c r="M180" s="4" t="inlineStr">
        <is>
          <t>DANO.m</t>
        </is>
      </c>
      <c r="N180" s="4" t="inlineStr"/>
      <c r="O180" s="4" t="inlineStr"/>
      <c r="P180" s="4" t="inlineStr"/>
      <c r="Q180" s="4" t="inlineStr"/>
      <c r="R180" s="4" t="inlineStr"/>
      <c r="S180" s="4" t="inlineStr"/>
      <c r="T180" s="4" t="inlineStr"/>
      <c r="U180" s="4" t="inlineStr"/>
    </row>
    <row r="181" ht="150" customHeight="1">
      <c r="A181" s="33" t="inlineStr">
        <is>
          <t>Pretor Vazio-Nove|3</t>
        </is>
      </c>
      <c r="B181" s="9" t="inlineStr">
        <is>
          <t>Pretor Vazio-Nove</t>
        </is>
      </c>
      <c r="C181" s="9" t="n">
        <v>0</v>
      </c>
      <c r="D181" s="9" t="n">
        <v>3</v>
      </c>
      <c r="E181" s="9" t="inlineStr">
        <is>
          <t>Especial</t>
        </is>
      </c>
      <c r="F181" s="9" t="inlineStr">
        <is>
          <t>Salva de antimatéria</t>
        </is>
      </c>
      <c r="G181" s="9" t="n">
        <v>2</v>
      </c>
      <c r="H181" s="9" t="inlineStr">
        <is>
          <t>Salva de antimatéria (recarga 2 Ciclos; ocupa uma das 2 ações do turno): até 3 alvos a até uma Distância um do outro fazem Teste de Reflexos contra DT 16. Quem falha recebe 4d8 + 2 · 20 de dano Físico; quem passa recebe metade do dano.</t>
        </is>
      </c>
      <c r="I181" s="9" t="inlineStr">
        <is>
          <t xml:space="preserve">Salva de antimatéria (recarga 2 Ciclos; ocupa uma das 2 ações do turno): até 3 alvos a até uma Distância um do outro fazem Teste de Reflexos contra DT </t>
        </is>
      </c>
      <c r="J181" s="9" t="inlineStr">
        <is>
          <t>DT</t>
        </is>
      </c>
      <c r="K181" s="9" t="inlineStr"/>
      <c r="L181" s="9" t="inlineStr">
        <is>
          <t xml:space="preserve">. Quem falha recebe </t>
        </is>
      </c>
      <c r="M181" s="9" t="inlineStr">
        <is>
          <t>DANO.e</t>
        </is>
      </c>
      <c r="N181" s="9" t="inlineStr"/>
      <c r="O181" s="9" t="inlineStr">
        <is>
          <t xml:space="preserve"> · </t>
        </is>
      </c>
      <c r="P181" s="9" t="inlineStr">
        <is>
          <t>DANO.m</t>
        </is>
      </c>
      <c r="Q181" s="9" t="inlineStr"/>
      <c r="R181" s="9" t="inlineStr">
        <is>
          <t xml:space="preserve"> de dano Físico; quem passa recebe metade do dano.</t>
        </is>
      </c>
      <c r="S181" s="9" t="inlineStr"/>
      <c r="T181" s="9" t="inlineStr"/>
      <c r="U181" s="9" t="inlineStr"/>
    </row>
    <row r="182" ht="127" customHeight="1">
      <c r="A182" s="32" t="inlineStr">
        <is>
          <t>Pretor Vazio-Nove|4</t>
        </is>
      </c>
      <c r="B182" s="4" t="inlineStr">
        <is>
          <t>Pretor Vazio-Nove</t>
        </is>
      </c>
      <c r="C182" s="4" t="n">
        <v>0</v>
      </c>
      <c r="D182" s="4" t="n">
        <v>4</v>
      </c>
      <c r="E182" s="4" t="inlineStr">
        <is>
          <t>Especial</t>
        </is>
      </c>
      <c r="F182" s="4" t="inlineStr">
        <is>
          <t>Ordem de cerco</t>
        </is>
      </c>
      <c r="G182" s="4" t="n">
        <v>3</v>
      </c>
      <c r="H182" s="4" t="inlineStr">
        <is>
          <t>Ordem de cerco (recarga 3 Ciclos; ocupa uma das 2 ações do turno): 3 Fuzileiros da Legião entram em cena, e todo Fuzileiro presente ganha +1 no Teste de Ataque até o fim do próximo turno do Pretor.</t>
        </is>
      </c>
      <c r="I182" s="4" t="inlineStr">
        <is>
          <t>Ordem de cerco (recarga 3 Ciclos; ocupa uma das 2 ações do turno): 3 Fuzileiros da Legião entram em cena, e todo Fuzileiro presente ganha +1 no Teste de Ataque até o fim do próximo turno do Pretor.</t>
        </is>
      </c>
      <c r="J182" s="4" t="inlineStr"/>
      <c r="K182" s="4" t="inlineStr"/>
      <c r="L182" s="4" t="inlineStr"/>
      <c r="M182" s="4" t="inlineStr"/>
      <c r="N182" s="4" t="inlineStr"/>
      <c r="O182" s="4" t="inlineStr"/>
      <c r="P182" s="4" t="inlineStr"/>
      <c r="Q182" s="4" t="inlineStr"/>
      <c r="R182" s="4" t="inlineStr"/>
      <c r="S182" s="4" t="inlineStr"/>
      <c r="T182" s="4" t="inlineStr"/>
      <c r="U182" s="4" t="inlineStr"/>
    </row>
    <row r="183" ht="105" customHeight="1">
      <c r="A183" s="33" t="inlineStr">
        <is>
          <t>Pretor Vazio-Nove|5</t>
        </is>
      </c>
      <c r="B183" s="9" t="inlineStr">
        <is>
          <t>Pretor Vazio-Nove</t>
        </is>
      </c>
      <c r="C183" s="9" t="n">
        <v>0</v>
      </c>
      <c r="D183" s="9" t="n">
        <v>5</v>
      </c>
      <c r="E183" s="9" t="inlineStr">
        <is>
          <t>Reação</t>
        </is>
      </c>
      <c r="F183" s="9" t="inlineStr">
        <is>
          <t>Retaliação de comando</t>
        </is>
      </c>
      <c r="G183" s="9" t="inlineStr"/>
      <c r="H183" s="9" t="inlineStr">
        <is>
          <t>Retaliação de comando (1 vez por combate, Reação): quando ele sofre Quebra, o personagem que a causou faz Teste de Reflexos contra DT 16 ou recebe 4d8 + 2 · 20 de dano Físico.</t>
        </is>
      </c>
      <c r="I183" s="9" t="inlineStr">
        <is>
          <t xml:space="preserve">Retaliação de comando (1 vez por combate, Reação): quando ele sofre Quebra, o personagem que a causou faz Teste de Reflexos contra DT </t>
        </is>
      </c>
      <c r="J183" s="9" t="inlineStr">
        <is>
          <t>DT</t>
        </is>
      </c>
      <c r="K183" s="9" t="inlineStr"/>
      <c r="L183" s="9" t="inlineStr">
        <is>
          <t xml:space="preserve"> ou recebe </t>
        </is>
      </c>
      <c r="M183" s="9" t="inlineStr">
        <is>
          <t>DANO.e</t>
        </is>
      </c>
      <c r="N183" s="9" t="inlineStr"/>
      <c r="O183" s="9" t="inlineStr">
        <is>
          <t xml:space="preserve"> · </t>
        </is>
      </c>
      <c r="P183" s="9" t="inlineStr">
        <is>
          <t>DANO.m</t>
        </is>
      </c>
      <c r="Q183" s="9" t="inlineStr"/>
      <c r="R183" s="9" t="inlineStr">
        <is>
          <t xml:space="preserve"> de dano Físico.</t>
        </is>
      </c>
      <c r="S183" s="9" t="inlineStr"/>
      <c r="T183" s="9" t="inlineStr"/>
      <c r="U183" s="9" t="inlineStr"/>
    </row>
    <row r="184" ht="26" customHeight="1">
      <c r="A184" s="32" t="inlineStr">
        <is>
          <t>Lanceiro da Frota de Jade|1</t>
        </is>
      </c>
      <c r="B184" s="4" t="inlineStr">
        <is>
          <t>Lanceiro da Frota de Jade</t>
        </is>
      </c>
      <c r="C184" s="4" t="n">
        <v>0</v>
      </c>
      <c r="D184" s="4" t="n">
        <v>1</v>
      </c>
      <c r="E184" s="4" t="inlineStr">
        <is>
          <t>Ataque</t>
        </is>
      </c>
      <c r="F184" s="4" t="inlineStr">
        <is>
          <t>Lança de jade</t>
        </is>
      </c>
      <c r="G184" s="4" t="inlineStr"/>
      <c r="H184" s="4" t="inlineStr">
        <is>
          <t>Lança de jade (Curta, Físico): 2d8 · média 9</t>
        </is>
      </c>
      <c r="I184" s="4" t="inlineStr">
        <is>
          <t xml:space="preserve">Lança de jade (Curta, Físico): </t>
        </is>
      </c>
      <c r="J184" s="4" t="inlineStr">
        <is>
          <t>DANO.e</t>
        </is>
      </c>
      <c r="K184" s="4" t="inlineStr"/>
      <c r="L184" s="4" t="inlineStr">
        <is>
          <t xml:space="preserve"> · média </t>
        </is>
      </c>
      <c r="M184" s="4" t="inlineStr">
        <is>
          <t>DANO.m</t>
        </is>
      </c>
      <c r="N184" s="4" t="inlineStr"/>
      <c r="O184" s="4" t="inlineStr"/>
      <c r="P184" s="4" t="inlineStr"/>
      <c r="Q184" s="4" t="inlineStr"/>
      <c r="R184" s="4" t="inlineStr"/>
      <c r="S184" s="4" t="inlineStr"/>
      <c r="T184" s="4" t="inlineStr"/>
      <c r="U184" s="4" t="inlineStr"/>
    </row>
    <row r="185" ht="37" customHeight="1">
      <c r="A185" s="33" t="inlineStr">
        <is>
          <t>Lanceiro da Frota de Jade|2</t>
        </is>
      </c>
      <c r="B185" s="9" t="inlineStr">
        <is>
          <t>Lanceiro da Frota de Jade</t>
        </is>
      </c>
      <c r="C185" s="9" t="n">
        <v>0</v>
      </c>
      <c r="D185" s="9" t="n">
        <v>2</v>
      </c>
      <c r="E185" s="9" t="inlineStr">
        <is>
          <t>Ataque</t>
        </is>
      </c>
      <c r="F185" s="9" t="inlineStr">
        <is>
          <t>Dardo de contenção</t>
        </is>
      </c>
      <c r="G185" s="9" t="inlineStr"/>
      <c r="H185" s="9" t="inlineStr">
        <is>
          <t>Dardo de contenção (Média, Gelo): 2d8 · média 9</t>
        </is>
      </c>
      <c r="I185" s="9" t="inlineStr">
        <is>
          <t xml:space="preserve">Dardo de contenção (Média, Gelo): </t>
        </is>
      </c>
      <c r="J185" s="9" t="inlineStr">
        <is>
          <t>DANO.e</t>
        </is>
      </c>
      <c r="K185" s="9" t="inlineStr"/>
      <c r="L185" s="9" t="inlineStr">
        <is>
          <t xml:space="preserve"> · média </t>
        </is>
      </c>
      <c r="M185" s="9" t="inlineStr">
        <is>
          <t>DANO.m</t>
        </is>
      </c>
      <c r="N185" s="9" t="inlineStr"/>
      <c r="O185" s="9" t="inlineStr"/>
      <c r="P185" s="9" t="inlineStr"/>
      <c r="Q185" s="9" t="inlineStr"/>
      <c r="R185" s="9" t="inlineStr"/>
      <c r="S185" s="9" t="inlineStr"/>
      <c r="T185" s="9" t="inlineStr"/>
      <c r="U185" s="9" t="inlineStr"/>
    </row>
    <row r="186" ht="82" customHeight="1">
      <c r="A186" s="32" t="inlineStr">
        <is>
          <t>Lanceiro da Frota de Jade|3</t>
        </is>
      </c>
      <c r="B186" s="4" t="inlineStr">
        <is>
          <t>Lanceiro da Frota de Jade</t>
        </is>
      </c>
      <c r="C186" s="4" t="n">
        <v>0</v>
      </c>
      <c r="D186" s="4" t="n">
        <v>3</v>
      </c>
      <c r="E186" s="4" t="inlineStr">
        <is>
          <t>Especial</t>
        </is>
      </c>
      <c r="F186" s="4" t="inlineStr">
        <is>
          <t>Formação de muro</t>
        </is>
      </c>
      <c r="G186" s="4" t="n">
        <v>2</v>
      </c>
      <c r="H186" s="4" t="inlineStr">
        <is>
          <t>Formação de muro (recarga 2 Ciclos): enquanto houver outro Lanceiro a Distância Pessoal dele, os dois ganham RD 2 até o fim do próximo turno dele.</t>
        </is>
      </c>
      <c r="I186" s="4" t="inlineStr">
        <is>
          <t>Formação de muro (recarga 2 Ciclos): enquanto houver outro Lanceiro a Distância Pessoal dele, os dois ganham RD 2 até o fim do próximo turno dele.</t>
        </is>
      </c>
      <c r="J186" s="4" t="inlineStr"/>
      <c r="K186" s="4" t="inlineStr"/>
      <c r="L186" s="4" t="inlineStr"/>
      <c r="M186" s="4" t="inlineStr"/>
      <c r="N186" s="4" t="inlineStr"/>
      <c r="O186" s="4" t="inlineStr"/>
      <c r="P186" s="4" t="inlineStr"/>
      <c r="Q186" s="4" t="inlineStr"/>
      <c r="R186" s="4" t="inlineStr"/>
      <c r="S186" s="4" t="inlineStr"/>
      <c r="T186" s="4" t="inlineStr"/>
      <c r="U186" s="4" t="inlineStr"/>
    </row>
    <row r="187" ht="60" customHeight="1">
      <c r="A187" s="33" t="inlineStr">
        <is>
          <t>Palhaço de Pólvora|1</t>
        </is>
      </c>
      <c r="B187" s="9" t="inlineStr">
        <is>
          <t>Palhaço de Pólvora</t>
        </is>
      </c>
      <c r="C187" s="9" t="n">
        <v>0</v>
      </c>
      <c r="D187" s="9" t="n">
        <v>1</v>
      </c>
      <c r="E187" s="9" t="inlineStr">
        <is>
          <t>Ataque</t>
        </is>
      </c>
      <c r="F187" s="9" t="inlineStr">
        <is>
          <t>Buquê incendiário</t>
        </is>
      </c>
      <c r="G187" s="9" t="inlineStr"/>
      <c r="H187" s="9" t="inlineStr">
        <is>
          <t>Buquê incendiário (Média, Fogo): 2d8 · média 9, e o alvo recebe Queimadura por 2 turnos</t>
        </is>
      </c>
      <c r="I187" s="9" t="inlineStr">
        <is>
          <t xml:space="preserve">Buquê incendiário (Média, Fogo): </t>
        </is>
      </c>
      <c r="J187" s="9" t="inlineStr">
        <is>
          <t>DANO.e</t>
        </is>
      </c>
      <c r="K187" s="9" t="inlineStr"/>
      <c r="L187" s="9" t="inlineStr">
        <is>
          <t xml:space="preserve"> · média </t>
        </is>
      </c>
      <c r="M187" s="9" t="inlineStr">
        <is>
          <t>DANO.m</t>
        </is>
      </c>
      <c r="N187" s="9" t="inlineStr"/>
      <c r="O187" s="9" t="inlineStr">
        <is>
          <t>, e o alvo recebe Queimadura por 2 turnos</t>
        </is>
      </c>
      <c r="P187" s="9" t="inlineStr"/>
      <c r="Q187" s="9" t="inlineStr"/>
      <c r="R187" s="9" t="inlineStr"/>
      <c r="S187" s="9" t="inlineStr"/>
      <c r="T187" s="9" t="inlineStr"/>
      <c r="U187" s="9" t="inlineStr"/>
    </row>
    <row r="188" ht="161" customHeight="1">
      <c r="A188" s="32" t="inlineStr">
        <is>
          <t>Palhaço de Pólvora|2</t>
        </is>
      </c>
      <c r="B188" s="4" t="inlineStr">
        <is>
          <t>Palhaço de Pólvora</t>
        </is>
      </c>
      <c r="C188" s="4" t="n">
        <v>0</v>
      </c>
      <c r="D188" s="4" t="n">
        <v>2</v>
      </c>
      <c r="E188" s="4" t="inlineStr">
        <is>
          <t>Especial</t>
        </is>
      </c>
      <c r="F188" s="4" t="inlineStr">
        <is>
          <t>Troca de lugar</t>
        </is>
      </c>
      <c r="G188" s="4" t="n">
        <v>2</v>
      </c>
      <c r="H188" s="4" t="inlineStr">
        <is>
          <t>Troca de lugar (recarga 2 Ciclos): ele e outro Palhaço de Pólvora da cena trocam de posição e de casa na Fila. Todo efeito que estava marcado contra um passa a valer contra o outro, inclusive Marcado e Vulnerável — mas não Dano Contínuo, que fica em quem o recebeu.</t>
        </is>
      </c>
      <c r="I188" s="4" t="inlineStr">
        <is>
          <t>Troca de lugar (recarga 2 Ciclos): ele e outro Palhaço de Pólvora da cena trocam de posição e de casa na Fila. Todo efeito que estava marcado contra um passa a valer contra o outro, inclusive Marcado e Vulnerável — mas não Dano Contínuo, que fica em quem o recebeu.</t>
        </is>
      </c>
      <c r="J188" s="4" t="inlineStr"/>
      <c r="K188" s="4" t="inlineStr"/>
      <c r="L188" s="4" t="inlineStr"/>
      <c r="M188" s="4" t="inlineStr"/>
      <c r="N188" s="4" t="inlineStr"/>
      <c r="O188" s="4" t="inlineStr"/>
      <c r="P188" s="4" t="inlineStr"/>
      <c r="Q188" s="4" t="inlineStr"/>
      <c r="R188" s="4" t="inlineStr"/>
      <c r="S188" s="4" t="inlineStr"/>
      <c r="T188" s="4" t="inlineStr"/>
      <c r="U188" s="4" t="inlineStr"/>
    </row>
    <row r="189" ht="37" customHeight="1">
      <c r="A189" s="33" t="inlineStr">
        <is>
          <t>Centenário Enlouquecido|1</t>
        </is>
      </c>
      <c r="B189" s="9" t="inlineStr">
        <is>
          <t>Centenário Enlouquecido</t>
        </is>
      </c>
      <c r="C189" s="9" t="n">
        <v>0</v>
      </c>
      <c r="D189" s="9" t="n">
        <v>1</v>
      </c>
      <c r="E189" s="9" t="inlineStr">
        <is>
          <t>Ataque</t>
        </is>
      </c>
      <c r="F189" s="9" t="inlineStr">
        <is>
          <t>Golpe de memória antiga</t>
        </is>
      </c>
      <c r="G189" s="9" t="inlineStr"/>
      <c r="H189" s="9" t="inlineStr">
        <is>
          <t>Golpe de memória antiga (Pessoal, Físico): 2d8 · média 9</t>
        </is>
      </c>
      <c r="I189" s="9" t="inlineStr">
        <is>
          <t xml:space="preserve">Golpe de memória antiga (Pessoal, Físico): </t>
        </is>
      </c>
      <c r="J189" s="9" t="inlineStr">
        <is>
          <t>DANO.e</t>
        </is>
      </c>
      <c r="K189" s="9" t="inlineStr"/>
      <c r="L189" s="9" t="inlineStr">
        <is>
          <t xml:space="preserve"> · média </t>
        </is>
      </c>
      <c r="M189" s="9" t="inlineStr">
        <is>
          <t>DANO.m</t>
        </is>
      </c>
      <c r="N189" s="9" t="inlineStr"/>
      <c r="O189" s="9" t="inlineStr"/>
      <c r="P189" s="9" t="inlineStr"/>
      <c r="Q189" s="9" t="inlineStr"/>
      <c r="R189" s="9" t="inlineStr"/>
      <c r="S189" s="9" t="inlineStr"/>
      <c r="T189" s="9" t="inlineStr"/>
      <c r="U189" s="9" t="inlineStr"/>
    </row>
    <row r="190" ht="116" customHeight="1">
      <c r="A190" s="32" t="inlineStr">
        <is>
          <t>Centenário Enlouquecido|2</t>
        </is>
      </c>
      <c r="B190" s="4" t="inlineStr">
        <is>
          <t>Centenário Enlouquecido</t>
        </is>
      </c>
      <c r="C190" s="4" t="n">
        <v>0</v>
      </c>
      <c r="D190" s="4" t="n">
        <v>2</v>
      </c>
      <c r="E190" s="4" t="inlineStr">
        <is>
          <t>Especial</t>
        </is>
      </c>
      <c r="F190" s="4" t="inlineStr">
        <is>
          <t>Lembrança alheia</t>
        </is>
      </c>
      <c r="G190" s="4" t="n">
        <v>2</v>
      </c>
      <c r="H190" s="4" t="inlineStr">
        <is>
          <t>Lembrança alheia (recarga 2 Ciclos): um alvo a até Distância Média faz Teste de Resistência Mental contra DT 16. Se falhar, recebe 2d8 · 9 de dano Imaginário e fica Silenciado por 1 turno.</t>
        </is>
      </c>
      <c r="I190" s="4" t="inlineStr">
        <is>
          <t xml:space="preserve">Lembrança alheia (recarga 2 Ciclos): um alvo a até Distância Média faz Teste de Resistência Mental contra DT </t>
        </is>
      </c>
      <c r="J190" s="4" t="inlineStr">
        <is>
          <t>DT</t>
        </is>
      </c>
      <c r="K190" s="4" t="inlineStr"/>
      <c r="L190" s="4" t="inlineStr">
        <is>
          <t xml:space="preserve">. Se falhar, recebe </t>
        </is>
      </c>
      <c r="M190" s="4" t="inlineStr">
        <is>
          <t>DANO.e</t>
        </is>
      </c>
      <c r="N190" s="4" t="inlineStr"/>
      <c r="O190" s="4" t="inlineStr">
        <is>
          <t xml:space="preserve"> · </t>
        </is>
      </c>
      <c r="P190" s="4" t="inlineStr">
        <is>
          <t>DANO.m</t>
        </is>
      </c>
      <c r="Q190" s="4" t="inlineStr"/>
      <c r="R190" s="4" t="inlineStr">
        <is>
          <t xml:space="preserve"> de dano Imaginário e fica Silenciado por 1 turno.</t>
        </is>
      </c>
      <c r="S190" s="4" t="inlineStr"/>
      <c r="T190" s="4" t="inlineStr"/>
      <c r="U190" s="4" t="inlineStr"/>
    </row>
    <row r="191" ht="37" customHeight="1">
      <c r="A191" s="33" t="inlineStr">
        <is>
          <t>Oficial-Lâmina da Frota de Jade|1</t>
        </is>
      </c>
      <c r="B191" s="9" t="inlineStr">
        <is>
          <t>Oficial-Lâmina da Frota de Jade</t>
        </is>
      </c>
      <c r="C191" s="9" t="n">
        <v>0</v>
      </c>
      <c r="D191" s="9" t="n">
        <v>1</v>
      </c>
      <c r="E191" s="9" t="inlineStr">
        <is>
          <t>Ataque</t>
        </is>
      </c>
      <c r="F191" s="9" t="inlineStr">
        <is>
          <t>Corte em arco</t>
        </is>
      </c>
      <c r="G191" s="9" t="inlineStr"/>
      <c r="H191" s="9" t="inlineStr">
        <is>
          <t>Corte em arco (Pessoal, Físico): 4d8 + 1 · média 19</t>
        </is>
      </c>
      <c r="I191" s="9" t="inlineStr">
        <is>
          <t xml:space="preserve">Corte em arco (Pessoal, Físico): </t>
        </is>
      </c>
      <c r="J191" s="9" t="inlineStr">
        <is>
          <t>DANO.e</t>
        </is>
      </c>
      <c r="K191" s="9" t="inlineStr"/>
      <c r="L191" s="9" t="inlineStr">
        <is>
          <t xml:space="preserve"> · média </t>
        </is>
      </c>
      <c r="M191" s="9" t="inlineStr">
        <is>
          <t>DANO.m</t>
        </is>
      </c>
      <c r="N191" s="9" t="inlineStr"/>
      <c r="O191" s="9" t="inlineStr"/>
      <c r="P191" s="9" t="inlineStr"/>
      <c r="Q191" s="9" t="inlineStr"/>
      <c r="R191" s="9" t="inlineStr"/>
      <c r="S191" s="9" t="inlineStr"/>
      <c r="T191" s="9" t="inlineStr"/>
      <c r="U191" s="9" t="inlineStr"/>
    </row>
    <row r="192" ht="37" customHeight="1">
      <c r="A192" s="32" t="inlineStr">
        <is>
          <t>Oficial-Lâmina da Frota de Jade|2</t>
        </is>
      </c>
      <c r="B192" s="4" t="inlineStr">
        <is>
          <t>Oficial-Lâmina da Frota de Jade</t>
        </is>
      </c>
      <c r="C192" s="4" t="n">
        <v>0</v>
      </c>
      <c r="D192" s="4" t="n">
        <v>2</v>
      </c>
      <c r="E192" s="4" t="inlineStr">
        <is>
          <t>Ataque</t>
        </is>
      </c>
      <c r="F192" s="4" t="inlineStr">
        <is>
          <t>Estocada longa</t>
        </is>
      </c>
      <c r="G192" s="4" t="inlineStr"/>
      <c r="H192" s="4" t="inlineStr">
        <is>
          <t>Estocada longa (Curta, Físico): 4d8 + 1 · média 19</t>
        </is>
      </c>
      <c r="I192" s="4" t="inlineStr">
        <is>
          <t xml:space="preserve">Estocada longa (Curta, Físico): </t>
        </is>
      </c>
      <c r="J192" s="4" t="inlineStr">
        <is>
          <t>DANO.e</t>
        </is>
      </c>
      <c r="K192" s="4" t="inlineStr"/>
      <c r="L192" s="4" t="inlineStr">
        <is>
          <t xml:space="preserve"> · média </t>
        </is>
      </c>
      <c r="M192" s="4" t="inlineStr">
        <is>
          <t>DANO.m</t>
        </is>
      </c>
      <c r="N192" s="4" t="inlineStr"/>
      <c r="O192" s="4" t="inlineStr"/>
      <c r="P192" s="4" t="inlineStr"/>
      <c r="Q192" s="4" t="inlineStr"/>
      <c r="R192" s="4" t="inlineStr"/>
      <c r="S192" s="4" t="inlineStr"/>
      <c r="T192" s="4" t="inlineStr"/>
      <c r="U192" s="4" t="inlineStr"/>
    </row>
    <row r="193" ht="138" customHeight="1">
      <c r="A193" s="33" t="inlineStr">
        <is>
          <t>Oficial-Lâmina da Frota de Jade|3</t>
        </is>
      </c>
      <c r="B193" s="9" t="inlineStr">
        <is>
          <t>Oficial-Lâmina da Frota de Jade</t>
        </is>
      </c>
      <c r="C193" s="9" t="n">
        <v>0</v>
      </c>
      <c r="D193" s="9" t="n">
        <v>3</v>
      </c>
      <c r="E193" s="9" t="inlineStr">
        <is>
          <t>Especial</t>
        </is>
      </c>
      <c r="F193" s="9" t="inlineStr">
        <is>
          <t>Sentença</t>
        </is>
      </c>
      <c r="G193" s="9" t="n">
        <v>2</v>
      </c>
      <c r="H193" s="9" t="inlineStr">
        <is>
          <t>Sentença (recarga 2 Ciclos): ela declara um alvo. Até o fim do combate, ela só ataca esse alvo enquanto ele estiver de pé, e os ataques dela contra ele somam +2 no Teste de Ataque. Em troca, ela não usa nenhuma outra ação especial contra mais ninguém.</t>
        </is>
      </c>
      <c r="I193" s="9" t="inlineStr">
        <is>
          <t>Sentença (recarga 2 Ciclos): ela declara um alvo. Até o fim do combate, ela só ataca esse alvo enquanto ele estiver de pé, e os ataques dela contra ele somam +2 no Teste de Ataque. Em troca, ela não usa nenhuma outra ação especial contra mais ninguém.</t>
        </is>
      </c>
      <c r="J193" s="9" t="inlineStr"/>
      <c r="K193" s="9" t="inlineStr"/>
      <c r="L193" s="9" t="inlineStr"/>
      <c r="M193" s="9" t="inlineStr"/>
      <c r="N193" s="9" t="inlineStr"/>
      <c r="O193" s="9" t="inlineStr"/>
      <c r="P193" s="9" t="inlineStr"/>
      <c r="Q193" s="9" t="inlineStr"/>
      <c r="R193" s="9" t="inlineStr"/>
      <c r="S193" s="9" t="inlineStr"/>
      <c r="T193" s="9" t="inlineStr"/>
      <c r="U193" s="9" t="inlineStr"/>
    </row>
    <row r="194" ht="138" customHeight="1">
      <c r="A194" s="32" t="inlineStr">
        <is>
          <t>Oficial-Lâmina da Frota de Jade|4</t>
        </is>
      </c>
      <c r="B194" s="4" t="inlineStr">
        <is>
          <t>Oficial-Lâmina da Frota de Jade</t>
        </is>
      </c>
      <c r="C194" s="4" t="n">
        <v>0</v>
      </c>
      <c r="D194" s="4" t="n">
        <v>4</v>
      </c>
      <c r="E194" s="4" t="inlineStr">
        <is>
          <t>Especial</t>
        </is>
      </c>
      <c r="F194" s="4" t="inlineStr">
        <is>
          <t>Lâmina de encerramento</t>
        </is>
      </c>
      <c r="G194" s="4" t="n">
        <v>3</v>
      </c>
      <c r="H194" s="4" t="inlineStr">
        <is>
          <t>Lâmina de encerramento (recarga 3 Ciclos): contra o alvo da Sentença, um ataque de 5d10 + 1 · média 28 de dano Físico. Se o alvo cair a 0 PV com esse ataque, ela recua um passo e espera — a frota executa sentença, não cadáver.</t>
        </is>
      </c>
      <c r="I194" s="4" t="inlineStr">
        <is>
          <t xml:space="preserve">Lâmina de encerramento (recarga 3 Ciclos): contra o alvo da Sentença, um ataque de </t>
        </is>
      </c>
      <c r="J194" s="4" t="inlineStr">
        <is>
          <t>DANO15.e</t>
        </is>
      </c>
      <c r="K194" s="4" t="inlineStr"/>
      <c r="L194" s="4" t="inlineStr">
        <is>
          <t xml:space="preserve"> · média </t>
        </is>
      </c>
      <c r="M194" s="4" t="inlineStr">
        <is>
          <t>DANO15.m</t>
        </is>
      </c>
      <c r="N194" s="4" t="inlineStr"/>
      <c r="O194" s="4" t="inlineStr">
        <is>
          <t xml:space="preserve"> de dano Físico. Se o alvo cair a 0 PV com esse ataque, ela recua um passo e espera — a frota executa sentença, não cadáver.</t>
        </is>
      </c>
      <c r="P194" s="4" t="inlineStr"/>
      <c r="Q194" s="4" t="inlineStr"/>
      <c r="R194" s="4" t="inlineStr"/>
      <c r="S194" s="4" t="inlineStr"/>
      <c r="T194" s="4" t="inlineStr"/>
      <c r="U194" s="4" t="inlineStr"/>
    </row>
    <row r="195" ht="37" customHeight="1">
      <c r="A195" s="33" t="inlineStr">
        <is>
          <t>Mestre de Cerimônias Mascarado|1</t>
        </is>
      </c>
      <c r="B195" s="9" t="inlineStr">
        <is>
          <t>Mestre de Cerimônias Mascarado</t>
        </is>
      </c>
      <c r="C195" s="9" t="n">
        <v>0</v>
      </c>
      <c r="D195" s="9" t="n">
        <v>1</v>
      </c>
      <c r="E195" s="9" t="inlineStr">
        <is>
          <t>Ataque</t>
        </is>
      </c>
      <c r="F195" s="9" t="inlineStr">
        <is>
          <t>Bengala-estoque</t>
        </is>
      </c>
      <c r="G195" s="9" t="inlineStr"/>
      <c r="H195" s="9" t="inlineStr">
        <is>
          <t>Bengala-estoque (Pessoal, Quântico): 4d8 + 1 · média 19</t>
        </is>
      </c>
      <c r="I195" s="9" t="inlineStr">
        <is>
          <t xml:space="preserve">Bengala-estoque (Pessoal, Quântico): </t>
        </is>
      </c>
      <c r="J195" s="9" t="inlineStr">
        <is>
          <t>DANO.e</t>
        </is>
      </c>
      <c r="K195" s="9" t="inlineStr"/>
      <c r="L195" s="9" t="inlineStr">
        <is>
          <t xml:space="preserve"> · média </t>
        </is>
      </c>
      <c r="M195" s="9" t="inlineStr">
        <is>
          <t>DANO.m</t>
        </is>
      </c>
      <c r="N195" s="9" t="inlineStr"/>
      <c r="O195" s="9" t="inlineStr"/>
      <c r="P195" s="9" t="inlineStr"/>
      <c r="Q195" s="9" t="inlineStr"/>
      <c r="R195" s="9" t="inlineStr"/>
      <c r="S195" s="9" t="inlineStr"/>
      <c r="T195" s="9" t="inlineStr"/>
      <c r="U195" s="9" t="inlineStr"/>
    </row>
    <row r="196" ht="37" customHeight="1">
      <c r="A196" s="32" t="inlineStr">
        <is>
          <t>Mestre de Cerimônias Mascarado|2</t>
        </is>
      </c>
      <c r="B196" s="4" t="inlineStr">
        <is>
          <t>Mestre de Cerimônias Mascarado</t>
        </is>
      </c>
      <c r="C196" s="4" t="n">
        <v>0</v>
      </c>
      <c r="D196" s="4" t="n">
        <v>2</v>
      </c>
      <c r="E196" s="4" t="inlineStr">
        <is>
          <t>Ataque</t>
        </is>
      </c>
      <c r="F196" s="4" t="inlineStr">
        <is>
          <t>Confete cortante</t>
        </is>
      </c>
      <c r="G196" s="4" t="inlineStr"/>
      <c r="H196" s="4" t="inlineStr">
        <is>
          <t>Confete cortante (Média, Vento): 4d8 + 1 · média 19</t>
        </is>
      </c>
      <c r="I196" s="4" t="inlineStr">
        <is>
          <t xml:space="preserve">Confete cortante (Média, Vento): </t>
        </is>
      </c>
      <c r="J196" s="4" t="inlineStr">
        <is>
          <t>DANO.e</t>
        </is>
      </c>
      <c r="K196" s="4" t="inlineStr"/>
      <c r="L196" s="4" t="inlineStr">
        <is>
          <t xml:space="preserve"> · média </t>
        </is>
      </c>
      <c r="M196" s="4" t="inlineStr">
        <is>
          <t>DANO.m</t>
        </is>
      </c>
      <c r="N196" s="4" t="inlineStr"/>
      <c r="O196" s="4" t="inlineStr"/>
      <c r="P196" s="4" t="inlineStr"/>
      <c r="Q196" s="4" t="inlineStr"/>
      <c r="R196" s="4" t="inlineStr"/>
      <c r="S196" s="4" t="inlineStr"/>
      <c r="T196" s="4" t="inlineStr"/>
      <c r="U196" s="4" t="inlineStr"/>
    </row>
    <row r="197" ht="161" customHeight="1">
      <c r="A197" s="33" t="inlineStr">
        <is>
          <t>Mestre de Cerimônias Mascarado|3</t>
        </is>
      </c>
      <c r="B197" s="9" t="inlineStr">
        <is>
          <t>Mestre de Cerimônias Mascarado</t>
        </is>
      </c>
      <c r="C197" s="9" t="n">
        <v>0</v>
      </c>
      <c r="D197" s="9" t="n">
        <v>3</v>
      </c>
      <c r="E197" s="9" t="inlineStr">
        <is>
          <t>Especial</t>
        </is>
      </c>
      <c r="F197" s="9" t="inlineStr">
        <is>
          <t>Deixa!</t>
        </is>
      </c>
      <c r="G197" s="9" t="n">
        <v>2</v>
      </c>
      <c r="H197" s="9" t="inlineStr">
        <is>
          <t>Deixa! (recarga 2 Ciclos): um alvo faz Teste de Força de Vontade contra DT 17. Se falhar, fica Controlado por 1 turno (capítulo 21) — ele age no turno dele, com Ataque Básico, Ação de Movimento e Ação Complementar, sob a direção do Mestre de Cerimônias, e não gasta recurso nenhum.</t>
        </is>
      </c>
      <c r="I197" s="9" t="inlineStr">
        <is>
          <t xml:space="preserve">Deixa! (recarga 2 Ciclos): um alvo faz Teste de Força de Vontade contra DT </t>
        </is>
      </c>
      <c r="J197" s="9" t="inlineStr">
        <is>
          <t>DT</t>
        </is>
      </c>
      <c r="K197" s="9" t="inlineStr"/>
      <c r="L197" s="9" t="inlineStr">
        <is>
          <t>. Se falhar, fica Controlado por 1 turno (capítulo 21) — ele age no turno dele, com Ataque Básico, Ação de Movimento e Ação Complementar, sob a direção do Mestre de Cerimônias, e não gasta recurso nenhum.</t>
        </is>
      </c>
      <c r="M197" s="9" t="inlineStr"/>
      <c r="N197" s="9" t="inlineStr"/>
      <c r="O197" s="9" t="inlineStr"/>
      <c r="P197" s="9" t="inlineStr"/>
      <c r="Q197" s="9" t="inlineStr"/>
      <c r="R197" s="9" t="inlineStr"/>
      <c r="S197" s="9" t="inlineStr"/>
      <c r="T197" s="9" t="inlineStr"/>
      <c r="U197" s="9" t="inlineStr"/>
    </row>
    <row r="198" ht="150" customHeight="1">
      <c r="A198" s="32" t="inlineStr">
        <is>
          <t>Mestre de Cerimônias Mascarado|4</t>
        </is>
      </c>
      <c r="B198" s="4" t="inlineStr">
        <is>
          <t>Mestre de Cerimônias Mascarado</t>
        </is>
      </c>
      <c r="C198" s="4" t="n">
        <v>0</v>
      </c>
      <c r="D198" s="4" t="n">
        <v>4</v>
      </c>
      <c r="E198" s="4" t="inlineStr">
        <is>
          <t>Especial</t>
        </is>
      </c>
      <c r="F198" s="4" t="inlineStr">
        <is>
          <t>Chuva de improviso</t>
        </is>
      </c>
      <c r="G198" s="4" t="n">
        <v>3</v>
      </c>
      <c r="H198" s="4" t="inlineStr">
        <is>
          <t>Chuva de improviso (recarga 3 Ciclos): até 3 alvos a até uma Distância um do outro fazem Teste de Reflexos contra DT 17. Quem falha recebe 4d8 + 1 · 19 de dano Vento e Cisalhamento de Vento com 2 acúmulos; quem passa recebe metade do dano.</t>
        </is>
      </c>
      <c r="I198" s="4" t="inlineStr">
        <is>
          <t xml:space="preserve">Chuva de improviso (recarga 3 Ciclos): até 3 alvos a até uma Distância um do outro fazem Teste de Reflexos contra DT </t>
        </is>
      </c>
      <c r="J198" s="4" t="inlineStr">
        <is>
          <t>DT</t>
        </is>
      </c>
      <c r="K198" s="4" t="inlineStr"/>
      <c r="L198" s="4" t="inlineStr">
        <is>
          <t xml:space="preserve">. Quem falha recebe </t>
        </is>
      </c>
      <c r="M198" s="4" t="inlineStr">
        <is>
          <t>DANO.e</t>
        </is>
      </c>
      <c r="N198" s="4" t="inlineStr"/>
      <c r="O198" s="4" t="inlineStr">
        <is>
          <t xml:space="preserve"> · </t>
        </is>
      </c>
      <c r="P198" s="4" t="inlineStr">
        <is>
          <t>DANO.m</t>
        </is>
      </c>
      <c r="Q198" s="4" t="inlineStr"/>
      <c r="R198" s="4" t="inlineStr">
        <is>
          <t xml:space="preserve"> de dano Vento e Cisalhamento de Vento com 2 acúmulos; quem passa recebe metade do dano.</t>
        </is>
      </c>
      <c r="S198" s="4" t="inlineStr"/>
      <c r="T198" s="4" t="inlineStr"/>
      <c r="U198" s="4" t="inlineStr"/>
    </row>
    <row r="199" ht="37" customHeight="1">
      <c r="A199" s="33" t="inlineStr">
        <is>
          <t>O Dramaturgo de Mil Faces|1</t>
        </is>
      </c>
      <c r="B199" s="9" t="inlineStr">
        <is>
          <t>O Dramaturgo de Mil Faces</t>
        </is>
      </c>
      <c r="C199" s="9" t="n">
        <v>1</v>
      </c>
      <c r="D199" s="9" t="n">
        <v>1</v>
      </c>
      <c r="E199" s="9" t="inlineStr">
        <is>
          <t>Ataque</t>
        </is>
      </c>
      <c r="F199" s="9" t="inlineStr">
        <is>
          <t>Vara de contrarregra</t>
        </is>
      </c>
      <c r="G199" s="9" t="inlineStr"/>
      <c r="H199" s="9" t="inlineStr">
        <is>
          <t>Vara de contrarregra (Curta, Imaginário): 5d10 + 1 · média 28</t>
        </is>
      </c>
      <c r="I199" s="9" t="inlineStr">
        <is>
          <t xml:space="preserve">Vara de contrarregra (Curta, Imaginário): </t>
        </is>
      </c>
      <c r="J199" s="9" t="inlineStr">
        <is>
          <t>DANO.e</t>
        </is>
      </c>
      <c r="K199" s="9" t="inlineStr"/>
      <c r="L199" s="9" t="inlineStr">
        <is>
          <t xml:space="preserve"> · média </t>
        </is>
      </c>
      <c r="M199" s="9" t="inlineStr">
        <is>
          <t>DANO.m</t>
        </is>
      </c>
      <c r="N199" s="9" t="inlineStr"/>
      <c r="O199" s="9" t="inlineStr"/>
      <c r="P199" s="9" t="inlineStr"/>
      <c r="Q199" s="9" t="inlineStr"/>
      <c r="R199" s="9" t="inlineStr"/>
      <c r="S199" s="9" t="inlineStr"/>
      <c r="T199" s="9" t="inlineStr"/>
      <c r="U199" s="9" t="inlineStr"/>
    </row>
    <row r="200" ht="37" customHeight="1">
      <c r="A200" s="32" t="inlineStr">
        <is>
          <t>O Dramaturgo de Mil Faces|2</t>
        </is>
      </c>
      <c r="B200" s="4" t="inlineStr">
        <is>
          <t>O Dramaturgo de Mil Faces</t>
        </is>
      </c>
      <c r="C200" s="4" t="n">
        <v>1</v>
      </c>
      <c r="D200" s="4" t="n">
        <v>2</v>
      </c>
      <c r="E200" s="4" t="inlineStr">
        <is>
          <t>Ataque</t>
        </is>
      </c>
      <c r="F200" s="4" t="inlineStr">
        <is>
          <t>Aplauso dirigido</t>
        </is>
      </c>
      <c r="G200" s="4" t="inlineStr"/>
      <c r="H200" s="4" t="inlineStr">
        <is>
          <t>Aplauso dirigido (Longa, Quântico): 5d10 + 1 · média 28</t>
        </is>
      </c>
      <c r="I200" s="4" t="inlineStr">
        <is>
          <t xml:space="preserve">Aplauso dirigido (Longa, Quântico): </t>
        </is>
      </c>
      <c r="J200" s="4" t="inlineStr">
        <is>
          <t>DANO.e</t>
        </is>
      </c>
      <c r="K200" s="4" t="inlineStr"/>
      <c r="L200" s="4" t="inlineStr">
        <is>
          <t xml:space="preserve"> · média </t>
        </is>
      </c>
      <c r="M200" s="4" t="inlineStr">
        <is>
          <t>DANO.m</t>
        </is>
      </c>
      <c r="N200" s="4" t="inlineStr"/>
      <c r="O200" s="4" t="inlineStr"/>
      <c r="P200" s="4" t="inlineStr"/>
      <c r="Q200" s="4" t="inlineStr"/>
      <c r="R200" s="4" t="inlineStr"/>
      <c r="S200" s="4" t="inlineStr"/>
      <c r="T200" s="4" t="inlineStr"/>
      <c r="U200" s="4" t="inlineStr"/>
    </row>
    <row r="201" ht="206" customHeight="1">
      <c r="A201" s="33" t="inlineStr">
        <is>
          <t>O Dramaturgo de Mil Faces|3</t>
        </is>
      </c>
      <c r="B201" s="9" t="inlineStr">
        <is>
          <t>O Dramaturgo de Mil Faces</t>
        </is>
      </c>
      <c r="C201" s="9" t="n">
        <v>1</v>
      </c>
      <c r="D201" s="9" t="n">
        <v>3</v>
      </c>
      <c r="E201" s="9" t="inlineStr">
        <is>
          <t>Especial</t>
        </is>
      </c>
      <c r="F201" s="9" t="inlineStr">
        <is>
          <t>Entra o dublê</t>
        </is>
      </c>
      <c r="G201" s="9" t="n">
        <v>3</v>
      </c>
      <c r="H201" s="9" t="inlineStr">
        <is>
          <t>Entra o dublê (recarga 3 Ciclos; ocupa uma das 2 ações do turno): 2 Palhaços de Pólvora entram na cena. Enquanto houver pelo menos um deles de pé, todo ataque de alvo único contra o Dramaturgo exige um Teste de Percepção Mental contra DT 18 antes da rolagem; quem falha acerta um Palhaço em vez dele, resolvendo o ataque contra a ficha do Palhaço.</t>
        </is>
      </c>
      <c r="I201" s="9" t="inlineStr">
        <is>
          <t xml:space="preserve">Entra o dublê (recarga 3 Ciclos; ocupa uma das 2 ações do turno): 2 Palhaços de Pólvora entram na cena. Enquanto houver pelo menos um deles de pé, todo ataque de alvo único contra o Dramaturgo exige um Teste de Percepção Mental contra DT </t>
        </is>
      </c>
      <c r="J201" s="9" t="inlineStr">
        <is>
          <t>DT</t>
        </is>
      </c>
      <c r="K201" s="9" t="inlineStr"/>
      <c r="L201" s="9" t="inlineStr">
        <is>
          <t xml:space="preserve"> antes da rolagem; quem falha acerta um Palhaço em vez dele, resolvendo o ataque contra a ficha do Palhaço.</t>
        </is>
      </c>
      <c r="M201" s="9" t="inlineStr"/>
      <c r="N201" s="9" t="inlineStr"/>
      <c r="O201" s="9" t="inlineStr"/>
      <c r="P201" s="9" t="inlineStr"/>
      <c r="Q201" s="9" t="inlineStr"/>
      <c r="R201" s="9" t="inlineStr"/>
      <c r="S201" s="9" t="inlineStr"/>
      <c r="T201" s="9" t="inlineStr"/>
      <c r="U201" s="9" t="inlineStr"/>
    </row>
    <row r="202" ht="116" customHeight="1">
      <c r="A202" s="32" t="inlineStr">
        <is>
          <t>O Dramaturgo de Mil Faces|4</t>
        </is>
      </c>
      <c r="B202" s="4" t="inlineStr">
        <is>
          <t>O Dramaturgo de Mil Faces</t>
        </is>
      </c>
      <c r="C202" s="4" t="n">
        <v>1</v>
      </c>
      <c r="D202" s="4" t="n">
        <v>4</v>
      </c>
      <c r="E202" s="4" t="inlineStr">
        <is>
          <t>Especial</t>
        </is>
      </c>
      <c r="F202" s="4" t="inlineStr">
        <is>
          <t>Reviravolta</t>
        </is>
      </c>
      <c r="G202" s="4" t="n">
        <v>2</v>
      </c>
      <c r="H202" s="4" t="inlineStr">
        <is>
          <t>Reviravolta (recarga 2 Ciclos; ocupa uma das 2 ações do turno): ele Avança ele mesmo em 2 casas (capítulo 19) e um alvo faz Teste de Resistência Mental contra DT 18 ou fica Vulnerável por 2 turnos.</t>
        </is>
      </c>
      <c r="I202" s="4" t="inlineStr">
        <is>
          <t xml:space="preserve">Reviravolta (recarga 2 Ciclos; ocupa uma das 2 ações do turno): ele Avança ele mesmo em 2 casas (capítulo 19) e um alvo faz Teste de Resistência Mental contra DT </t>
        </is>
      </c>
      <c r="J202" s="4" t="inlineStr">
        <is>
          <t>DT</t>
        </is>
      </c>
      <c r="K202" s="4" t="inlineStr"/>
      <c r="L202" s="4" t="inlineStr">
        <is>
          <t xml:space="preserve"> ou fica Vulnerável por 2 turnos.</t>
        </is>
      </c>
      <c r="M202" s="4" t="inlineStr"/>
      <c r="N202" s="4" t="inlineStr"/>
      <c r="O202" s="4" t="inlineStr"/>
      <c r="P202" s="4" t="inlineStr"/>
      <c r="Q202" s="4" t="inlineStr"/>
      <c r="R202" s="4" t="inlineStr"/>
      <c r="S202" s="4" t="inlineStr"/>
      <c r="T202" s="4" t="inlineStr"/>
      <c r="U202" s="4" t="inlineStr"/>
    </row>
    <row r="203" ht="37" customHeight="1">
      <c r="A203" s="33" t="inlineStr">
        <is>
          <t>O Dramaturgo de Mil Faces|5</t>
        </is>
      </c>
      <c r="B203" s="9" t="inlineStr">
        <is>
          <t>O Dramaturgo de Mil Faces</t>
        </is>
      </c>
      <c r="C203" s="9" t="n">
        <v>2</v>
      </c>
      <c r="D203" s="9" t="n">
        <v>5</v>
      </c>
      <c r="E203" s="9" t="inlineStr">
        <is>
          <t>Ataque</t>
        </is>
      </c>
      <c r="F203" s="9" t="inlineStr">
        <is>
          <t>Vara de contrarregra</t>
        </is>
      </c>
      <c r="G203" s="9" t="inlineStr"/>
      <c r="H203" s="9" t="inlineStr">
        <is>
          <t>Vara de contrarregra (Curta, Imaginário): 5d10 + 1 · média 28</t>
        </is>
      </c>
      <c r="I203" s="9" t="inlineStr">
        <is>
          <t xml:space="preserve">Vara de contrarregra (Curta, Imaginário): </t>
        </is>
      </c>
      <c r="J203" s="9" t="inlineStr">
        <is>
          <t>DANO.e</t>
        </is>
      </c>
      <c r="K203" s="9" t="inlineStr"/>
      <c r="L203" s="9" t="inlineStr">
        <is>
          <t xml:space="preserve"> · média </t>
        </is>
      </c>
      <c r="M203" s="9" t="inlineStr">
        <is>
          <t>DANO.m</t>
        </is>
      </c>
      <c r="N203" s="9" t="inlineStr"/>
      <c r="O203" s="9" t="inlineStr"/>
      <c r="P203" s="9" t="inlineStr"/>
      <c r="Q203" s="9" t="inlineStr"/>
      <c r="R203" s="9" t="inlineStr"/>
      <c r="S203" s="9" t="inlineStr"/>
      <c r="T203" s="9" t="inlineStr"/>
      <c r="U203" s="9" t="inlineStr"/>
    </row>
    <row r="204" ht="161" customHeight="1">
      <c r="A204" s="32" t="inlineStr">
        <is>
          <t>O Dramaturgo de Mil Faces|6</t>
        </is>
      </c>
      <c r="B204" s="4" t="inlineStr">
        <is>
          <t>O Dramaturgo de Mil Faces</t>
        </is>
      </c>
      <c r="C204" s="4" t="n">
        <v>2</v>
      </c>
      <c r="D204" s="4" t="n">
        <v>6</v>
      </c>
      <c r="E204" s="4" t="inlineStr">
        <is>
          <t>Especial</t>
        </is>
      </c>
      <c r="F204" s="4" t="inlineStr">
        <is>
          <t>Plateia vazia</t>
        </is>
      </c>
      <c r="G204" s="4" t="n">
        <v>0</v>
      </c>
      <c r="H204" s="4" t="inlineStr">
        <is>
          <t>Plateia vazia (ação especial, sem recarga): todos os personagens a até uma Distância um do outro, até 3, fazem Teste de Força de Vontade contra DT 18. Quem falha recebe 5d10 + 1 · 28 de dano Imaginário e fica Silenciado por 1 turno; quem passa recebe metade do dano e nada mais.</t>
        </is>
      </c>
      <c r="I204" s="4" t="inlineStr">
        <is>
          <t xml:space="preserve">Plateia vazia (ação especial, sem recarga): todos os personagens a até uma Distância um do outro, até 3, fazem Teste de Força de Vontade contra DT </t>
        </is>
      </c>
      <c r="J204" s="4" t="inlineStr">
        <is>
          <t>DT</t>
        </is>
      </c>
      <c r="K204" s="4" t="inlineStr"/>
      <c r="L204" s="4" t="inlineStr">
        <is>
          <t xml:space="preserve">. Quem falha recebe </t>
        </is>
      </c>
      <c r="M204" s="4" t="inlineStr">
        <is>
          <t>DANO.e</t>
        </is>
      </c>
      <c r="N204" s="4" t="inlineStr"/>
      <c r="O204" s="4" t="inlineStr">
        <is>
          <t xml:space="preserve"> · </t>
        </is>
      </c>
      <c r="P204" s="4" t="inlineStr">
        <is>
          <t>DANO.m</t>
        </is>
      </c>
      <c r="Q204" s="4" t="inlineStr"/>
      <c r="R204" s="4" t="inlineStr">
        <is>
          <t xml:space="preserve"> de dano Imaginário e fica Silenciado por 1 turno; quem passa recebe metade do dano e nada mais.</t>
        </is>
      </c>
      <c r="S204" s="4" t="inlineStr"/>
      <c r="T204" s="4" t="inlineStr"/>
      <c r="U204" s="4" t="inlineStr"/>
    </row>
    <row r="205" ht="150" customHeight="1">
      <c r="A205" s="33" t="inlineStr">
        <is>
          <t>O Dramaturgo de Mil Faces|7</t>
        </is>
      </c>
      <c r="B205" s="9" t="inlineStr">
        <is>
          <t>O Dramaturgo de Mil Faces</t>
        </is>
      </c>
      <c r="C205" s="9" t="n">
        <v>2</v>
      </c>
      <c r="D205" s="9" t="n">
        <v>7</v>
      </c>
      <c r="E205" s="9" t="inlineStr">
        <is>
          <t>Gatilho</t>
        </is>
      </c>
      <c r="F205" s="9" t="inlineStr">
        <is>
          <t>A última fala</t>
        </is>
      </c>
      <c r="G205" s="9" t="inlineStr"/>
      <c r="H205" s="9" t="inlineStr">
        <is>
          <t>A última fala (1 vez por combate, quando ele chega a 145 PV ou menos; ocupa a ação especial do turno): ele Avança em 2 casas, e até 3 alvos fazem Teste de Resistência Mental contra DT 18 ou recebem 7d10 + 4 · média 42 de dano Imaginário. Quem passa recebe metade.</t>
        </is>
      </c>
      <c r="I205" s="9" t="inlineStr">
        <is>
          <t xml:space="preserve">A última fala (1 vez por combate, quando ele chega a </t>
        </is>
      </c>
      <c r="J205" s="9" t="inlineStr">
        <is>
          <t>PV</t>
        </is>
      </c>
      <c r="K205" s="9" t="n">
        <v>145</v>
      </c>
      <c r="L205" s="9" t="inlineStr">
        <is>
          <t xml:space="preserve"> PV ou menos; ocupa a ação especial do turno): ele Avança em 2 casas, e até 3 alvos fazem Teste de Resistência Mental contra DT </t>
        </is>
      </c>
      <c r="M205" s="9" t="inlineStr">
        <is>
          <t>DT</t>
        </is>
      </c>
      <c r="N205" s="9" t="inlineStr"/>
      <c r="O205" s="9" t="inlineStr">
        <is>
          <t xml:space="preserve"> ou recebem </t>
        </is>
      </c>
      <c r="P205" s="9" t="inlineStr">
        <is>
          <t>DANO15.e</t>
        </is>
      </c>
      <c r="Q205" s="9" t="inlineStr"/>
      <c r="R205" s="9" t="inlineStr">
        <is>
          <t xml:space="preserve"> · média </t>
        </is>
      </c>
      <c r="S205" s="9" t="inlineStr">
        <is>
          <t>DANO15.m</t>
        </is>
      </c>
      <c r="T205" s="9" t="inlineStr"/>
      <c r="U205" s="9" t="inlineStr">
        <is>
          <t xml:space="preserve"> de dano Imaginário. Quem passa recebe metade.</t>
        </is>
      </c>
    </row>
    <row r="206" ht="71" customHeight="1">
      <c r="A206" s="32" t="inlineStr">
        <is>
          <t>Noviço da Beleza|1</t>
        </is>
      </c>
      <c r="B206" s="4" t="inlineStr">
        <is>
          <t>Noviço da Beleza</t>
        </is>
      </c>
      <c r="C206" s="4" t="n">
        <v>0</v>
      </c>
      <c r="D206" s="4" t="n">
        <v>1</v>
      </c>
      <c r="E206" s="4" t="inlineStr">
        <is>
          <t>Ataque</t>
        </is>
      </c>
      <c r="F206" s="4" t="inlineStr">
        <is>
          <t>Bisturi de cerâmica</t>
        </is>
      </c>
      <c r="G206" s="4" t="inlineStr"/>
      <c r="H206" s="4" t="inlineStr">
        <is>
          <t>Bisturi de cerâmica (Pessoal, Físico): 3d6 + 2 · média 12, e o alvo recebe Sangramento por 2 turnos</t>
        </is>
      </c>
      <c r="I206" s="4" t="inlineStr">
        <is>
          <t xml:space="preserve">Bisturi de cerâmica (Pessoal, Físico): </t>
        </is>
      </c>
      <c r="J206" s="4" t="inlineStr">
        <is>
          <t>DANO.e</t>
        </is>
      </c>
      <c r="K206" s="4" t="inlineStr"/>
      <c r="L206" s="4" t="inlineStr">
        <is>
          <t xml:space="preserve"> · média </t>
        </is>
      </c>
      <c r="M206" s="4" t="inlineStr">
        <is>
          <t>DANO.m</t>
        </is>
      </c>
      <c r="N206" s="4" t="inlineStr"/>
      <c r="O206" s="4" t="inlineStr">
        <is>
          <t>, e o alvo recebe Sangramento por 2 turnos</t>
        </is>
      </c>
      <c r="P206" s="4" t="inlineStr"/>
      <c r="Q206" s="4" t="inlineStr"/>
      <c r="R206" s="4" t="inlineStr"/>
      <c r="S206" s="4" t="inlineStr"/>
      <c r="T206" s="4" t="inlineStr"/>
      <c r="U206" s="4" t="inlineStr"/>
    </row>
    <row r="207" ht="105" customHeight="1">
      <c r="A207" s="33" t="inlineStr">
        <is>
          <t>Noviço da Beleza|2</t>
        </is>
      </c>
      <c r="B207" s="9" t="inlineStr">
        <is>
          <t>Noviço da Beleza</t>
        </is>
      </c>
      <c r="C207" s="9" t="n">
        <v>0</v>
      </c>
      <c r="D207" s="9" t="n">
        <v>2</v>
      </c>
      <c r="E207" s="9" t="inlineStr">
        <is>
          <t>Especial</t>
        </is>
      </c>
      <c r="F207" s="9" t="inlineStr">
        <is>
          <t>Correção</t>
        </is>
      </c>
      <c r="G207" s="9" t="n">
        <v>2</v>
      </c>
      <c r="H207" s="9" t="inlineStr">
        <is>
          <t>Correção (recarga 2 Ciclos): um alvo faz Teste de Resistência Física contra DT 17. Se falhar, recebe Vulnerável por 2 turnos — +1 dado de dano de qualquer Cavaleiro da Beleza na cena.</t>
        </is>
      </c>
      <c r="I207" s="9" t="inlineStr">
        <is>
          <t xml:space="preserve">Correção (recarga 2 Ciclos): um alvo faz Teste de Resistência Física contra DT </t>
        </is>
      </c>
      <c r="J207" s="9" t="inlineStr">
        <is>
          <t>DT</t>
        </is>
      </c>
      <c r="K207" s="9" t="inlineStr"/>
      <c r="L207" s="9" t="inlineStr">
        <is>
          <t>. Se falhar, recebe Vulnerável por 2 turnos — +1 dado de dano de qualquer Cavaleiro da Beleza na cena.</t>
        </is>
      </c>
      <c r="M207" s="9" t="inlineStr"/>
      <c r="N207" s="9" t="inlineStr"/>
      <c r="O207" s="9" t="inlineStr"/>
      <c r="P207" s="9" t="inlineStr"/>
      <c r="Q207" s="9" t="inlineStr"/>
      <c r="R207" s="9" t="inlineStr"/>
      <c r="S207" s="9" t="inlineStr"/>
      <c r="T207" s="9" t="inlineStr"/>
      <c r="U207" s="9" t="inlineStr"/>
    </row>
    <row r="208" ht="37" customHeight="1">
      <c r="A208" s="32" t="inlineStr">
        <is>
          <t>Operativo de Campo dos Caçadores|1</t>
        </is>
      </c>
      <c r="B208" s="4" t="inlineStr">
        <is>
          <t>Operativo de Campo dos Caçadores</t>
        </is>
      </c>
      <c r="C208" s="4" t="n">
        <v>0</v>
      </c>
      <c r="D208" s="4" t="n">
        <v>1</v>
      </c>
      <c r="E208" s="4" t="inlineStr">
        <is>
          <t>Ataque</t>
        </is>
      </c>
      <c r="F208" s="4" t="inlineStr">
        <is>
          <t>Pistola suprimida</t>
        </is>
      </c>
      <c r="G208" s="4" t="inlineStr"/>
      <c r="H208" s="4" t="inlineStr">
        <is>
          <t>Pistola suprimida (Longa, Físico): 3d6 + 2 · média 12</t>
        </is>
      </c>
      <c r="I208" s="4" t="inlineStr">
        <is>
          <t xml:space="preserve">Pistola suprimida (Longa, Físico): </t>
        </is>
      </c>
      <c r="J208" s="4" t="inlineStr">
        <is>
          <t>DANO.e</t>
        </is>
      </c>
      <c r="K208" s="4" t="inlineStr"/>
      <c r="L208" s="4" t="inlineStr">
        <is>
          <t xml:space="preserve"> · média </t>
        </is>
      </c>
      <c r="M208" s="4" t="inlineStr">
        <is>
          <t>DANO.m</t>
        </is>
      </c>
      <c r="N208" s="4" t="inlineStr"/>
      <c r="O208" s="4" t="inlineStr"/>
      <c r="P208" s="4" t="inlineStr"/>
      <c r="Q208" s="4" t="inlineStr"/>
      <c r="R208" s="4" t="inlineStr"/>
      <c r="S208" s="4" t="inlineStr"/>
      <c r="T208" s="4" t="inlineStr"/>
      <c r="U208" s="4" t="inlineStr"/>
    </row>
    <row r="209" ht="82" customHeight="1">
      <c r="A209" s="33" t="inlineStr">
        <is>
          <t>Operativo de Campo dos Caçadores|2</t>
        </is>
      </c>
      <c r="B209" s="9" t="inlineStr">
        <is>
          <t>Operativo de Campo dos Caçadores</t>
        </is>
      </c>
      <c r="C209" s="9" t="n">
        <v>0</v>
      </c>
      <c r="D209" s="9" t="n">
        <v>2</v>
      </c>
      <c r="E209" s="9" t="inlineStr">
        <is>
          <t>Ataque</t>
        </is>
      </c>
      <c r="F209" s="9" t="inlineStr">
        <is>
          <t>Fio de garrote</t>
        </is>
      </c>
      <c r="G209" s="9" t="inlineStr"/>
      <c r="H209" s="9" t="inlineStr">
        <is>
          <t>Fio de garrote (Pessoal, Físico): 3d6 + 2 · média 12, e o alvo faz Teste de Potência Física contra DT 17 ou fica Silenciado por 1 turno</t>
        </is>
      </c>
      <c r="I209" s="9" t="inlineStr">
        <is>
          <t xml:space="preserve">Fio de garrote (Pessoal, Físico): </t>
        </is>
      </c>
      <c r="J209" s="9" t="inlineStr">
        <is>
          <t>DANO.e</t>
        </is>
      </c>
      <c r="K209" s="9" t="inlineStr"/>
      <c r="L209" s="9" t="inlineStr">
        <is>
          <t xml:space="preserve"> · média </t>
        </is>
      </c>
      <c r="M209" s="9" t="inlineStr">
        <is>
          <t>DANO.m</t>
        </is>
      </c>
      <c r="N209" s="9" t="inlineStr"/>
      <c r="O209" s="9" t="inlineStr">
        <is>
          <t xml:space="preserve">, e o alvo faz Teste de Potência Física contra DT </t>
        </is>
      </c>
      <c r="P209" s="9" t="inlineStr">
        <is>
          <t>DT</t>
        </is>
      </c>
      <c r="Q209" s="9" t="inlineStr"/>
      <c r="R209" s="9" t="inlineStr">
        <is>
          <t xml:space="preserve"> ou fica Silenciado por 1 turno</t>
        </is>
      </c>
      <c r="S209" s="9" t="inlineStr"/>
      <c r="T209" s="9" t="inlineStr"/>
      <c r="U209" s="9" t="inlineStr"/>
    </row>
    <row r="210" ht="105" customHeight="1">
      <c r="A210" s="32" t="inlineStr">
        <is>
          <t>Operativo de Campo dos Caçadores|3</t>
        </is>
      </c>
      <c r="B210" s="4" t="inlineStr">
        <is>
          <t>Operativo de Campo dos Caçadores</t>
        </is>
      </c>
      <c r="C210" s="4" t="n">
        <v>0</v>
      </c>
      <c r="D210" s="4" t="n">
        <v>3</v>
      </c>
      <c r="E210" s="4" t="inlineStr">
        <is>
          <t>Especial</t>
        </is>
      </c>
      <c r="F210" s="4" t="inlineStr">
        <is>
          <t>Reposicionar</t>
        </is>
      </c>
      <c r="G210" s="4" t="n">
        <v>2</v>
      </c>
      <c r="H210" s="4" t="inlineStr">
        <is>
          <t>Reposicionar (recarga 2 Ciclos): ele se move 2 Distâncias e, se terminar fora do alcance de todo personagem, Avança 2 casas na Fila do próximo Ciclo (capítulo 19).</t>
        </is>
      </c>
      <c r="I210" s="4" t="inlineStr">
        <is>
          <t>Reposicionar (recarga 2 Ciclos): ele se move 2 Distâncias e, se terminar fora do alcance de todo personagem, Avança 2 casas na Fila do próximo Ciclo (capítulo 19).</t>
        </is>
      </c>
      <c r="J210" s="4" t="inlineStr"/>
      <c r="K210" s="4" t="inlineStr"/>
      <c r="L210" s="4" t="inlineStr"/>
      <c r="M210" s="4" t="inlineStr"/>
      <c r="N210" s="4" t="inlineStr"/>
      <c r="O210" s="4" t="inlineStr"/>
      <c r="P210" s="4" t="inlineStr"/>
      <c r="Q210" s="4" t="inlineStr"/>
      <c r="R210" s="4" t="inlineStr"/>
      <c r="S210" s="4" t="inlineStr"/>
      <c r="T210" s="4" t="inlineStr"/>
      <c r="U210" s="4" t="inlineStr"/>
    </row>
    <row r="211" ht="37" customHeight="1">
      <c r="A211" s="33" t="inlineStr">
        <is>
          <t>Autômato Taciturno|1</t>
        </is>
      </c>
      <c r="B211" s="9" t="inlineStr">
        <is>
          <t>Autômato Taciturno</t>
        </is>
      </c>
      <c r="C211" s="9" t="n">
        <v>0</v>
      </c>
      <c r="D211" s="9" t="n">
        <v>1</v>
      </c>
      <c r="E211" s="9" t="inlineStr">
        <is>
          <t>Ataque</t>
        </is>
      </c>
      <c r="F211" s="9" t="inlineStr">
        <is>
          <t>Metralha pesada</t>
        </is>
      </c>
      <c r="G211" s="9" t="inlineStr"/>
      <c r="H211" s="9" t="inlineStr">
        <is>
          <t>Metralha pesada (Longa, Físico): 3d6 + 2 · média 12</t>
        </is>
      </c>
      <c r="I211" s="9" t="inlineStr">
        <is>
          <t xml:space="preserve">Metralha pesada (Longa, Físico): </t>
        </is>
      </c>
      <c r="J211" s="9" t="inlineStr">
        <is>
          <t>DANO.e</t>
        </is>
      </c>
      <c r="K211" s="9" t="inlineStr"/>
      <c r="L211" s="9" t="inlineStr">
        <is>
          <t xml:space="preserve"> · média </t>
        </is>
      </c>
      <c r="M211" s="9" t="inlineStr">
        <is>
          <t>DANO.m</t>
        </is>
      </c>
      <c r="N211" s="9" t="inlineStr"/>
      <c r="O211" s="9" t="inlineStr"/>
      <c r="P211" s="9" t="inlineStr"/>
      <c r="Q211" s="9" t="inlineStr"/>
      <c r="R211" s="9" t="inlineStr"/>
      <c r="S211" s="9" t="inlineStr"/>
      <c r="T211" s="9" t="inlineStr"/>
      <c r="U211" s="9" t="inlineStr"/>
    </row>
    <row r="212" ht="116" customHeight="1">
      <c r="A212" s="32" t="inlineStr">
        <is>
          <t>Autômato Taciturno|2</t>
        </is>
      </c>
      <c r="B212" s="4" t="inlineStr">
        <is>
          <t>Autômato Taciturno</t>
        </is>
      </c>
      <c r="C212" s="4" t="n">
        <v>0</v>
      </c>
      <c r="D212" s="4" t="n">
        <v>2</v>
      </c>
      <c r="E212" s="4" t="inlineStr">
        <is>
          <t>Especial</t>
        </is>
      </c>
      <c r="F212" s="4" t="inlineStr">
        <is>
          <t>Travar alvo</t>
        </is>
      </c>
      <c r="G212" s="4" t="n">
        <v>2</v>
      </c>
      <c r="H212" s="4" t="inlineStr">
        <is>
          <t>Travar alvo (recarga 2 Ciclos): um alvo fica Marcado por 3 turnos. Enquanto a marca durar, este autômato não ataca mais ninguém e some +1 acúmulo de Marcado por Ciclo, até o teto de 3 (capítulo 21).</t>
        </is>
      </c>
      <c r="I212" s="4" t="inlineStr">
        <is>
          <t>Travar alvo (recarga 2 Ciclos): um alvo fica Marcado por 3 turnos. Enquanto a marca durar, este autômato não ataca mais ninguém e some +1 acúmulo de Marcado por Ciclo, até o teto de 3 (capítulo 21).</t>
        </is>
      </c>
      <c r="J212" s="4" t="inlineStr"/>
      <c r="K212" s="4" t="inlineStr"/>
      <c r="L212" s="4" t="inlineStr"/>
      <c r="M212" s="4" t="inlineStr"/>
      <c r="N212" s="4" t="inlineStr"/>
      <c r="O212" s="4" t="inlineStr"/>
      <c r="P212" s="4" t="inlineStr"/>
      <c r="Q212" s="4" t="inlineStr"/>
      <c r="R212" s="4" t="inlineStr"/>
      <c r="S212" s="4" t="inlineStr"/>
      <c r="T212" s="4" t="inlineStr"/>
      <c r="U212" s="4" t="inlineStr"/>
    </row>
    <row r="213" ht="71" customHeight="1">
      <c r="A213" s="33" t="inlineStr">
        <is>
          <t>Escultor de Carne|1</t>
        </is>
      </c>
      <c r="B213" s="9" t="inlineStr">
        <is>
          <t>Escultor de Carne</t>
        </is>
      </c>
      <c r="C213" s="9" t="n">
        <v>0</v>
      </c>
      <c r="D213" s="9" t="n">
        <v>1</v>
      </c>
      <c r="E213" s="9" t="inlineStr">
        <is>
          <t>Ataque</t>
        </is>
      </c>
      <c r="F213" s="9" t="inlineStr">
        <is>
          <t>Leque de lâminas</t>
        </is>
      </c>
      <c r="G213" s="9" t="inlineStr"/>
      <c r="H213" s="9" t="inlineStr">
        <is>
          <t>Leque de lâminas (Pessoal, Físico): 4d10 + 2 · média 24, e o alvo recebe Sangramento por 2 turnos</t>
        </is>
      </c>
      <c r="I213" s="9" t="inlineStr">
        <is>
          <t xml:space="preserve">Leque de lâminas (Pessoal, Físico): </t>
        </is>
      </c>
      <c r="J213" s="9" t="inlineStr">
        <is>
          <t>DANO.e</t>
        </is>
      </c>
      <c r="K213" s="9" t="inlineStr"/>
      <c r="L213" s="9" t="inlineStr">
        <is>
          <t xml:space="preserve"> · média </t>
        </is>
      </c>
      <c r="M213" s="9" t="inlineStr">
        <is>
          <t>DANO.m</t>
        </is>
      </c>
      <c r="N213" s="9" t="inlineStr"/>
      <c r="O213" s="9" t="inlineStr">
        <is>
          <t>, e o alvo recebe Sangramento por 2 turnos</t>
        </is>
      </c>
      <c r="P213" s="9" t="inlineStr"/>
      <c r="Q213" s="9" t="inlineStr"/>
      <c r="R213" s="9" t="inlineStr"/>
      <c r="S213" s="9" t="inlineStr"/>
      <c r="T213" s="9" t="inlineStr"/>
      <c r="U213" s="9" t="inlineStr"/>
    </row>
    <row r="214" ht="37" customHeight="1">
      <c r="A214" s="32" t="inlineStr">
        <is>
          <t>Escultor de Carne|2</t>
        </is>
      </c>
      <c r="B214" s="4" t="inlineStr">
        <is>
          <t>Escultor de Carne</t>
        </is>
      </c>
      <c r="C214" s="4" t="n">
        <v>0</v>
      </c>
      <c r="D214" s="4" t="n">
        <v>2</v>
      </c>
      <c r="E214" s="4" t="inlineStr">
        <is>
          <t>Ataque</t>
        </is>
      </c>
      <c r="F214" s="4" t="inlineStr">
        <is>
          <t>Serra de arco</t>
        </is>
      </c>
      <c r="G214" s="4" t="inlineStr"/>
      <c r="H214" s="4" t="inlineStr">
        <is>
          <t>Serra de arco (Curta, Físico): 4d10 + 2 · média 24</t>
        </is>
      </c>
      <c r="I214" s="4" t="inlineStr">
        <is>
          <t xml:space="preserve">Serra de arco (Curta, Físico): </t>
        </is>
      </c>
      <c r="J214" s="4" t="inlineStr">
        <is>
          <t>DANO.e</t>
        </is>
      </c>
      <c r="K214" s="4" t="inlineStr"/>
      <c r="L214" s="4" t="inlineStr">
        <is>
          <t xml:space="preserve"> · média </t>
        </is>
      </c>
      <c r="M214" s="4" t="inlineStr">
        <is>
          <t>DANO.m</t>
        </is>
      </c>
      <c r="N214" s="4" t="inlineStr"/>
      <c r="O214" s="4" t="inlineStr"/>
      <c r="P214" s="4" t="inlineStr"/>
      <c r="Q214" s="4" t="inlineStr"/>
      <c r="R214" s="4" t="inlineStr"/>
      <c r="S214" s="4" t="inlineStr"/>
      <c r="T214" s="4" t="inlineStr"/>
      <c r="U214" s="4" t="inlineStr"/>
    </row>
    <row r="215" ht="82" customHeight="1">
      <c r="A215" s="33" t="inlineStr">
        <is>
          <t>Escultor de Carne|3</t>
        </is>
      </c>
      <c r="B215" s="9" t="inlineStr">
        <is>
          <t>Escultor de Carne</t>
        </is>
      </c>
      <c r="C215" s="9" t="n">
        <v>0</v>
      </c>
      <c r="D215" s="9" t="n">
        <v>3</v>
      </c>
      <c r="E215" s="9" t="inlineStr">
        <is>
          <t>Especial</t>
        </is>
      </c>
      <c r="F215" s="9" t="inlineStr">
        <is>
          <t>Anestesia</t>
        </is>
      </c>
      <c r="G215" s="9" t="n">
        <v>2</v>
      </c>
      <c r="H215" s="9" t="inlineStr">
        <is>
          <t>Anestesia (recarga 2 Ciclos): um alvo faz Teste de Resistência Física contra DT 18. Se falhar, recebe Lentidão por 2 turnos e Silenciado por 1.</t>
        </is>
      </c>
      <c r="I215" s="9" t="inlineStr">
        <is>
          <t xml:space="preserve">Anestesia (recarga 2 Ciclos): um alvo faz Teste de Resistência Física contra DT </t>
        </is>
      </c>
      <c r="J215" s="9" t="inlineStr">
        <is>
          <t>DT</t>
        </is>
      </c>
      <c r="K215" s="9" t="inlineStr"/>
      <c r="L215" s="9" t="inlineStr">
        <is>
          <t>. Se falhar, recebe Lentidão por 2 turnos e Silenciado por 1.</t>
        </is>
      </c>
      <c r="M215" s="9" t="inlineStr"/>
      <c r="N215" s="9" t="inlineStr"/>
      <c r="O215" s="9" t="inlineStr"/>
      <c r="P215" s="9" t="inlineStr"/>
      <c r="Q215" s="9" t="inlineStr"/>
      <c r="R215" s="9" t="inlineStr"/>
      <c r="S215" s="9" t="inlineStr"/>
      <c r="T215" s="9" t="inlineStr"/>
      <c r="U215" s="9" t="inlineStr"/>
    </row>
    <row r="216" ht="127" customHeight="1">
      <c r="A216" s="32" t="inlineStr">
        <is>
          <t>Escultor de Carne|4</t>
        </is>
      </c>
      <c r="B216" s="4" t="inlineStr">
        <is>
          <t>Escultor de Carne</t>
        </is>
      </c>
      <c r="C216" s="4" t="n">
        <v>0</v>
      </c>
      <c r="D216" s="4" t="n">
        <v>4</v>
      </c>
      <c r="E216" s="4" t="inlineStr">
        <is>
          <t>Especial</t>
        </is>
      </c>
      <c r="F216" s="4" t="inlineStr">
        <is>
          <t>Obra em progresso</t>
        </is>
      </c>
      <c r="G216" s="4" t="n">
        <v>3</v>
      </c>
      <c r="H216" s="4" t="inlineStr">
        <is>
          <t>Obra em progresso (recarga 3 Ciclos): contra um alvo que esteja com Sangramento, um ataque de 6d10 + 3 · média 36 de dano Físico. Se o ataque acertar, o Sangramento é renovado por mais 2 turnos.</t>
        </is>
      </c>
      <c r="I216" s="4" t="inlineStr">
        <is>
          <t xml:space="preserve">Obra em progresso (recarga 3 Ciclos): contra um alvo que esteja com Sangramento, um ataque de </t>
        </is>
      </c>
      <c r="J216" s="4" t="inlineStr">
        <is>
          <t>DANO15.e</t>
        </is>
      </c>
      <c r="K216" s="4" t="inlineStr"/>
      <c r="L216" s="4" t="inlineStr">
        <is>
          <t xml:space="preserve"> · média </t>
        </is>
      </c>
      <c r="M216" s="4" t="inlineStr">
        <is>
          <t>DANO15.m</t>
        </is>
      </c>
      <c r="N216" s="4" t="inlineStr"/>
      <c r="O216" s="4" t="inlineStr">
        <is>
          <t xml:space="preserve"> de dano Físico. Se o ataque acertar, o Sangramento é renovado por mais 2 turnos.</t>
        </is>
      </c>
      <c r="P216" s="4" t="inlineStr"/>
      <c r="Q216" s="4" t="inlineStr"/>
      <c r="R216" s="4" t="inlineStr"/>
      <c r="S216" s="4" t="inlineStr"/>
      <c r="T216" s="4" t="inlineStr"/>
      <c r="U216" s="4" t="inlineStr"/>
    </row>
    <row r="217" ht="37" customHeight="1">
      <c r="A217" s="33" t="inlineStr">
        <is>
          <t>Executora de Contrato|1</t>
        </is>
      </c>
      <c r="B217" s="9" t="inlineStr">
        <is>
          <t>Executora de Contrato</t>
        </is>
      </c>
      <c r="C217" s="9" t="n">
        <v>0</v>
      </c>
      <c r="D217" s="9" t="n">
        <v>1</v>
      </c>
      <c r="E217" s="9" t="inlineStr">
        <is>
          <t>Ataque</t>
        </is>
      </c>
      <c r="F217" s="9" t="inlineStr">
        <is>
          <t>Revólver de ruptura</t>
        </is>
      </c>
      <c r="G217" s="9" t="inlineStr"/>
      <c r="H217" s="9" t="inlineStr">
        <is>
          <t>Revólver de ruptura (Longa, Quântico): 4d10 + 2 · média 24</t>
        </is>
      </c>
      <c r="I217" s="9" t="inlineStr">
        <is>
          <t xml:space="preserve">Revólver de ruptura (Longa, Quântico): </t>
        </is>
      </c>
      <c r="J217" s="9" t="inlineStr">
        <is>
          <t>DANO.e</t>
        </is>
      </c>
      <c r="K217" s="9" t="inlineStr"/>
      <c r="L217" s="9" t="inlineStr">
        <is>
          <t xml:space="preserve"> · média </t>
        </is>
      </c>
      <c r="M217" s="9" t="inlineStr">
        <is>
          <t>DANO.m</t>
        </is>
      </c>
      <c r="N217" s="9" t="inlineStr"/>
      <c r="O217" s="9" t="inlineStr"/>
      <c r="P217" s="9" t="inlineStr"/>
      <c r="Q217" s="9" t="inlineStr"/>
      <c r="R217" s="9" t="inlineStr"/>
      <c r="S217" s="9" t="inlineStr"/>
      <c r="T217" s="9" t="inlineStr"/>
      <c r="U217" s="9" t="inlineStr"/>
    </row>
    <row r="218" ht="48" customHeight="1">
      <c r="A218" s="32" t="inlineStr">
        <is>
          <t>Executora de Contrato|2</t>
        </is>
      </c>
      <c r="B218" s="4" t="inlineStr">
        <is>
          <t>Executora de Contrato</t>
        </is>
      </c>
      <c r="C218" s="4" t="n">
        <v>0</v>
      </c>
      <c r="D218" s="4" t="n">
        <v>2</v>
      </c>
      <c r="E218" s="4" t="inlineStr">
        <is>
          <t>Ataque</t>
        </is>
      </c>
      <c r="F218" s="4" t="inlineStr">
        <is>
          <t>Adaga de encerramento</t>
        </is>
      </c>
      <c r="G218" s="4" t="inlineStr"/>
      <c r="H218" s="4" t="inlineStr">
        <is>
          <t>Adaga de encerramento (Pessoal, Físico): 4d10 + 2 · média 24</t>
        </is>
      </c>
      <c r="I218" s="4" t="inlineStr">
        <is>
          <t xml:space="preserve">Adaga de encerramento (Pessoal, Físico): </t>
        </is>
      </c>
      <c r="J218" s="4" t="inlineStr">
        <is>
          <t>DANO.e</t>
        </is>
      </c>
      <c r="K218" s="4" t="inlineStr"/>
      <c r="L218" s="4" t="inlineStr">
        <is>
          <t xml:space="preserve"> · média </t>
        </is>
      </c>
      <c r="M218" s="4" t="inlineStr">
        <is>
          <t>DANO.m</t>
        </is>
      </c>
      <c r="N218" s="4" t="inlineStr"/>
      <c r="O218" s="4" t="inlineStr"/>
      <c r="P218" s="4" t="inlineStr"/>
      <c r="Q218" s="4" t="inlineStr"/>
      <c r="R218" s="4" t="inlineStr"/>
      <c r="S218" s="4" t="inlineStr"/>
      <c r="T218" s="4" t="inlineStr"/>
      <c r="U218" s="4" t="inlineStr"/>
    </row>
    <row r="219" ht="161" customHeight="1">
      <c r="A219" s="33" t="inlineStr">
        <is>
          <t>Executora de Contrato|3</t>
        </is>
      </c>
      <c r="B219" s="9" t="inlineStr">
        <is>
          <t>Executora de Contrato</t>
        </is>
      </c>
      <c r="C219" s="9" t="n">
        <v>0</v>
      </c>
      <c r="D219" s="9" t="n">
        <v>3</v>
      </c>
      <c r="E219" s="9" t="inlineStr">
        <is>
          <t>Especial</t>
        </is>
      </c>
      <c r="F219" s="9" t="inlineStr">
        <is>
          <t>Dossiê</t>
        </is>
      </c>
      <c r="G219" s="9" t="n">
        <v>2</v>
      </c>
      <c r="H219" s="9" t="inlineStr">
        <is>
          <t>Dossiê (recarga 2 Ciclos): ela nomeia um personagem e declara em voz alta uma Habilidade que ele usou neste combate. Até o fim do próximo turno dela, aquele personagem está Silenciado para Habilidades de Nível 4 ou maior (capítulo 21) e fica Marcado por 3 turnos.</t>
        </is>
      </c>
      <c r="I219" s="9" t="inlineStr">
        <is>
          <t>Dossiê (recarga 2 Ciclos): ela nomeia um personagem e declara em voz alta uma Habilidade que ele usou neste combate. Até o fim do próximo turno dela, aquele personagem está Silenciado para Habilidades de Nível 4 ou maior (capítulo 21) e fica Marcado por 3 turnos.</t>
        </is>
      </c>
      <c r="J219" s="9" t="inlineStr"/>
      <c r="K219" s="9" t="inlineStr"/>
      <c r="L219" s="9" t="inlineStr"/>
      <c r="M219" s="9" t="inlineStr"/>
      <c r="N219" s="9" t="inlineStr"/>
      <c r="O219" s="9" t="inlineStr"/>
      <c r="P219" s="9" t="inlineStr"/>
      <c r="Q219" s="9" t="inlineStr"/>
      <c r="R219" s="9" t="inlineStr"/>
      <c r="S219" s="9" t="inlineStr"/>
      <c r="T219" s="9" t="inlineStr"/>
      <c r="U219" s="9" t="inlineStr"/>
    </row>
    <row r="220" ht="116" customHeight="1">
      <c r="A220" s="32" t="inlineStr">
        <is>
          <t>Executora de Contrato|4</t>
        </is>
      </c>
      <c r="B220" s="4" t="inlineStr">
        <is>
          <t>Executora de Contrato</t>
        </is>
      </c>
      <c r="C220" s="4" t="n">
        <v>0</v>
      </c>
      <c r="D220" s="4" t="n">
        <v>4</v>
      </c>
      <c r="E220" s="4" t="inlineStr">
        <is>
          <t>Especial</t>
        </is>
      </c>
      <c r="F220" s="4" t="inlineStr">
        <is>
          <t>Encerramento</t>
        </is>
      </c>
      <c r="G220" s="4" t="n">
        <v>3</v>
      </c>
      <c r="H220" s="4" t="inlineStr">
        <is>
          <t>Encerramento (recarga 3 Ciclos): contra um alvo Marcado por ela, 6d10 + 3 · média 36 de dano Quântico, e o alvo faz Teste de Reflexos contra DT 18 ou recebe Embaraço com 3 acúmulos (capítulo 21).</t>
        </is>
      </c>
      <c r="I220" s="4" t="inlineStr">
        <is>
          <t xml:space="preserve">Encerramento (recarga 3 Ciclos): contra um alvo Marcado por ela, </t>
        </is>
      </c>
      <c r="J220" s="4" t="inlineStr">
        <is>
          <t>DANO15.e</t>
        </is>
      </c>
      <c r="K220" s="4" t="inlineStr"/>
      <c r="L220" s="4" t="inlineStr">
        <is>
          <t xml:space="preserve"> · média </t>
        </is>
      </c>
      <c r="M220" s="4" t="inlineStr">
        <is>
          <t>DANO15.m</t>
        </is>
      </c>
      <c r="N220" s="4" t="inlineStr"/>
      <c r="O220" s="4" t="inlineStr">
        <is>
          <t xml:space="preserve"> de dano Quântico, e o alvo faz Teste de Reflexos contra DT </t>
        </is>
      </c>
      <c r="P220" s="4" t="inlineStr">
        <is>
          <t>DT</t>
        </is>
      </c>
      <c r="Q220" s="4" t="inlineStr"/>
      <c r="R220" s="4" t="inlineStr">
        <is>
          <t xml:space="preserve"> ou recebe Embaraço com 3 acúmulos (capítulo 21).</t>
        </is>
      </c>
      <c r="S220" s="4" t="inlineStr"/>
      <c r="T220" s="4" t="inlineStr"/>
      <c r="U220" s="4" t="inlineStr"/>
    </row>
    <row r="221" ht="37" customHeight="1">
      <c r="A221" s="33" t="inlineStr">
        <is>
          <t>Vênia, a Primeira Obra|1</t>
        </is>
      </c>
      <c r="B221" s="9" t="inlineStr">
        <is>
          <t>Vênia, a Primeira Obra</t>
        </is>
      </c>
      <c r="C221" s="9" t="n">
        <v>1</v>
      </c>
      <c r="D221" s="9" t="n">
        <v>1</v>
      </c>
      <c r="E221" s="9" t="inlineStr">
        <is>
          <t>Ataque</t>
        </is>
      </c>
      <c r="F221" s="9" t="inlineStr">
        <is>
          <t>Braço-cinzel</t>
        </is>
      </c>
      <c r="G221" s="9" t="inlineStr"/>
      <c r="H221" s="9" t="inlineStr">
        <is>
          <t>Braço-cinzel (Pessoal, Físico): 6d10 + 3 · média 36</t>
        </is>
      </c>
      <c r="I221" s="9" t="inlineStr">
        <is>
          <t xml:space="preserve">Braço-cinzel (Pessoal, Físico): </t>
        </is>
      </c>
      <c r="J221" s="9" t="inlineStr">
        <is>
          <t>DANO.e</t>
        </is>
      </c>
      <c r="K221" s="9" t="inlineStr"/>
      <c r="L221" s="9" t="inlineStr">
        <is>
          <t xml:space="preserve"> · média </t>
        </is>
      </c>
      <c r="M221" s="9" t="inlineStr">
        <is>
          <t>DANO.m</t>
        </is>
      </c>
      <c r="N221" s="9" t="inlineStr"/>
      <c r="O221" s="9" t="inlineStr"/>
      <c r="P221" s="9" t="inlineStr"/>
      <c r="Q221" s="9" t="inlineStr"/>
      <c r="R221" s="9" t="inlineStr"/>
      <c r="S221" s="9" t="inlineStr"/>
      <c r="T221" s="9" t="inlineStr"/>
      <c r="U221" s="9" t="inlineStr"/>
    </row>
    <row r="222" ht="48" customHeight="1">
      <c r="A222" s="32" t="inlineStr">
        <is>
          <t>Vênia, a Primeira Obra|2</t>
        </is>
      </c>
      <c r="B222" s="4" t="inlineStr">
        <is>
          <t>Vênia, a Primeira Obra</t>
        </is>
      </c>
      <c r="C222" s="4" t="n">
        <v>1</v>
      </c>
      <c r="D222" s="4" t="n">
        <v>2</v>
      </c>
      <c r="E222" s="4" t="inlineStr">
        <is>
          <t>Ataque</t>
        </is>
      </c>
      <c r="F222" s="4" t="inlineStr">
        <is>
          <t>Fio de cabo</t>
        </is>
      </c>
      <c r="G222" s="4" t="inlineStr"/>
      <c r="H222" s="4" t="inlineStr">
        <is>
          <t>Fio de cabo (Média, Físico): 6d10 + 3 · média 36, e o alvo é puxado 1 Distância</t>
        </is>
      </c>
      <c r="I222" s="4" t="inlineStr">
        <is>
          <t xml:space="preserve">Fio de cabo (Média, Físico): </t>
        </is>
      </c>
      <c r="J222" s="4" t="inlineStr">
        <is>
          <t>DANO.e</t>
        </is>
      </c>
      <c r="K222" s="4" t="inlineStr"/>
      <c r="L222" s="4" t="inlineStr">
        <is>
          <t xml:space="preserve"> · média </t>
        </is>
      </c>
      <c r="M222" s="4" t="inlineStr">
        <is>
          <t>DANO.m</t>
        </is>
      </c>
      <c r="N222" s="4" t="inlineStr"/>
      <c r="O222" s="4" t="inlineStr">
        <is>
          <t>, e o alvo é puxado 1 Distância</t>
        </is>
      </c>
      <c r="P222" s="4" t="inlineStr"/>
      <c r="Q222" s="4" t="inlineStr"/>
      <c r="R222" s="4" t="inlineStr"/>
      <c r="S222" s="4" t="inlineStr"/>
      <c r="T222" s="4" t="inlineStr"/>
      <c r="U222" s="4" t="inlineStr"/>
    </row>
    <row r="223" ht="127" customHeight="1">
      <c r="A223" s="33" t="inlineStr">
        <is>
          <t>Vênia, a Primeira Obra|3</t>
        </is>
      </c>
      <c r="B223" s="9" t="inlineStr">
        <is>
          <t>Vênia, a Primeira Obra</t>
        </is>
      </c>
      <c r="C223" s="9" t="n">
        <v>1</v>
      </c>
      <c r="D223" s="9" t="n">
        <v>3</v>
      </c>
      <c r="E223" s="9" t="inlineStr">
        <is>
          <t>Especial</t>
        </is>
      </c>
      <c r="F223" s="9" t="inlineStr">
        <is>
          <t>Simetria</t>
        </is>
      </c>
      <c r="G223" s="9" t="n">
        <v>2</v>
      </c>
      <c r="H223" s="9" t="inlineStr">
        <is>
          <t>Simetria (recarga 2 Ciclos; ocupa uma das 2 ações do turno): 2 alvos fazem Teste de Reflexos contra DT 19. Quem falha recebe 6d10 + 3 · 36 de dano Físico e Sangramento por 2 turnos; quem passa recebe metade e nenhum Sangramento.</t>
        </is>
      </c>
      <c r="I223" s="9" t="inlineStr">
        <is>
          <t xml:space="preserve">Simetria (recarga 2 Ciclos; ocupa uma das 2 ações do turno): 2 alvos fazem Teste de Reflexos contra DT </t>
        </is>
      </c>
      <c r="J223" s="9" t="inlineStr">
        <is>
          <t>DT</t>
        </is>
      </c>
      <c r="K223" s="9" t="inlineStr"/>
      <c r="L223" s="9" t="inlineStr">
        <is>
          <t xml:space="preserve">. Quem falha recebe </t>
        </is>
      </c>
      <c r="M223" s="9" t="inlineStr">
        <is>
          <t>DANO.e</t>
        </is>
      </c>
      <c r="N223" s="9" t="inlineStr"/>
      <c r="O223" s="9" t="inlineStr">
        <is>
          <t xml:space="preserve"> · </t>
        </is>
      </c>
      <c r="P223" s="9" t="inlineStr">
        <is>
          <t>DANO.m</t>
        </is>
      </c>
      <c r="Q223" s="9" t="inlineStr"/>
      <c r="R223" s="9" t="inlineStr">
        <is>
          <t xml:space="preserve"> de dano Físico e Sangramento por 2 turnos; quem passa recebe metade e nenhum Sangramento.</t>
        </is>
      </c>
      <c r="S223" s="9" t="inlineStr"/>
      <c r="T223" s="9" t="inlineStr"/>
      <c r="U223" s="9" t="inlineStr"/>
    </row>
    <row r="224" ht="116" customHeight="1">
      <c r="A224" s="32" t="inlineStr">
        <is>
          <t>Vênia, a Primeira Obra|4</t>
        </is>
      </c>
      <c r="B224" s="4" t="inlineStr">
        <is>
          <t>Vênia, a Primeira Obra</t>
        </is>
      </c>
      <c r="C224" s="4" t="n">
        <v>1</v>
      </c>
      <c r="D224" s="4" t="n">
        <v>4</v>
      </c>
      <c r="E224" s="4" t="inlineStr">
        <is>
          <t>Especial</t>
        </is>
      </c>
      <c r="F224" s="4" t="inlineStr">
        <is>
          <t>Retoque</t>
        </is>
      </c>
      <c r="G224" s="4" t="n">
        <v>3</v>
      </c>
      <c r="H224" s="4" t="inlineStr">
        <is>
          <t>Retoque (recarga 3 Ciclos; ocupa uma das 2 ações do turno): ela remove todas as condições que estão sobre ela e ganha RD 2 extra até o fim do próximo turno dela. Ela não recupera PV e não recupera Tenacidade.</t>
        </is>
      </c>
      <c r="I224" s="4" t="inlineStr">
        <is>
          <t>Retoque (recarga 3 Ciclos; ocupa uma das 2 ações do turno): ela remove todas as condições que estão sobre ela e ganha RD 2 extra até o fim do próximo turno dela. Ela não recupera PV e não recupera Tenacidade.</t>
        </is>
      </c>
      <c r="J224" s="4" t="inlineStr"/>
      <c r="K224" s="4" t="inlineStr"/>
      <c r="L224" s="4" t="inlineStr"/>
      <c r="M224" s="4" t="inlineStr"/>
      <c r="N224" s="4" t="inlineStr"/>
      <c r="O224" s="4" t="inlineStr"/>
      <c r="P224" s="4" t="inlineStr"/>
      <c r="Q224" s="4" t="inlineStr"/>
      <c r="R224" s="4" t="inlineStr"/>
      <c r="S224" s="4" t="inlineStr"/>
      <c r="T224" s="4" t="inlineStr"/>
      <c r="U224" s="4" t="inlineStr"/>
    </row>
    <row r="225" ht="37" customHeight="1">
      <c r="A225" s="33" t="inlineStr">
        <is>
          <t>Vênia, a Primeira Obra|5</t>
        </is>
      </c>
      <c r="B225" s="9" t="inlineStr">
        <is>
          <t>Vênia, a Primeira Obra</t>
        </is>
      </c>
      <c r="C225" s="9" t="n">
        <v>2</v>
      </c>
      <c r="D225" s="9" t="n">
        <v>5</v>
      </c>
      <c r="E225" s="9" t="inlineStr">
        <is>
          <t>Ataque</t>
        </is>
      </c>
      <c r="F225" s="9" t="inlineStr">
        <is>
          <t>Braço-cinzel</t>
        </is>
      </c>
      <c r="G225" s="9" t="inlineStr"/>
      <c r="H225" s="9" t="inlineStr">
        <is>
          <t>Braço-cinzel (Pessoal, Físico): 6d10 + 3 · média 36</t>
        </is>
      </c>
      <c r="I225" s="9" t="inlineStr">
        <is>
          <t xml:space="preserve">Braço-cinzel (Pessoal, Físico): </t>
        </is>
      </c>
      <c r="J225" s="9" t="inlineStr">
        <is>
          <t>DANO.e</t>
        </is>
      </c>
      <c r="K225" s="9" t="inlineStr"/>
      <c r="L225" s="9" t="inlineStr">
        <is>
          <t xml:space="preserve"> · média </t>
        </is>
      </c>
      <c r="M225" s="9" t="inlineStr">
        <is>
          <t>DANO.m</t>
        </is>
      </c>
      <c r="N225" s="9" t="inlineStr"/>
      <c r="O225" s="9" t="inlineStr"/>
      <c r="P225" s="9" t="inlineStr"/>
      <c r="Q225" s="9" t="inlineStr"/>
      <c r="R225" s="9" t="inlineStr"/>
      <c r="S225" s="9" t="inlineStr"/>
      <c r="T225" s="9" t="inlineStr"/>
      <c r="U225" s="9" t="inlineStr"/>
    </row>
    <row r="226" ht="138" customHeight="1">
      <c r="A226" s="32" t="inlineStr">
        <is>
          <t>Vênia, a Primeira Obra|6</t>
        </is>
      </c>
      <c r="B226" s="4" t="inlineStr">
        <is>
          <t>Vênia, a Primeira Obra</t>
        </is>
      </c>
      <c r="C226" s="4" t="n">
        <v>2</v>
      </c>
      <c r="D226" s="4" t="n">
        <v>6</v>
      </c>
      <c r="E226" s="4" t="inlineStr">
        <is>
          <t>Especial</t>
        </is>
      </c>
      <c r="F226" s="4" t="inlineStr">
        <is>
          <t>Desmoronar</t>
        </is>
      </c>
      <c r="G226" s="4" t="n">
        <v>0</v>
      </c>
      <c r="H226" s="4" t="inlineStr">
        <is>
          <t>Desmoronar (ação especial, sem recarga): até 3 alvos a até uma Distância um do outro fazem Teste de Reflexos contra DT 19. Quem falha recebe 6d10 + 3 · 36 de dano Físico e Lentidão por 1 turno; quem passa recebe metade do dano e nada mais.</t>
        </is>
      </c>
      <c r="I226" s="4" t="inlineStr">
        <is>
          <t xml:space="preserve">Desmoronar (ação especial, sem recarga): até 3 alvos a até uma Distância um do outro fazem Teste de Reflexos contra DT </t>
        </is>
      </c>
      <c r="J226" s="4" t="inlineStr">
        <is>
          <t>DT</t>
        </is>
      </c>
      <c r="K226" s="4" t="inlineStr"/>
      <c r="L226" s="4" t="inlineStr">
        <is>
          <t xml:space="preserve">. Quem falha recebe </t>
        </is>
      </c>
      <c r="M226" s="4" t="inlineStr">
        <is>
          <t>DANO.e</t>
        </is>
      </c>
      <c r="N226" s="4" t="inlineStr"/>
      <c r="O226" s="4" t="inlineStr">
        <is>
          <t xml:space="preserve"> · </t>
        </is>
      </c>
      <c r="P226" s="4" t="inlineStr">
        <is>
          <t>DANO.m</t>
        </is>
      </c>
      <c r="Q226" s="4" t="inlineStr"/>
      <c r="R226" s="4" t="inlineStr">
        <is>
          <t xml:space="preserve"> de dano Físico e Lentidão por 1 turno; quem passa recebe metade do dano e nada mais.</t>
        </is>
      </c>
      <c r="S226" s="4" t="inlineStr"/>
      <c r="T226" s="4" t="inlineStr"/>
      <c r="U226" s="4" t="inlineStr"/>
    </row>
    <row r="227" ht="161" customHeight="1">
      <c r="A227" s="33" t="inlineStr">
        <is>
          <t>Vênia, a Primeira Obra|7</t>
        </is>
      </c>
      <c r="B227" s="9" t="inlineStr">
        <is>
          <t>Vênia, a Primeira Obra</t>
        </is>
      </c>
      <c r="C227" s="9" t="n">
        <v>2</v>
      </c>
      <c r="D227" s="9" t="n">
        <v>7</v>
      </c>
      <c r="E227" s="9" t="inlineStr">
        <is>
          <t>Gatilho</t>
        </is>
      </c>
      <c r="F227" s="9" t="inlineStr">
        <is>
          <t>Terminem o trabalho</t>
        </is>
      </c>
      <c r="G227" s="9" t="inlineStr"/>
      <c r="H227" s="9" t="inlineStr">
        <is>
          <t>Terminem o trabalho (1 vez por combate, quando ela chega a 150 PV ou menos; ocupa a ação especial do turno): 9d10 + 5 · média 54 de dano Físico em um alvo a Distância Pessoal, resolvido por Teste de Ataque normal. Se o alvo cair a 0 PV, ela gasta o turno seguinte inteiro parada.</t>
        </is>
      </c>
      <c r="I227" s="9" t="inlineStr">
        <is>
          <t xml:space="preserve">Terminem o trabalho (1 vez por combate, quando ela chega a </t>
        </is>
      </c>
      <c r="J227" s="9" t="inlineStr">
        <is>
          <t>PV</t>
        </is>
      </c>
      <c r="K227" s="9" t="n">
        <v>150</v>
      </c>
      <c r="L227" s="9" t="inlineStr">
        <is>
          <t xml:space="preserve"> PV ou menos; ocupa a ação especial do turno): </t>
        </is>
      </c>
      <c r="M227" s="9" t="inlineStr">
        <is>
          <t>DANO15.e</t>
        </is>
      </c>
      <c r="N227" s="9" t="inlineStr"/>
      <c r="O227" s="9" t="inlineStr">
        <is>
          <t xml:space="preserve"> · média </t>
        </is>
      </c>
      <c r="P227" s="9" t="inlineStr">
        <is>
          <t>DANO15.m</t>
        </is>
      </c>
      <c r="Q227" s="9" t="inlineStr"/>
      <c r="R227" s="9" t="inlineStr">
        <is>
          <t xml:space="preserve"> de dano Físico em um alvo a Distância Pessoal, resolvido por Teste de Ataque normal. Se o alvo cair a 0 PV, ela gasta o turno seguinte inteiro parada.</t>
        </is>
      </c>
      <c r="S227" s="9" t="inlineStr"/>
      <c r="T227" s="9" t="inlineStr"/>
      <c r="U227" s="9" t="inlineStr"/>
    </row>
    <row r="228" ht="37" customHeight="1">
      <c r="A228" s="32" t="inlineStr">
        <is>
          <t>Guarda Pretoriano da Antimatéria|1</t>
        </is>
      </c>
      <c r="B228" s="4" t="inlineStr">
        <is>
          <t>Guarda Pretoriano da Antimatéria</t>
        </is>
      </c>
      <c r="C228" s="4" t="n">
        <v>0</v>
      </c>
      <c r="D228" s="4" t="n">
        <v>1</v>
      </c>
      <c r="E228" s="4" t="inlineStr">
        <is>
          <t>Ataque</t>
        </is>
      </c>
      <c r="F228" s="4" t="inlineStr">
        <is>
          <t>Canhão de braço</t>
        </is>
      </c>
      <c r="G228" s="4" t="inlineStr"/>
      <c r="H228" s="4" t="inlineStr">
        <is>
          <t>Canhão de braço (Longa, Físico): 3d8 + 3 · média 16</t>
        </is>
      </c>
      <c r="I228" s="4" t="inlineStr">
        <is>
          <t xml:space="preserve">Canhão de braço (Longa, Físico): </t>
        </is>
      </c>
      <c r="J228" s="4" t="inlineStr">
        <is>
          <t>DANO.e</t>
        </is>
      </c>
      <c r="K228" s="4" t="inlineStr"/>
      <c r="L228" s="4" t="inlineStr">
        <is>
          <t xml:space="preserve"> · média </t>
        </is>
      </c>
      <c r="M228" s="4" t="inlineStr">
        <is>
          <t>DANO.m</t>
        </is>
      </c>
      <c r="N228" s="4" t="inlineStr"/>
      <c r="O228" s="4" t="inlineStr"/>
      <c r="P228" s="4" t="inlineStr"/>
      <c r="Q228" s="4" t="inlineStr"/>
      <c r="R228" s="4" t="inlineStr"/>
      <c r="S228" s="4" t="inlineStr"/>
      <c r="T228" s="4" t="inlineStr"/>
      <c r="U228" s="4" t="inlineStr"/>
    </row>
    <row r="229" ht="37" customHeight="1">
      <c r="A229" s="33" t="inlineStr">
        <is>
          <t>Guarda Pretoriano da Antimatéria|2</t>
        </is>
      </c>
      <c r="B229" s="9" t="inlineStr">
        <is>
          <t>Guarda Pretoriano da Antimatéria</t>
        </is>
      </c>
      <c r="C229" s="9" t="n">
        <v>0</v>
      </c>
      <c r="D229" s="9" t="n">
        <v>2</v>
      </c>
      <c r="E229" s="9" t="inlineStr">
        <is>
          <t>Ataque</t>
        </is>
      </c>
      <c r="F229" s="9" t="inlineStr">
        <is>
          <t>Punho de aríete</t>
        </is>
      </c>
      <c r="G229" s="9" t="inlineStr"/>
      <c r="H229" s="9" t="inlineStr">
        <is>
          <t>Punho de aríete (Pessoal, Físico): 3d8 + 3 · média 16</t>
        </is>
      </c>
      <c r="I229" s="9" t="inlineStr">
        <is>
          <t xml:space="preserve">Punho de aríete (Pessoal, Físico): </t>
        </is>
      </c>
      <c r="J229" s="9" t="inlineStr">
        <is>
          <t>DANO.e</t>
        </is>
      </c>
      <c r="K229" s="9" t="inlineStr"/>
      <c r="L229" s="9" t="inlineStr">
        <is>
          <t xml:space="preserve"> · média </t>
        </is>
      </c>
      <c r="M229" s="9" t="inlineStr">
        <is>
          <t>DANO.m</t>
        </is>
      </c>
      <c r="N229" s="9" t="inlineStr"/>
      <c r="O229" s="9" t="inlineStr"/>
      <c r="P229" s="9" t="inlineStr"/>
      <c r="Q229" s="9" t="inlineStr"/>
      <c r="R229" s="9" t="inlineStr"/>
      <c r="S229" s="9" t="inlineStr"/>
      <c r="T229" s="9" t="inlineStr"/>
      <c r="U229" s="9" t="inlineStr"/>
    </row>
    <row r="230" ht="82" customHeight="1">
      <c r="A230" s="32" t="inlineStr">
        <is>
          <t>Guarda Pretoriano da Antimatéria|3</t>
        </is>
      </c>
      <c r="B230" s="4" t="inlineStr">
        <is>
          <t>Guarda Pretoriano da Antimatéria</t>
        </is>
      </c>
      <c r="C230" s="4" t="n">
        <v>0</v>
      </c>
      <c r="D230" s="4" t="n">
        <v>3</v>
      </c>
      <c r="E230" s="4" t="inlineStr">
        <is>
          <t>Especial</t>
        </is>
      </c>
      <c r="F230" s="4" t="inlineStr">
        <is>
          <t>Falange</t>
        </is>
      </c>
      <c r="G230" s="4" t="n">
        <v>2</v>
      </c>
      <c r="H230" s="4" t="inlineStr">
        <is>
          <t>Falange (recarga 2 Ciclos): enquanto houver outro Guarda Pretoriano a Distância Pessoal dele, os dois ganham RD 4 até o fim do próximo turno dele.</t>
        </is>
      </c>
      <c r="I230" s="4" t="inlineStr">
        <is>
          <t>Falange (recarga 2 Ciclos): enquanto houver outro Guarda Pretoriano a Distância Pessoal dele, os dois ganham RD 4 até o fim do próximo turno dele.</t>
        </is>
      </c>
      <c r="J230" s="4" t="inlineStr"/>
      <c r="K230" s="4" t="inlineStr"/>
      <c r="L230" s="4" t="inlineStr"/>
      <c r="M230" s="4" t="inlineStr"/>
      <c r="N230" s="4" t="inlineStr"/>
      <c r="O230" s="4" t="inlineStr"/>
      <c r="P230" s="4" t="inlineStr"/>
      <c r="Q230" s="4" t="inlineStr"/>
      <c r="R230" s="4" t="inlineStr"/>
      <c r="S230" s="4" t="inlineStr"/>
      <c r="T230" s="4" t="inlineStr"/>
      <c r="U230" s="4" t="inlineStr"/>
    </row>
    <row r="231" ht="37" customHeight="1">
      <c r="A231" s="33" t="inlineStr">
        <is>
          <t>Escória de Stellaron|1</t>
        </is>
      </c>
      <c r="B231" s="9" t="inlineStr">
        <is>
          <t>Escória de Stellaron</t>
        </is>
      </c>
      <c r="C231" s="9" t="n">
        <v>0</v>
      </c>
      <c r="D231" s="9" t="n">
        <v>1</v>
      </c>
      <c r="E231" s="9" t="inlineStr">
        <is>
          <t>Ataque</t>
        </is>
      </c>
      <c r="F231" s="9" t="inlineStr">
        <is>
          <t>Avalanche curta</t>
        </is>
      </c>
      <c r="G231" s="9" t="inlineStr"/>
      <c r="H231" s="9" t="inlineStr">
        <is>
          <t>Avalanche curta (Curta, Físico): 3d8 + 3 · média 16</t>
        </is>
      </c>
      <c r="I231" s="9" t="inlineStr">
        <is>
          <t xml:space="preserve">Avalanche curta (Curta, Físico): </t>
        </is>
      </c>
      <c r="J231" s="9" t="inlineStr">
        <is>
          <t>DANO.e</t>
        </is>
      </c>
      <c r="K231" s="9" t="inlineStr"/>
      <c r="L231" s="9" t="inlineStr">
        <is>
          <t xml:space="preserve"> · média </t>
        </is>
      </c>
      <c r="M231" s="9" t="inlineStr">
        <is>
          <t>DANO.m</t>
        </is>
      </c>
      <c r="N231" s="9" t="inlineStr"/>
      <c r="O231" s="9" t="inlineStr"/>
      <c r="P231" s="9" t="inlineStr"/>
      <c r="Q231" s="9" t="inlineStr"/>
      <c r="R231" s="9" t="inlineStr"/>
      <c r="S231" s="9" t="inlineStr"/>
      <c r="T231" s="9" t="inlineStr"/>
      <c r="U231" s="9" t="inlineStr"/>
    </row>
    <row r="232" ht="116" customHeight="1">
      <c r="A232" s="32" t="inlineStr">
        <is>
          <t>Escória de Stellaron|2</t>
        </is>
      </c>
      <c r="B232" s="4" t="inlineStr">
        <is>
          <t>Escória de Stellaron</t>
        </is>
      </c>
      <c r="C232" s="4" t="n">
        <v>0</v>
      </c>
      <c r="D232" s="4" t="n">
        <v>2</v>
      </c>
      <c r="E232" s="4" t="inlineStr">
        <is>
          <t>Gatilho</t>
        </is>
      </c>
      <c r="F232" s="4" t="inlineStr">
        <is>
          <t>Dividir</t>
        </is>
      </c>
      <c r="G232" s="4" t="inlineStr"/>
      <c r="H232" s="4" t="inlineStr">
        <is>
          <t>Dividir (quando ela cai a 0 PV, uma vez por Escória): uma Escória de Stellaron nova entra em cena com metade dos PV (78) e sem esta ação especial. Ela entra pela VEL nas casas restantes do Ciclo (capítulo 19).</t>
        </is>
      </c>
      <c r="I232" s="4" t="inlineStr">
        <is>
          <t>Dividir (quando ela cai a 0 PV, uma vez por Escória): uma Escória de Stellaron nova entra em cena com metade dos PV (</t>
        </is>
      </c>
      <c r="J232" s="4" t="inlineStr">
        <is>
          <t>PV</t>
        </is>
      </c>
      <c r="K232" s="4" t="n">
        <v>78</v>
      </c>
      <c r="L232" s="4" t="inlineStr">
        <is>
          <t>) e sem esta ação especial. Ela entra pela VEL nas casas restantes do Ciclo (capítulo 19).</t>
        </is>
      </c>
      <c r="M232" s="4" t="inlineStr"/>
      <c r="N232" s="4" t="inlineStr"/>
      <c r="O232" s="4" t="inlineStr"/>
      <c r="P232" s="4" t="inlineStr"/>
      <c r="Q232" s="4" t="inlineStr"/>
      <c r="R232" s="4" t="inlineStr"/>
      <c r="S232" s="4" t="inlineStr"/>
      <c r="T232" s="4" t="inlineStr"/>
      <c r="U232" s="4" t="inlineStr"/>
    </row>
    <row r="233" ht="37" customHeight="1">
      <c r="A233" s="33" t="inlineStr">
        <is>
          <t>Arcanjo de Ferro-Vazio|1</t>
        </is>
      </c>
      <c r="B233" s="9" t="inlineStr">
        <is>
          <t>Arcanjo de Ferro-Vazio</t>
        </is>
      </c>
      <c r="C233" s="9" t="n">
        <v>0</v>
      </c>
      <c r="D233" s="9" t="n">
        <v>1</v>
      </c>
      <c r="E233" s="9" t="inlineStr">
        <is>
          <t>Ataque</t>
        </is>
      </c>
      <c r="F233" s="9" t="inlineStr">
        <is>
          <t>Varredura de seis lâminas</t>
        </is>
      </c>
      <c r="G233" s="9" t="inlineStr"/>
      <c r="H233" s="9" t="inlineStr">
        <is>
          <t>Varredura de seis lâminas (Curta, Físico): 5d12 · média 32</t>
        </is>
      </c>
      <c r="I233" s="9" t="inlineStr">
        <is>
          <t xml:space="preserve">Varredura de seis lâminas (Curta, Físico): </t>
        </is>
      </c>
      <c r="J233" s="9" t="inlineStr">
        <is>
          <t>DANO.e</t>
        </is>
      </c>
      <c r="K233" s="9" t="inlineStr"/>
      <c r="L233" s="9" t="inlineStr">
        <is>
          <t xml:space="preserve"> · média </t>
        </is>
      </c>
      <c r="M233" s="9" t="inlineStr">
        <is>
          <t>DANO.m</t>
        </is>
      </c>
      <c r="N233" s="9" t="inlineStr"/>
      <c r="O233" s="9" t="inlineStr"/>
      <c r="P233" s="9" t="inlineStr"/>
      <c r="Q233" s="9" t="inlineStr"/>
      <c r="R233" s="9" t="inlineStr"/>
      <c r="S233" s="9" t="inlineStr"/>
      <c r="T233" s="9" t="inlineStr"/>
      <c r="U233" s="9" t="inlineStr"/>
    </row>
    <row r="234" ht="37" customHeight="1">
      <c r="A234" s="32" t="inlineStr">
        <is>
          <t>Arcanjo de Ferro-Vazio|2</t>
        </is>
      </c>
      <c r="B234" s="4" t="inlineStr">
        <is>
          <t>Arcanjo de Ferro-Vazio</t>
        </is>
      </c>
      <c r="C234" s="4" t="n">
        <v>0</v>
      </c>
      <c r="D234" s="4" t="n">
        <v>2</v>
      </c>
      <c r="E234" s="4" t="inlineStr">
        <is>
          <t>Ataque</t>
        </is>
      </c>
      <c r="F234" s="4" t="inlineStr">
        <is>
          <t>Lança de vazio</t>
        </is>
      </c>
      <c r="G234" s="4" t="inlineStr"/>
      <c r="H234" s="4" t="inlineStr">
        <is>
          <t>Lança de vazio (Longa, Quântico): 5d12 · média 32</t>
        </is>
      </c>
      <c r="I234" s="4" t="inlineStr">
        <is>
          <t xml:space="preserve">Lança de vazio (Longa, Quântico): </t>
        </is>
      </c>
      <c r="J234" s="4" t="inlineStr">
        <is>
          <t>DANO.e</t>
        </is>
      </c>
      <c r="K234" s="4" t="inlineStr"/>
      <c r="L234" s="4" t="inlineStr">
        <is>
          <t xml:space="preserve"> · média </t>
        </is>
      </c>
      <c r="M234" s="4" t="inlineStr">
        <is>
          <t>DANO.m</t>
        </is>
      </c>
      <c r="N234" s="4" t="inlineStr"/>
      <c r="O234" s="4" t="inlineStr"/>
      <c r="P234" s="4" t="inlineStr"/>
      <c r="Q234" s="4" t="inlineStr"/>
      <c r="R234" s="4" t="inlineStr"/>
      <c r="S234" s="4" t="inlineStr"/>
      <c r="T234" s="4" t="inlineStr"/>
      <c r="U234" s="4" t="inlineStr"/>
    </row>
    <row r="235" ht="116" customHeight="1">
      <c r="A235" s="33" t="inlineStr">
        <is>
          <t>Arcanjo de Ferro-Vazio|3</t>
        </is>
      </c>
      <c r="B235" s="9" t="inlineStr">
        <is>
          <t>Arcanjo de Ferro-Vazio</t>
        </is>
      </c>
      <c r="C235" s="9" t="n">
        <v>0</v>
      </c>
      <c r="D235" s="9" t="n">
        <v>3</v>
      </c>
      <c r="E235" s="9" t="inlineStr">
        <is>
          <t>Especial</t>
        </is>
      </c>
      <c r="F235" s="9" t="inlineStr">
        <is>
          <t>Negar</t>
        </is>
      </c>
      <c r="G235" s="9" t="n">
        <v>2</v>
      </c>
      <c r="H235" s="9" t="inlineStr">
        <is>
          <t>Negar (recarga 2 Ciclos): um alvo faz Teste de Resistência Mental contra DT 20. Se falhar, fica Silenciado por 1 turno e perde toda a Barreira e todos os PV temporários que tiver (capítulos 15 e 23).</t>
        </is>
      </c>
      <c r="I235" s="9" t="inlineStr">
        <is>
          <t xml:space="preserve">Negar (recarga 2 Ciclos): um alvo faz Teste de Resistência Mental contra DT </t>
        </is>
      </c>
      <c r="J235" s="9" t="inlineStr">
        <is>
          <t>DT</t>
        </is>
      </c>
      <c r="K235" s="9" t="inlineStr"/>
      <c r="L235" s="9" t="inlineStr">
        <is>
          <t>. Se falhar, fica Silenciado por 1 turno e perde toda a Barreira e todos os PV temporários que tiver (capítulos 15 e 23).</t>
        </is>
      </c>
      <c r="M235" s="9" t="inlineStr"/>
      <c r="N235" s="9" t="inlineStr"/>
      <c r="O235" s="9" t="inlineStr"/>
      <c r="P235" s="9" t="inlineStr"/>
      <c r="Q235" s="9" t="inlineStr"/>
      <c r="R235" s="9" t="inlineStr"/>
      <c r="S235" s="9" t="inlineStr"/>
      <c r="T235" s="9" t="inlineStr"/>
      <c r="U235" s="9" t="inlineStr"/>
    </row>
    <row r="236" ht="150" customHeight="1">
      <c r="A236" s="32" t="inlineStr">
        <is>
          <t>Arcanjo de Ferro-Vazio|4</t>
        </is>
      </c>
      <c r="B236" s="4" t="inlineStr">
        <is>
          <t>Arcanjo de Ferro-Vazio</t>
        </is>
      </c>
      <c r="C236" s="4" t="n">
        <v>0</v>
      </c>
      <c r="D236" s="4" t="n">
        <v>4</v>
      </c>
      <c r="E236" s="4" t="inlineStr">
        <is>
          <t>Especial</t>
        </is>
      </c>
      <c r="F236" s="4" t="inlineStr">
        <is>
          <t>Coluna de ferro-vazio</t>
        </is>
      </c>
      <c r="G236" s="4" t="n">
        <v>3</v>
      </c>
      <c r="H236" s="4" t="inlineStr">
        <is>
          <t>Coluna de ferro-vazio (recarga 3 Ciclos): até 3 alvos a até uma Distância um do outro fazem Teste de Reflexos contra DT 20. Quem falha recebe 7d12 + 3 · média 48 de dano Quântico e Embaraço com 2 acúmulos; quem passa recebe metade do dano e nenhum Embaraço.</t>
        </is>
      </c>
      <c r="I236" s="4" t="inlineStr">
        <is>
          <t xml:space="preserve">Coluna de ferro-vazio (recarga 3 Ciclos): até 3 alvos a até uma Distância um do outro fazem Teste de Reflexos contra DT </t>
        </is>
      </c>
      <c r="J236" s="4" t="inlineStr">
        <is>
          <t>DT</t>
        </is>
      </c>
      <c r="K236" s="4" t="inlineStr"/>
      <c r="L236" s="4" t="inlineStr">
        <is>
          <t xml:space="preserve">. Quem falha recebe </t>
        </is>
      </c>
      <c r="M236" s="4" t="inlineStr">
        <is>
          <t>DANO15.e</t>
        </is>
      </c>
      <c r="N236" s="4" t="inlineStr"/>
      <c r="O236" s="4" t="inlineStr">
        <is>
          <t xml:space="preserve"> · média </t>
        </is>
      </c>
      <c r="P236" s="4" t="inlineStr">
        <is>
          <t>DANO15.m</t>
        </is>
      </c>
      <c r="Q236" s="4" t="inlineStr"/>
      <c r="R236" s="4" t="inlineStr">
        <is>
          <t xml:space="preserve"> de dano Quântico e Embaraço com 2 acúmulos; quem passa recebe metade do dano e nenhum Embaraço.</t>
        </is>
      </c>
      <c r="S236" s="4" t="inlineStr"/>
      <c r="T236" s="4" t="inlineStr"/>
      <c r="U236" s="4" t="inlineStr"/>
    </row>
    <row r="237" ht="71" customHeight="1">
      <c r="A237" s="33" t="inlineStr">
        <is>
          <t>Arauto da Tempestade Vazia|1</t>
        </is>
      </c>
      <c r="B237" s="9" t="inlineStr">
        <is>
          <t>Arauto da Tempestade Vazia</t>
        </is>
      </c>
      <c r="C237" s="9" t="n">
        <v>0</v>
      </c>
      <c r="D237" s="9" t="n">
        <v>1</v>
      </c>
      <c r="E237" s="9" t="inlineStr">
        <is>
          <t>Ataque</t>
        </is>
      </c>
      <c r="F237" s="9" t="inlineStr">
        <is>
          <t>Sopro de ausência</t>
        </is>
      </c>
      <c r="G237" s="9" t="inlineStr"/>
      <c r="H237" s="9" t="inlineStr">
        <is>
          <t>Sopro de ausência (Média, Vento): 5d12 · média 32, e o alvo recebe Cisalhamento de Vento com 1 acúmulo</t>
        </is>
      </c>
      <c r="I237" s="9" t="inlineStr">
        <is>
          <t xml:space="preserve">Sopro de ausência (Média, Vento): </t>
        </is>
      </c>
      <c r="J237" s="9" t="inlineStr">
        <is>
          <t>DANO.e</t>
        </is>
      </c>
      <c r="K237" s="9" t="inlineStr"/>
      <c r="L237" s="9" t="inlineStr">
        <is>
          <t xml:space="preserve"> · média </t>
        </is>
      </c>
      <c r="M237" s="9" t="inlineStr">
        <is>
          <t>DANO.m</t>
        </is>
      </c>
      <c r="N237" s="9" t="inlineStr"/>
      <c r="O237" s="9" t="inlineStr">
        <is>
          <t>, e o alvo recebe Cisalhamento de Vento com 1 acúmulo</t>
        </is>
      </c>
      <c r="P237" s="9" t="inlineStr"/>
      <c r="Q237" s="9" t="inlineStr"/>
      <c r="R237" s="9" t="inlineStr"/>
      <c r="S237" s="9" t="inlineStr"/>
      <c r="T237" s="9" t="inlineStr"/>
      <c r="U237" s="9" t="inlineStr"/>
    </row>
    <row r="238" ht="37" customHeight="1">
      <c r="A238" s="32" t="inlineStr">
        <is>
          <t>Arauto da Tempestade Vazia|2</t>
        </is>
      </c>
      <c r="B238" s="4" t="inlineStr">
        <is>
          <t>Arauto da Tempestade Vazia</t>
        </is>
      </c>
      <c r="C238" s="4" t="n">
        <v>0</v>
      </c>
      <c r="D238" s="4" t="n">
        <v>2</v>
      </c>
      <c r="E238" s="4" t="inlineStr">
        <is>
          <t>Ataque</t>
        </is>
      </c>
      <c r="F238" s="4" t="inlineStr">
        <is>
          <t>Mão aberta</t>
        </is>
      </c>
      <c r="G238" s="4" t="inlineStr"/>
      <c r="H238" s="4" t="inlineStr">
        <is>
          <t>Mão aberta (Pessoal, Imaginário): 5d12 · média 32</t>
        </is>
      </c>
      <c r="I238" s="4" t="inlineStr">
        <is>
          <t xml:space="preserve">Mão aberta (Pessoal, Imaginário): </t>
        </is>
      </c>
      <c r="J238" s="4" t="inlineStr">
        <is>
          <t>DANO.e</t>
        </is>
      </c>
      <c r="K238" s="4" t="inlineStr"/>
      <c r="L238" s="4" t="inlineStr">
        <is>
          <t xml:space="preserve"> · média </t>
        </is>
      </c>
      <c r="M238" s="4" t="inlineStr">
        <is>
          <t>DANO.m</t>
        </is>
      </c>
      <c r="N238" s="4" t="inlineStr"/>
      <c r="O238" s="4" t="inlineStr"/>
      <c r="P238" s="4" t="inlineStr"/>
      <c r="Q238" s="4" t="inlineStr"/>
      <c r="R238" s="4" t="inlineStr"/>
      <c r="S238" s="4" t="inlineStr"/>
      <c r="T238" s="4" t="inlineStr"/>
      <c r="U238" s="4" t="inlineStr"/>
    </row>
    <row r="239" ht="105" customHeight="1">
      <c r="A239" s="33" t="inlineStr">
        <is>
          <t>Arauto da Tempestade Vazia|3</t>
        </is>
      </c>
      <c r="B239" s="9" t="inlineStr">
        <is>
          <t>Arauto da Tempestade Vazia</t>
        </is>
      </c>
      <c r="C239" s="9" t="n">
        <v>0</v>
      </c>
      <c r="D239" s="9" t="n">
        <v>3</v>
      </c>
      <c r="E239" s="9" t="inlineStr">
        <is>
          <t>Especial</t>
        </is>
      </c>
      <c r="F239" s="9" t="inlineStr">
        <is>
          <t>Rasgar a frase</t>
        </is>
      </c>
      <c r="G239" s="9" t="n">
        <v>2</v>
      </c>
      <c r="H239" s="9" t="inlineStr">
        <is>
          <t>Rasgar a frase (recarga 2 Ciclos): até 3 alvos fazem Teste de Força de Vontade contra DT 20. Quem falha recebe Sangramento por 2 turnos e Vulnerável por 2 turnos. Sem dano direto.</t>
        </is>
      </c>
      <c r="I239" s="9" t="inlineStr">
        <is>
          <t xml:space="preserve">Rasgar a frase (recarga 2 Ciclos): até 3 alvos fazem Teste de Força de Vontade contra DT </t>
        </is>
      </c>
      <c r="J239" s="9" t="inlineStr">
        <is>
          <t>DT</t>
        </is>
      </c>
      <c r="K239" s="9" t="inlineStr"/>
      <c r="L239" s="9" t="inlineStr">
        <is>
          <t>. Quem falha recebe Sangramento por 2 turnos e Vulnerável por 2 turnos. Sem dano direto.</t>
        </is>
      </c>
      <c r="M239" s="9" t="inlineStr"/>
      <c r="N239" s="9" t="inlineStr"/>
      <c r="O239" s="9" t="inlineStr"/>
      <c r="P239" s="9" t="inlineStr"/>
      <c r="Q239" s="9" t="inlineStr"/>
      <c r="R239" s="9" t="inlineStr"/>
      <c r="S239" s="9" t="inlineStr"/>
      <c r="T239" s="9" t="inlineStr"/>
      <c r="U239" s="9" t="inlineStr"/>
    </row>
    <row r="240" ht="138" customHeight="1">
      <c r="A240" s="32" t="inlineStr">
        <is>
          <t>Arauto da Tempestade Vazia|4</t>
        </is>
      </c>
      <c r="B240" s="4" t="inlineStr">
        <is>
          <t>Arauto da Tempestade Vazia</t>
        </is>
      </c>
      <c r="C240" s="4" t="n">
        <v>0</v>
      </c>
      <c r="D240" s="4" t="n">
        <v>4</v>
      </c>
      <c r="E240" s="4" t="inlineStr">
        <is>
          <t>Especial</t>
        </is>
      </c>
      <c r="F240" s="4" t="inlineStr">
        <is>
          <t>Tempestade</t>
        </is>
      </c>
      <c r="G240" s="4" t="n">
        <v>3</v>
      </c>
      <c r="H240" s="4" t="inlineStr">
        <is>
          <t>Tempestade (recarga 3 Ciclos): até 3 alvos a até uma Distância um do outro fazem Teste de Reflexos contra DT 20. Quem falha recebe 7d12 + 3 · média 48 de dano Vento e Cisalhamento de Vento com 3 acúmulos; quem passa recebe metade do dano e 1 acúmulo.</t>
        </is>
      </c>
      <c r="I240" s="4" t="inlineStr">
        <is>
          <t xml:space="preserve">Tempestade (recarga 3 Ciclos): até 3 alvos a até uma Distância um do outro fazem Teste de Reflexos contra DT </t>
        </is>
      </c>
      <c r="J240" s="4" t="inlineStr">
        <is>
          <t>DT</t>
        </is>
      </c>
      <c r="K240" s="4" t="inlineStr"/>
      <c r="L240" s="4" t="inlineStr">
        <is>
          <t xml:space="preserve">. Quem falha recebe </t>
        </is>
      </c>
      <c r="M240" s="4" t="inlineStr">
        <is>
          <t>DANO15.e</t>
        </is>
      </c>
      <c r="N240" s="4" t="inlineStr"/>
      <c r="O240" s="4" t="inlineStr">
        <is>
          <t xml:space="preserve"> · média </t>
        </is>
      </c>
      <c r="P240" s="4" t="inlineStr">
        <is>
          <t>DANO15.m</t>
        </is>
      </c>
      <c r="Q240" s="4" t="inlineStr"/>
      <c r="R240" s="4" t="inlineStr">
        <is>
          <t xml:space="preserve"> de dano Vento e Cisalhamento de Vento com 3 acúmulos; quem passa recebe metade do dano e 1 acúmulo.</t>
        </is>
      </c>
      <c r="S240" s="4" t="inlineStr"/>
      <c r="T240" s="4" t="inlineStr"/>
      <c r="U240" s="4" t="inlineStr"/>
    </row>
    <row r="241" ht="37" customHeight="1">
      <c r="A241" s="33" t="inlineStr">
        <is>
          <t>O Germe de Pavor|1</t>
        </is>
      </c>
      <c r="B241" s="9" t="inlineStr">
        <is>
          <t>O Germe de Pavor</t>
        </is>
      </c>
      <c r="C241" s="9" t="n">
        <v>1</v>
      </c>
      <c r="D241" s="9" t="n">
        <v>1</v>
      </c>
      <c r="E241" s="9" t="inlineStr">
        <is>
          <t>Ataque</t>
        </is>
      </c>
      <c r="F241" s="9" t="inlineStr">
        <is>
          <t>Costela do chão</t>
        </is>
      </c>
      <c r="G241" s="9" t="inlineStr"/>
      <c r="H241" s="9" t="inlineStr">
        <is>
          <t>Costela do chão (Curta, Físico): 7d12 + 3 · média 48</t>
        </is>
      </c>
      <c r="I241" s="9" t="inlineStr">
        <is>
          <t xml:space="preserve">Costela do chão (Curta, Físico): </t>
        </is>
      </c>
      <c r="J241" s="9" t="inlineStr">
        <is>
          <t>DANO.e</t>
        </is>
      </c>
      <c r="K241" s="9" t="inlineStr"/>
      <c r="L241" s="9" t="inlineStr">
        <is>
          <t xml:space="preserve"> · média </t>
        </is>
      </c>
      <c r="M241" s="9" t="inlineStr">
        <is>
          <t>DANO.m</t>
        </is>
      </c>
      <c r="N241" s="9" t="inlineStr"/>
      <c r="O241" s="9" t="inlineStr"/>
      <c r="P241" s="9" t="inlineStr"/>
      <c r="Q241" s="9" t="inlineStr"/>
      <c r="R241" s="9" t="inlineStr"/>
      <c r="S241" s="9" t="inlineStr"/>
      <c r="T241" s="9" t="inlineStr"/>
      <c r="U241" s="9" t="inlineStr"/>
    </row>
    <row r="242" ht="37" customHeight="1">
      <c r="A242" s="32" t="inlineStr">
        <is>
          <t>O Germe de Pavor|2</t>
        </is>
      </c>
      <c r="B242" s="4" t="inlineStr">
        <is>
          <t>O Germe de Pavor</t>
        </is>
      </c>
      <c r="C242" s="4" t="n">
        <v>1</v>
      </c>
      <c r="D242" s="4" t="n">
        <v>2</v>
      </c>
      <c r="E242" s="4" t="inlineStr">
        <is>
          <t>Ataque</t>
        </is>
      </c>
      <c r="F242" s="4" t="inlineStr">
        <is>
          <t>Vomitar escória</t>
        </is>
      </c>
      <c r="G242" s="4" t="inlineStr"/>
      <c r="H242" s="4" t="inlineStr">
        <is>
          <t>Vomitar escória (Longa, Físico): 7d12 + 3 · média 48</t>
        </is>
      </c>
      <c r="I242" s="4" t="inlineStr">
        <is>
          <t xml:space="preserve">Vomitar escória (Longa, Físico): </t>
        </is>
      </c>
      <c r="J242" s="4" t="inlineStr">
        <is>
          <t>DANO.e</t>
        </is>
      </c>
      <c r="K242" s="4" t="inlineStr"/>
      <c r="L242" s="4" t="inlineStr">
        <is>
          <t xml:space="preserve"> · média </t>
        </is>
      </c>
      <c r="M242" s="4" t="inlineStr">
        <is>
          <t>DANO.m</t>
        </is>
      </c>
      <c r="N242" s="4" t="inlineStr"/>
      <c r="O242" s="4" t="inlineStr"/>
      <c r="P242" s="4" t="inlineStr"/>
      <c r="Q242" s="4" t="inlineStr"/>
      <c r="R242" s="4" t="inlineStr"/>
      <c r="S242" s="4" t="inlineStr"/>
      <c r="T242" s="4" t="inlineStr"/>
      <c r="U242" s="4" t="inlineStr"/>
    </row>
    <row r="243" ht="71" customHeight="1">
      <c r="A243" s="33" t="inlineStr">
        <is>
          <t>O Germe de Pavor|3</t>
        </is>
      </c>
      <c r="B243" s="9" t="inlineStr">
        <is>
          <t>O Germe de Pavor</t>
        </is>
      </c>
      <c r="C243" s="9" t="n">
        <v>1</v>
      </c>
      <c r="D243" s="9" t="n">
        <v>3</v>
      </c>
      <c r="E243" s="9" t="inlineStr">
        <is>
          <t>Especial</t>
        </is>
      </c>
      <c r="F243" s="9" t="inlineStr">
        <is>
          <t>Parto falso</t>
        </is>
      </c>
      <c r="G243" s="9" t="n">
        <v>3</v>
      </c>
      <c r="H243" s="9" t="inlineStr">
        <is>
          <t>Parto falso (recarga 3 Ciclos; ocupa uma das 2 ações do turno): 2 Escórias de Stellaron entram em cena, sem a ação especial Dividir.</t>
        </is>
      </c>
      <c r="I243" s="9" t="inlineStr">
        <is>
          <t>Parto falso (recarga 3 Ciclos; ocupa uma das 2 ações do turno): 2 Escórias de Stellaron entram em cena, sem a ação especial Dividir.</t>
        </is>
      </c>
      <c r="J243" s="9" t="inlineStr"/>
      <c r="K243" s="9" t="inlineStr"/>
      <c r="L243" s="9" t="inlineStr"/>
      <c r="M243" s="9" t="inlineStr"/>
      <c r="N243" s="9" t="inlineStr"/>
      <c r="O243" s="9" t="inlineStr"/>
      <c r="P243" s="9" t="inlineStr"/>
      <c r="Q243" s="9" t="inlineStr"/>
      <c r="R243" s="9" t="inlineStr"/>
      <c r="S243" s="9" t="inlineStr"/>
      <c r="T243" s="9" t="inlineStr"/>
      <c r="U243" s="9" t="inlineStr"/>
    </row>
    <row r="244" ht="37" customHeight="1">
      <c r="A244" s="32" t="inlineStr">
        <is>
          <t>O Germe de Pavor|4</t>
        </is>
      </c>
      <c r="B244" s="4" t="inlineStr">
        <is>
          <t>O Germe de Pavor</t>
        </is>
      </c>
      <c r="C244" s="4" t="n">
        <v>2</v>
      </c>
      <c r="D244" s="4" t="n">
        <v>4</v>
      </c>
      <c r="E244" s="4" t="inlineStr">
        <is>
          <t>Ataque</t>
        </is>
      </c>
      <c r="F244" s="4" t="inlineStr">
        <is>
          <t>Costela do chão</t>
        </is>
      </c>
      <c r="G244" s="4" t="inlineStr"/>
      <c r="H244" s="4" t="inlineStr">
        <is>
          <t>Costela do chão (Curta, Físico): 7d12 + 3 · média 48</t>
        </is>
      </c>
      <c r="I244" s="4" t="inlineStr">
        <is>
          <t xml:space="preserve">Costela do chão (Curta, Físico): </t>
        </is>
      </c>
      <c r="J244" s="4" t="inlineStr">
        <is>
          <t>DANO.e</t>
        </is>
      </c>
      <c r="K244" s="4" t="inlineStr"/>
      <c r="L244" s="4" t="inlineStr">
        <is>
          <t xml:space="preserve"> · média </t>
        </is>
      </c>
      <c r="M244" s="4" t="inlineStr">
        <is>
          <t>DANO.m</t>
        </is>
      </c>
      <c r="N244" s="4" t="inlineStr"/>
      <c r="O244" s="4" t="inlineStr"/>
      <c r="P244" s="4" t="inlineStr"/>
      <c r="Q244" s="4" t="inlineStr"/>
      <c r="R244" s="4" t="inlineStr"/>
      <c r="S244" s="4" t="inlineStr"/>
      <c r="T244" s="4" t="inlineStr"/>
      <c r="U244" s="4" t="inlineStr"/>
    </row>
    <row r="245" ht="138" customHeight="1">
      <c r="A245" s="33" t="inlineStr">
        <is>
          <t>O Germe de Pavor|5</t>
        </is>
      </c>
      <c r="B245" s="9" t="inlineStr">
        <is>
          <t>O Germe de Pavor</t>
        </is>
      </c>
      <c r="C245" s="9" t="n">
        <v>2</v>
      </c>
      <c r="D245" s="9" t="n">
        <v>5</v>
      </c>
      <c r="E245" s="9" t="inlineStr">
        <is>
          <t>Especial</t>
        </is>
      </c>
      <c r="F245" s="9" t="inlineStr">
        <is>
          <t>Tomar emprestado</t>
        </is>
      </c>
      <c r="G245" s="9" t="n">
        <v>0</v>
      </c>
      <c r="H245" s="9" t="inlineStr">
        <is>
          <t>Tomar emprestado (ação especial, sem recarga): um alvo faz Teste de Força de Vontade contra DT 21. Se falhar, fica Controlado por 1 turno (capítulo 21). Se passar, recebe 7d12 + 3 · 48 de dano Imaginário. Nunca os dois.</t>
        </is>
      </c>
      <c r="I245" s="9" t="inlineStr">
        <is>
          <t xml:space="preserve">Tomar emprestado (ação especial, sem recarga): um alvo faz Teste de Força de Vontade contra DT </t>
        </is>
      </c>
      <c r="J245" s="9" t="inlineStr">
        <is>
          <t>DT</t>
        </is>
      </c>
      <c r="K245" s="9" t="inlineStr"/>
      <c r="L245" s="9" t="inlineStr">
        <is>
          <t xml:space="preserve">. Se falhar, fica Controlado por 1 turno (capítulo 21). Se passar, recebe </t>
        </is>
      </c>
      <c r="M245" s="9" t="inlineStr">
        <is>
          <t>DANO.e</t>
        </is>
      </c>
      <c r="N245" s="9" t="inlineStr"/>
      <c r="O245" s="9" t="inlineStr">
        <is>
          <t xml:space="preserve"> · </t>
        </is>
      </c>
      <c r="P245" s="9" t="inlineStr">
        <is>
          <t>DANO.m</t>
        </is>
      </c>
      <c r="Q245" s="9" t="inlineStr"/>
      <c r="R245" s="9" t="inlineStr">
        <is>
          <t xml:space="preserve"> de dano Imaginário. Nunca os dois.</t>
        </is>
      </c>
      <c r="S245" s="9" t="inlineStr"/>
      <c r="T245" s="9" t="inlineStr"/>
      <c r="U245" s="9" t="inlineStr"/>
    </row>
    <row r="246" ht="150" customHeight="1">
      <c r="A246" s="32" t="inlineStr">
        <is>
          <t>O Germe de Pavor|6</t>
        </is>
      </c>
      <c r="B246" s="4" t="inlineStr">
        <is>
          <t>O Germe de Pavor</t>
        </is>
      </c>
      <c r="C246" s="4" t="n">
        <v>3</v>
      </c>
      <c r="D246" s="4" t="n">
        <v>6</v>
      </c>
      <c r="E246" s="4" t="inlineStr">
        <is>
          <t>Especial</t>
        </is>
      </c>
      <c r="F246" s="4" t="inlineStr">
        <is>
          <t>Primeira respiração</t>
        </is>
      </c>
      <c r="G246" s="4" t="inlineStr"/>
      <c r="H246" s="4" t="inlineStr">
        <is>
          <t>Primeira respiração (área, Quântico): todos os personagens a até uma Distância um do outro, até 3, fazem Teste de Resistência Física contra DT 21. Quem falha recebe 7d12 + 3 · 48 de dano Quântico e Embaraço com 1 acúmulo; quem passa recebe metade do dano e nada mais.</t>
        </is>
      </c>
      <c r="I246" s="4" t="inlineStr">
        <is>
          <t xml:space="preserve">Primeira respiração (área, Quântico): todos os personagens a até uma Distância um do outro, até 3, fazem Teste de Resistência Física contra DT </t>
        </is>
      </c>
      <c r="J246" s="4" t="inlineStr">
        <is>
          <t>DT</t>
        </is>
      </c>
      <c r="K246" s="4" t="inlineStr"/>
      <c r="L246" s="4" t="inlineStr">
        <is>
          <t xml:space="preserve">. Quem falha recebe </t>
        </is>
      </c>
      <c r="M246" s="4" t="inlineStr">
        <is>
          <t>DANO.e</t>
        </is>
      </c>
      <c r="N246" s="4" t="inlineStr"/>
      <c r="O246" s="4" t="inlineStr">
        <is>
          <t xml:space="preserve"> · </t>
        </is>
      </c>
      <c r="P246" s="4" t="inlineStr">
        <is>
          <t>DANO.m</t>
        </is>
      </c>
      <c r="Q246" s="4" t="inlineStr"/>
      <c r="R246" s="4" t="inlineStr">
        <is>
          <t xml:space="preserve"> de dano Quântico e Embaraço com 1 acúmulo; quem passa recebe metade do dano e nada mais.</t>
        </is>
      </c>
      <c r="S246" s="4" t="inlineStr"/>
      <c r="T246" s="4" t="inlineStr"/>
      <c r="U246" s="4" t="inlineStr"/>
    </row>
    <row r="247" ht="206" customHeight="1">
      <c r="A247" s="33" t="inlineStr">
        <is>
          <t>O Germe de Pavor|7</t>
        </is>
      </c>
      <c r="B247" s="9" t="inlineStr">
        <is>
          <t>O Germe de Pavor</t>
        </is>
      </c>
      <c r="C247" s="9" t="n">
        <v>3</v>
      </c>
      <c r="D247" s="9" t="n">
        <v>7</v>
      </c>
      <c r="E247" s="9" t="inlineStr">
        <is>
          <t>Gatilho</t>
        </is>
      </c>
      <c r="F247" s="9" t="inlineStr">
        <is>
          <t>Sem desfecho</t>
        </is>
      </c>
      <c r="G247" s="9" t="inlineStr"/>
      <c r="H247" s="9" t="inlineStr">
        <is>
          <t>Sem desfecho (1 vez por combate, quando ele chega a 100 PV ou menos; ocupa a ação do turno): todos os personagens de pé fazem Teste de Força de Vontade contra DT 21. Quem falha recebe 10d12 + 7 · média 72 de dano Imaginário; quem passa recebe metade. Esta é a única ação do bestiário que pega a mesa inteira sem limite de alvos, e ela sai uma vez, perto do fim.</t>
        </is>
      </c>
      <c r="I247" s="9" t="inlineStr">
        <is>
          <t xml:space="preserve">Sem desfecho (1 vez por combate, quando ele chega a </t>
        </is>
      </c>
      <c r="J247" s="9" t="inlineStr">
        <is>
          <t>PV</t>
        </is>
      </c>
      <c r="K247" s="9" t="n">
        <v>100</v>
      </c>
      <c r="L247" s="9" t="inlineStr">
        <is>
          <t xml:space="preserve"> PV ou menos; ocupa a ação do turno): todos os personagens de pé fazem Teste de Força de Vontade contra DT </t>
        </is>
      </c>
      <c r="M247" s="9" t="inlineStr">
        <is>
          <t>DT</t>
        </is>
      </c>
      <c r="N247" s="9" t="inlineStr"/>
      <c r="O247" s="9" t="inlineStr">
        <is>
          <t xml:space="preserve">. Quem falha recebe </t>
        </is>
      </c>
      <c r="P247" s="9" t="inlineStr">
        <is>
          <t>DANO15.e</t>
        </is>
      </c>
      <c r="Q247" s="9" t="inlineStr"/>
      <c r="R247" s="9" t="inlineStr">
        <is>
          <t xml:space="preserve"> · média </t>
        </is>
      </c>
      <c r="S247" s="9" t="inlineStr">
        <is>
          <t>DANO15.m</t>
        </is>
      </c>
      <c r="T247" s="9" t="inlineStr"/>
      <c r="U247" s="9" t="inlineStr">
        <is>
          <t xml:space="preserve"> de dano Imaginário; quem passa recebe metade. Esta é a única ação do bestiário que pega a mesa inteira sem limite de alvos, e ela sai uma vez, perto do fim.</t>
        </is>
      </c>
    </row>
    <row r="248" ht="37" customHeight="1">
      <c r="A248" s="32" t="inlineStr">
        <is>
          <t>Vazia Coroada|1</t>
        </is>
      </c>
      <c r="B248" s="4" t="inlineStr">
        <is>
          <t>Vazia Coroada</t>
        </is>
      </c>
      <c r="C248" s="4" t="n">
        <v>1</v>
      </c>
      <c r="D248" s="4" t="n">
        <v>1</v>
      </c>
      <c r="E248" s="4" t="inlineStr">
        <is>
          <t>Ataque</t>
        </is>
      </c>
      <c r="F248" s="4" t="inlineStr">
        <is>
          <t>Gesto de dispensa</t>
        </is>
      </c>
      <c r="G248" s="4" t="inlineStr"/>
      <c r="H248" s="4" t="inlineStr">
        <is>
          <t>Gesto de dispensa (Longa, Imaginário): 7d12 + 3 · média 48</t>
        </is>
      </c>
      <c r="I248" s="4" t="inlineStr">
        <is>
          <t xml:space="preserve">Gesto de dispensa (Longa, Imaginário): </t>
        </is>
      </c>
      <c r="J248" s="4" t="inlineStr">
        <is>
          <t>DANO.e</t>
        </is>
      </c>
      <c r="K248" s="4" t="inlineStr"/>
      <c r="L248" s="4" t="inlineStr">
        <is>
          <t xml:space="preserve"> · média </t>
        </is>
      </c>
      <c r="M248" s="4" t="inlineStr">
        <is>
          <t>DANO.m</t>
        </is>
      </c>
      <c r="N248" s="4" t="inlineStr"/>
      <c r="O248" s="4" t="inlineStr"/>
      <c r="P248" s="4" t="inlineStr"/>
      <c r="Q248" s="4" t="inlineStr"/>
      <c r="R248" s="4" t="inlineStr"/>
      <c r="S248" s="4" t="inlineStr"/>
      <c r="T248" s="4" t="inlineStr"/>
      <c r="U248" s="4" t="inlineStr"/>
    </row>
    <row r="249" ht="37" customHeight="1">
      <c r="A249" s="33" t="inlineStr">
        <is>
          <t>Vazia Coroada|2</t>
        </is>
      </c>
      <c r="B249" s="9" t="inlineStr">
        <is>
          <t>Vazia Coroada</t>
        </is>
      </c>
      <c r="C249" s="9" t="n">
        <v>1</v>
      </c>
      <c r="D249" s="9" t="n">
        <v>2</v>
      </c>
      <c r="E249" s="9" t="inlineStr">
        <is>
          <t>Ataque</t>
        </is>
      </c>
      <c r="F249" s="9" t="inlineStr">
        <is>
          <t>Coroa descendo</t>
        </is>
      </c>
      <c r="G249" s="9" t="inlineStr"/>
      <c r="H249" s="9" t="inlineStr">
        <is>
          <t>Coroa descendo (Pessoal, Físico): 7d12 + 3 · média 48</t>
        </is>
      </c>
      <c r="I249" s="9" t="inlineStr">
        <is>
          <t xml:space="preserve">Coroa descendo (Pessoal, Físico): </t>
        </is>
      </c>
      <c r="J249" s="9" t="inlineStr">
        <is>
          <t>DANO.e</t>
        </is>
      </c>
      <c r="K249" s="9" t="inlineStr"/>
      <c r="L249" s="9" t="inlineStr">
        <is>
          <t xml:space="preserve"> · média </t>
        </is>
      </c>
      <c r="M249" s="9" t="inlineStr">
        <is>
          <t>DANO.m</t>
        </is>
      </c>
      <c r="N249" s="9" t="inlineStr"/>
      <c r="O249" s="9" t="inlineStr"/>
      <c r="P249" s="9" t="inlineStr"/>
      <c r="Q249" s="9" t="inlineStr"/>
      <c r="R249" s="9" t="inlineStr"/>
      <c r="S249" s="9" t="inlineStr"/>
      <c r="T249" s="9" t="inlineStr"/>
      <c r="U249" s="9" t="inlineStr"/>
    </row>
    <row r="250" ht="138" customHeight="1">
      <c r="A250" s="32" t="inlineStr">
        <is>
          <t>Vazia Coroada|3</t>
        </is>
      </c>
      <c r="B250" s="4" t="inlineStr">
        <is>
          <t>Vazia Coroada</t>
        </is>
      </c>
      <c r="C250" s="4" t="n">
        <v>1</v>
      </c>
      <c r="D250" s="4" t="n">
        <v>3</v>
      </c>
      <c r="E250" s="4" t="inlineStr">
        <is>
          <t>Especial</t>
        </is>
      </c>
      <c r="F250" s="4" t="inlineStr">
        <is>
          <t>Concordância</t>
        </is>
      </c>
      <c r="G250" s="4" t="n">
        <v>2</v>
      </c>
      <c r="H250" s="4" t="inlineStr">
        <is>
          <t>Concordância (recarga 2 Ciclos; ocupa uma das 2 ações do turno): um alvo faz Teste de Força de Vontade contra DT 21. Se falhar, recebe Corrupção com 3 acúmulos (capítulo 21) e Vulnerável por 2 turnos. Sem dano direto.</t>
        </is>
      </c>
      <c r="I250" s="4" t="inlineStr">
        <is>
          <t xml:space="preserve">Concordância (recarga 2 Ciclos; ocupa uma das 2 ações do turno): um alvo faz Teste de Força de Vontade contra DT </t>
        </is>
      </c>
      <c r="J250" s="4" t="inlineStr">
        <is>
          <t>DT</t>
        </is>
      </c>
      <c r="K250" s="4" t="inlineStr"/>
      <c r="L250" s="4" t="inlineStr">
        <is>
          <t>. Se falhar, recebe Corrupção com 3 acúmulos (capítulo 21) e Vulnerável por 2 turnos. Sem dano direto.</t>
        </is>
      </c>
      <c r="M250" s="4" t="inlineStr"/>
      <c r="N250" s="4" t="inlineStr"/>
      <c r="O250" s="4" t="inlineStr"/>
      <c r="P250" s="4" t="inlineStr"/>
      <c r="Q250" s="4" t="inlineStr"/>
      <c r="R250" s="4" t="inlineStr"/>
      <c r="S250" s="4" t="inlineStr"/>
      <c r="T250" s="4" t="inlineStr"/>
      <c r="U250" s="4" t="inlineStr"/>
    </row>
    <row r="251" ht="150" customHeight="1">
      <c r="A251" s="33" t="inlineStr">
        <is>
          <t>Vazia Coroada|4</t>
        </is>
      </c>
      <c r="B251" s="9" t="inlineStr">
        <is>
          <t>Vazia Coroada</t>
        </is>
      </c>
      <c r="C251" s="9" t="n">
        <v>1</v>
      </c>
      <c r="D251" s="9" t="n">
        <v>4</v>
      </c>
      <c r="E251" s="9" t="inlineStr">
        <is>
          <t>Especial</t>
        </is>
      </c>
      <c r="F251" s="9" t="inlineStr">
        <is>
          <t>Nada disso importou</t>
        </is>
      </c>
      <c r="G251" s="9" t="n">
        <v>3</v>
      </c>
      <c r="H251" s="9" t="inlineStr">
        <is>
          <t>Nada disso importou (recarga 3 Ciclos; ocupa uma das 2 ações do turno): até 3 alvos fazem Teste de Resistência Mental contra DT 21. Quem falha recebe 7d12 + 3 · 48 de dano Imaginário e Silenciado por 1 turno; quem passa recebe metade do dano.</t>
        </is>
      </c>
      <c r="I251" s="9" t="inlineStr">
        <is>
          <t xml:space="preserve">Nada disso importou (recarga 3 Ciclos; ocupa uma das 2 ações do turno): até 3 alvos fazem Teste de Resistência Mental contra DT </t>
        </is>
      </c>
      <c r="J251" s="9" t="inlineStr">
        <is>
          <t>DT</t>
        </is>
      </c>
      <c r="K251" s="9" t="inlineStr"/>
      <c r="L251" s="9" t="inlineStr">
        <is>
          <t xml:space="preserve">. Quem falha recebe </t>
        </is>
      </c>
      <c r="M251" s="9" t="inlineStr">
        <is>
          <t>DANO.e</t>
        </is>
      </c>
      <c r="N251" s="9" t="inlineStr"/>
      <c r="O251" s="9" t="inlineStr">
        <is>
          <t xml:space="preserve"> · </t>
        </is>
      </c>
      <c r="P251" s="9" t="inlineStr">
        <is>
          <t>DANO.m</t>
        </is>
      </c>
      <c r="Q251" s="9" t="inlineStr"/>
      <c r="R251" s="9" t="inlineStr">
        <is>
          <t xml:space="preserve"> de dano Imaginário e Silenciado por 1 turno; quem passa recebe metade do dano.</t>
        </is>
      </c>
      <c r="S251" s="9" t="inlineStr"/>
      <c r="T251" s="9" t="inlineStr"/>
      <c r="U251" s="9" t="inlineStr"/>
    </row>
    <row r="252" ht="37" customHeight="1">
      <c r="A252" s="32" t="inlineStr">
        <is>
          <t>Vazia Coroada|5</t>
        </is>
      </c>
      <c r="B252" s="4" t="inlineStr">
        <is>
          <t>Vazia Coroada</t>
        </is>
      </c>
      <c r="C252" s="4" t="n">
        <v>2</v>
      </c>
      <c r="D252" s="4" t="n">
        <v>5</v>
      </c>
      <c r="E252" s="4" t="inlineStr">
        <is>
          <t>Ataque</t>
        </is>
      </c>
      <c r="F252" s="4" t="inlineStr">
        <is>
          <t>Coroa descendo</t>
        </is>
      </c>
      <c r="G252" s="4" t="inlineStr"/>
      <c r="H252" s="4" t="inlineStr">
        <is>
          <t>Coroa descendo (Pessoal, Físico): 7d12 + 3 · média 48</t>
        </is>
      </c>
      <c r="I252" s="4" t="inlineStr">
        <is>
          <t xml:space="preserve">Coroa descendo (Pessoal, Físico): </t>
        </is>
      </c>
      <c r="J252" s="4" t="inlineStr">
        <is>
          <t>DANO.e</t>
        </is>
      </c>
      <c r="K252" s="4" t="inlineStr"/>
      <c r="L252" s="4" t="inlineStr">
        <is>
          <t xml:space="preserve"> · média </t>
        </is>
      </c>
      <c r="M252" s="4" t="inlineStr">
        <is>
          <t>DANO.m</t>
        </is>
      </c>
      <c r="N252" s="4" t="inlineStr"/>
      <c r="O252" s="4" t="inlineStr"/>
      <c r="P252" s="4" t="inlineStr"/>
      <c r="Q252" s="4" t="inlineStr"/>
      <c r="R252" s="4" t="inlineStr"/>
      <c r="S252" s="4" t="inlineStr"/>
      <c r="T252" s="4" t="inlineStr"/>
      <c r="U252" s="4" t="inlineStr"/>
    </row>
    <row r="253" ht="195" customHeight="1">
      <c r="A253" s="33" t="inlineStr">
        <is>
          <t>Vazia Coroada|6</t>
        </is>
      </c>
      <c r="B253" s="9" t="inlineStr">
        <is>
          <t>Vazia Coroada</t>
        </is>
      </c>
      <c r="C253" s="9" t="n">
        <v>2</v>
      </c>
      <c r="D253" s="9" t="n">
        <v>6</v>
      </c>
      <c r="E253" s="9" t="inlineStr">
        <is>
          <t>Especial</t>
        </is>
      </c>
      <c r="F253" s="9" t="inlineStr">
        <is>
          <t>Maré de Inexistência</t>
        </is>
      </c>
      <c r="G253" s="9" t="n">
        <v>0</v>
      </c>
      <c r="H253" s="9" t="inlineStr">
        <is>
          <t>Maré de Inexistência (ação especial, sem recarga): até 3 alvos a até uma Distância um do outro fazem Teste de Resistência Física contra DT 21. Quem falha recebe Sangramento e Queimadura por 2 turnos, os dois com a Eficiência dela (+8); quem passa recebe só o Sangramento. Esta ação não causa dano direto nenhum — ela instala o relógio.</t>
        </is>
      </c>
      <c r="I253" s="9" t="inlineStr">
        <is>
          <t xml:space="preserve">Maré de Inexistência (ação especial, sem recarga): até 3 alvos a até uma Distância um do outro fazem Teste de Resistência Física contra DT </t>
        </is>
      </c>
      <c r="J253" s="9" t="inlineStr">
        <is>
          <t>DT</t>
        </is>
      </c>
      <c r="K253" s="9" t="inlineStr"/>
      <c r="L253" s="9" t="inlineStr">
        <is>
          <t>. Quem falha recebe Sangramento e Queimadura por 2 turnos, os dois com a Eficiência dela (+8); quem passa recebe só o Sangramento. Esta ação não causa dano direto nenhum — ela instala o relógio.</t>
        </is>
      </c>
      <c r="M253" s="9" t="inlineStr"/>
      <c r="N253" s="9" t="inlineStr"/>
      <c r="O253" s="9" t="inlineStr"/>
      <c r="P253" s="9" t="inlineStr"/>
      <c r="Q253" s="9" t="inlineStr"/>
      <c r="R253" s="9" t="inlineStr"/>
      <c r="S253" s="9" t="inlineStr"/>
      <c r="T253" s="9" t="inlineStr"/>
      <c r="U253" s="9" t="inlineStr"/>
    </row>
    <row r="254" ht="60" customHeight="1">
      <c r="A254" s="32" t="inlineStr">
        <is>
          <t>Vazia Coroada|7</t>
        </is>
      </c>
      <c r="B254" s="4" t="inlineStr">
        <is>
          <t>Vazia Coroada</t>
        </is>
      </c>
      <c r="C254" s="4" t="n">
        <v>2</v>
      </c>
      <c r="D254" s="4" t="n">
        <v>7</v>
      </c>
      <c r="E254" s="4" t="inlineStr">
        <is>
          <t>Especial</t>
        </is>
      </c>
      <c r="F254" s="4" t="inlineStr">
        <is>
          <t>Concordância</t>
        </is>
      </c>
      <c r="G254" s="4" t="n">
        <v>2</v>
      </c>
      <c r="H254" s="4" t="inlineStr">
        <is>
          <t>Concordância (recarga 2 Ciclos, versão da fase 2): como na fase 1, com 5 acúmulos de Corrupção.</t>
        </is>
      </c>
      <c r="I254" s="4" t="inlineStr">
        <is>
          <t>Concordância (recarga 2 Ciclos, versão da fase 2): como na fase 1, com 5 acúmulos de Corrupção.</t>
        </is>
      </c>
      <c r="J254" s="4" t="inlineStr"/>
      <c r="K254" s="4" t="inlineStr"/>
      <c r="L254" s="4" t="inlineStr"/>
      <c r="M254" s="4" t="inlineStr"/>
      <c r="N254" s="4" t="inlineStr"/>
      <c r="O254" s="4" t="inlineStr"/>
      <c r="P254" s="4" t="inlineStr"/>
      <c r="Q254" s="4" t="inlineStr"/>
      <c r="R254" s="4" t="inlineStr"/>
      <c r="S254" s="4" t="inlineStr"/>
      <c r="T254" s="4" t="inlineStr"/>
      <c r="U254" s="4" t="inlineStr"/>
    </row>
    <row r="255" ht="37" customHeight="1">
      <c r="A255" s="33" t="inlineStr">
        <is>
          <t>Vazia Coroada|8</t>
        </is>
      </c>
      <c r="B255" s="9" t="inlineStr">
        <is>
          <t>Vazia Coroada</t>
        </is>
      </c>
      <c r="C255" s="9" t="n">
        <v>3</v>
      </c>
      <c r="D255" s="9" t="n">
        <v>8</v>
      </c>
      <c r="E255" s="9" t="inlineStr">
        <is>
          <t>Ataque</t>
        </is>
      </c>
      <c r="F255" s="9" t="inlineStr">
        <is>
          <t>Coroa descendo</t>
        </is>
      </c>
      <c r="G255" s="9" t="inlineStr"/>
      <c r="H255" s="9" t="inlineStr">
        <is>
          <t>Coroa descendo (Pessoal, Físico): 7d12 + 3 · média 48</t>
        </is>
      </c>
      <c r="I255" s="9" t="inlineStr">
        <is>
          <t xml:space="preserve">Coroa descendo (Pessoal, Físico): </t>
        </is>
      </c>
      <c r="J255" s="9" t="inlineStr">
        <is>
          <t>DANO.e</t>
        </is>
      </c>
      <c r="K255" s="9" t="inlineStr"/>
      <c r="L255" s="9" t="inlineStr">
        <is>
          <t xml:space="preserve"> · média </t>
        </is>
      </c>
      <c r="M255" s="9" t="inlineStr">
        <is>
          <t>DANO.m</t>
        </is>
      </c>
      <c r="N255" s="9" t="inlineStr"/>
      <c r="O255" s="9" t="inlineStr"/>
      <c r="P255" s="9" t="inlineStr"/>
      <c r="Q255" s="9" t="inlineStr"/>
      <c r="R255" s="9" t="inlineStr"/>
      <c r="S255" s="9" t="inlineStr"/>
      <c r="T255" s="9" t="inlineStr"/>
      <c r="U255" s="9" t="inlineStr"/>
    </row>
    <row r="256" ht="37" customHeight="1">
      <c r="A256" s="32" t="inlineStr">
        <is>
          <t>Vazia Coroada|9</t>
        </is>
      </c>
      <c r="B256" s="4" t="inlineStr">
        <is>
          <t>Vazia Coroada</t>
        </is>
      </c>
      <c r="C256" s="4" t="n">
        <v>3</v>
      </c>
      <c r="D256" s="4" t="n">
        <v>9</v>
      </c>
      <c r="E256" s="4" t="inlineStr">
        <is>
          <t>Ataque</t>
        </is>
      </c>
      <c r="F256" s="4" t="inlineStr">
        <is>
          <t>Mão vazia</t>
        </is>
      </c>
      <c r="G256" s="4" t="inlineStr"/>
      <c r="H256" s="4" t="inlineStr">
        <is>
          <t>Mão vazia (Curta, Imaginário): 7d12 + 3 · média 48</t>
        </is>
      </c>
      <c r="I256" s="4" t="inlineStr">
        <is>
          <t xml:space="preserve">Mão vazia (Curta, Imaginário): </t>
        </is>
      </c>
      <c r="J256" s="4" t="inlineStr">
        <is>
          <t>DANO.e</t>
        </is>
      </c>
      <c r="K256" s="4" t="inlineStr"/>
      <c r="L256" s="4" t="inlineStr">
        <is>
          <t xml:space="preserve"> · média </t>
        </is>
      </c>
      <c r="M256" s="4" t="inlineStr">
        <is>
          <t>DANO.m</t>
        </is>
      </c>
      <c r="N256" s="4" t="inlineStr"/>
      <c r="O256" s="4" t="inlineStr"/>
      <c r="P256" s="4" t="inlineStr"/>
      <c r="Q256" s="4" t="inlineStr"/>
      <c r="R256" s="4" t="inlineStr"/>
      <c r="S256" s="4" t="inlineStr"/>
      <c r="T256" s="4" t="inlineStr"/>
      <c r="U256" s="4" t="inlineStr"/>
    </row>
    <row r="257" ht="206" customHeight="1">
      <c r="A257" s="33" t="inlineStr">
        <is>
          <t>Vazia Coroada|10</t>
        </is>
      </c>
      <c r="B257" s="9" t="inlineStr">
        <is>
          <t>Vazia Coroada</t>
        </is>
      </c>
      <c r="C257" s="9" t="n">
        <v>3</v>
      </c>
      <c r="D257" s="9" t="n">
        <v>10</v>
      </c>
      <c r="E257" s="9" t="inlineStr">
        <is>
          <t>Gatilho</t>
        </is>
      </c>
      <c r="F257" s="9" t="inlineStr">
        <is>
          <t>O nome dela</t>
        </is>
      </c>
      <c r="G257" s="9" t="inlineStr"/>
      <c r="H257" s="9" t="inlineStr">
        <is>
          <t>O nome dela (1 vez por combate, quando ela chega a 120 PV ou menos; ocupa as duas ações do turno): até 3 alvos fazem Teste de Força de Vontade contra DT 21. Quem falha recebe 10d12 + 7 · média 72 de dano Imaginário e Silenciado por 1 turno; quem passa recebe metade do dano. Ela diz o nome dela ao fazer isso, e é a única informação que o grupo leva dessa cena.</t>
        </is>
      </c>
      <c r="I257" s="9" t="inlineStr">
        <is>
          <t xml:space="preserve">O nome dela (1 vez por combate, quando ela chega a </t>
        </is>
      </c>
      <c r="J257" s="9" t="inlineStr">
        <is>
          <t>PV</t>
        </is>
      </c>
      <c r="K257" s="9" t="n">
        <v>120</v>
      </c>
      <c r="L257" s="9" t="inlineStr">
        <is>
          <t xml:space="preserve"> PV ou menos; ocupa as duas ações do turno): até 3 alvos fazem Teste de Força de Vontade contra DT </t>
        </is>
      </c>
      <c r="M257" s="9" t="inlineStr">
        <is>
          <t>DT</t>
        </is>
      </c>
      <c r="N257" s="9" t="inlineStr"/>
      <c r="O257" s="9" t="inlineStr">
        <is>
          <t xml:space="preserve">. Quem falha recebe </t>
        </is>
      </c>
      <c r="P257" s="9" t="inlineStr">
        <is>
          <t>DANO15.e</t>
        </is>
      </c>
      <c r="Q257" s="9" t="inlineStr"/>
      <c r="R257" s="9" t="inlineStr">
        <is>
          <t xml:space="preserve"> · média </t>
        </is>
      </c>
      <c r="S257" s="9" t="inlineStr">
        <is>
          <t>DANO15.m</t>
        </is>
      </c>
      <c r="T257" s="9" t="inlineStr"/>
      <c r="U257" s="9" t="inlineStr">
        <is>
          <t xml:space="preserve"> de dano Imaginário e Silenciado por 1 turno; quem passa recebe metade do dano. Ela diz o nome dela ao fazer isso, e é a única informação que o grupo leva dessa cena.</t>
        </is>
      </c>
    </row>
    <row r="258"/>
    <row r="259" ht="32" customHeight="1">
      <c r="A259" s="47" t="inlineStr">
        <is>
          <t>Orçamento do encontro (grupo de 4) — 27.4</t>
        </is>
      </c>
      <c r="B259" s="48" t="n"/>
      <c r="C259" s="48" t="n"/>
      <c r="D259" s="48" t="n"/>
      <c r="E259" s="48" t="n"/>
      <c r="F259" s="48" t="n"/>
    </row>
    <row r="260" ht="26" customHeight="1">
      <c r="A260" s="7" t="inlineStr">
        <is>
          <t>Faixa</t>
        </is>
      </c>
      <c r="B260" s="7" t="inlineStr">
        <is>
          <t>Dano do grupo por Ciclo</t>
        </is>
      </c>
      <c r="C260" s="7" t="inlineStr">
        <is>
          <t>Orçamento</t>
        </is>
      </c>
      <c r="D260" s="7" t="inlineStr">
        <is>
          <t>Custo Comum</t>
        </is>
      </c>
      <c r="E260" s="7" t="inlineStr">
        <is>
          <t>Custo Elite</t>
        </is>
      </c>
      <c r="F260" s="7" t="inlineStr">
        <is>
          <t>Custo Boss</t>
        </is>
      </c>
    </row>
    <row r="261">
      <c r="A261" s="32" t="inlineStr">
        <is>
          <t>1-4</t>
        </is>
      </c>
      <c r="B261" s="4" t="n">
        <v>88</v>
      </c>
      <c r="C261" s="4" t="n">
        <v>352</v>
      </c>
      <c r="D261" s="4" t="n">
        <v>50</v>
      </c>
      <c r="E261" s="4" t="n">
        <v>120</v>
      </c>
      <c r="F261" s="4" t="n">
        <v>305</v>
      </c>
    </row>
    <row r="262">
      <c r="A262" s="33" t="inlineStr">
        <is>
          <t>5-8</t>
        </is>
      </c>
      <c r="B262" s="9" t="n">
        <v>119</v>
      </c>
      <c r="C262" s="9" t="n">
        <v>476</v>
      </c>
      <c r="D262" s="9" t="n">
        <v>70</v>
      </c>
      <c r="E262" s="9" t="n">
        <v>160</v>
      </c>
      <c r="F262" s="9" t="n">
        <v>410</v>
      </c>
    </row>
    <row r="263">
      <c r="A263" s="32" t="inlineStr">
        <is>
          <t>9-12</t>
        </is>
      </c>
      <c r="B263" s="4" t="n">
        <v>168</v>
      </c>
      <c r="C263" s="4" t="n">
        <v>672</v>
      </c>
      <c r="D263" s="4" t="n">
        <v>95</v>
      </c>
      <c r="E263" s="4" t="n">
        <v>225</v>
      </c>
      <c r="F263" s="4" t="n">
        <v>580</v>
      </c>
    </row>
    <row r="264">
      <c r="A264" s="33" t="inlineStr">
        <is>
          <t>13-16</t>
        </is>
      </c>
      <c r="B264" s="9" t="n">
        <v>218</v>
      </c>
      <c r="C264" s="9" t="n">
        <v>872</v>
      </c>
      <c r="D264" s="9" t="n">
        <v>125</v>
      </c>
      <c r="E264" s="9" t="n">
        <v>295</v>
      </c>
      <c r="F264" s="9" t="n">
        <v>750</v>
      </c>
    </row>
    <row r="265">
      <c r="A265" s="32" t="inlineStr">
        <is>
          <t>17-20</t>
        </is>
      </c>
      <c r="B265" s="4" t="n">
        <v>271</v>
      </c>
      <c r="C265" s="4" t="n">
        <v>1084</v>
      </c>
      <c r="D265" s="4" t="n">
        <v>155</v>
      </c>
      <c r="E265" s="4" t="n">
        <v>365</v>
      </c>
      <c r="F265" s="4" t="n">
        <v>935</v>
      </c>
    </row>
    <row r="266"/>
    <row r="267" ht="32" customHeight="1">
      <c r="A267" s="47" t="inlineStr">
        <is>
          <t>As quatro composições — 27.4 e 28.11</t>
        </is>
      </c>
      <c r="B267" s="48" t="n"/>
      <c r="C267" s="48" t="n"/>
      <c r="D267" s="48" t="n"/>
      <c r="E267" s="48" t="n"/>
      <c r="F267" s="48" t="n"/>
      <c r="G267" s="48" t="n"/>
      <c r="H267" s="48" t="n"/>
    </row>
    <row r="268">
      <c r="A268" s="7" t="inlineStr">
        <is>
          <t>Composição</t>
        </is>
      </c>
      <c r="B268" s="7" t="inlineStr">
        <is>
          <t>Como ela se sente</t>
        </is>
      </c>
      <c r="C268" s="7" t="inlineStr">
        <is>
          <t>Duração esperada</t>
        </is>
      </c>
      <c r="D268" s="7" t="inlineStr">
        <is>
          <t>Boss</t>
        </is>
      </c>
      <c r="E268" s="7" t="inlineStr">
        <is>
          <t>Elite</t>
        </is>
      </c>
      <c r="F268" s="7" t="inlineStr">
        <is>
          <t>Comum</t>
        </is>
      </c>
      <c r="G268" s="7" t="inlineStr">
        <is>
          <t>Exemplo 1-4</t>
        </is>
      </c>
      <c r="H268" s="7" t="inlineStr">
        <is>
          <t>Exemplo 17-20</t>
        </is>
      </c>
    </row>
    <row r="269" ht="48" customHeight="1">
      <c r="A269" s="32" t="inlineStr">
        <is>
          <t>1 Boss + 1 Comum</t>
        </is>
      </c>
      <c r="B269" s="4" t="inlineStr">
        <is>
          <t>uma ameaça com nome, um estorvo. O combate é um duelo com interrupção</t>
        </is>
      </c>
      <c r="C269" s="4" t="inlineStr">
        <is>
          <t>3 a 5 Ciclos</t>
        </is>
      </c>
      <c r="D269" s="4" t="n">
        <v>1</v>
      </c>
      <c r="E269" s="4" t="n">
        <v>0</v>
      </c>
      <c r="F269" s="4" t="n">
        <v>1</v>
      </c>
      <c r="G269" s="4" t="inlineStr">
        <is>
          <t>O Afogado do Poço Sete + 1 Casco Oco</t>
        </is>
      </c>
      <c r="H269" s="4" t="inlineStr">
        <is>
          <t>O Germe de Pavor, sozinho (o Parto falso traz os Comuns)</t>
        </is>
      </c>
    </row>
    <row r="270" ht="48" customHeight="1">
      <c r="A270" s="33" t="inlineStr">
        <is>
          <t>1 Elite + 4 Comuns</t>
        </is>
      </c>
      <c r="B270" s="9" t="inlineStr">
        <is>
          <t>um comandante e a tropa dele. O grupo escolhe entre limpar os lados ou ir no chefe</t>
        </is>
      </c>
      <c r="C270" s="9" t="inlineStr">
        <is>
          <t>3 a 4 Ciclos</t>
        </is>
      </c>
      <c r="D270" s="9" t="n">
        <v>0</v>
      </c>
      <c r="E270" s="9" t="n">
        <v>1</v>
      </c>
      <c r="F270" s="9" t="n">
        <v>4</v>
      </c>
      <c r="G270" s="9" t="inlineStr">
        <is>
          <t>Sargento de Trincheira + 4 Peões da Antimatéria</t>
        </is>
      </c>
      <c r="H270" s="9" t="inlineStr">
        <is>
          <t>Arcanjo de Ferro-Vazio + 4 Guardas Pretorianos</t>
        </is>
      </c>
    </row>
    <row r="271" ht="48" customHeight="1">
      <c r="A271" s="32" t="inlineStr">
        <is>
          <t>3 Elites</t>
        </is>
      </c>
      <c r="B271" s="4" t="inlineStr">
        <is>
          <t>três problemas simultâneos. É a mais pesada das quatro em dano recebido</t>
        </is>
      </c>
      <c r="C271" s="4" t="inlineStr">
        <is>
          <t>3 a 4 Ciclos</t>
        </is>
      </c>
      <c r="D271" s="4" t="n">
        <v>0</v>
      </c>
      <c r="E271" s="4" t="n">
        <v>3</v>
      </c>
      <c r="F271" s="4" t="n">
        <v>0</v>
      </c>
      <c r="G271" s="4" t="inlineStr">
        <is>
          <t>Capataz Oco + 2 Sargentos de Trincheira</t>
        </is>
      </c>
      <c r="H271" s="4" t="inlineStr">
        <is>
          <t>2 Arcanjos + 1 Arauto da Tempestade Vazia</t>
        </is>
      </c>
    </row>
    <row r="272" ht="26" customHeight="1">
      <c r="A272" s="33" t="inlineStr">
        <is>
          <t>7 Comuns</t>
        </is>
      </c>
      <c r="B272" s="9" t="inlineStr">
        <is>
          <t>pelotão. Morre rápido e ainda assim morde</t>
        </is>
      </c>
      <c r="C272" s="9" t="inlineStr">
        <is>
          <t>2 a 3 Ciclos</t>
        </is>
      </c>
      <c r="D272" s="9" t="n">
        <v>0</v>
      </c>
      <c r="E272" s="9" t="n">
        <v>0</v>
      </c>
      <c r="F272" s="9" t="n">
        <v>7</v>
      </c>
      <c r="G272" s="9" t="inlineStr">
        <is>
          <t>4 Larvas Fuliginosas + 3 Cascos Ocos</t>
        </is>
      </c>
      <c r="H272" s="9" t="inlineStr">
        <is>
          <t>4 Guardas Pretorianos + 2 Escórias</t>
        </is>
      </c>
    </row>
    <row r="273"/>
    <row r="274" ht="32" customHeight="1">
      <c r="A274" s="47" t="inlineStr">
        <is>
          <t>O dia de jogo (attrition) — 27.7</t>
        </is>
      </c>
      <c r="B274" s="48" t="n"/>
      <c r="C274" s="48" t="n"/>
      <c r="D274" s="48" t="n"/>
      <c r="E274" s="48" t="n"/>
    </row>
    <row r="275" ht="26" customHeight="1">
      <c r="A275" s="7" t="inlineStr">
        <is>
          <t>Faixa</t>
        </is>
      </c>
      <c r="B275" s="7" t="inlineStr">
        <is>
          <t>Nível de referência</t>
        </is>
      </c>
      <c r="C275" s="7" t="inlineStr">
        <is>
          <t>PV do grupo</t>
        </is>
      </c>
      <c r="D275" s="7" t="inlineStr">
        <is>
          <t>Dano recebido em 4 Ciclos</t>
        </is>
      </c>
      <c r="E275" s="7" t="inlineStr">
        <is>
          <t>O grupo termina com</t>
        </is>
      </c>
    </row>
    <row r="276">
      <c r="A276" s="32" t="inlineStr">
        <is>
          <t>1-4</t>
        </is>
      </c>
      <c r="B276" s="4" t="n">
        <v>3</v>
      </c>
      <c r="C276" s="4" t="n">
        <v>292</v>
      </c>
      <c r="D276" s="4" t="n">
        <v>56</v>
      </c>
      <c r="E276" s="4" t="inlineStr">
        <is>
          <t>81%</t>
        </is>
      </c>
    </row>
    <row r="277">
      <c r="A277" s="33" t="inlineStr">
        <is>
          <t>5-8</t>
        </is>
      </c>
      <c r="B277" s="9" t="n">
        <v>7</v>
      </c>
      <c r="C277" s="9" t="n">
        <v>468</v>
      </c>
      <c r="D277" s="9" t="n">
        <v>112</v>
      </c>
      <c r="E277" s="9" t="inlineStr">
        <is>
          <t>76%</t>
        </is>
      </c>
    </row>
    <row r="278">
      <c r="A278" s="32" t="inlineStr">
        <is>
          <t>9-12</t>
        </is>
      </c>
      <c r="B278" s="4" t="n">
        <v>11</v>
      </c>
      <c r="C278" s="4" t="n">
        <v>644</v>
      </c>
      <c r="D278" s="4" t="n">
        <v>157</v>
      </c>
      <c r="E278" s="4" t="inlineStr">
        <is>
          <t>76%</t>
        </is>
      </c>
    </row>
    <row r="279">
      <c r="A279" s="33" t="inlineStr">
        <is>
          <t>13-16</t>
        </is>
      </c>
      <c r="B279" s="9" t="n">
        <v>15</v>
      </c>
      <c r="C279" s="9" t="n">
        <v>820</v>
      </c>
      <c r="D279" s="9" t="n">
        <v>202</v>
      </c>
      <c r="E279" s="9" t="inlineStr">
        <is>
          <t>75%</t>
        </is>
      </c>
    </row>
    <row r="280">
      <c r="A280" s="32" t="inlineStr">
        <is>
          <t>17-20</t>
        </is>
      </c>
      <c r="B280" s="4" t="n">
        <v>19</v>
      </c>
      <c r="C280" s="4" t="n">
        <v>996</v>
      </c>
      <c r="D280" s="4" t="n">
        <v>269</v>
      </c>
      <c r="E280" s="4" t="inlineStr">
        <is>
          <t>73%</t>
        </is>
      </c>
    </row>
    <row r="281"/>
    <row r="282" ht="18" customHeight="1">
      <c r="A282" s="12" t="inlineStr">
        <is>
          <t>DT por faixa — 27.2</t>
        </is>
      </c>
      <c r="B282" s="48" t="n"/>
      <c r="C282" s="48" t="n"/>
      <c r="D282" s="48" t="n"/>
      <c r="E282" s="48" t="n"/>
      <c r="F282" s="48" t="n"/>
    </row>
    <row r="283">
      <c r="A283" s="7" t="inlineStr">
        <is>
          <t>Dificuldade</t>
        </is>
      </c>
      <c r="B283" s="7" t="inlineStr">
        <is>
          <t>1-4</t>
        </is>
      </c>
      <c r="C283" s="7" t="inlineStr">
        <is>
          <t>5-8</t>
        </is>
      </c>
      <c r="D283" s="7" t="inlineStr">
        <is>
          <t>9-12</t>
        </is>
      </c>
      <c r="E283" s="7" t="inlineStr">
        <is>
          <t>13-16</t>
        </is>
      </c>
      <c r="F283" s="7" t="inlineStr">
        <is>
          <t>17-20</t>
        </is>
      </c>
    </row>
    <row r="284">
      <c r="A284" s="32" t="inlineStr">
        <is>
          <t>Trivial</t>
        </is>
      </c>
      <c r="B284" s="4" t="n">
        <v>8</v>
      </c>
      <c r="C284" s="4" t="n">
        <v>9</v>
      </c>
      <c r="D284" s="4" t="n">
        <v>10</v>
      </c>
      <c r="E284" s="4" t="n">
        <v>11</v>
      </c>
      <c r="F284" s="4" t="n">
        <v>12</v>
      </c>
    </row>
    <row r="285">
      <c r="A285" s="33" t="inlineStr">
        <is>
          <t>Fácil</t>
        </is>
      </c>
      <c r="B285" s="9" t="n">
        <v>10</v>
      </c>
      <c r="C285" s="9" t="n">
        <v>12</v>
      </c>
      <c r="D285" s="9" t="n">
        <v>14</v>
      </c>
      <c r="E285" s="9" t="n">
        <v>16</v>
      </c>
      <c r="F285" s="9" t="n">
        <v>18</v>
      </c>
    </row>
    <row r="286">
      <c r="A286" s="32" t="inlineStr">
        <is>
          <t>Média</t>
        </is>
      </c>
      <c r="B286" s="4" t="n">
        <v>13</v>
      </c>
      <c r="C286" s="4" t="n">
        <v>16</v>
      </c>
      <c r="D286" s="4" t="n">
        <v>19</v>
      </c>
      <c r="E286" s="4" t="n">
        <v>22</v>
      </c>
      <c r="F286" s="4" t="n">
        <v>25</v>
      </c>
    </row>
    <row r="287">
      <c r="A287" s="33" t="inlineStr">
        <is>
          <t>Difícil</t>
        </is>
      </c>
      <c r="B287" s="9" t="n">
        <v>16</v>
      </c>
      <c r="C287" s="9" t="n">
        <v>19</v>
      </c>
      <c r="D287" s="9" t="n">
        <v>23</v>
      </c>
      <c r="E287" s="9" t="n">
        <v>27</v>
      </c>
      <c r="F287" s="9" t="n">
        <v>30</v>
      </c>
    </row>
    <row r="288">
      <c r="A288" s="32" t="inlineStr">
        <is>
          <t>Muito Difícil</t>
        </is>
      </c>
      <c r="B288" s="4" t="n">
        <v>19</v>
      </c>
      <c r="C288" s="4" t="n">
        <v>23</v>
      </c>
      <c r="D288" s="4" t="n">
        <v>27</v>
      </c>
      <c r="E288" s="4" t="n">
        <v>31</v>
      </c>
      <c r="F288" s="4" t="n">
        <v>35</v>
      </c>
    </row>
    <row r="289">
      <c r="A289" s="33" t="inlineStr">
        <is>
          <t>Heroica</t>
        </is>
      </c>
      <c r="B289" s="9" t="n">
        <v>22</v>
      </c>
      <c r="C289" s="9" t="n">
        <v>26</v>
      </c>
      <c r="D289" s="9" t="n">
        <v>31</v>
      </c>
      <c r="E289" s="9" t="n">
        <v>34</v>
      </c>
      <c r="F289" s="9" t="n">
        <v>38</v>
      </c>
    </row>
    <row r="290"/>
    <row r="291" ht="32" customHeight="1">
      <c r="A291" s="47" t="inlineStr">
        <is>
          <t>DT para descobrir uma Fraqueza — 20.2</t>
        </is>
      </c>
      <c r="B291" s="48" t="n"/>
    </row>
    <row r="292">
      <c r="A292" s="7" t="inlineStr">
        <is>
          <t>Faixa</t>
        </is>
      </c>
      <c r="B292" s="7" t="inlineStr">
        <is>
          <t>DT</t>
        </is>
      </c>
    </row>
    <row r="293">
      <c r="A293" s="32" t="inlineStr">
        <is>
          <t>1-4</t>
        </is>
      </c>
      <c r="B293" s="4" t="n">
        <v>13</v>
      </c>
    </row>
    <row r="294">
      <c r="A294" s="33" t="inlineStr">
        <is>
          <t>5-8</t>
        </is>
      </c>
      <c r="B294" s="9" t="n">
        <v>14</v>
      </c>
    </row>
    <row r="295">
      <c r="A295" s="32" t="inlineStr">
        <is>
          <t>9-12</t>
        </is>
      </c>
      <c r="B295" s="4" t="n">
        <v>15</v>
      </c>
    </row>
    <row r="296">
      <c r="A296" s="33" t="inlineStr">
        <is>
          <t>13-16</t>
        </is>
      </c>
      <c r="B296" s="9" t="n">
        <v>16</v>
      </c>
    </row>
    <row r="297">
      <c r="A297" s="32" t="inlineStr">
        <is>
          <t>17-20</t>
        </is>
      </c>
      <c r="B297" s="4" t="n">
        <v>17</v>
      </c>
    </row>
    <row r="298"/>
    <row r="299" ht="46" customHeight="1">
      <c r="A299" s="47" t="inlineStr">
        <is>
          <t>Elementos, Dano de Quebra e efeito de Quebra — 20.1 e 20.5</t>
        </is>
      </c>
      <c r="B299" s="48" t="n"/>
      <c r="C299" s="48" t="n"/>
      <c r="D299" s="48" t="n"/>
      <c r="E299" s="48" t="n"/>
      <c r="F299" s="48" t="n"/>
      <c r="G299" s="48" t="n"/>
    </row>
    <row r="300" ht="26" customHeight="1">
      <c r="A300" s="7" t="inlineStr">
        <is>
          <t>Elemento</t>
        </is>
      </c>
      <c r="B300" s="7" t="inlineStr">
        <is>
          <t>Dano de Quebra</t>
        </is>
      </c>
      <c r="C300" s="7" t="inlineStr">
        <is>
          <t>Nº de dados</t>
        </is>
      </c>
      <c r="D300" s="7" t="inlineStr">
        <is>
          <t>Faces</t>
        </is>
      </c>
      <c r="E300" s="7" t="inlineStr">
        <is>
          <t>Multiplicador da Eficiência</t>
        </is>
      </c>
      <c r="F300" s="7" t="inlineStr">
        <is>
          <t>Efeito de Quebra</t>
        </is>
      </c>
      <c r="G300" s="7" t="inlineStr">
        <is>
          <t>Ordem</t>
        </is>
      </c>
    </row>
    <row r="301">
      <c r="A301" s="32" t="inlineStr">
        <is>
          <t>Físico</t>
        </is>
      </c>
      <c r="B301" s="4" t="inlineStr">
        <is>
          <t>2d6 + (2 × Eficiência)</t>
        </is>
      </c>
      <c r="C301" s="4" t="n">
        <v>2</v>
      </c>
      <c r="D301" s="4" t="n">
        <v>6</v>
      </c>
      <c r="E301" s="4" t="n">
        <v>2</v>
      </c>
      <c r="F301" s="4" t="inlineStr">
        <is>
          <t>Sangramento</t>
        </is>
      </c>
      <c r="G301" s="4" t="n">
        <v>1</v>
      </c>
    </row>
    <row r="302">
      <c r="A302" s="33" t="inlineStr">
        <is>
          <t>Fogo</t>
        </is>
      </c>
      <c r="B302" s="9" t="inlineStr">
        <is>
          <t>2d6 + (2 × Eficiência)</t>
        </is>
      </c>
      <c r="C302" s="9" t="n">
        <v>2</v>
      </c>
      <c r="D302" s="9" t="n">
        <v>6</v>
      </c>
      <c r="E302" s="9" t="n">
        <v>2</v>
      </c>
      <c r="F302" s="9" t="inlineStr">
        <is>
          <t>Queimadura</t>
        </is>
      </c>
      <c r="G302" s="9" t="n">
        <v>2</v>
      </c>
    </row>
    <row r="303">
      <c r="A303" s="32" t="inlineStr">
        <is>
          <t>Gelo</t>
        </is>
      </c>
      <c r="B303" s="4" t="inlineStr">
        <is>
          <t>Eficiência</t>
        </is>
      </c>
      <c r="C303" s="4" t="n">
        <v>0</v>
      </c>
      <c r="D303" s="4" t="n">
        <v>0</v>
      </c>
      <c r="E303" s="4" t="n">
        <v>1</v>
      </c>
      <c r="F303" s="4" t="inlineStr">
        <is>
          <t>Congelamento</t>
        </is>
      </c>
      <c r="G303" s="4" t="n">
        <v>3</v>
      </c>
    </row>
    <row r="304">
      <c r="A304" s="33" t="inlineStr">
        <is>
          <t>Raio</t>
        </is>
      </c>
      <c r="B304" s="9" t="inlineStr">
        <is>
          <t>1d6 + Eficiência</t>
        </is>
      </c>
      <c r="C304" s="9" t="n">
        <v>1</v>
      </c>
      <c r="D304" s="9" t="n">
        <v>6</v>
      </c>
      <c r="E304" s="9" t="n">
        <v>1</v>
      </c>
      <c r="F304" s="9" t="inlineStr">
        <is>
          <t>Choque</t>
        </is>
      </c>
      <c r="G304" s="9" t="n">
        <v>4</v>
      </c>
    </row>
    <row r="305">
      <c r="A305" s="32" t="inlineStr">
        <is>
          <t>Vento</t>
        </is>
      </c>
      <c r="B305" s="4" t="inlineStr">
        <is>
          <t>1d6 + Eficiência</t>
        </is>
      </c>
      <c r="C305" s="4" t="n">
        <v>1</v>
      </c>
      <c r="D305" s="4" t="n">
        <v>6</v>
      </c>
      <c r="E305" s="4" t="n">
        <v>1</v>
      </c>
      <c r="F305" s="4" t="inlineStr">
        <is>
          <t>Cisalhamento de Vento</t>
        </is>
      </c>
      <c r="G305" s="4" t="n">
        <v>5</v>
      </c>
    </row>
    <row r="306">
      <c r="A306" s="33" t="inlineStr">
        <is>
          <t>Quântico</t>
        </is>
      </c>
      <c r="B306" s="9" t="inlineStr">
        <is>
          <t>Eficiência</t>
        </is>
      </c>
      <c r="C306" s="9" t="n">
        <v>0</v>
      </c>
      <c r="D306" s="9" t="n">
        <v>0</v>
      </c>
      <c r="E306" s="9" t="n">
        <v>1</v>
      </c>
      <c r="F306" s="9" t="inlineStr">
        <is>
          <t>Embaraço</t>
        </is>
      </c>
      <c r="G306" s="9" t="n">
        <v>6</v>
      </c>
    </row>
    <row r="307">
      <c r="A307" s="32" t="inlineStr">
        <is>
          <t>Imaginário</t>
        </is>
      </c>
      <c r="B307" s="4" t="inlineStr">
        <is>
          <t>Eficiência</t>
        </is>
      </c>
      <c r="C307" s="4" t="n">
        <v>0</v>
      </c>
      <c r="D307" s="4" t="n">
        <v>0</v>
      </c>
      <c r="E307" s="4" t="n">
        <v>1</v>
      </c>
      <c r="F307" s="4" t="inlineStr">
        <is>
          <t>Aprisionamento</t>
        </is>
      </c>
      <c r="G307" s="4" t="n">
        <v>7</v>
      </c>
    </row>
    <row r="308"/>
    <row r="309" ht="32" customHeight="1">
      <c r="A309" s="47" t="inlineStr">
        <is>
          <t>Redução de Tenacidade por fonte — 20.3</t>
        </is>
      </c>
      <c r="B309" s="48" t="n"/>
    </row>
    <row r="310">
      <c r="A310" s="7" t="inlineStr">
        <is>
          <t>Fonte</t>
        </is>
      </c>
      <c r="B310" s="7" t="inlineStr">
        <is>
          <t>Redução bruta</t>
        </is>
      </c>
    </row>
    <row r="311">
      <c r="A311" s="32" t="inlineStr">
        <is>
          <t>Ataque Básico</t>
        </is>
      </c>
      <c r="B311" s="4" t="n">
        <v>1</v>
      </c>
    </row>
    <row r="312">
      <c r="A312" s="33" t="inlineStr">
        <is>
          <t>Habilidade de Nível 1</t>
        </is>
      </c>
      <c r="B312" s="9" t="n">
        <v>2</v>
      </c>
    </row>
    <row r="313">
      <c r="A313" s="32" t="inlineStr">
        <is>
          <t>Habilidade de Nível 2</t>
        </is>
      </c>
      <c r="B313" s="4" t="n">
        <v>2</v>
      </c>
    </row>
    <row r="314">
      <c r="A314" s="33" t="inlineStr">
        <is>
          <t>Habilidade de Nível 3</t>
        </is>
      </c>
      <c r="B314" s="9" t="n">
        <v>3</v>
      </c>
    </row>
    <row r="315">
      <c r="A315" s="32" t="inlineStr">
        <is>
          <t>Habilidade de Nível 4</t>
        </is>
      </c>
      <c r="B315" s="4" t="n">
        <v>4</v>
      </c>
    </row>
    <row r="316">
      <c r="A316" s="33" t="inlineStr">
        <is>
          <t>Habilidade de Nível 5</t>
        </is>
      </c>
      <c r="B316" s="9" t="n">
        <v>5</v>
      </c>
    </row>
    <row r="317">
      <c r="A317" s="32" t="inlineStr">
        <is>
          <t>Habilidade de Nível 6</t>
        </is>
      </c>
      <c r="B317" s="4" t="n">
        <v>6</v>
      </c>
    </row>
    <row r="318">
      <c r="A318" s="33" t="inlineStr">
        <is>
          <t>Habilidade de Nível 7</t>
        </is>
      </c>
      <c r="B318" s="9" t="n">
        <v>7</v>
      </c>
    </row>
    <row r="319">
      <c r="A319" s="32" t="inlineStr">
        <is>
          <t>Ultimate</t>
        </is>
      </c>
      <c r="B319" s="4" t="n">
        <v>5</v>
      </c>
    </row>
    <row r="320">
      <c r="A320" s="33" t="inlineStr">
        <is>
          <t>Dano Contínuo</t>
        </is>
      </c>
      <c r="B320" s="9" t="n">
        <v>0</v>
      </c>
    </row>
    <row r="321"/>
    <row r="322" ht="46" customHeight="1">
      <c r="A322" s="47" t="inlineStr">
        <is>
          <t>Condições — 21.5 (com os números de dano lidos do efeito)</t>
        </is>
      </c>
      <c r="B322" s="48" t="n"/>
      <c r="C322" s="48" t="n"/>
      <c r="D322" s="48" t="n"/>
      <c r="E322" s="48" t="n"/>
      <c r="F322" s="48" t="n"/>
      <c r="G322" s="48" t="n"/>
      <c r="H322" s="48" t="n"/>
      <c r="I322" s="48" t="n"/>
      <c r="J322" s="48" t="n"/>
      <c r="K322" s="48" t="n"/>
      <c r="L322" s="48" t="n"/>
      <c r="M322" s="48" t="n"/>
      <c r="N322" s="48" t="n"/>
    </row>
    <row r="323">
      <c r="A323" s="7" t="inlineStr">
        <is>
          <t>Condição</t>
        </is>
      </c>
      <c r="B323" s="7" t="inlineStr">
        <is>
          <t>Efeito</t>
        </is>
      </c>
      <c r="C323" s="7" t="inlineStr">
        <is>
          <t>Duração</t>
        </is>
      </c>
      <c r="D323" s="7" t="inlineStr">
        <is>
          <t>Acúmulo</t>
        </is>
      </c>
      <c r="E323" s="7" t="inlineStr">
        <is>
          <t>Só inimigos</t>
        </is>
      </c>
      <c r="F323" s="7" t="inlineStr">
        <is>
          <t>Nº de dados</t>
        </is>
      </c>
      <c r="G323" s="7" t="inlineStr">
        <is>
          <t>Faces</t>
        </is>
      </c>
      <c r="H323" s="7" t="inlineStr">
        <is>
          <t>Por acúmulo</t>
        </is>
      </c>
      <c r="I323" s="7" t="inlineStr">
        <is>
          <t>Soma Eficiência</t>
        </is>
      </c>
      <c r="J323" s="7" t="inlineStr">
        <is>
          <t>% dos PV máximos</t>
        </is>
      </c>
      <c r="K323" s="7" t="inlineStr">
        <is>
          <t>Teto (× Eficiência)</t>
        </is>
      </c>
      <c r="L323" s="7" t="inlineStr">
        <is>
          <t>Atrasa (casas)</t>
        </is>
      </c>
      <c r="M323" s="7" t="inlineStr">
        <is>
          <t>Teto de acúmulos</t>
        </is>
      </c>
      <c r="N323" s="7" t="inlineStr">
        <is>
          <t>Dano Contínuo</t>
        </is>
      </c>
    </row>
    <row r="324" ht="37" customHeight="1">
      <c r="A324" s="32" t="inlineStr">
        <is>
          <t>Sangramento</t>
        </is>
      </c>
      <c r="B324" s="4" t="inlineStr">
        <is>
          <t>Dano Contínuo = 5% dos PV máximos, teto 3 × Eficiência</t>
        </is>
      </c>
      <c r="C324" s="4" t="inlineStr">
        <is>
          <t>2 turnos</t>
        </is>
      </c>
      <c r="D324" s="4" t="inlineStr">
        <is>
          <t>até 5</t>
        </is>
      </c>
      <c r="E324" s="4" t="inlineStr">
        <is>
          <t>Não</t>
        </is>
      </c>
      <c r="F324" s="4" t="n">
        <v>0</v>
      </c>
      <c r="G324" s="4" t="n">
        <v>0</v>
      </c>
      <c r="H324" s="4" t="inlineStr">
        <is>
          <t>Não</t>
        </is>
      </c>
      <c r="I324" s="4" t="inlineStr">
        <is>
          <t>Não</t>
        </is>
      </c>
      <c r="J324" s="4" t="n">
        <v>5</v>
      </c>
      <c r="K324" s="4" t="n">
        <v>3</v>
      </c>
      <c r="L324" s="4" t="n">
        <v>0</v>
      </c>
      <c r="M324" s="4" t="n">
        <v>5</v>
      </c>
      <c r="N324" s="4" t="inlineStr">
        <is>
          <t>Sim</t>
        </is>
      </c>
    </row>
    <row r="325" ht="26" customHeight="1">
      <c r="A325" s="33" t="inlineStr">
        <is>
          <t>Queimadura</t>
        </is>
      </c>
      <c r="B325" s="9" t="inlineStr">
        <is>
          <t>Dano Contínuo 2d6 + Eficiência (Fogo)</t>
        </is>
      </c>
      <c r="C325" s="9" t="inlineStr">
        <is>
          <t>2 turnos</t>
        </is>
      </c>
      <c r="D325" s="9" t="inlineStr">
        <is>
          <t>até 5</t>
        </is>
      </c>
      <c r="E325" s="9" t="inlineStr">
        <is>
          <t>Não</t>
        </is>
      </c>
      <c r="F325" s="9" t="n">
        <v>2</v>
      </c>
      <c r="G325" s="9" t="n">
        <v>6</v>
      </c>
      <c r="H325" s="9" t="inlineStr">
        <is>
          <t>Não</t>
        </is>
      </c>
      <c r="I325" s="9" t="inlineStr">
        <is>
          <t>Sim</t>
        </is>
      </c>
      <c r="J325" s="9" t="n">
        <v>0</v>
      </c>
      <c r="K325" s="9" t="n">
        <v>0</v>
      </c>
      <c r="L325" s="9" t="n">
        <v>0</v>
      </c>
      <c r="M325" s="9" t="n">
        <v>5</v>
      </c>
      <c r="N325" s="9" t="inlineStr">
        <is>
          <t>Sim</t>
        </is>
      </c>
    </row>
    <row r="326" ht="26" customHeight="1">
      <c r="A326" s="32" t="inlineStr">
        <is>
          <t>Choque</t>
        </is>
      </c>
      <c r="B326" s="4" t="inlineStr">
        <is>
          <t>Dano Contínuo 1d6 + Eficiência (Raio)</t>
        </is>
      </c>
      <c r="C326" s="4" t="inlineStr">
        <is>
          <t>2 turnos</t>
        </is>
      </c>
      <c r="D326" s="4" t="inlineStr">
        <is>
          <t>até 5</t>
        </is>
      </c>
      <c r="E326" s="4" t="inlineStr">
        <is>
          <t>Não</t>
        </is>
      </c>
      <c r="F326" s="4" t="n">
        <v>1</v>
      </c>
      <c r="G326" s="4" t="n">
        <v>6</v>
      </c>
      <c r="H326" s="4" t="inlineStr">
        <is>
          <t>Não</t>
        </is>
      </c>
      <c r="I326" s="4" t="inlineStr">
        <is>
          <t>Sim</t>
        </is>
      </c>
      <c r="J326" s="4" t="n">
        <v>0</v>
      </c>
      <c r="K326" s="4" t="n">
        <v>0</v>
      </c>
      <c r="L326" s="4" t="n">
        <v>0</v>
      </c>
      <c r="M326" s="4" t="n">
        <v>5</v>
      </c>
      <c r="N326" s="4" t="inlineStr">
        <is>
          <t>Sim</t>
        </is>
      </c>
    </row>
    <row r="327" ht="26" customHeight="1">
      <c r="A327" s="33" t="inlineStr">
        <is>
          <t>Cisalhamento de Vento</t>
        </is>
      </c>
      <c r="B327" s="9" t="inlineStr">
        <is>
          <t>Dano Contínuo 1d6 por acúmulo (Vento)</t>
        </is>
      </c>
      <c r="C327" s="9" t="inlineStr">
        <is>
          <t>2 turnos</t>
        </is>
      </c>
      <c r="D327" s="9" t="inlineStr">
        <is>
          <t>5</t>
        </is>
      </c>
      <c r="E327" s="9" t="inlineStr">
        <is>
          <t>Não</t>
        </is>
      </c>
      <c r="F327" s="9" t="n">
        <v>1</v>
      </c>
      <c r="G327" s="9" t="n">
        <v>6</v>
      </c>
      <c r="H327" s="9" t="inlineStr">
        <is>
          <t>Sim</t>
        </is>
      </c>
      <c r="I327" s="9" t="inlineStr">
        <is>
          <t>Não</t>
        </is>
      </c>
      <c r="J327" s="9" t="n">
        <v>0</v>
      </c>
      <c r="K327" s="9" t="n">
        <v>0</v>
      </c>
      <c r="L327" s="9" t="n">
        <v>0</v>
      </c>
      <c r="M327" s="9" t="n">
        <v>5</v>
      </c>
      <c r="N327" s="9" t="inlineStr">
        <is>
          <t>Sim</t>
        </is>
      </c>
    </row>
    <row r="328" ht="37" customHeight="1">
      <c r="A328" s="32" t="inlineStr">
        <is>
          <t>Embaraço</t>
        </is>
      </c>
      <c r="B328" s="4" t="inlineStr">
        <is>
          <t>1d6 por acúmulo (só por ataques) e Atrasa 1 casa</t>
        </is>
      </c>
      <c r="C328" s="4" t="inlineStr">
        <is>
          <t>1 turno</t>
        </is>
      </c>
      <c r="D328" s="4" t="inlineStr">
        <is>
          <t>5</t>
        </is>
      </c>
      <c r="E328" s="4" t="inlineStr">
        <is>
          <t>Não</t>
        </is>
      </c>
      <c r="F328" s="4" t="n">
        <v>1</v>
      </c>
      <c r="G328" s="4" t="n">
        <v>6</v>
      </c>
      <c r="H328" s="4" t="inlineStr">
        <is>
          <t>Sim</t>
        </is>
      </c>
      <c r="I328" s="4" t="inlineStr">
        <is>
          <t>Não</t>
        </is>
      </c>
      <c r="J328" s="4" t="n">
        <v>0</v>
      </c>
      <c r="K328" s="4" t="n">
        <v>0</v>
      </c>
      <c r="L328" s="4" t="n">
        <v>1</v>
      </c>
      <c r="M328" s="4" t="n">
        <v>5</v>
      </c>
      <c r="N328" s="4" t="inlineStr">
        <is>
          <t>Não</t>
        </is>
      </c>
    </row>
    <row r="329" ht="26" customHeight="1">
      <c r="A329" s="33" t="inlineStr">
        <is>
          <t>Aprisionamento</t>
        </is>
      </c>
      <c r="B329" s="9" t="inlineStr">
        <is>
          <t>1d6 + Eficiência e Atrasa 2 casas</t>
        </is>
      </c>
      <c r="C329" s="9" t="inlineStr">
        <is>
          <t>1 turno</t>
        </is>
      </c>
      <c r="D329" s="9" t="inlineStr">
        <is>
          <t>até 5</t>
        </is>
      </c>
      <c r="E329" s="9" t="inlineStr">
        <is>
          <t>Não</t>
        </is>
      </c>
      <c r="F329" s="9" t="n">
        <v>1</v>
      </c>
      <c r="G329" s="9" t="n">
        <v>6</v>
      </c>
      <c r="H329" s="9" t="inlineStr">
        <is>
          <t>Não</t>
        </is>
      </c>
      <c r="I329" s="9" t="inlineStr">
        <is>
          <t>Sim</t>
        </is>
      </c>
      <c r="J329" s="9" t="n">
        <v>0</v>
      </c>
      <c r="K329" s="9" t="n">
        <v>0</v>
      </c>
      <c r="L329" s="9" t="n">
        <v>2</v>
      </c>
      <c r="M329" s="9" t="n">
        <v>5</v>
      </c>
      <c r="N329" s="9" t="inlineStr">
        <is>
          <t>Não</t>
        </is>
      </c>
    </row>
    <row r="330" ht="60" customHeight="1">
      <c r="A330" s="32" t="inlineStr">
        <is>
          <t>Congelado</t>
        </is>
      </c>
      <c r="B330" s="4" t="inlineStr">
        <is>
          <t>Só inimigos. Comum perde o turno; Elite e Boss são Atrasados 2 casas e perdem a ação especial</t>
        </is>
      </c>
      <c r="C330" s="4" t="inlineStr">
        <is>
          <t>1 turno</t>
        </is>
      </c>
      <c r="D330" s="4" t="inlineStr">
        <is>
          <t>não repete em Ciclos seguidos pela mesma fonte</t>
        </is>
      </c>
      <c r="E330" s="4" t="inlineStr">
        <is>
          <t>Sim</t>
        </is>
      </c>
      <c r="F330" s="4" t="n">
        <v>0</v>
      </c>
      <c r="G330" s="4" t="n">
        <v>0</v>
      </c>
      <c r="H330" s="4" t="inlineStr">
        <is>
          <t>Não</t>
        </is>
      </c>
      <c r="I330" s="4" t="inlineStr">
        <is>
          <t>Não</t>
        </is>
      </c>
      <c r="J330" s="4" t="n">
        <v>0</v>
      </c>
      <c r="K330" s="4" t="n">
        <v>0</v>
      </c>
      <c r="L330" s="4" t="n">
        <v>0</v>
      </c>
      <c r="M330" s="4" t="n">
        <v>1</v>
      </c>
      <c r="N330" s="4" t="inlineStr">
        <is>
          <t>Não</t>
        </is>
      </c>
    </row>
    <row r="331" ht="48" customHeight="1">
      <c r="A331" s="33" t="inlineStr">
        <is>
          <t>Lentidão</t>
        </is>
      </c>
      <c r="B331" s="9" t="inlineStr">
        <is>
          <t>Ação de Movimento não muda a Distância; só sai do lugar com Esforço Total</t>
        </is>
      </c>
      <c r="C331" s="9" t="inlineStr">
        <is>
          <t>fonte</t>
        </is>
      </c>
      <c r="D331" s="9" t="inlineStr">
        <is>
          <t>não acumula</t>
        </is>
      </c>
      <c r="E331" s="9" t="inlineStr">
        <is>
          <t>Não</t>
        </is>
      </c>
      <c r="F331" s="9" t="n">
        <v>0</v>
      </c>
      <c r="G331" s="9" t="n">
        <v>0</v>
      </c>
      <c r="H331" s="9" t="inlineStr">
        <is>
          <t>Não</t>
        </is>
      </c>
      <c r="I331" s="9" t="inlineStr">
        <is>
          <t>Não</t>
        </is>
      </c>
      <c r="J331" s="9" t="n">
        <v>0</v>
      </c>
      <c r="K331" s="9" t="n">
        <v>0</v>
      </c>
      <c r="L331" s="9" t="n">
        <v>0</v>
      </c>
      <c r="M331" s="9" t="n">
        <v>1</v>
      </c>
      <c r="N331" s="9" t="inlineStr">
        <is>
          <t>Não</t>
        </is>
      </c>
    </row>
    <row r="332" ht="37" customHeight="1">
      <c r="A332" s="32" t="inlineStr">
        <is>
          <t>Marcado</t>
        </is>
      </c>
      <c r="B332" s="4" t="inlineStr">
        <is>
          <t>+1 em Testes de Ataque de quem marcou</t>
        </is>
      </c>
      <c r="C332" s="4" t="inlineStr">
        <is>
          <t>fonte</t>
        </is>
      </c>
      <c r="D332" s="4" t="inlineStr">
        <is>
          <t>3, sem somar entre fontes</t>
        </is>
      </c>
      <c r="E332" s="4" t="inlineStr">
        <is>
          <t>Não</t>
        </is>
      </c>
      <c r="F332" s="4" t="n">
        <v>0</v>
      </c>
      <c r="G332" s="4" t="n">
        <v>0</v>
      </c>
      <c r="H332" s="4" t="inlineStr">
        <is>
          <t>Não</t>
        </is>
      </c>
      <c r="I332" s="4" t="inlineStr">
        <is>
          <t>Não</t>
        </is>
      </c>
      <c r="J332" s="4" t="n">
        <v>0</v>
      </c>
      <c r="K332" s="4" t="n">
        <v>0</v>
      </c>
      <c r="L332" s="4" t="n">
        <v>0</v>
      </c>
      <c r="M332" s="4" t="n">
        <v>3</v>
      </c>
      <c r="N332" s="4" t="inlineStr">
        <is>
          <t>Não</t>
        </is>
      </c>
    </row>
    <row r="333" ht="37" customHeight="1">
      <c r="A333" s="33" t="inlineStr">
        <is>
          <t>Silenciado</t>
        </is>
      </c>
      <c r="B333" s="9" t="inlineStr">
        <is>
          <t>não pode usar Habilidade de Nível 4 ou maior</t>
        </is>
      </c>
      <c r="C333" s="9" t="inlineStr">
        <is>
          <t>1 turno</t>
        </is>
      </c>
      <c r="D333" s="9" t="inlineStr">
        <is>
          <t>—</t>
        </is>
      </c>
      <c r="E333" s="9" t="inlineStr">
        <is>
          <t>Não</t>
        </is>
      </c>
      <c r="F333" s="9" t="n">
        <v>0</v>
      </c>
      <c r="G333" s="9" t="n">
        <v>0</v>
      </c>
      <c r="H333" s="9" t="inlineStr">
        <is>
          <t>Não</t>
        </is>
      </c>
      <c r="I333" s="9" t="inlineStr">
        <is>
          <t>Não</t>
        </is>
      </c>
      <c r="J333" s="9" t="n">
        <v>0</v>
      </c>
      <c r="K333" s="9" t="n">
        <v>0</v>
      </c>
      <c r="L333" s="9" t="n">
        <v>0</v>
      </c>
      <c r="M333" s="9" t="n">
        <v>1</v>
      </c>
      <c r="N333" s="9" t="inlineStr">
        <is>
          <t>Não</t>
        </is>
      </c>
    </row>
    <row r="334" ht="26" customHeight="1">
      <c r="A334" s="32" t="inlineStr">
        <is>
          <t>Vulnerável</t>
        </is>
      </c>
      <c r="B334" s="4" t="inlineStr">
        <is>
          <t>+1 dado de dano da fonte indicada</t>
        </is>
      </c>
      <c r="C334" s="4" t="inlineStr">
        <is>
          <t>fonte</t>
        </is>
      </c>
      <c r="D334" s="4" t="inlineStr">
        <is>
          <t>até 5</t>
        </is>
      </c>
      <c r="E334" s="4" t="inlineStr">
        <is>
          <t>Não</t>
        </is>
      </c>
      <c r="F334" s="4" t="n">
        <v>0</v>
      </c>
      <c r="G334" s="4" t="n">
        <v>0</v>
      </c>
      <c r="H334" s="4" t="inlineStr">
        <is>
          <t>Não</t>
        </is>
      </c>
      <c r="I334" s="4" t="inlineStr">
        <is>
          <t>Não</t>
        </is>
      </c>
      <c r="J334" s="4" t="n">
        <v>0</v>
      </c>
      <c r="K334" s="4" t="n">
        <v>0</v>
      </c>
      <c r="L334" s="4" t="n">
        <v>0</v>
      </c>
      <c r="M334" s="4" t="n">
        <v>5</v>
      </c>
      <c r="N334" s="4" t="inlineStr">
        <is>
          <t>Não</t>
        </is>
      </c>
    </row>
    <row r="335" ht="48" customHeight="1">
      <c r="A335" s="33" t="inlineStr">
        <is>
          <t>Controlado</t>
        </is>
      </c>
      <c r="B335" s="9" t="inlineStr">
        <is>
          <t>quem aplicou decide as ações do alvo, sem Habilidade, Ultimate nem recursos</t>
        </is>
      </c>
      <c r="C335" s="9" t="inlineStr">
        <is>
          <t>fonte</t>
        </is>
      </c>
      <c r="D335" s="9" t="inlineStr">
        <is>
          <t>não acumula</t>
        </is>
      </c>
      <c r="E335" s="9" t="inlineStr">
        <is>
          <t>Não</t>
        </is>
      </c>
      <c r="F335" s="9" t="n">
        <v>0</v>
      </c>
      <c r="G335" s="9" t="n">
        <v>0</v>
      </c>
      <c r="H335" s="9" t="inlineStr">
        <is>
          <t>Não</t>
        </is>
      </c>
      <c r="I335" s="9" t="inlineStr">
        <is>
          <t>Não</t>
        </is>
      </c>
      <c r="J335" s="9" t="n">
        <v>0</v>
      </c>
      <c r="K335" s="9" t="n">
        <v>0</v>
      </c>
      <c r="L335" s="9" t="n">
        <v>0</v>
      </c>
      <c r="M335" s="9" t="n">
        <v>1</v>
      </c>
      <c r="N335" s="9" t="inlineStr">
        <is>
          <t>Não</t>
        </is>
      </c>
    </row>
    <row r="336" ht="37" customHeight="1">
      <c r="A336" s="32" t="inlineStr">
        <is>
          <t>Corrupção</t>
        </is>
      </c>
      <c r="B336" s="4" t="inlineStr">
        <is>
          <t>+1 no dano de cada Dano Contínuo seu no alvo</t>
        </is>
      </c>
      <c r="C336" s="4" t="inlineStr">
        <is>
          <t>fim do combate</t>
        </is>
      </c>
      <c r="D336" s="4" t="inlineStr">
        <is>
          <t>5</t>
        </is>
      </c>
      <c r="E336" s="4" t="inlineStr">
        <is>
          <t>Não</t>
        </is>
      </c>
      <c r="F336" s="4" t="n">
        <v>0</v>
      </c>
      <c r="G336" s="4" t="n">
        <v>0</v>
      </c>
      <c r="H336" s="4" t="inlineStr">
        <is>
          <t>Não</t>
        </is>
      </c>
      <c r="I336" s="4" t="inlineStr">
        <is>
          <t>Não</t>
        </is>
      </c>
      <c r="J336" s="4" t="n">
        <v>0</v>
      </c>
      <c r="K336" s="4" t="n">
        <v>0</v>
      </c>
      <c r="L336" s="4" t="n">
        <v>0</v>
      </c>
      <c r="M336" s="4" t="n">
        <v>5</v>
      </c>
      <c r="N336" s="4" t="inlineStr">
        <is>
          <t>Sim</t>
        </is>
      </c>
    </row>
    <row r="337" ht="37" customHeight="1">
      <c r="A337" s="33" t="inlineStr">
        <is>
          <t>Quebrado</t>
        </is>
      </c>
      <c r="B337" s="9" t="inlineStr">
        <is>
          <t>-2 de Defesa e +1 dado de dano de qualquer fonte</t>
        </is>
      </c>
      <c r="C337" s="9" t="inlineStr">
        <is>
          <t>até o fim do próximo turno dele</t>
        </is>
      </c>
      <c r="D337" s="9" t="inlineStr">
        <is>
          <t>—</t>
        </is>
      </c>
      <c r="E337" s="9" t="inlineStr">
        <is>
          <t>Sim</t>
        </is>
      </c>
      <c r="F337" s="9" t="n">
        <v>0</v>
      </c>
      <c r="G337" s="9" t="n">
        <v>0</v>
      </c>
      <c r="H337" s="9" t="inlineStr">
        <is>
          <t>Não</t>
        </is>
      </c>
      <c r="I337" s="9" t="inlineStr">
        <is>
          <t>Não</t>
        </is>
      </c>
      <c r="J337" s="9" t="n">
        <v>0</v>
      </c>
      <c r="K337" s="9" t="n">
        <v>0</v>
      </c>
      <c r="L337" s="9" t="n">
        <v>0</v>
      </c>
      <c r="M337" s="9" t="n">
        <v>1</v>
      </c>
      <c r="N337" s="9" t="inlineStr">
        <is>
          <t>Não</t>
        </is>
      </c>
    </row>
    <row r="338" ht="26" customHeight="1">
      <c r="A338" s="32" t="inlineStr">
        <is>
          <t>Surpreso</t>
        </is>
      </c>
      <c r="B338" s="4" t="inlineStr">
        <is>
          <t>casa pulada no primeiro Ciclo</t>
        </is>
      </c>
      <c r="C338" s="4" t="inlineStr">
        <is>
          <t>1 Ciclo</t>
        </is>
      </c>
      <c r="D338" s="4" t="inlineStr">
        <is>
          <t>—</t>
        </is>
      </c>
      <c r="E338" s="4" t="inlineStr">
        <is>
          <t>Não</t>
        </is>
      </c>
      <c r="F338" s="4" t="n">
        <v>0</v>
      </c>
      <c r="G338" s="4" t="n">
        <v>0</v>
      </c>
      <c r="H338" s="4" t="inlineStr">
        <is>
          <t>Não</t>
        </is>
      </c>
      <c r="I338" s="4" t="inlineStr">
        <is>
          <t>Não</t>
        </is>
      </c>
      <c r="J338" s="4" t="n">
        <v>0</v>
      </c>
      <c r="K338" s="4" t="n">
        <v>0</v>
      </c>
      <c r="L338" s="4" t="n">
        <v>0</v>
      </c>
      <c r="M338" s="4" t="n">
        <v>1</v>
      </c>
      <c r="N338" s="4" t="inlineStr">
        <is>
          <t>Não</t>
        </is>
      </c>
    </row>
    <row r="339" ht="48" customHeight="1">
      <c r="A339" s="33" t="inlineStr">
        <is>
          <t>Morrendo</t>
        </is>
      </c>
      <c r="B339" s="9" t="inlineStr">
        <is>
          <t>0 PV, inconsciente, mantém a casa, Teste de Força de Vontade DT 10 no turno</t>
        </is>
      </c>
      <c r="C339" s="9" t="inlineStr">
        <is>
          <t>até estabilizar ou morrer</t>
        </is>
      </c>
      <c r="D339" s="9" t="inlineStr">
        <is>
          <t>—</t>
        </is>
      </c>
      <c r="E339" s="9" t="inlineStr">
        <is>
          <t>Não</t>
        </is>
      </c>
      <c r="F339" s="9" t="n">
        <v>0</v>
      </c>
      <c r="G339" s="9" t="n">
        <v>0</v>
      </c>
      <c r="H339" s="9" t="inlineStr">
        <is>
          <t>Não</t>
        </is>
      </c>
      <c r="I339" s="9" t="inlineStr">
        <is>
          <t>Não</t>
        </is>
      </c>
      <c r="J339" s="9" t="n">
        <v>0</v>
      </c>
      <c r="K339" s="9" t="n">
        <v>0</v>
      </c>
      <c r="L339" s="9" t="n">
        <v>0</v>
      </c>
      <c r="M339" s="9" t="n">
        <v>1</v>
      </c>
      <c r="N339" s="9" t="inlineStr">
        <is>
          <t>Não</t>
        </is>
      </c>
    </row>
    <row r="340"/>
    <row r="341" ht="32" customHeight="1">
      <c r="A341" s="47" t="inlineStr">
        <is>
          <t>Pontos de Habilidade do grupo — 16.2</t>
        </is>
      </c>
      <c r="B341" s="48" t="n"/>
      <c r="C341" s="48" t="n"/>
      <c r="D341" s="48" t="n"/>
      <c r="E341" s="48" t="n"/>
      <c r="F341" s="48" t="n"/>
      <c r="G341" s="48" t="n"/>
    </row>
    <row r="342">
      <c r="A342" s="7" t="inlineStr">
        <is>
          <t>Nº de jogadores</t>
        </is>
      </c>
      <c r="B342" s="7" t="inlineStr">
        <is>
          <t>Máximo 1-8</t>
        </is>
      </c>
      <c r="C342" s="7" t="inlineStr">
        <is>
          <t>Máximo 9-16</t>
        </is>
      </c>
      <c r="D342" s="7" t="inlineStr">
        <is>
          <t>Máximo 17-20</t>
        </is>
      </c>
      <c r="E342" s="7" t="inlineStr">
        <is>
          <t>Início 1-8</t>
        </is>
      </c>
      <c r="F342" s="7" t="inlineStr">
        <is>
          <t>Início 9-16</t>
        </is>
      </c>
      <c r="G342" s="7" t="inlineStr">
        <is>
          <t>Início 17-20</t>
        </is>
      </c>
    </row>
    <row r="343">
      <c r="A343" s="32" t="n">
        <v>3</v>
      </c>
      <c r="B343" s="4" t="n">
        <v>4</v>
      </c>
      <c r="C343" s="4" t="n">
        <v>5</v>
      </c>
      <c r="D343" s="4" t="n">
        <v>6</v>
      </c>
      <c r="E343" s="4" t="n">
        <v>2</v>
      </c>
      <c r="F343" s="4" t="n">
        <v>3</v>
      </c>
      <c r="G343" s="4" t="n">
        <v>4</v>
      </c>
    </row>
    <row r="344">
      <c r="A344" s="33" t="n">
        <v>4</v>
      </c>
      <c r="B344" s="9" t="n">
        <v>5</v>
      </c>
      <c r="C344" s="9" t="n">
        <v>6</v>
      </c>
      <c r="D344" s="9" t="n">
        <v>7</v>
      </c>
      <c r="E344" s="9" t="n">
        <v>3</v>
      </c>
      <c r="F344" s="9" t="n">
        <v>4</v>
      </c>
      <c r="G344" s="9" t="n">
        <v>5</v>
      </c>
    </row>
    <row r="345">
      <c r="A345" s="32" t="n">
        <v>5</v>
      </c>
      <c r="B345" s="4" t="n">
        <v>6</v>
      </c>
      <c r="C345" s="4" t="n">
        <v>7</v>
      </c>
      <c r="D345" s="4" t="n">
        <v>8</v>
      </c>
      <c r="E345" s="4" t="n">
        <v>4</v>
      </c>
      <c r="F345" s="4" t="n">
        <v>5</v>
      </c>
      <c r="G345" s="4" t="n">
        <v>6</v>
      </c>
    </row>
    <row r="346">
      <c r="A346" s="33" t="n">
        <v>6</v>
      </c>
      <c r="B346" s="9" t="n">
        <v>7</v>
      </c>
      <c r="C346" s="9" t="n">
        <v>8</v>
      </c>
      <c r="D346" s="9" t="n">
        <v>9</v>
      </c>
      <c r="E346" s="9" t="n">
        <v>5</v>
      </c>
      <c r="F346" s="9" t="n">
        <v>6</v>
      </c>
      <c r="G346" s="9" t="n">
        <v>7</v>
      </c>
    </row>
    <row r="347"/>
    <row r="348" ht="32" customHeight="1">
      <c r="A348" s="47" t="inlineStr">
        <is>
          <t>Raças — 05 (o que importa no combate: 23.5, 05, 20.2)</t>
        </is>
      </c>
      <c r="B348" s="48" t="n"/>
      <c r="C348" s="48" t="n"/>
      <c r="D348" s="48" t="n"/>
      <c r="E348" s="48" t="n"/>
    </row>
    <row r="349" ht="26" customHeight="1">
      <c r="A349" s="7" t="inlineStr">
        <is>
          <t>Raça</t>
        </is>
      </c>
      <c r="B349" s="7" t="inlineStr">
        <is>
          <t>Morrendo com Vantagem</t>
        </is>
      </c>
      <c r="C349" s="7" t="inlineStr">
        <is>
          <t>Pode ser Executado</t>
        </is>
      </c>
      <c r="D349" s="7" t="inlineStr">
        <is>
          <t>Esforço</t>
        </is>
      </c>
      <c r="E349" s="7" t="inlineStr">
        <is>
          <t>Descobre Fraqueza</t>
        </is>
      </c>
    </row>
    <row r="350">
      <c r="A350" s="32" t="inlineStr">
        <is>
          <t>Humano</t>
        </is>
      </c>
      <c r="B350" s="4" t="inlineStr">
        <is>
          <t>Não</t>
        </is>
      </c>
      <c r="C350" s="4" t="inlineStr">
        <is>
          <t>Sim</t>
        </is>
      </c>
      <c r="D350" s="4" t="inlineStr">
        <is>
          <t>Sim</t>
        </is>
      </c>
      <c r="E350" s="4" t="inlineStr">
        <is>
          <t>Normal</t>
        </is>
      </c>
    </row>
    <row r="351">
      <c r="A351" s="33" t="inlineStr">
        <is>
          <t>Xianzhouíta</t>
        </is>
      </c>
      <c r="B351" s="9" t="inlineStr">
        <is>
          <t>Sim</t>
        </is>
      </c>
      <c r="C351" s="9" t="inlineStr">
        <is>
          <t>Não</t>
        </is>
      </c>
      <c r="D351" s="9" t="inlineStr">
        <is>
          <t>Não</t>
        </is>
      </c>
      <c r="E351" s="9" t="inlineStr">
        <is>
          <t>Normal</t>
        </is>
      </c>
    </row>
    <row r="352">
      <c r="A352" s="32" t="inlineStr">
        <is>
          <t>Vidyadhara</t>
        </is>
      </c>
      <c r="B352" s="4" t="inlineStr">
        <is>
          <t>Não</t>
        </is>
      </c>
      <c r="C352" s="4" t="inlineStr">
        <is>
          <t>Sim</t>
        </is>
      </c>
      <c r="D352" s="4" t="inlineStr">
        <is>
          <t>Não</t>
        </is>
      </c>
      <c r="E352" s="4" t="inlineStr">
        <is>
          <t>Normal</t>
        </is>
      </c>
    </row>
    <row r="353">
      <c r="A353" s="33" t="inlineStr">
        <is>
          <t>Vulpes</t>
        </is>
      </c>
      <c r="B353" s="9" t="inlineStr">
        <is>
          <t>Sim</t>
        </is>
      </c>
      <c r="C353" s="9" t="inlineStr">
        <is>
          <t>Sim</t>
        </is>
      </c>
      <c r="D353" s="9" t="inlineStr">
        <is>
          <t>Não</t>
        </is>
      </c>
      <c r="E353" s="9" t="inlineStr">
        <is>
          <t>Normal</t>
        </is>
      </c>
    </row>
    <row r="354">
      <c r="A354" s="32" t="inlineStr">
        <is>
          <t>Haloviano</t>
        </is>
      </c>
      <c r="B354" s="4" t="inlineStr">
        <is>
          <t>Não</t>
        </is>
      </c>
      <c r="C354" s="4" t="inlineStr">
        <is>
          <t>Sim</t>
        </is>
      </c>
      <c r="D354" s="4" t="inlineStr">
        <is>
          <t>Não</t>
        </is>
      </c>
      <c r="E354" s="4" t="inlineStr">
        <is>
          <t>Normal</t>
        </is>
      </c>
    </row>
    <row r="355">
      <c r="A355" s="33" t="inlineStr">
        <is>
          <t>Avginiano</t>
        </is>
      </c>
      <c r="B355" s="9" t="inlineStr">
        <is>
          <t>Sim</t>
        </is>
      </c>
      <c r="C355" s="9" t="inlineStr">
        <is>
          <t>Sim</t>
        </is>
      </c>
      <c r="D355" s="9" t="inlineStr">
        <is>
          <t>Não</t>
        </is>
      </c>
      <c r="E355" s="9" t="inlineStr">
        <is>
          <t>Normal</t>
        </is>
      </c>
    </row>
    <row r="356" ht="26" customHeight="1">
      <c r="A356" s="32" t="inlineStr">
        <is>
          <t>Intellitron</t>
        </is>
      </c>
      <c r="B356" s="4" t="inlineStr">
        <is>
          <t>Não</t>
        </is>
      </c>
      <c r="C356" s="4" t="inlineStr">
        <is>
          <t>Sim</t>
        </is>
      </c>
      <c r="D356" s="4" t="inlineStr">
        <is>
          <t>Não</t>
        </is>
      </c>
      <c r="E356" s="4" t="inlineStr">
        <is>
          <t>Com Vantagem, 2 por sucesso</t>
        </is>
      </c>
    </row>
    <row r="357"/>
    <row r="358" ht="32" customHeight="1">
      <c r="A358" s="47" t="inlineStr">
        <is>
          <t>Caminhos e Bônus de VEL — 19.1</t>
        </is>
      </c>
      <c r="B358" s="48" t="n"/>
    </row>
    <row r="359">
      <c r="A359" s="7" t="inlineStr">
        <is>
          <t>Caminho</t>
        </is>
      </c>
      <c r="B359" s="7" t="inlineStr">
        <is>
          <t>Bônus de VEL</t>
        </is>
      </c>
    </row>
    <row r="360">
      <c r="A360" s="32" t="inlineStr">
        <is>
          <t>A Destruição</t>
        </is>
      </c>
      <c r="B360" s="4" t="n">
        <v>1</v>
      </c>
    </row>
    <row r="361">
      <c r="A361" s="33" t="inlineStr">
        <is>
          <t>A Inexistência</t>
        </is>
      </c>
      <c r="B361" s="9" t="n">
        <v>2</v>
      </c>
    </row>
    <row r="362">
      <c r="A362" s="32" t="inlineStr">
        <is>
          <t>A Harmonia</t>
        </is>
      </c>
      <c r="B362" s="4" t="n">
        <v>2</v>
      </c>
    </row>
    <row r="363">
      <c r="A363" s="33" t="inlineStr">
        <is>
          <t>A Abundância</t>
        </is>
      </c>
      <c r="B363" s="9" t="n">
        <v>1</v>
      </c>
    </row>
    <row r="364">
      <c r="A364" s="32" t="inlineStr">
        <is>
          <t>A Recordação</t>
        </is>
      </c>
      <c r="B364" s="4" t="n">
        <v>1</v>
      </c>
    </row>
    <row r="365">
      <c r="A365" s="33" t="inlineStr">
        <is>
          <t>A Erudição</t>
        </is>
      </c>
      <c r="B365" s="9" t="n">
        <v>1</v>
      </c>
    </row>
    <row r="366">
      <c r="A366" s="32" t="inlineStr">
        <is>
          <t>A Euforia</t>
        </is>
      </c>
      <c r="B366" s="4" t="n">
        <v>3</v>
      </c>
    </row>
    <row r="367">
      <c r="A367" s="33" t="inlineStr">
        <is>
          <t>A Caça</t>
        </is>
      </c>
      <c r="B367" s="9" t="n">
        <v>4</v>
      </c>
    </row>
    <row r="368">
      <c r="A368" s="32" t="inlineStr">
        <is>
          <t>A Preservação</t>
        </is>
      </c>
      <c r="B368" s="4" t="n">
        <v>0</v>
      </c>
    </row>
    <row r="369"/>
    <row r="370" ht="32" customHeight="1">
      <c r="A370" s="47" t="inlineStr">
        <is>
          <t>Verba de marco do grupo — 24.5</t>
        </is>
      </c>
      <c r="B370" s="48" t="n"/>
      <c r="C370" s="48" t="n"/>
    </row>
    <row r="371">
      <c r="A371" s="7" t="inlineStr">
        <is>
          <t>Faixa</t>
        </is>
      </c>
      <c r="B371" s="7" t="inlineStr">
        <is>
          <t>Verba de marco (Cr)</t>
        </is>
      </c>
      <c r="C371" s="7" t="inlineStr">
        <is>
          <t>O que ela compra</t>
        </is>
      </c>
    </row>
    <row r="372" ht="26" customHeight="1">
      <c r="A372" s="32" t="inlineStr">
        <is>
          <t>1-4</t>
        </is>
      </c>
      <c r="B372" s="4" t="n">
        <v>200</v>
      </c>
      <c r="C372" s="4" t="inlineStr">
        <is>
          <t>reposição de poções, uma arma, um kit</t>
        </is>
      </c>
    </row>
    <row r="373" ht="37" customHeight="1">
      <c r="A373" s="33" t="inlineStr">
        <is>
          <t>5-8</t>
        </is>
      </c>
      <c r="B373" s="9" t="n">
        <v>500</v>
      </c>
      <c r="C373" s="9" t="inlineStr">
        <is>
          <t>trocar uma armadura, equipar o grupo com poções Médias</t>
        </is>
      </c>
    </row>
    <row r="374" ht="37" customHeight="1">
      <c r="A374" s="32" t="inlineStr">
        <is>
          <t>9-12</t>
        </is>
      </c>
      <c r="B374" s="4" t="n">
        <v>1200</v>
      </c>
      <c r="C374" s="4" t="inlineStr">
        <is>
          <t>equipamento de cena, suborno, passagem, transporte</t>
        </is>
      </c>
    </row>
    <row r="375" ht="37" customHeight="1">
      <c r="A375" s="33" t="inlineStr">
        <is>
          <t>13-16</t>
        </is>
      </c>
      <c r="B375" s="9" t="n">
        <v>2500</v>
      </c>
      <c r="C375" s="9" t="inlineStr">
        <is>
          <t>contratar gente, comprar silêncio, abrir porta fechada</t>
        </is>
      </c>
    </row>
    <row r="376" ht="48" customHeight="1">
      <c r="A376" s="32" t="inlineStr">
        <is>
          <t>17-20</t>
        </is>
      </c>
      <c r="B376" s="4" t="n">
        <v>5000</v>
      </c>
      <c r="C376" s="4" t="inlineStr">
        <is>
          <t>o custo não é mais dinheiro, e a tabela está aqui para o Mestre ter um teto</t>
        </is>
      </c>
    </row>
    <row r="377"/>
    <row r="378" ht="32" customHeight="1">
      <c r="A378" s="47" t="inlineStr">
        <is>
          <t>Cone de Luz e Relíquias por faixa — 25.1</t>
        </is>
      </c>
      <c r="B378" s="48" t="n"/>
      <c r="C378" s="48" t="n"/>
    </row>
    <row r="379">
      <c r="A379" s="7" t="inlineStr">
        <is>
          <t>Faixa</t>
        </is>
      </c>
      <c r="B379" s="7" t="inlineStr">
        <is>
          <t>Cone de Luz máximo</t>
        </is>
      </c>
      <c r="C379" s="7" t="inlineStr">
        <is>
          <t>Relíquias</t>
        </is>
      </c>
    </row>
    <row r="380">
      <c r="A380" s="32" t="inlineStr">
        <is>
          <t>1-4</t>
        </is>
      </c>
      <c r="B380" s="4" t="inlineStr">
        <is>
          <t>Nível 1</t>
        </is>
      </c>
      <c r="C380" s="4" t="inlineStr">
        <is>
          <t>Tier I</t>
        </is>
      </c>
    </row>
    <row r="381" ht="26" customHeight="1">
      <c r="A381" s="33" t="inlineStr">
        <is>
          <t>5-8</t>
        </is>
      </c>
      <c r="B381" s="9" t="inlineStr">
        <is>
          <t>Nível 2</t>
        </is>
      </c>
      <c r="C381" s="9" t="inlineStr">
        <is>
          <t>Tier I, virando Tier II no nível 7</t>
        </is>
      </c>
    </row>
    <row r="382">
      <c r="A382" s="32" t="inlineStr">
        <is>
          <t>9-12</t>
        </is>
      </c>
      <c r="B382" s="4" t="inlineStr">
        <is>
          <t>Nível 3</t>
        </is>
      </c>
      <c r="C382" s="4" t="inlineStr">
        <is>
          <t>Tier II</t>
        </is>
      </c>
    </row>
    <row r="383">
      <c r="A383" s="33" t="inlineStr">
        <is>
          <t>13-16</t>
        </is>
      </c>
      <c r="B383" s="9" t="inlineStr">
        <is>
          <t>Nível 4</t>
        </is>
      </c>
      <c r="C383" s="9" t="inlineStr">
        <is>
          <t>Tier III</t>
        </is>
      </c>
    </row>
    <row r="384" ht="26" customHeight="1">
      <c r="A384" s="32" t="inlineStr">
        <is>
          <t>17-20</t>
        </is>
      </c>
      <c r="B384" s="4" t="inlineStr">
        <is>
          <t>Nível 5</t>
        </is>
      </c>
      <c r="C384" s="4" t="inlineStr">
        <is>
          <t>Tier III, virando Tier IV no nível 18</t>
        </is>
      </c>
    </row>
    <row r="385"/>
    <row r="386" ht="46" customHeight="1">
      <c r="A386" s="47" t="inlineStr">
        <is>
          <t>Culturas e montagem do nome — 05 (nomes: Sugestão da planilha)</t>
        </is>
      </c>
      <c r="B386" s="48" t="n"/>
      <c r="C386" s="48" t="n"/>
      <c r="D386" s="48" t="n"/>
    </row>
    <row r="387">
      <c r="A387" s="7" t="inlineStr">
        <is>
          <t>Raça</t>
        </is>
      </c>
      <c r="B387" s="7" t="inlineStr">
        <is>
          <t>Ordem</t>
        </is>
      </c>
      <c r="C387" s="7" t="inlineStr">
        <is>
          <t>Separador</t>
        </is>
      </c>
      <c r="D387" s="7" t="inlineStr">
        <is>
          <t>Índice</t>
        </is>
      </c>
    </row>
    <row r="388">
      <c r="A388" s="32" t="inlineStr">
        <is>
          <t>Humano</t>
        </is>
      </c>
      <c r="B388" s="4" t="n">
        <v>1</v>
      </c>
      <c r="C388" s="4" t="inlineStr">
        <is>
          <t xml:space="preserve"> </t>
        </is>
      </c>
      <c r="D388" s="4" t="n">
        <v>1</v>
      </c>
    </row>
    <row r="389">
      <c r="A389" s="33" t="inlineStr">
        <is>
          <t>Xianzhouíta</t>
        </is>
      </c>
      <c r="B389" s="9" t="n">
        <v>2</v>
      </c>
      <c r="C389" s="9" t="inlineStr">
        <is>
          <t xml:space="preserve"> </t>
        </is>
      </c>
      <c r="D389" s="9" t="n">
        <v>2</v>
      </c>
    </row>
    <row r="390">
      <c r="A390" s="32" t="inlineStr">
        <is>
          <t>Vidyadhara</t>
        </is>
      </c>
      <c r="B390" s="4" t="n">
        <v>1</v>
      </c>
      <c r="C390" s="4" t="inlineStr">
        <is>
          <t xml:space="preserve"> </t>
        </is>
      </c>
      <c r="D390" s="4" t="n">
        <v>3</v>
      </c>
    </row>
    <row r="391">
      <c r="A391" s="33" t="inlineStr">
        <is>
          <t>Vulpes</t>
        </is>
      </c>
      <c r="B391" s="9" t="n">
        <v>1</v>
      </c>
      <c r="C391" s="9" t="inlineStr">
        <is>
          <t xml:space="preserve"> </t>
        </is>
      </c>
      <c r="D391" s="9" t="n">
        <v>4</v>
      </c>
    </row>
    <row r="392">
      <c r="A392" s="32" t="inlineStr">
        <is>
          <t>Haloviano</t>
        </is>
      </c>
      <c r="B392" s="4" t="n">
        <v>1</v>
      </c>
      <c r="C392" s="4" t="inlineStr">
        <is>
          <t xml:space="preserve"> </t>
        </is>
      </c>
      <c r="D392" s="4" t="n">
        <v>5</v>
      </c>
    </row>
    <row r="393">
      <c r="A393" s="33" t="inlineStr">
        <is>
          <t>Avginiano</t>
        </is>
      </c>
      <c r="B393" s="9" t="n">
        <v>1</v>
      </c>
      <c r="C393" s="9" t="inlineStr">
        <is>
          <t xml:space="preserve"> do clã </t>
        </is>
      </c>
      <c r="D393" s="9" t="n">
        <v>6</v>
      </c>
    </row>
    <row r="394">
      <c r="A394" s="32" t="inlineStr">
        <is>
          <t>Intellitron</t>
        </is>
      </c>
      <c r="B394" s="4" t="n">
        <v>1</v>
      </c>
      <c r="C394" s="4" t="inlineStr">
        <is>
          <t xml:space="preserve">, que se chama </t>
        </is>
      </c>
      <c r="D394" s="4" t="n">
        <v>7</v>
      </c>
    </row>
    <row r="395"/>
    <row r="396" ht="32" customHeight="1">
      <c r="A396" s="47" t="inlineStr">
        <is>
          <t>Papel do NPC na história — Sugestão da planilha (H11)</t>
        </is>
      </c>
      <c r="B396" s="48" t="n"/>
    </row>
    <row r="397">
      <c r="A397" s="7" t="inlineStr">
        <is>
          <t>Papel</t>
        </is>
      </c>
      <c r="B397" s="7" t="inlineStr">
        <is>
          <t>Índice</t>
        </is>
      </c>
    </row>
    <row r="398">
      <c r="A398" s="32" t="inlineStr">
        <is>
          <t>Aliado</t>
        </is>
      </c>
      <c r="B398" s="4" t="n">
        <v>1</v>
      </c>
    </row>
    <row r="399">
      <c r="A399" s="33" t="inlineStr">
        <is>
          <t>Contratante</t>
        </is>
      </c>
      <c r="B399" s="9" t="n">
        <v>2</v>
      </c>
    </row>
    <row r="400">
      <c r="A400" s="32" t="inlineStr">
        <is>
          <t>Rival</t>
        </is>
      </c>
      <c r="B400" s="4" t="n">
        <v>3</v>
      </c>
    </row>
    <row r="401">
      <c r="A401" s="33" t="inlineStr">
        <is>
          <t>Neutro</t>
        </is>
      </c>
      <c r="B401" s="9" t="n">
        <v>4</v>
      </c>
    </row>
    <row r="402">
      <c r="A402" s="32" t="inlineStr">
        <is>
          <t>Informante</t>
        </is>
      </c>
      <c r="B402" s="4" t="n">
        <v>5</v>
      </c>
    </row>
    <row r="403">
      <c r="A403" s="33" t="inlineStr">
        <is>
          <t>Vítima</t>
        </is>
      </c>
      <c r="B403" s="9" t="n">
        <v>6</v>
      </c>
    </row>
    <row r="404">
      <c r="A404" s="32" t="inlineStr">
        <is>
          <t>Antagonista</t>
        </is>
      </c>
      <c r="B404" s="4" t="n">
        <v>7</v>
      </c>
    </row>
    <row r="405"/>
    <row r="406" ht="18" customHeight="1">
      <c r="A406" s="12" t="inlineStr">
        <is>
          <t>Poções de Vida — 24.3</t>
        </is>
      </c>
      <c r="B406" s="48" t="n"/>
      <c r="C406" s="48" t="n"/>
      <c r="D406" s="48" t="n"/>
    </row>
    <row r="407">
      <c r="A407" s="7" t="inlineStr">
        <is>
          <t>Poção</t>
        </is>
      </c>
      <c r="B407" s="7" t="inlineStr">
        <is>
          <t>Cura</t>
        </is>
      </c>
      <c r="C407" s="7" t="inlineStr">
        <is>
          <t>Espaço</t>
        </is>
      </c>
      <c r="D407" s="7" t="inlineStr">
        <is>
          <t>Preço (Cr)</t>
        </is>
      </c>
    </row>
    <row r="408">
      <c r="A408" s="32" t="inlineStr">
        <is>
          <t>Pequena</t>
        </is>
      </c>
      <c r="B408" s="4" t="n">
        <v>15</v>
      </c>
      <c r="C408" s="4" t="n">
        <v>0.5</v>
      </c>
      <c r="D408" s="4" t="n">
        <v>50</v>
      </c>
    </row>
    <row r="409">
      <c r="A409" s="33" t="inlineStr">
        <is>
          <t>Média</t>
        </is>
      </c>
      <c r="B409" s="9" t="n">
        <v>30</v>
      </c>
      <c r="C409" s="9" t="n">
        <v>1</v>
      </c>
      <c r="D409" s="9" t="n">
        <v>150</v>
      </c>
    </row>
    <row r="410">
      <c r="A410" s="32" t="inlineStr">
        <is>
          <t>Grande</t>
        </is>
      </c>
      <c r="B410" s="4" t="n">
        <v>50</v>
      </c>
      <c r="C410" s="4" t="n">
        <v>2</v>
      </c>
      <c r="D410" s="4" t="n">
        <v>400</v>
      </c>
    </row>
    <row r="411"/>
    <row r="412" ht="18" customHeight="1">
      <c r="A412" s="12" t="inlineStr">
        <is>
          <t>Itens comuns — 24.3</t>
        </is>
      </c>
      <c r="B412" s="48" t="n"/>
      <c r="C412" s="48" t="n"/>
      <c r="D412" s="48" t="n"/>
    </row>
    <row r="413">
      <c r="A413" s="7" t="inlineStr">
        <is>
          <t>Item</t>
        </is>
      </c>
      <c r="B413" s="7" t="inlineStr">
        <is>
          <t>Espaço</t>
        </is>
      </c>
      <c r="C413" s="7" t="inlineStr">
        <is>
          <t>Preço (Cr)</t>
        </is>
      </c>
      <c r="D413" s="7" t="inlineStr">
        <is>
          <t>Para quê</t>
        </is>
      </c>
    </row>
    <row r="414" ht="26" customHeight="1">
      <c r="A414" s="32" t="inlineStr">
        <is>
          <t>Kit de primeiros socorros (3 usos)</t>
        </is>
      </c>
      <c r="B414" s="4" t="n">
        <v>1</v>
      </c>
      <c r="C414" s="4" t="n">
        <v>100</v>
      </c>
      <c r="D414" s="4" t="inlineStr">
        <is>
          <t>Cura 10 fora de combate, por uso</t>
        </is>
      </c>
    </row>
    <row r="415" ht="37" customHeight="1">
      <c r="A415" s="33" t="inlineStr">
        <is>
          <t>Kit de ferramentas</t>
        </is>
      </c>
      <c r="B415" s="9" t="n">
        <v>1</v>
      </c>
      <c r="C415" s="9" t="n">
        <v>120</v>
      </c>
      <c r="D415" s="9" t="inlineStr">
        <is>
          <t>Permite Testes de Tecnologia que exigem equipamento</t>
        </is>
      </c>
    </row>
    <row r="416" ht="26" customHeight="1">
      <c r="A416" s="32" t="inlineStr">
        <is>
          <t>Kit de pesquisa de campo</t>
        </is>
      </c>
      <c r="B416" s="4" t="n">
        <v>1</v>
      </c>
      <c r="C416" s="4" t="n">
        <v>150</v>
      </c>
      <c r="D416" s="4" t="inlineStr">
        <is>
          <t>Idem, para Ciência e Pesquisa</t>
        </is>
      </c>
    </row>
    <row r="417">
      <c r="A417" s="33" t="inlineStr">
        <is>
          <t>Lanterna de plasma</t>
        </is>
      </c>
      <c r="B417" s="9" t="n">
        <v>0.5</v>
      </c>
      <c r="C417" s="9" t="n">
        <v>30</v>
      </c>
      <c r="D417" s="9" t="inlineStr">
        <is>
          <t>Luz, 8 horas de carga</t>
        </is>
      </c>
    </row>
    <row r="418">
      <c r="A418" s="32" t="inlineStr">
        <is>
          <t>Corda de fibra, 20 m</t>
        </is>
      </c>
      <c r="B418" s="4" t="n">
        <v>1</v>
      </c>
      <c r="C418" s="4" t="n">
        <v>25</v>
      </c>
      <c r="D418" s="4" t="inlineStr">
        <is>
          <t>Corda</t>
        </is>
      </c>
    </row>
    <row r="419" ht="26" customHeight="1">
      <c r="A419" s="33" t="inlineStr">
        <is>
          <t>Gancho de escalada</t>
        </is>
      </c>
      <c r="B419" s="9" t="n">
        <v>0.5</v>
      </c>
      <c r="C419" s="9" t="n">
        <v>60</v>
      </c>
      <c r="D419" s="9" t="inlineStr">
        <is>
          <t>Sobe o que não tem escada</t>
        </is>
      </c>
    </row>
    <row r="420" ht="26" customHeight="1">
      <c r="A420" s="32" t="inlineStr">
        <is>
          <t>Ração de viagem (3 dias)</t>
        </is>
      </c>
      <c r="B420" s="4" t="n">
        <v>0.5</v>
      </c>
      <c r="C420" s="4" t="n">
        <v>15</v>
      </c>
      <c r="D420" s="4" t="inlineStr">
        <is>
          <t>Descanso Longo fora de abrigo</t>
        </is>
      </c>
    </row>
    <row r="421" ht="26" customHeight="1">
      <c r="A421" s="33" t="inlineStr">
        <is>
          <t>Comunicador de curto alcance</t>
        </is>
      </c>
      <c r="B421" s="9" t="n">
        <v>0.5</v>
      </c>
      <c r="C421" s="9" t="n">
        <v>80</v>
      </c>
      <c r="D421" s="9" t="inlineStr">
        <is>
          <t>Fala com o grupo entre cenas</t>
        </is>
      </c>
    </row>
    <row r="422" ht="37" customHeight="1">
      <c r="A422" s="32" t="inlineStr">
        <is>
          <t>Scanner portátil</t>
        </is>
      </c>
      <c r="B422" s="4" t="n">
        <v>1</v>
      </c>
      <c r="C422" s="4" t="n">
        <v>200</v>
      </c>
      <c r="D422" s="4" t="inlineStr">
        <is>
          <t>Vantagem em um Teste de Pesquisa por cena, fora de combate</t>
        </is>
      </c>
    </row>
    <row r="423" ht="37" customHeight="1">
      <c r="A423" s="33" t="inlineStr">
        <is>
          <t>Traje de vedação</t>
        </is>
      </c>
      <c r="B423" s="9" t="n">
        <v>2</v>
      </c>
      <c r="C423" s="9" t="n">
        <v>250</v>
      </c>
      <c r="D423" s="9" t="inlineStr">
        <is>
          <t>Sobrevive a vácuo e atmosfera hostil por uma cena</t>
        </is>
      </c>
    </row>
    <row r="424" ht="37" customHeight="1">
      <c r="A424" s="32" t="inlineStr">
        <is>
          <t>Munição ou célula de reserva</t>
        </is>
      </c>
      <c r="B424" s="4" t="n">
        <v>0.5</v>
      </c>
      <c r="C424" s="4" t="n">
        <v>20</v>
      </c>
      <c r="D424" s="4" t="inlineStr">
        <is>
          <t>Recarrega uma arma com a propriedade Recarga</t>
        </is>
      </c>
    </row>
    <row r="425"/>
    <row r="426" ht="32" customHeight="1">
      <c r="A426" s="47" t="inlineStr">
        <is>
          <t>Armaduras e Vestimentas — 24.1</t>
        </is>
      </c>
      <c r="B426" s="48" t="n"/>
      <c r="C426" s="48" t="n"/>
      <c r="D426" s="48" t="n"/>
      <c r="E426" s="48" t="n"/>
      <c r="F426" s="48" t="n"/>
    </row>
    <row r="427">
      <c r="A427" s="7" t="inlineStr">
        <is>
          <t>Tipo</t>
        </is>
      </c>
      <c r="B427" s="7" t="inlineStr">
        <is>
          <t>Defesa</t>
        </is>
      </c>
      <c r="C427" s="7" t="inlineStr">
        <is>
          <t>Outros efeitos</t>
        </is>
      </c>
      <c r="D427" s="7" t="inlineStr">
        <is>
          <t>Esquiva</t>
        </is>
      </c>
      <c r="E427" s="7" t="inlineStr">
        <is>
          <t>Espaço</t>
        </is>
      </c>
      <c r="F427" s="7" t="inlineStr">
        <is>
          <t>Preço (Cr)</t>
        </is>
      </c>
    </row>
    <row r="428">
      <c r="A428" s="32" t="inlineStr">
        <is>
          <t>Leve</t>
        </is>
      </c>
      <c r="B428" s="4" t="n">
        <v>3</v>
      </c>
      <c r="C428" s="4" t="inlineStr">
        <is>
          <t>+1 de Velocidade</t>
        </is>
      </c>
      <c r="D428" s="4" t="inlineStr">
        <is>
          <t>Permitida</t>
        </is>
      </c>
      <c r="E428" s="4" t="n">
        <v>1</v>
      </c>
      <c r="F428" s="4" t="n">
        <v>150</v>
      </c>
    </row>
    <row r="429">
      <c r="A429" s="33" t="inlineStr">
        <is>
          <t>Média</t>
        </is>
      </c>
      <c r="B429" s="9" t="n">
        <v>5</v>
      </c>
      <c r="C429" s="9" t="inlineStr">
        <is>
          <t>—</t>
        </is>
      </c>
      <c r="D429" s="9" t="inlineStr">
        <is>
          <t>Permitida</t>
        </is>
      </c>
      <c r="E429" s="9" t="n">
        <v>2</v>
      </c>
      <c r="F429" s="9" t="n">
        <v>300</v>
      </c>
    </row>
    <row r="430" ht="48" customHeight="1">
      <c r="A430" s="32" t="inlineStr">
        <is>
          <t>Pesada</t>
        </is>
      </c>
      <c r="B430" s="4" t="n">
        <v>6</v>
      </c>
      <c r="C430" s="4" t="inlineStr">
        <is>
          <t>2 RD, -2 em Reflexos e nas Perícias de Agilidade, -2 de Velocidade</t>
        </is>
      </c>
      <c r="D430" s="4" t="inlineStr">
        <is>
          <t>Proibida</t>
        </is>
      </c>
      <c r="E430" s="4" t="n">
        <v>3</v>
      </c>
      <c r="F430" s="4" t="n">
        <v>500</v>
      </c>
    </row>
    <row r="431"/>
    <row r="432" ht="18" customHeight="1">
      <c r="A432" s="12" t="inlineStr">
        <is>
          <t>Armas — 24.2</t>
        </is>
      </c>
      <c r="B432" s="48" t="n"/>
      <c r="C432" s="48" t="n"/>
      <c r="D432" s="48" t="n"/>
      <c r="E432" s="48" t="n"/>
      <c r="F432" s="48" t="n"/>
    </row>
    <row r="433">
      <c r="A433" s="7" t="inlineStr">
        <is>
          <t>Categoria</t>
        </is>
      </c>
      <c r="B433" s="7" t="inlineStr">
        <is>
          <t>Dados base</t>
        </is>
      </c>
      <c r="C433" s="7" t="inlineStr">
        <is>
          <t>Alcance</t>
        </is>
      </c>
      <c r="D433" s="7" t="inlineStr">
        <is>
          <t>Atributo de Ataque</t>
        </is>
      </c>
      <c r="E433" s="7" t="inlineStr">
        <is>
          <t>Espaço</t>
        </is>
      </c>
      <c r="F433" s="7" t="inlineStr">
        <is>
          <t>Preço (Cr)</t>
        </is>
      </c>
    </row>
    <row r="434">
      <c r="A434" s="32" t="inlineStr">
        <is>
          <t>Leve</t>
        </is>
      </c>
      <c r="B434" s="4" t="inlineStr">
        <is>
          <t>1d8</t>
        </is>
      </c>
      <c r="C434" s="4" t="inlineStr">
        <is>
          <t>Pessoal</t>
        </is>
      </c>
      <c r="D434" s="4" t="inlineStr">
        <is>
          <t>Agilidade</t>
        </is>
      </c>
      <c r="E434" s="4" t="n">
        <v>1</v>
      </c>
      <c r="F434" s="4" t="n">
        <v>100</v>
      </c>
    </row>
    <row r="435" ht="26" customHeight="1">
      <c r="A435" s="33" t="inlineStr">
        <is>
          <t>Média</t>
        </is>
      </c>
      <c r="B435" s="9" t="inlineStr">
        <is>
          <t>1d10</t>
        </is>
      </c>
      <c r="C435" s="9" t="inlineStr">
        <is>
          <t>Pessoal</t>
        </is>
      </c>
      <c r="D435" s="9" t="inlineStr">
        <is>
          <t>Poder ou Agilidade (fixo na criação)</t>
        </is>
      </c>
      <c r="E435" s="9" t="n">
        <v>1</v>
      </c>
      <c r="F435" s="9" t="n">
        <v>150</v>
      </c>
    </row>
    <row r="436">
      <c r="A436" s="32" t="inlineStr">
        <is>
          <t>Pesada</t>
        </is>
      </c>
      <c r="B436" s="4" t="inlineStr">
        <is>
          <t>1d12</t>
        </is>
      </c>
      <c r="C436" s="4" t="inlineStr">
        <is>
          <t>Pessoal</t>
        </is>
      </c>
      <c r="D436" s="4" t="inlineStr">
        <is>
          <t>Poder</t>
        </is>
      </c>
      <c r="E436" s="4" t="n">
        <v>2</v>
      </c>
      <c r="F436" s="4" t="n">
        <v>200</v>
      </c>
    </row>
    <row r="437">
      <c r="A437" s="33" t="inlineStr">
        <is>
          <t>Disparo curto</t>
        </is>
      </c>
      <c r="B437" s="9" t="inlineStr">
        <is>
          <t>1d8</t>
        </is>
      </c>
      <c r="C437" s="9" t="inlineStr">
        <is>
          <t>Média</t>
        </is>
      </c>
      <c r="D437" s="9" t="inlineStr">
        <is>
          <t>Agilidade</t>
        </is>
      </c>
      <c r="E437" s="9" t="n">
        <v>1</v>
      </c>
      <c r="F437" s="9" t="n">
        <v>250</v>
      </c>
    </row>
    <row r="438">
      <c r="A438" s="32" t="inlineStr">
        <is>
          <t>Disparo longo</t>
        </is>
      </c>
      <c r="B438" s="4" t="inlineStr">
        <is>
          <t>1d10</t>
        </is>
      </c>
      <c r="C438" s="4" t="inlineStr">
        <is>
          <t>Longa</t>
        </is>
      </c>
      <c r="D438" s="4" t="inlineStr">
        <is>
          <t>Agilidade</t>
        </is>
      </c>
      <c r="E438" s="4" t="n">
        <v>2</v>
      </c>
      <c r="F438" s="4" t="n">
        <v>350</v>
      </c>
    </row>
    <row r="439">
      <c r="A439" s="33" t="inlineStr">
        <is>
          <t>Energia</t>
        </is>
      </c>
      <c r="B439" s="9" t="inlineStr">
        <is>
          <t>2d8</t>
        </is>
      </c>
      <c r="C439" s="9" t="inlineStr">
        <is>
          <t>Longa</t>
        </is>
      </c>
      <c r="D439" s="9" t="inlineStr">
        <is>
          <t>Sincronia</t>
        </is>
      </c>
      <c r="E439" s="9" t="n">
        <v>2</v>
      </c>
      <c r="F439" s="9" t="n">
        <v>500</v>
      </c>
    </row>
    <row r="440"/>
    <row r="441" ht="46" customHeight="1">
      <c r="A441" s="47" t="inlineStr">
        <is>
          <t>Consumíveis dos achados — 24.3 (faixa da poção: Sugestão da planilha, H9)</t>
        </is>
      </c>
      <c r="B441" s="48" t="n"/>
      <c r="C441" s="48" t="n"/>
      <c r="D441" s="48" t="n"/>
      <c r="E441" s="48" t="n"/>
      <c r="F441" s="48" t="n"/>
      <c r="G441" s="48" t="n"/>
      <c r="H441" s="48" t="n"/>
      <c r="I441" s="48" t="n"/>
    </row>
    <row r="442">
      <c r="A442" s="7" t="inlineStr">
        <is>
          <t>Item</t>
        </is>
      </c>
      <c r="B442" s="7" t="inlineStr">
        <is>
          <t>Preço (Cr)</t>
        </is>
      </c>
      <c r="C442" s="7" t="inlineStr">
        <is>
          <t>Tipo</t>
        </is>
      </c>
      <c r="D442" s="7" t="inlineStr">
        <is>
          <t>Faixas</t>
        </is>
      </c>
      <c r="E442" s="7" t="inlineStr">
        <is>
          <t>Ordem 1-4</t>
        </is>
      </c>
      <c r="F442" s="7" t="inlineStr">
        <is>
          <t>Ordem 5-8</t>
        </is>
      </c>
      <c r="G442" s="7" t="inlineStr">
        <is>
          <t>Ordem 9-12</t>
        </is>
      </c>
      <c r="H442" s="7" t="inlineStr">
        <is>
          <t>Ordem 13-16</t>
        </is>
      </c>
      <c r="I442" s="7" t="inlineStr">
        <is>
          <t>Ordem 17-20</t>
        </is>
      </c>
    </row>
    <row r="443">
      <c r="A443" s="32" t="inlineStr">
        <is>
          <t>Poção Pequena</t>
        </is>
      </c>
      <c r="B443" s="4" t="n">
        <v>50</v>
      </c>
      <c r="C443" s="4" t="inlineStr">
        <is>
          <t>Poção de Vida</t>
        </is>
      </c>
      <c r="D443" s="4" t="inlineStr">
        <is>
          <t>1-8</t>
        </is>
      </c>
      <c r="E443" s="4" t="n">
        <v>1</v>
      </c>
      <c r="F443" s="4" t="n">
        <v>1</v>
      </c>
      <c r="G443" s="4" t="inlineStr"/>
      <c r="H443" s="4" t="inlineStr"/>
      <c r="I443" s="4" t="inlineStr"/>
    </row>
    <row r="444">
      <c r="A444" s="33" t="inlineStr">
        <is>
          <t>Poção Média</t>
        </is>
      </c>
      <c r="B444" s="9" t="n">
        <v>150</v>
      </c>
      <c r="C444" s="9" t="inlineStr">
        <is>
          <t>Poção de Vida</t>
        </is>
      </c>
      <c r="D444" s="9" t="inlineStr">
        <is>
          <t>5-16</t>
        </is>
      </c>
      <c r="E444" s="9" t="inlineStr"/>
      <c r="F444" s="9" t="n">
        <v>2</v>
      </c>
      <c r="G444" s="9" t="n">
        <v>1</v>
      </c>
      <c r="H444" s="9" t="n">
        <v>1</v>
      </c>
      <c r="I444" s="9" t="inlineStr"/>
    </row>
    <row r="445">
      <c r="A445" s="32" t="inlineStr">
        <is>
          <t>Poção Grande</t>
        </is>
      </c>
      <c r="B445" s="4" t="n">
        <v>400</v>
      </c>
      <c r="C445" s="4" t="inlineStr">
        <is>
          <t>Poção de Vida</t>
        </is>
      </c>
      <c r="D445" s="4" t="inlineStr">
        <is>
          <t>13-20</t>
        </is>
      </c>
      <c r="E445" s="4" t="inlineStr"/>
      <c r="F445" s="4" t="inlineStr"/>
      <c r="G445" s="4" t="inlineStr"/>
      <c r="H445" s="4" t="n">
        <v>2</v>
      </c>
      <c r="I445" s="4" t="n">
        <v>1</v>
      </c>
    </row>
    <row r="446">
      <c r="A446" s="33" t="inlineStr">
        <is>
          <t>Kit de primeiros socorros (3 usos)</t>
        </is>
      </c>
      <c r="B446" s="9" t="n">
        <v>100</v>
      </c>
      <c r="C446" s="9" t="inlineStr">
        <is>
          <t>Item comum</t>
        </is>
      </c>
      <c r="D446" s="9" t="inlineStr">
        <is>
          <t>1-20</t>
        </is>
      </c>
      <c r="E446" s="9" t="n">
        <v>2</v>
      </c>
      <c r="F446" s="9" t="n">
        <v>3</v>
      </c>
      <c r="G446" s="9" t="n">
        <v>2</v>
      </c>
      <c r="H446" s="9" t="n">
        <v>3</v>
      </c>
      <c r="I446" s="9" t="n">
        <v>2</v>
      </c>
    </row>
    <row r="447">
      <c r="A447" s="32" t="inlineStr">
        <is>
          <t>Kit de ferramentas</t>
        </is>
      </c>
      <c r="B447" s="4" t="n">
        <v>120</v>
      </c>
      <c r="C447" s="4" t="inlineStr">
        <is>
          <t>Item comum</t>
        </is>
      </c>
      <c r="D447" s="4" t="inlineStr">
        <is>
          <t>1-20</t>
        </is>
      </c>
      <c r="E447" s="4" t="n">
        <v>3</v>
      </c>
      <c r="F447" s="4" t="n">
        <v>4</v>
      </c>
      <c r="G447" s="4" t="n">
        <v>3</v>
      </c>
      <c r="H447" s="4" t="n">
        <v>4</v>
      </c>
      <c r="I447" s="4" t="n">
        <v>3</v>
      </c>
    </row>
    <row r="448">
      <c r="A448" s="33" t="inlineStr">
        <is>
          <t>Kit de pesquisa de campo</t>
        </is>
      </c>
      <c r="B448" s="9" t="n">
        <v>150</v>
      </c>
      <c r="C448" s="9" t="inlineStr">
        <is>
          <t>Item comum</t>
        </is>
      </c>
      <c r="D448" s="9" t="inlineStr">
        <is>
          <t>1-20</t>
        </is>
      </c>
      <c r="E448" s="9" t="n">
        <v>4</v>
      </c>
      <c r="F448" s="9" t="n">
        <v>5</v>
      </c>
      <c r="G448" s="9" t="n">
        <v>4</v>
      </c>
      <c r="H448" s="9" t="n">
        <v>5</v>
      </c>
      <c r="I448" s="9" t="n">
        <v>4</v>
      </c>
    </row>
    <row r="449">
      <c r="A449" s="32" t="inlineStr">
        <is>
          <t>Lanterna de plasma</t>
        </is>
      </c>
      <c r="B449" s="4" t="n">
        <v>30</v>
      </c>
      <c r="C449" s="4" t="inlineStr">
        <is>
          <t>Item comum</t>
        </is>
      </c>
      <c r="D449" s="4" t="inlineStr">
        <is>
          <t>1-20</t>
        </is>
      </c>
      <c r="E449" s="4" t="n">
        <v>5</v>
      </c>
      <c r="F449" s="4" t="n">
        <v>6</v>
      </c>
      <c r="G449" s="4" t="n">
        <v>5</v>
      </c>
      <c r="H449" s="4" t="n">
        <v>6</v>
      </c>
      <c r="I449" s="4" t="n">
        <v>5</v>
      </c>
    </row>
    <row r="450">
      <c r="A450" s="33" t="inlineStr">
        <is>
          <t>Corda de fibra, 20 m</t>
        </is>
      </c>
      <c r="B450" s="9" t="n">
        <v>25</v>
      </c>
      <c r="C450" s="9" t="inlineStr">
        <is>
          <t>Item comum</t>
        </is>
      </c>
      <c r="D450" s="9" t="inlineStr">
        <is>
          <t>1-20</t>
        </is>
      </c>
      <c r="E450" s="9" t="n">
        <v>6</v>
      </c>
      <c r="F450" s="9" t="n">
        <v>7</v>
      </c>
      <c r="G450" s="9" t="n">
        <v>6</v>
      </c>
      <c r="H450" s="9" t="n">
        <v>7</v>
      </c>
      <c r="I450" s="9" t="n">
        <v>6</v>
      </c>
    </row>
    <row r="451">
      <c r="A451" s="32" t="inlineStr">
        <is>
          <t>Gancho de escalada</t>
        </is>
      </c>
      <c r="B451" s="4" t="n">
        <v>60</v>
      </c>
      <c r="C451" s="4" t="inlineStr">
        <is>
          <t>Item comum</t>
        </is>
      </c>
      <c r="D451" s="4" t="inlineStr">
        <is>
          <t>1-20</t>
        </is>
      </c>
      <c r="E451" s="4" t="n">
        <v>7</v>
      </c>
      <c r="F451" s="4" t="n">
        <v>8</v>
      </c>
      <c r="G451" s="4" t="n">
        <v>7</v>
      </c>
      <c r="H451" s="4" t="n">
        <v>8</v>
      </c>
      <c r="I451" s="4" t="n">
        <v>7</v>
      </c>
    </row>
    <row r="452">
      <c r="A452" s="33" t="inlineStr">
        <is>
          <t>Ração de viagem (3 dias)</t>
        </is>
      </c>
      <c r="B452" s="9" t="n">
        <v>15</v>
      </c>
      <c r="C452" s="9" t="inlineStr">
        <is>
          <t>Item comum</t>
        </is>
      </c>
      <c r="D452" s="9" t="inlineStr">
        <is>
          <t>1-20</t>
        </is>
      </c>
      <c r="E452" s="9" t="n">
        <v>8</v>
      </c>
      <c r="F452" s="9" t="n">
        <v>9</v>
      </c>
      <c r="G452" s="9" t="n">
        <v>8</v>
      </c>
      <c r="H452" s="9" t="n">
        <v>9</v>
      </c>
      <c r="I452" s="9" t="n">
        <v>8</v>
      </c>
    </row>
    <row r="453">
      <c r="A453" s="32" t="inlineStr">
        <is>
          <t>Comunicador de curto alcance</t>
        </is>
      </c>
      <c r="B453" s="4" t="n">
        <v>80</v>
      </c>
      <c r="C453" s="4" t="inlineStr">
        <is>
          <t>Item comum</t>
        </is>
      </c>
      <c r="D453" s="4" t="inlineStr">
        <is>
          <t>1-20</t>
        </is>
      </c>
      <c r="E453" s="4" t="n">
        <v>9</v>
      </c>
      <c r="F453" s="4" t="n">
        <v>10</v>
      </c>
      <c r="G453" s="4" t="n">
        <v>9</v>
      </c>
      <c r="H453" s="4" t="n">
        <v>10</v>
      </c>
      <c r="I453" s="4" t="n">
        <v>9</v>
      </c>
    </row>
    <row r="454">
      <c r="A454" s="33" t="inlineStr">
        <is>
          <t>Scanner portátil</t>
        </is>
      </c>
      <c r="B454" s="9" t="n">
        <v>200</v>
      </c>
      <c r="C454" s="9" t="inlineStr">
        <is>
          <t>Item comum</t>
        </is>
      </c>
      <c r="D454" s="9" t="inlineStr">
        <is>
          <t>1-20</t>
        </is>
      </c>
      <c r="E454" s="9" t="n">
        <v>10</v>
      </c>
      <c r="F454" s="9" t="n">
        <v>11</v>
      </c>
      <c r="G454" s="9" t="n">
        <v>10</v>
      </c>
      <c r="H454" s="9" t="n">
        <v>11</v>
      </c>
      <c r="I454" s="9" t="n">
        <v>10</v>
      </c>
    </row>
    <row r="455">
      <c r="A455" s="32" t="inlineStr">
        <is>
          <t>Traje de vedação</t>
        </is>
      </c>
      <c r="B455" s="4" t="n">
        <v>250</v>
      </c>
      <c r="C455" s="4" t="inlineStr">
        <is>
          <t>Item comum</t>
        </is>
      </c>
      <c r="D455" s="4" t="inlineStr">
        <is>
          <t>1-20</t>
        </is>
      </c>
      <c r="E455" s="4" t="n">
        <v>11</v>
      </c>
      <c r="F455" s="4" t="n">
        <v>12</v>
      </c>
      <c r="G455" s="4" t="n">
        <v>11</v>
      </c>
      <c r="H455" s="4" t="n">
        <v>12</v>
      </c>
      <c r="I455" s="4" t="n">
        <v>11</v>
      </c>
    </row>
    <row r="456">
      <c r="A456" s="33" t="inlineStr">
        <is>
          <t>Munição ou célula de reserva</t>
        </is>
      </c>
      <c r="B456" s="9" t="n">
        <v>20</v>
      </c>
      <c r="C456" s="9" t="inlineStr">
        <is>
          <t>Item comum</t>
        </is>
      </c>
      <c r="D456" s="9" t="inlineStr">
        <is>
          <t>1-20</t>
        </is>
      </c>
      <c r="E456" s="9" t="n">
        <v>12</v>
      </c>
      <c r="F456" s="9" t="n">
        <v>13</v>
      </c>
      <c r="G456" s="9" t="n">
        <v>12</v>
      </c>
      <c r="H456" s="9" t="n">
        <v>13</v>
      </c>
      <c r="I456" s="9" t="n">
        <v>12</v>
      </c>
    </row>
    <row r="457"/>
    <row r="458" ht="32" customHeight="1">
      <c r="A458" s="47" t="inlineStr">
        <is>
          <t>Consumíveis por faixa — 24.3 e H9</t>
        </is>
      </c>
      <c r="B458" s="48" t="n"/>
    </row>
    <row r="459">
      <c r="A459" s="7" t="inlineStr">
        <is>
          <t>Faixa</t>
        </is>
      </c>
      <c r="B459" s="7" t="inlineStr">
        <is>
          <t>Nº de consumíveis</t>
        </is>
      </c>
    </row>
    <row r="460">
      <c r="A460" s="32" t="inlineStr">
        <is>
          <t>1-4</t>
        </is>
      </c>
      <c r="B460" s="4" t="n">
        <v>12</v>
      </c>
    </row>
    <row r="461">
      <c r="A461" s="33" t="inlineStr">
        <is>
          <t>5-8</t>
        </is>
      </c>
      <c r="B461" s="9" t="n">
        <v>13</v>
      </c>
    </row>
    <row r="462">
      <c r="A462" s="32" t="inlineStr">
        <is>
          <t>9-12</t>
        </is>
      </c>
      <c r="B462" s="4" t="n">
        <v>12</v>
      </c>
    </row>
    <row r="463">
      <c r="A463" s="33" t="inlineStr">
        <is>
          <t>13-16</t>
        </is>
      </c>
      <c r="B463" s="9" t="n">
        <v>13</v>
      </c>
    </row>
    <row r="464">
      <c r="A464" s="32" t="inlineStr">
        <is>
          <t>17-20</t>
        </is>
      </c>
      <c r="B464" s="4" t="n">
        <v>12</v>
      </c>
    </row>
    <row r="465"/>
    <row r="466" ht="46" customHeight="1">
      <c r="A466" s="47" t="inlineStr">
        <is>
          <t>Cone de Luz por Nível — 25.2 (Sobreposição até o teto +3)</t>
        </is>
      </c>
      <c r="B466" s="48" t="n"/>
      <c r="C466" s="48" t="n"/>
      <c r="D466" s="48" t="n"/>
      <c r="E466" s="48" t="n"/>
      <c r="F466" s="48" t="n"/>
      <c r="G466" s="48" t="n"/>
      <c r="H466" s="48" t="n"/>
      <c r="I466" s="48" t="n"/>
    </row>
    <row r="467" ht="26" customHeight="1">
      <c r="A467" s="7" t="inlineStr">
        <is>
          <t>Nível do Cone</t>
        </is>
      </c>
      <c r="B467" s="7" t="inlineStr">
        <is>
          <t>Nível do personagem</t>
        </is>
      </c>
      <c r="C467" s="7" t="inlineStr">
        <is>
          <t>Bônus Maior</t>
        </is>
      </c>
      <c r="D467" s="7" t="inlineStr">
        <is>
          <t>Efeito Condicional</t>
        </is>
      </c>
      <c r="E467" s="7" t="inlineStr">
        <is>
          <t>Parte numérica</t>
        </is>
      </c>
      <c r="F467" s="7" t="inlineStr">
        <is>
          <t>Modo</t>
        </is>
      </c>
      <c r="G467" s="7" t="inlineStr">
        <is>
          <t>PV</t>
        </is>
      </c>
      <c r="H467" s="7" t="inlineStr">
        <is>
          <t>Sobreposições até o teto</t>
        </is>
      </c>
      <c r="I467" s="7" t="inlineStr">
        <is>
          <t>PV no teto</t>
        </is>
      </c>
    </row>
    <row r="468" ht="26" customHeight="1">
      <c r="A468" s="32" t="n">
        <v>1</v>
      </c>
      <c r="B468" s="4" t="n">
        <v>1</v>
      </c>
      <c r="C468" s="4" t="inlineStr">
        <is>
          <t>+1 ou +10 PV</t>
        </is>
      </c>
      <c r="D468" s="4" t="inlineStr">
        <is>
          <t>1 efeito simples, 1 vez por combate</t>
        </is>
      </c>
      <c r="E468" s="4" t="n">
        <v>1</v>
      </c>
      <c r="F468" s="4" t="inlineStr">
        <is>
          <t>ou</t>
        </is>
      </c>
      <c r="G468" s="4" t="n">
        <v>10</v>
      </c>
      <c r="H468" s="4" t="n">
        <v>2</v>
      </c>
      <c r="I468" s="4" t="n">
        <v>30</v>
      </c>
    </row>
    <row r="469" ht="26" customHeight="1">
      <c r="A469" s="33" t="n">
        <v>2</v>
      </c>
      <c r="B469" s="9" t="n">
        <v>5</v>
      </c>
      <c r="C469" s="9" t="inlineStr">
        <is>
          <t>+1 e +10 PV</t>
        </is>
      </c>
      <c r="D469" s="9" t="inlineStr">
        <is>
          <t>1 efeito, 1 vez por Ciclo</t>
        </is>
      </c>
      <c r="E469" s="9" t="n">
        <v>1</v>
      </c>
      <c r="F469" s="9" t="inlineStr">
        <is>
          <t>e</t>
        </is>
      </c>
      <c r="G469" s="9" t="n">
        <v>10</v>
      </c>
      <c r="H469" s="9" t="n">
        <v>2</v>
      </c>
      <c r="I469" s="9" t="n">
        <v>30</v>
      </c>
    </row>
    <row r="470" ht="26" customHeight="1">
      <c r="A470" s="32" t="n">
        <v>3</v>
      </c>
      <c r="B470" s="4" t="n">
        <v>9</v>
      </c>
      <c r="C470" s="4" t="inlineStr">
        <is>
          <t>+2 ou +25 PV</t>
        </is>
      </c>
      <c r="D470" s="4" t="inlineStr">
        <is>
          <t>1 efeito + pequeno ganho de Energia</t>
        </is>
      </c>
      <c r="E470" s="4" t="n">
        <v>2</v>
      </c>
      <c r="F470" s="4" t="inlineStr">
        <is>
          <t>ou</t>
        </is>
      </c>
      <c r="G470" s="4" t="n">
        <v>25</v>
      </c>
      <c r="H470" s="4" t="n">
        <v>1</v>
      </c>
      <c r="I470" s="4" t="n">
        <v>35</v>
      </c>
    </row>
    <row r="471">
      <c r="A471" s="33" t="n">
        <v>4</v>
      </c>
      <c r="B471" s="9" t="n">
        <v>13</v>
      </c>
      <c r="C471" s="9" t="inlineStr">
        <is>
          <t>+2 e +25 PV</t>
        </is>
      </c>
      <c r="D471" s="9" t="inlineStr">
        <is>
          <t>2 efeitos</t>
        </is>
      </c>
      <c r="E471" s="9" t="n">
        <v>2</v>
      </c>
      <c r="F471" s="9" t="inlineStr">
        <is>
          <t>e</t>
        </is>
      </c>
      <c r="G471" s="9" t="n">
        <v>25</v>
      </c>
      <c r="H471" s="9" t="n">
        <v>1</v>
      </c>
      <c r="I471" s="9" t="n">
        <v>35</v>
      </c>
    </row>
    <row r="472" ht="37" customHeight="1">
      <c r="A472" s="32" t="n">
        <v>5</v>
      </c>
      <c r="B472" s="4" t="n">
        <v>17</v>
      </c>
      <c r="C472" s="4" t="inlineStr">
        <is>
          <t>+3 ou +50 PV</t>
        </is>
      </c>
      <c r="D472" s="4" t="inlineStr">
        <is>
          <t>2 efeitos, um deles podendo conceder Avanço</t>
        </is>
      </c>
      <c r="E472" s="4" t="n">
        <v>3</v>
      </c>
      <c r="F472" s="4" t="inlineStr">
        <is>
          <t>ou</t>
        </is>
      </c>
      <c r="G472" s="4" t="n">
        <v>50</v>
      </c>
      <c r="H472" s="4" t="n">
        <v>0</v>
      </c>
      <c r="I472" s="4" t="n">
        <v>50</v>
      </c>
    </row>
    <row r="473"/>
    <row r="474" ht="32" customHeight="1">
      <c r="A474" s="47" t="inlineStr">
        <is>
          <t>Relíquias: 6 slots por Tier — 25.3</t>
        </is>
      </c>
      <c r="B474" s="48" t="n"/>
      <c r="C474" s="48" t="n"/>
      <c r="D474" s="48" t="n"/>
      <c r="E474" s="48" t="n"/>
      <c r="F474" s="48" t="n"/>
    </row>
    <row r="475">
      <c r="A475" s="7" t="inlineStr">
        <is>
          <t>Slot</t>
        </is>
      </c>
      <c r="B475" s="7" t="inlineStr">
        <is>
          <t>O que dá</t>
        </is>
      </c>
      <c r="C475" s="7" t="inlineStr">
        <is>
          <t>Tier I</t>
        </is>
      </c>
      <c r="D475" s="7" t="inlineStr">
        <is>
          <t>Tier II</t>
        </is>
      </c>
      <c r="E475" s="7" t="inlineStr">
        <is>
          <t>Tier III</t>
        </is>
      </c>
      <c r="F475" s="7" t="inlineStr">
        <is>
          <t>Tier IV</t>
        </is>
      </c>
    </row>
    <row r="476">
      <c r="A476" s="32" t="inlineStr">
        <is>
          <t>Cabeça</t>
        </is>
      </c>
      <c r="B476" s="4" t="inlineStr">
        <is>
          <t>PV máximos</t>
        </is>
      </c>
      <c r="C476" s="4" t="n">
        <v>10</v>
      </c>
      <c r="D476" s="4" t="n">
        <v>20</v>
      </c>
      <c r="E476" s="4" t="n">
        <v>35</v>
      </c>
      <c r="F476" s="4" t="n">
        <v>50</v>
      </c>
    </row>
    <row r="477">
      <c r="A477" s="33" t="inlineStr">
        <is>
          <t>Mãos</t>
        </is>
      </c>
      <c r="B477" s="9" t="inlineStr">
        <is>
          <t>Dano de Ataque Básico</t>
        </is>
      </c>
      <c r="C477" s="9" t="n">
        <v>2</v>
      </c>
      <c r="D477" s="9" t="n">
        <v>4</v>
      </c>
      <c r="E477" s="9" t="n">
        <v>6</v>
      </c>
      <c r="F477" s="9" t="n">
        <v>8</v>
      </c>
    </row>
    <row r="478">
      <c r="A478" s="32" t="inlineStr">
        <is>
          <t>Tronco</t>
        </is>
      </c>
      <c r="B478" s="4" t="inlineStr">
        <is>
          <t>Defesa</t>
        </is>
      </c>
      <c r="C478" s="4" t="n">
        <v>1</v>
      </c>
      <c r="D478" s="4" t="n">
        <v>1</v>
      </c>
      <c r="E478" s="4" t="n">
        <v>2</v>
      </c>
      <c r="F478" s="4" t="n">
        <v>2</v>
      </c>
    </row>
    <row r="479">
      <c r="A479" s="33" t="inlineStr">
        <is>
          <t>Botas</t>
        </is>
      </c>
      <c r="B479" s="9" t="inlineStr">
        <is>
          <t>Velocidade</t>
        </is>
      </c>
      <c r="C479" s="9" t="n">
        <v>2</v>
      </c>
      <c r="D479" s="9" t="n">
        <v>3</v>
      </c>
      <c r="E479" s="9" t="n">
        <v>4</v>
      </c>
      <c r="F479" s="9" t="n">
        <v>5</v>
      </c>
    </row>
    <row r="480" ht="26" customHeight="1">
      <c r="A480" s="32" t="inlineStr">
        <is>
          <t>Esfera Planar</t>
        </is>
      </c>
      <c r="B480" s="4" t="inlineStr">
        <is>
          <t>Dano de um Elemento escolhido</t>
        </is>
      </c>
      <c r="C480" s="4" t="n">
        <v>2</v>
      </c>
      <c r="D480" s="4" t="n">
        <v>4</v>
      </c>
      <c r="E480" s="4" t="n">
        <v>6</v>
      </c>
      <c r="F480" s="4" t="n">
        <v>8</v>
      </c>
    </row>
    <row r="481" ht="26" customHeight="1">
      <c r="A481" s="33" t="inlineStr">
        <is>
          <t>Corda de Ligação</t>
        </is>
      </c>
      <c r="B481" s="9" t="inlineStr">
        <is>
          <t>Energia, 1 vez por combate</t>
        </is>
      </c>
      <c r="C481" s="9" t="n">
        <v>10</v>
      </c>
      <c r="D481" s="9" t="n">
        <v>15</v>
      </c>
      <c r="E481" s="9" t="n">
        <v>20</v>
      </c>
      <c r="F481" s="9" t="n">
        <v>25</v>
      </c>
    </row>
    <row r="482"/>
    <row r="483" ht="32" customHeight="1">
      <c r="A483" s="47" t="inlineStr">
        <is>
          <t>Conjuntos de Relíquias — 25.3</t>
        </is>
      </c>
      <c r="B483" s="48" t="n"/>
    </row>
    <row r="484">
      <c r="A484" s="7" t="inlineStr">
        <is>
          <t>Peças</t>
        </is>
      </c>
      <c r="B484" s="7" t="inlineStr">
        <is>
          <t>O que você ganha</t>
        </is>
      </c>
    </row>
    <row r="485" ht="60" customHeight="1">
      <c r="A485" s="32" t="inlineStr">
        <is>
          <t>2 peças</t>
        </is>
      </c>
      <c r="B485" s="4" t="inlineStr">
        <is>
          <t>Um bônus pequeno e fixo: +1 em um tipo de rolagem, +1 de Velocidade, +2 de dano ou +1 RD</t>
        </is>
      </c>
    </row>
    <row r="486" ht="105" customHeight="1">
      <c r="A486" s="33" t="inlineStr">
        <is>
          <t>4 peças</t>
        </is>
      </c>
      <c r="B486" s="9" t="inlineStr">
        <is>
          <t>Um efeito condicional por Ciclo. Exemplos: "ao Quebrar um inimigo, o seu próximo ataque ganha +1 dado"; "ao usar a Ultimate, o grupo recebe +1 de Defesa por 1 Ciclo"</t>
        </is>
      </c>
    </row>
    <row r="487"/>
    <row r="488" ht="18" customHeight="1">
      <c r="A488" s="12" t="inlineStr">
        <is>
          <t>Ressonâncias — 26.7</t>
        </is>
      </c>
      <c r="B488" s="48" t="n"/>
      <c r="C488" s="48" t="n"/>
    </row>
    <row r="489">
      <c r="A489" s="7" t="inlineStr">
        <is>
          <t>Ressonância</t>
        </is>
      </c>
      <c r="B489" s="7" t="inlineStr">
        <is>
          <t>Nível</t>
        </is>
      </c>
      <c r="C489" s="7" t="inlineStr">
        <is>
          <t>Escolha uma opção</t>
        </is>
      </c>
    </row>
    <row r="490" ht="60" customHeight="1">
      <c r="A490" s="32" t="inlineStr">
        <is>
          <t>I</t>
        </is>
      </c>
      <c r="B490" s="4" t="n">
        <v>5</v>
      </c>
      <c r="C490" s="4" t="inlineStr">
        <is>
          <t>1 uso por combate de uma Habilidade de Nível 3 ou menor sem custo de PH; ou +1 de Velocidade permanente</t>
        </is>
      </c>
    </row>
    <row r="491" ht="71" customHeight="1">
      <c r="A491" s="33" t="inlineStr">
        <is>
          <t>II</t>
        </is>
      </c>
      <c r="B491" s="9" t="n">
        <v>10</v>
      </c>
      <c r="C491" s="9" t="inlineStr">
        <is>
          <t>Sua Ultimate ganha um efeito extra, dentro dos limites de buff e debuff lidos no Nível equivalente da sua faixa (capítulo 17)</t>
        </is>
      </c>
    </row>
    <row r="492" ht="71" customHeight="1">
      <c r="A492" s="32" t="inlineStr">
        <is>
          <t>III</t>
        </is>
      </c>
      <c r="B492" s="4" t="n">
        <v>15</v>
      </c>
      <c r="C492" s="4" t="inlineStr">
        <is>
          <t>Uma Habilidade sua sobe 1 Nível de efeito e passa a custar o PH do Nível novo, sem passar do seu Nível máximo</t>
        </is>
      </c>
    </row>
    <row r="493" ht="71" customHeight="1">
      <c r="A493" s="33" t="inlineStr">
        <is>
          <t>IV</t>
        </is>
      </c>
      <c r="B493" s="9" t="n">
        <v>20</v>
      </c>
      <c r="C493" s="9" t="inlineStr">
        <is>
          <t>Sua Ultimate ativa com 80 de Energia e consome 80 (o teto do medidor continua 100); ou sua Bênção Avatar afeta um alvo adicional</t>
        </is>
      </c>
    </row>
    <row r="494"/>
    <row r="495" ht="32" customHeight="1">
      <c r="A495" s="47" t="inlineStr">
        <is>
          <t>Equipamento e marcos por nível — 25.1, 25.3, 26.7, 24.5</t>
        </is>
      </c>
      <c r="B495" s="48" t="n"/>
      <c r="C495" s="48" t="n"/>
      <c r="D495" s="48" t="n"/>
      <c r="E495" s="48" t="n"/>
      <c r="F495" s="48" t="n"/>
      <c r="G495" s="48" t="n"/>
      <c r="H495" s="48" t="n"/>
    </row>
    <row r="496" ht="26" customHeight="1">
      <c r="A496" s="7" t="inlineStr">
        <is>
          <t>Nível</t>
        </is>
      </c>
      <c r="B496" s="7" t="inlineStr">
        <is>
          <t>Faixa</t>
        </is>
      </c>
      <c r="C496" s="7" t="inlineStr">
        <is>
          <t>Cone de Luz máximo (Nível)</t>
        </is>
      </c>
      <c r="D496" s="7" t="inlineStr">
        <is>
          <t>Tier de Relíquia</t>
        </is>
      </c>
      <c r="E496" s="7" t="inlineStr">
        <is>
          <t>Primeiro nível da faixa</t>
        </is>
      </c>
      <c r="F496" s="7" t="inlineStr">
        <is>
          <t>Tier novo neste nível</t>
        </is>
      </c>
      <c r="G496" s="7" t="inlineStr">
        <is>
          <t>Ressonância</t>
        </is>
      </c>
      <c r="H496" s="7" t="inlineStr">
        <is>
          <t>Verba de marco (Cr)</t>
        </is>
      </c>
    </row>
    <row r="497">
      <c r="A497" s="32" t="n">
        <v>1</v>
      </c>
      <c r="B497" s="4" t="inlineStr">
        <is>
          <t>1-4</t>
        </is>
      </c>
      <c r="C497" s="4" t="n">
        <v>1</v>
      </c>
      <c r="D497" s="4" t="inlineStr">
        <is>
          <t>Tier I</t>
        </is>
      </c>
      <c r="E497" s="4" t="inlineStr">
        <is>
          <t>Sim</t>
        </is>
      </c>
      <c r="F497" s="4" t="inlineStr">
        <is>
          <t>Sim</t>
        </is>
      </c>
      <c r="G497" s="4" t="inlineStr">
        <is>
          <t>—</t>
        </is>
      </c>
      <c r="H497" s="4" t="n">
        <v>200</v>
      </c>
    </row>
    <row r="498">
      <c r="A498" s="33" t="n">
        <v>2</v>
      </c>
      <c r="B498" s="9" t="inlineStr">
        <is>
          <t>1-4</t>
        </is>
      </c>
      <c r="C498" s="9" t="n">
        <v>1</v>
      </c>
      <c r="D498" s="9" t="inlineStr">
        <is>
          <t>Tier I</t>
        </is>
      </c>
      <c r="E498" s="9" t="inlineStr">
        <is>
          <t>Não</t>
        </is>
      </c>
      <c r="F498" s="9" t="inlineStr">
        <is>
          <t>Não</t>
        </is>
      </c>
      <c r="G498" s="9" t="inlineStr">
        <is>
          <t>—</t>
        </is>
      </c>
      <c r="H498" s="9" t="n">
        <v>200</v>
      </c>
    </row>
    <row r="499">
      <c r="A499" s="32" t="n">
        <v>3</v>
      </c>
      <c r="B499" s="4" t="inlineStr">
        <is>
          <t>1-4</t>
        </is>
      </c>
      <c r="C499" s="4" t="n">
        <v>1</v>
      </c>
      <c r="D499" s="4" t="inlineStr">
        <is>
          <t>Tier I</t>
        </is>
      </c>
      <c r="E499" s="4" t="inlineStr">
        <is>
          <t>Não</t>
        </is>
      </c>
      <c r="F499" s="4" t="inlineStr">
        <is>
          <t>Não</t>
        </is>
      </c>
      <c r="G499" s="4" t="inlineStr">
        <is>
          <t>—</t>
        </is>
      </c>
      <c r="H499" s="4" t="n">
        <v>200</v>
      </c>
    </row>
    <row r="500">
      <c r="A500" s="33" t="n">
        <v>4</v>
      </c>
      <c r="B500" s="9" t="inlineStr">
        <is>
          <t>1-4</t>
        </is>
      </c>
      <c r="C500" s="9" t="n">
        <v>1</v>
      </c>
      <c r="D500" s="9" t="inlineStr">
        <is>
          <t>Tier I</t>
        </is>
      </c>
      <c r="E500" s="9" t="inlineStr">
        <is>
          <t>Não</t>
        </is>
      </c>
      <c r="F500" s="9" t="inlineStr">
        <is>
          <t>Não</t>
        </is>
      </c>
      <c r="G500" s="9" t="inlineStr">
        <is>
          <t>—</t>
        </is>
      </c>
      <c r="H500" s="9" t="n">
        <v>200</v>
      </c>
    </row>
    <row r="501">
      <c r="A501" s="32" t="n">
        <v>5</v>
      </c>
      <c r="B501" s="4" t="inlineStr">
        <is>
          <t>5-8</t>
        </is>
      </c>
      <c r="C501" s="4" t="n">
        <v>2</v>
      </c>
      <c r="D501" s="4" t="inlineStr">
        <is>
          <t>Tier I</t>
        </is>
      </c>
      <c r="E501" s="4" t="inlineStr">
        <is>
          <t>Sim</t>
        </is>
      </c>
      <c r="F501" s="4" t="inlineStr">
        <is>
          <t>Não</t>
        </is>
      </c>
      <c r="G501" s="4" t="inlineStr">
        <is>
          <t>I</t>
        </is>
      </c>
      <c r="H501" s="4" t="n">
        <v>500</v>
      </c>
    </row>
    <row r="502">
      <c r="A502" s="33" t="n">
        <v>6</v>
      </c>
      <c r="B502" s="9" t="inlineStr">
        <is>
          <t>5-8</t>
        </is>
      </c>
      <c r="C502" s="9" t="n">
        <v>2</v>
      </c>
      <c r="D502" s="9" t="inlineStr">
        <is>
          <t>Tier I</t>
        </is>
      </c>
      <c r="E502" s="9" t="inlineStr">
        <is>
          <t>Não</t>
        </is>
      </c>
      <c r="F502" s="9" t="inlineStr">
        <is>
          <t>Não</t>
        </is>
      </c>
      <c r="G502" s="9" t="inlineStr">
        <is>
          <t>—</t>
        </is>
      </c>
      <c r="H502" s="9" t="n">
        <v>500</v>
      </c>
    </row>
    <row r="503">
      <c r="A503" s="32" t="n">
        <v>7</v>
      </c>
      <c r="B503" s="4" t="inlineStr">
        <is>
          <t>5-8</t>
        </is>
      </c>
      <c r="C503" s="4" t="n">
        <v>2</v>
      </c>
      <c r="D503" s="4" t="inlineStr">
        <is>
          <t>Tier II</t>
        </is>
      </c>
      <c r="E503" s="4" t="inlineStr">
        <is>
          <t>Não</t>
        </is>
      </c>
      <c r="F503" s="4" t="inlineStr">
        <is>
          <t>Sim</t>
        </is>
      </c>
      <c r="G503" s="4" t="inlineStr">
        <is>
          <t>—</t>
        </is>
      </c>
      <c r="H503" s="4" t="n">
        <v>500</v>
      </c>
    </row>
    <row r="504">
      <c r="A504" s="33" t="n">
        <v>8</v>
      </c>
      <c r="B504" s="9" t="inlineStr">
        <is>
          <t>5-8</t>
        </is>
      </c>
      <c r="C504" s="9" t="n">
        <v>2</v>
      </c>
      <c r="D504" s="9" t="inlineStr">
        <is>
          <t>Tier II</t>
        </is>
      </c>
      <c r="E504" s="9" t="inlineStr">
        <is>
          <t>Não</t>
        </is>
      </c>
      <c r="F504" s="9" t="inlineStr">
        <is>
          <t>Não</t>
        </is>
      </c>
      <c r="G504" s="9" t="inlineStr">
        <is>
          <t>—</t>
        </is>
      </c>
      <c r="H504" s="9" t="n">
        <v>500</v>
      </c>
    </row>
    <row r="505">
      <c r="A505" s="32" t="n">
        <v>9</v>
      </c>
      <c r="B505" s="4" t="inlineStr">
        <is>
          <t>9-12</t>
        </is>
      </c>
      <c r="C505" s="4" t="n">
        <v>3</v>
      </c>
      <c r="D505" s="4" t="inlineStr">
        <is>
          <t>Tier II</t>
        </is>
      </c>
      <c r="E505" s="4" t="inlineStr">
        <is>
          <t>Sim</t>
        </is>
      </c>
      <c r="F505" s="4" t="inlineStr">
        <is>
          <t>Não</t>
        </is>
      </c>
      <c r="G505" s="4" t="inlineStr">
        <is>
          <t>—</t>
        </is>
      </c>
      <c r="H505" s="4" t="n">
        <v>1200</v>
      </c>
    </row>
    <row r="506">
      <c r="A506" s="33" t="n">
        <v>10</v>
      </c>
      <c r="B506" s="9" t="inlineStr">
        <is>
          <t>9-12</t>
        </is>
      </c>
      <c r="C506" s="9" t="n">
        <v>3</v>
      </c>
      <c r="D506" s="9" t="inlineStr">
        <is>
          <t>Tier II</t>
        </is>
      </c>
      <c r="E506" s="9" t="inlineStr">
        <is>
          <t>Não</t>
        </is>
      </c>
      <c r="F506" s="9" t="inlineStr">
        <is>
          <t>Não</t>
        </is>
      </c>
      <c r="G506" s="9" t="inlineStr">
        <is>
          <t>II</t>
        </is>
      </c>
      <c r="H506" s="9" t="n">
        <v>1200</v>
      </c>
    </row>
    <row r="507">
      <c r="A507" s="32" t="n">
        <v>11</v>
      </c>
      <c r="B507" s="4" t="inlineStr">
        <is>
          <t>9-12</t>
        </is>
      </c>
      <c r="C507" s="4" t="n">
        <v>3</v>
      </c>
      <c r="D507" s="4" t="inlineStr">
        <is>
          <t>Tier II</t>
        </is>
      </c>
      <c r="E507" s="4" t="inlineStr">
        <is>
          <t>Não</t>
        </is>
      </c>
      <c r="F507" s="4" t="inlineStr">
        <is>
          <t>Não</t>
        </is>
      </c>
      <c r="G507" s="4" t="inlineStr">
        <is>
          <t>—</t>
        </is>
      </c>
      <c r="H507" s="4" t="n">
        <v>1200</v>
      </c>
    </row>
    <row r="508">
      <c r="A508" s="33" t="n">
        <v>12</v>
      </c>
      <c r="B508" s="9" t="inlineStr">
        <is>
          <t>9-12</t>
        </is>
      </c>
      <c r="C508" s="9" t="n">
        <v>3</v>
      </c>
      <c r="D508" s="9" t="inlineStr">
        <is>
          <t>Tier II</t>
        </is>
      </c>
      <c r="E508" s="9" t="inlineStr">
        <is>
          <t>Não</t>
        </is>
      </c>
      <c r="F508" s="9" t="inlineStr">
        <is>
          <t>Não</t>
        </is>
      </c>
      <c r="G508" s="9" t="inlineStr">
        <is>
          <t>—</t>
        </is>
      </c>
      <c r="H508" s="9" t="n">
        <v>1200</v>
      </c>
    </row>
    <row r="509">
      <c r="A509" s="32" t="n">
        <v>13</v>
      </c>
      <c r="B509" s="4" t="inlineStr">
        <is>
          <t>13-16</t>
        </is>
      </c>
      <c r="C509" s="4" t="n">
        <v>4</v>
      </c>
      <c r="D509" s="4" t="inlineStr">
        <is>
          <t>Tier III</t>
        </is>
      </c>
      <c r="E509" s="4" t="inlineStr">
        <is>
          <t>Sim</t>
        </is>
      </c>
      <c r="F509" s="4" t="inlineStr">
        <is>
          <t>Sim</t>
        </is>
      </c>
      <c r="G509" s="4" t="inlineStr">
        <is>
          <t>—</t>
        </is>
      </c>
      <c r="H509" s="4" t="n">
        <v>2500</v>
      </c>
    </row>
    <row r="510">
      <c r="A510" s="33" t="n">
        <v>14</v>
      </c>
      <c r="B510" s="9" t="inlineStr">
        <is>
          <t>13-16</t>
        </is>
      </c>
      <c r="C510" s="9" t="n">
        <v>4</v>
      </c>
      <c r="D510" s="9" t="inlineStr">
        <is>
          <t>Tier III</t>
        </is>
      </c>
      <c r="E510" s="9" t="inlineStr">
        <is>
          <t>Não</t>
        </is>
      </c>
      <c r="F510" s="9" t="inlineStr">
        <is>
          <t>Não</t>
        </is>
      </c>
      <c r="G510" s="9" t="inlineStr">
        <is>
          <t>—</t>
        </is>
      </c>
      <c r="H510" s="9" t="n">
        <v>2500</v>
      </c>
    </row>
    <row r="511">
      <c r="A511" s="32" t="n">
        <v>15</v>
      </c>
      <c r="B511" s="4" t="inlineStr">
        <is>
          <t>13-16</t>
        </is>
      </c>
      <c r="C511" s="4" t="n">
        <v>4</v>
      </c>
      <c r="D511" s="4" t="inlineStr">
        <is>
          <t>Tier III</t>
        </is>
      </c>
      <c r="E511" s="4" t="inlineStr">
        <is>
          <t>Não</t>
        </is>
      </c>
      <c r="F511" s="4" t="inlineStr">
        <is>
          <t>Não</t>
        </is>
      </c>
      <c r="G511" s="4" t="inlineStr">
        <is>
          <t>III</t>
        </is>
      </c>
      <c r="H511" s="4" t="n">
        <v>2500</v>
      </c>
    </row>
    <row r="512">
      <c r="A512" s="33" t="n">
        <v>16</v>
      </c>
      <c r="B512" s="9" t="inlineStr">
        <is>
          <t>13-16</t>
        </is>
      </c>
      <c r="C512" s="9" t="n">
        <v>4</v>
      </c>
      <c r="D512" s="9" t="inlineStr">
        <is>
          <t>Tier III</t>
        </is>
      </c>
      <c r="E512" s="9" t="inlineStr">
        <is>
          <t>Não</t>
        </is>
      </c>
      <c r="F512" s="9" t="inlineStr">
        <is>
          <t>Não</t>
        </is>
      </c>
      <c r="G512" s="9" t="inlineStr">
        <is>
          <t>—</t>
        </is>
      </c>
      <c r="H512" s="9" t="n">
        <v>2500</v>
      </c>
    </row>
    <row r="513">
      <c r="A513" s="32" t="n">
        <v>17</v>
      </c>
      <c r="B513" s="4" t="inlineStr">
        <is>
          <t>17-20</t>
        </is>
      </c>
      <c r="C513" s="4" t="n">
        <v>5</v>
      </c>
      <c r="D513" s="4" t="inlineStr">
        <is>
          <t>Tier III</t>
        </is>
      </c>
      <c r="E513" s="4" t="inlineStr">
        <is>
          <t>Sim</t>
        </is>
      </c>
      <c r="F513" s="4" t="inlineStr">
        <is>
          <t>Não</t>
        </is>
      </c>
      <c r="G513" s="4" t="inlineStr">
        <is>
          <t>—</t>
        </is>
      </c>
      <c r="H513" s="4" t="n">
        <v>5000</v>
      </c>
    </row>
    <row r="514">
      <c r="A514" s="33" t="n">
        <v>18</v>
      </c>
      <c r="B514" s="9" t="inlineStr">
        <is>
          <t>17-20</t>
        </is>
      </c>
      <c r="C514" s="9" t="n">
        <v>5</v>
      </c>
      <c r="D514" s="9" t="inlineStr">
        <is>
          <t>Tier IV</t>
        </is>
      </c>
      <c r="E514" s="9" t="inlineStr">
        <is>
          <t>Não</t>
        </is>
      </c>
      <c r="F514" s="9" t="inlineStr">
        <is>
          <t>Sim</t>
        </is>
      </c>
      <c r="G514" s="9" t="inlineStr">
        <is>
          <t>—</t>
        </is>
      </c>
      <c r="H514" s="9" t="n">
        <v>5000</v>
      </c>
    </row>
    <row r="515">
      <c r="A515" s="32" t="n">
        <v>19</v>
      </c>
      <c r="B515" s="4" t="inlineStr">
        <is>
          <t>17-20</t>
        </is>
      </c>
      <c r="C515" s="4" t="n">
        <v>5</v>
      </c>
      <c r="D515" s="4" t="inlineStr">
        <is>
          <t>Tier IV</t>
        </is>
      </c>
      <c r="E515" s="4" t="inlineStr">
        <is>
          <t>Não</t>
        </is>
      </c>
      <c r="F515" s="4" t="inlineStr">
        <is>
          <t>Não</t>
        </is>
      </c>
      <c r="G515" s="4" t="inlineStr">
        <is>
          <t>—</t>
        </is>
      </c>
      <c r="H515" s="4" t="n">
        <v>5000</v>
      </c>
    </row>
    <row r="516">
      <c r="A516" s="33" t="n">
        <v>20</v>
      </c>
      <c r="B516" s="9" t="inlineStr">
        <is>
          <t>17-20</t>
        </is>
      </c>
      <c r="C516" s="9" t="n">
        <v>5</v>
      </c>
      <c r="D516" s="9" t="inlineStr">
        <is>
          <t>Tier IV</t>
        </is>
      </c>
      <c r="E516" s="9" t="inlineStr">
        <is>
          <t>Não</t>
        </is>
      </c>
      <c r="F516" s="9" t="inlineStr">
        <is>
          <t>Não</t>
        </is>
      </c>
      <c r="G516" s="9" t="inlineStr">
        <is>
          <t>IV</t>
        </is>
      </c>
      <c r="H516" s="9" t="n">
        <v>5000</v>
      </c>
    </row>
    <row r="517"/>
    <row r="518" ht="32" customHeight="1">
      <c r="A518" s="47" t="inlineStr">
        <is>
          <t>Facções e as suas fichas — 27.16</t>
        </is>
      </c>
      <c r="B518" s="48" t="n"/>
    </row>
    <row r="519">
      <c r="A519" s="7" t="inlineStr">
        <is>
          <t>Facção</t>
        </is>
      </c>
      <c r="B519" s="7" t="inlineStr">
        <is>
          <t>Criatura</t>
        </is>
      </c>
    </row>
    <row r="520">
      <c r="A520" s="32" t="inlineStr">
        <is>
          <t>Legião da Antimatéria</t>
        </is>
      </c>
      <c r="B520" s="4" t="inlineStr">
        <is>
          <t>Peão da Antimatéria</t>
        </is>
      </c>
    </row>
    <row r="521">
      <c r="A521" s="33" t="inlineStr">
        <is>
          <t>Legião da Antimatéria</t>
        </is>
      </c>
      <c r="B521" s="9" t="inlineStr">
        <is>
          <t>Sargento de Trincheira</t>
        </is>
      </c>
    </row>
    <row r="522">
      <c r="A522" s="32" t="inlineStr">
        <is>
          <t>Legião da Antimatéria</t>
        </is>
      </c>
      <c r="B522" s="4" t="inlineStr">
        <is>
          <t>Fuzileiro da Legião</t>
        </is>
      </c>
    </row>
    <row r="523">
      <c r="A523" s="33" t="inlineStr">
        <is>
          <t>Legião da Antimatéria</t>
        </is>
      </c>
      <c r="B523" s="9" t="inlineStr">
        <is>
          <t>Centurião Catafracto</t>
        </is>
      </c>
    </row>
    <row r="524">
      <c r="A524" s="32" t="inlineStr">
        <is>
          <t>Legião da Antimatéria</t>
        </is>
      </c>
      <c r="B524" s="4" t="inlineStr">
        <is>
          <t>Pretor Vazio-Nove</t>
        </is>
      </c>
    </row>
    <row r="525" ht="26" customHeight="1">
      <c r="A525" s="33" t="inlineStr">
        <is>
          <t>Legião da Antimatéria</t>
        </is>
      </c>
      <c r="B525" s="9" t="inlineStr">
        <is>
          <t>Guarda Pretoriano da Antimatéria</t>
        </is>
      </c>
    </row>
    <row r="526">
      <c r="A526" s="32" t="inlineStr">
        <is>
          <t>Legião da Antimatéria</t>
        </is>
      </c>
      <c r="B526" s="4" t="inlineStr">
        <is>
          <t>Arcanjo de Ferro-Vazio</t>
        </is>
      </c>
    </row>
    <row r="527" ht="26" customHeight="1">
      <c r="A527" s="33" t="inlineStr">
        <is>
          <t>Corporação da Paz Interastral</t>
        </is>
      </c>
      <c r="B527" s="9" t="inlineStr">
        <is>
          <t>Dron de Vigilância Pacificadora</t>
        </is>
      </c>
    </row>
    <row r="528">
      <c r="A528" s="32" t="inlineStr">
        <is>
          <t>Corporação da Paz Interastral</t>
        </is>
      </c>
      <c r="B528" s="4" t="inlineStr">
        <is>
          <t>Auditora de Risco</t>
        </is>
      </c>
    </row>
    <row r="529" ht="26" customHeight="1">
      <c r="A529" s="33" t="inlineStr">
        <is>
          <t>Aliança Xianzhou</t>
        </is>
      </c>
      <c r="B529" s="9" t="inlineStr">
        <is>
          <t>Lanceiro da Frota de Jade</t>
        </is>
      </c>
    </row>
    <row r="530" ht="26" customHeight="1">
      <c r="A530" s="32" t="inlineStr">
        <is>
          <t>Aliança Xianzhou</t>
        </is>
      </c>
      <c r="B530" s="4" t="inlineStr">
        <is>
          <t>Oficial-Lâmina da Frota de Jade</t>
        </is>
      </c>
    </row>
    <row r="531" ht="26" customHeight="1">
      <c r="A531" s="33" t="inlineStr">
        <is>
          <t>Aliança Xianzhou</t>
        </is>
      </c>
      <c r="B531" s="9" t="inlineStr">
        <is>
          <t>Centenário Enlouquecido</t>
        </is>
      </c>
    </row>
    <row r="532" ht="26" customHeight="1">
      <c r="A532" s="32" t="inlineStr">
        <is>
          <t>Caçadores de Stellaron</t>
        </is>
      </c>
      <c r="B532" s="4" t="inlineStr">
        <is>
          <t>Operativo de Campo dos Caçadores</t>
        </is>
      </c>
    </row>
    <row r="533">
      <c r="A533" s="33" t="inlineStr">
        <is>
          <t>Caçadores de Stellaron</t>
        </is>
      </c>
      <c r="B533" s="9" t="inlineStr">
        <is>
          <t>Executora de Contrato</t>
        </is>
      </c>
    </row>
    <row r="534">
      <c r="A534" s="32" t="inlineStr">
        <is>
          <t>Tolos Mascarados</t>
        </is>
      </c>
      <c r="B534" s="4" t="inlineStr">
        <is>
          <t>Palhaço de Pólvora</t>
        </is>
      </c>
    </row>
    <row r="535" ht="26" customHeight="1">
      <c r="A535" s="33" t="inlineStr">
        <is>
          <t>Tolos Mascarados</t>
        </is>
      </c>
      <c r="B535" s="9" t="inlineStr">
        <is>
          <t>Mestre de Cerimônias Mascarado</t>
        </is>
      </c>
    </row>
    <row r="536" ht="26" customHeight="1">
      <c r="A536" s="32" t="inlineStr">
        <is>
          <t>Tolos Mascarados</t>
        </is>
      </c>
      <c r="B536" s="4" t="inlineStr">
        <is>
          <t>O Dramaturgo de Mil Faces</t>
        </is>
      </c>
    </row>
    <row r="537">
      <c r="A537" s="33" t="inlineStr">
        <is>
          <t>Cavaleiros da Beleza</t>
        </is>
      </c>
      <c r="B537" s="9" t="inlineStr">
        <is>
          <t>Noviço da Beleza</t>
        </is>
      </c>
    </row>
    <row r="538">
      <c r="A538" s="32" t="inlineStr">
        <is>
          <t>Cavaleiros da Beleza</t>
        </is>
      </c>
      <c r="B538" s="4" t="inlineStr">
        <is>
          <t>Escultor de Carne</t>
        </is>
      </c>
    </row>
    <row r="539">
      <c r="A539" s="33" t="inlineStr">
        <is>
          <t>Cavaleiros da Beleza</t>
        </is>
      </c>
      <c r="B539" s="9" t="inlineStr">
        <is>
          <t>Vênia, a Primeira Obra</t>
        </is>
      </c>
    </row>
    <row r="540">
      <c r="A540" s="32" t="inlineStr">
        <is>
          <t>Culto da Inexistência</t>
        </is>
      </c>
      <c r="B540" s="4" t="inlineStr">
        <is>
          <t>Devoto do Silêncio</t>
        </is>
      </c>
    </row>
    <row r="541" ht="26" customHeight="1">
      <c r="A541" s="33" t="inlineStr">
        <is>
          <t>Culto da Inexistência</t>
        </is>
      </c>
      <c r="B541" s="9" t="inlineStr">
        <is>
          <t>Arauto da Tempestade Vazia</t>
        </is>
      </c>
    </row>
    <row r="542">
      <c r="A542" s="32" t="inlineStr">
        <is>
          <t>Culto da Inexistência</t>
        </is>
      </c>
      <c r="B542" s="4" t="inlineStr">
        <is>
          <t>Vazia Coroada</t>
        </is>
      </c>
    </row>
    <row r="543">
      <c r="A543" s="33" t="inlineStr">
        <is>
          <t>Autômatos</t>
        </is>
      </c>
      <c r="B543" s="9" t="inlineStr">
        <is>
          <t>Sentinela Enferrujada</t>
        </is>
      </c>
    </row>
    <row r="544">
      <c r="A544" s="32" t="inlineStr">
        <is>
          <t>Autômatos</t>
        </is>
      </c>
      <c r="B544" s="4" t="inlineStr">
        <is>
          <t>Autômato Taciturno</t>
        </is>
      </c>
    </row>
    <row r="545" ht="26" customHeight="1">
      <c r="A545" s="33" t="inlineStr">
        <is>
          <t>Autômatos</t>
        </is>
      </c>
      <c r="B545" s="9" t="inlineStr">
        <is>
          <t>Dron de Vigilância Pacificadora</t>
        </is>
      </c>
    </row>
    <row r="546"/>
    <row r="547" ht="46" customHeight="1">
      <c r="A547" s="47" t="inlineStr">
        <is>
          <t>Locais do livro e a faixa da cena — 27.17 (Faixa alta: Sugestão da planilha, H26)</t>
        </is>
      </c>
      <c r="B547" s="48" t="n"/>
      <c r="C547" s="48" t="n"/>
      <c r="D547" s="48" t="n"/>
    </row>
    <row r="548">
      <c r="A548" s="7" t="inlineStr">
        <is>
          <t>Lugar</t>
        </is>
      </c>
      <c r="B548" s="7" t="inlineStr">
        <is>
          <t>Faixa mínima</t>
        </is>
      </c>
      <c r="C548" s="7" t="inlineStr">
        <is>
          <t>Faixa máxima</t>
        </is>
      </c>
      <c r="D548" s="7" t="inlineStr">
        <is>
          <t>De onde vem</t>
        </is>
      </c>
    </row>
    <row r="549">
      <c r="A549" s="32" t="inlineStr">
        <is>
          <t>Poço Sete</t>
        </is>
      </c>
      <c r="B549" s="4" t="n">
        <v>1</v>
      </c>
      <c r="C549" s="4" t="n">
        <v>1</v>
      </c>
      <c r="D549" s="4" t="inlineStr">
        <is>
          <t>Faixa 1-4 (27.17)</t>
        </is>
      </c>
    </row>
    <row r="550" ht="26" customHeight="1">
      <c r="A550" s="33" t="inlineStr">
        <is>
          <t>Vértice-9</t>
        </is>
      </c>
      <c r="B550" s="9" t="n">
        <v>1</v>
      </c>
      <c r="C550" s="9" t="n">
        <v>5</v>
      </c>
      <c r="D550" s="9" t="inlineStr">
        <is>
          <t>Sem faixa no livro: qualquer faixa</t>
        </is>
      </c>
    </row>
    <row r="551" ht="48" customHeight="1">
      <c r="A551" s="32" t="inlineStr">
        <is>
          <t>Ferro-Vazio</t>
        </is>
      </c>
      <c r="B551" s="4" t="n">
        <v>4</v>
      </c>
      <c r="C551" s="4" t="n">
        <v>5</v>
      </c>
      <c r="D551" s="4" t="inlineStr">
        <is>
          <t>Faixa alta (27.17): 13-16 e 17-20 — Sugestão da planilha (H26)</t>
        </is>
      </c>
    </row>
    <row r="552" ht="26" customHeight="1">
      <c r="A552" s="33" t="inlineStr">
        <is>
          <t>A Frota de Jade</t>
        </is>
      </c>
      <c r="B552" s="9" t="n">
        <v>1</v>
      </c>
      <c r="C552" s="9" t="n">
        <v>5</v>
      </c>
      <c r="D552" s="9" t="inlineStr">
        <is>
          <t>Sem faixa no livro: qualquer faixa</t>
        </is>
      </c>
    </row>
    <row r="553" ht="26" customHeight="1">
      <c r="A553" s="32" t="inlineStr">
        <is>
          <t>O Ateliê de Vênia</t>
        </is>
      </c>
      <c r="B553" s="4" t="n">
        <v>1</v>
      </c>
      <c r="C553" s="4" t="n">
        <v>5</v>
      </c>
      <c r="D553" s="4" t="inlineStr">
        <is>
          <t>Sem faixa no livro: qualquer faixa</t>
        </is>
      </c>
    </row>
    <row r="554">
      <c r="A554" s="33" t="inlineStr">
        <is>
          <t>Hesperin</t>
        </is>
      </c>
      <c r="B554" s="9" t="n">
        <v>5</v>
      </c>
      <c r="C554" s="9" t="n">
        <v>5</v>
      </c>
      <c r="D554" s="9" t="inlineStr">
        <is>
          <t>Faixa 17-20 (27.17)</t>
        </is>
      </c>
    </row>
    <row r="555"/>
    <row r="556" ht="32" customHeight="1">
      <c r="A556" s="47" t="inlineStr">
        <is>
          <t>Objetivo que não seja matar todo mundo — 27.7</t>
        </is>
      </c>
      <c r="B556" s="48" t="n"/>
    </row>
    <row r="557">
      <c r="A557" s="7" t="inlineStr">
        <is>
          <t>Objetivo</t>
        </is>
      </c>
      <c r="B557" s="7" t="inlineStr">
        <is>
          <t>Índice</t>
        </is>
      </c>
    </row>
    <row r="558">
      <c r="A558" s="32" t="inlineStr">
        <is>
          <t>fugir com a carga</t>
        </is>
      </c>
      <c r="B558" s="4" t="n">
        <v>1</v>
      </c>
    </row>
    <row r="559">
      <c r="A559" s="33" t="inlineStr">
        <is>
          <t>aguentar 3 Ciclos</t>
        </is>
      </c>
      <c r="B559" s="9" t="n">
        <v>2</v>
      </c>
    </row>
    <row r="560">
      <c r="A560" s="32" t="inlineStr">
        <is>
          <t>chegar ao console</t>
        </is>
      </c>
      <c r="B560" s="4" t="n">
        <v>3</v>
      </c>
    </row>
    <row r="561"/>
    <row r="562" ht="32" customHeight="1">
      <c r="A562" s="47" t="inlineStr">
        <is>
          <t>Bônus Maior: escolha um — 25.2</t>
        </is>
      </c>
      <c r="B562" s="48" t="n"/>
    </row>
    <row r="563">
      <c r="A563" s="7" t="inlineStr">
        <is>
          <t>Bônus Maior</t>
        </is>
      </c>
      <c r="B563" s="7" t="inlineStr">
        <is>
          <t>Índice</t>
        </is>
      </c>
    </row>
    <row r="564">
      <c r="A564" s="32" t="inlineStr">
        <is>
          <t>PV máximos</t>
        </is>
      </c>
      <c r="B564" s="4" t="n">
        <v>1</v>
      </c>
    </row>
    <row r="565">
      <c r="A565" s="33" t="inlineStr">
        <is>
          <t>Defesa</t>
        </is>
      </c>
      <c r="B565" s="9" t="n">
        <v>2</v>
      </c>
    </row>
    <row r="566">
      <c r="A566" s="32" t="inlineStr">
        <is>
          <t>Velocidade</t>
        </is>
      </c>
      <c r="B566" s="4" t="n">
        <v>3</v>
      </c>
    </row>
    <row r="567">
      <c r="A567" s="33" t="inlineStr">
        <is>
          <t>Dano de Ataque Básico</t>
        </is>
      </c>
      <c r="B567" s="9" t="n">
        <v>4</v>
      </c>
    </row>
    <row r="568">
      <c r="A568" s="32" t="inlineStr">
        <is>
          <t>Dano de Habilidade</t>
        </is>
      </c>
      <c r="B568" s="4" t="n">
        <v>5</v>
      </c>
    </row>
    <row r="569">
      <c r="A569" s="33" t="inlineStr">
        <is>
          <t>Dano de Ultimate</t>
        </is>
      </c>
      <c r="B569" s="9" t="n">
        <v>6</v>
      </c>
    </row>
    <row r="570" ht="26" customHeight="1">
      <c r="A570" s="32" t="inlineStr">
        <is>
          <t>RD, dentro do teto de 2 + (2 × Eficiência)</t>
        </is>
      </c>
      <c r="B570" s="4" t="n">
        <v>7</v>
      </c>
    </row>
    <row r="571">
      <c r="A571" s="33" t="inlineStr">
        <is>
          <t>Bônus em Teste de Ataque</t>
        </is>
      </c>
      <c r="B571" s="9" t="n">
        <v>8</v>
      </c>
    </row>
    <row r="572" ht="26" customHeight="1">
      <c r="A572" s="32" t="inlineStr">
        <is>
          <t>Bônus em um Teste de Resistência</t>
        </is>
      </c>
      <c r="B572" s="4" t="n">
        <v>9</v>
      </c>
    </row>
    <row r="573">
      <c r="A573" s="33" t="inlineStr">
        <is>
          <t>Bônus em uma Perícia</t>
        </is>
      </c>
      <c r="B573" s="9" t="n">
        <v>10</v>
      </c>
    </row>
    <row r="574"/>
    <row r="575" ht="46" customHeight="1">
      <c r="A575" s="47" t="inlineStr">
        <is>
          <t>Bônus de 2 peças: um bônus pequeno e fixo — 25.3</t>
        </is>
      </c>
      <c r="B575" s="48" t="n"/>
    </row>
    <row r="576">
      <c r="A576" s="7" t="inlineStr">
        <is>
          <t>Bônus de 2 peças</t>
        </is>
      </c>
      <c r="B576" s="7" t="inlineStr">
        <is>
          <t>Índice</t>
        </is>
      </c>
    </row>
    <row r="577">
      <c r="A577" s="32" t="inlineStr">
        <is>
          <t>+1 em um tipo de rolagem</t>
        </is>
      </c>
      <c r="B577" s="4" t="n">
        <v>1</v>
      </c>
    </row>
    <row r="578">
      <c r="A578" s="33" t="inlineStr">
        <is>
          <t>+1 de Velocidade</t>
        </is>
      </c>
      <c r="B578" s="9" t="n">
        <v>2</v>
      </c>
    </row>
    <row r="579">
      <c r="A579" s="32" t="inlineStr">
        <is>
          <t>+2 de dano</t>
        </is>
      </c>
      <c r="B579" s="4" t="n">
        <v>3</v>
      </c>
    </row>
    <row r="580">
      <c r="A580" s="33" t="inlineStr">
        <is>
          <t>+1 RD</t>
        </is>
      </c>
      <c r="B580" s="9" t="n">
        <v>4</v>
      </c>
    </row>
    <row r="581"/>
    <row r="582" ht="32" customHeight="1">
      <c r="A582" s="47" t="inlineStr">
        <is>
          <t>O que não dar como recompensa — 27.8</t>
        </is>
      </c>
    </row>
    <row r="583">
      <c r="A583" s="7" t="inlineStr">
        <is>
          <t>O que não dar</t>
        </is>
      </c>
    </row>
    <row r="584" ht="48" customHeight="1">
      <c r="A584" s="32" t="inlineStr">
        <is>
          <t>Vantagem permanente em qualquer coisa, ou bônus que fique fora dos tetos do capítulo 26.</t>
        </is>
      </c>
    </row>
    <row r="585" ht="71" customHeight="1">
      <c r="A585" s="33" t="inlineStr">
        <is>
          <t>PH extra de presente. A economia de PH é a espinha do balanceamento; um item que dá PH é um item que dá 0,25 de Habilidade por Ciclo ao grupo inteiro.</t>
        </is>
      </c>
    </row>
    <row r="586" ht="37" customHeight="1">
      <c r="A586" s="32" t="inlineStr">
        <is>
          <t>Habilidade acima do Nível máximo do nível do personagem, por item ou por recompensa.</t>
        </is>
      </c>
    </row>
    <row r="587" ht="60" customHeight="1">
      <c r="A587" s="33" t="inlineStr">
        <is>
          <t>Item que ignora Tenacidade, teto de RD, teto de dados ou limite de alvos em área. A lista de efeitos proibidos de 27.9 vale para recompensa também.</t>
        </is>
      </c>
    </row>
    <row r="588" ht="48" customHeight="1">
      <c r="A588" s="32" t="inlineStr">
        <is>
          <t>Dinheiro que resolve a cena. A verba de marco do capítulo 24 existe para responder "quanto custa?", não para comprar poder.</t>
        </is>
      </c>
    </row>
  </sheetData>
  <mergeCells count="2">
    <mergeCell ref="A3:L3"/>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2026-10-05T22:40:41Z</dcterms:created>
  <dcterms:modified xmlns:dcterms="http://purl.org/dc/terms/" xmlns:xsi="http://www.w3.org/2001/XMLSchema-instance" xsi:type="dcterms:W3CDTF">2026-10-05T22:41:54Z</dcterms:modified>
</cp:coreProperties>
</file>